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Tabelas" sheetId="2" state="visible" r:id="rId4"/>
    <sheet name="Campos Growths" sheetId="3" state="visible" r:id="rId5"/>
    <sheet name="Tipos" sheetId="4" state="visible" r:id="rId6"/>
    <sheet name="Outro banco" sheetId="5" state="visible" r:id="rId7"/>
    <sheet name="Comparação" sheetId="6" state="visible" r:id="rId8"/>
  </sheets>
  <definedNames>
    <definedName function="false" hidden="true" localSheetId="2" name="_xlnm._FilterDatabase" vbProcedure="false">'Campos Growths'!$A$1:$M$1503</definedName>
    <definedName function="false" hidden="true" localSheetId="5" name="_xlnm._FilterDatabase" vbProcedure="false">Comparação!$A$1:$M$3001</definedName>
    <definedName function="false" hidden="true" localSheetId="1" name="_xlnm._FilterDatabase" vbProcedure="false">Tabelas!$A$1:$E$135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<sst xmlns="http://schemas.openxmlformats.org/spreadsheetml/2006/main" count="9483" uniqueCount="1311">
  <si>
    <t xml:space="preserve">Comparar outro banco com o Growths</t>
  </si>
  <si>
    <t xml:space="preserve">1. No outro banco, rode a consulta abaixo (funciona em PostgreSQL, Supabase, MySQL e SQL Server, que têm information_schema).</t>
  </si>
  <si>
    <t xml:space="preserve">2. Copie o resultado (4 colunas: tabela, coluna, tipo, obrigatório) e cole na aba "Outro banco", a partir da linha 2 (por cima do texto cinza).</t>
  </si>
  <si>
    <t xml:space="preserve">3. Na aba "Comparação", cada campo do outro banco aparece com o campo do Growths de mesmo nome e um status:</t>
  </si>
  <si>
    <t xml:space="preserve">     • Importa direto: o Growths tem a coluna e o tipo é compatível.</t>
  </si>
  <si>
    <t xml:space="preserve">     • Ajustar tipo: o Growths tem a coluna, mas o tipo é diferente (ex.: texto → número, data guardada como texto).</t>
  </si>
  <si>
    <t xml:space="preserve">     • Sem campo no Growths: não existe com esse nome. Se for o mesmo dado com outro nome, escreva a tabela e a coluna do Growths nas colunas amarelas (E e F).</t>
  </si>
  <si>
    <t xml:space="preserve">     • Sem tabela no Growths: a tabela não existe com esse nome. Escreva a tabela do Growths equivalente na coluna E.</t>
  </si>
  <si>
    <t xml:space="preserve">4. Na aba "Campos Growths", a coluna "Vem do outro banco?" mostra quais campos do Growths vão receber dados. "FALTA (obrigatória)" = campo obrigatório sem origem: precisa de valor padrão ou regra na importação.</t>
  </si>
  <si>
    <t xml:space="preserve">5. "Valores aceitos (CHECK)" e "Liga com (FK)" mostram o que precisa ser convertido. Ex.: status "Ativo" no outro banco precisa virar "ativo"; o cliente precisa existir em pessoas antes da venda.</t>
  </si>
  <si>
    <t xml:space="preserve">6. A aba "Tipos" diz quais tipos são compatíveis entre si. Se aparecer "outro", acrescente o tipo lá com a família certa.</t>
  </si>
  <si>
    <t xml:space="preserve">Consulta para rodar no outro banco:</t>
  </si>
  <si>
    <t xml:space="preserve">select c.table_name as tabela, c.column_name as coluna, c.data_type as tipo, case when c.is_nullable = 'NO' then 'sim' else 'não' end as obrigatorio</t>
  </si>
  <si>
    <t xml:space="preserve">from information_schema.columns c join information_schema.tables t on t.table_schema = c.table_schema and t.table_name = c.table_name and t.table_type = 'BASE TABLE'</t>
  </si>
  <si>
    <t xml:space="preserve">where c.table_schema not in ('pg_catalog', 'information_schema', 'auth', 'storage', 'mysql', 'sys', 'performance_schema')</t>
  </si>
  <si>
    <t xml:space="preserve">order by c.table_name, c.ordinal_position;</t>
  </si>
  <si>
    <t xml:space="preserve">Resumo da comparação (atualiza sozinho):</t>
  </si>
  <si>
    <t xml:space="preserve">Fonte: banco de produção do Growths (projeto yngyghlyonybvfvjcmxl) em 17/10/2026: 134 tabelas e 1502 colunas. Estrutura completa em Growths_estrutura_tabelas.sql.</t>
  </si>
  <si>
    <t xml:space="preserve">Tabela</t>
  </si>
  <si>
    <t xml:space="preserve">Módulo</t>
  </si>
  <si>
    <t xml:space="preserve">Colunas</t>
  </si>
  <si>
    <t xml:space="preserve">Obrigatórias</t>
  </si>
  <si>
    <t xml:space="preserve">Liga com (FK)</t>
  </si>
  <si>
    <t xml:space="preserve">acesso_telas</t>
  </si>
  <si>
    <t xml:space="preserve">Acessos</t>
  </si>
  <si>
    <t xml:space="preserve">aluno_historico</t>
  </si>
  <si>
    <t xml:space="preserve">Clientes e alunos</t>
  </si>
  <si>
    <t xml:space="preserve">alunos, etapas_kanban, pessoas, workspaces</t>
  </si>
  <si>
    <t xml:space="preserve">alunos</t>
  </si>
  <si>
    <t xml:space="preserve">contratos, equipe, etapas_kanban, pessoas, produtos, vendas, workspaces</t>
  </si>
  <si>
    <t xml:space="preserve">anuncios</t>
  </si>
  <si>
    <t xml:space="preserve">Marketing e campanhas</t>
  </si>
  <si>
    <t xml:space="preserve">campanha_canais, workspaces</t>
  </si>
  <si>
    <t xml:space="preserve">auditoria</t>
  </si>
  <si>
    <t xml:space="preserve">Sistema</t>
  </si>
  <si>
    <t xml:space="preserve">benchmarks_mercado</t>
  </si>
  <si>
    <t xml:space="preserve">Planejamento</t>
  </si>
  <si>
    <t xml:space="preserve">workspaces</t>
  </si>
  <si>
    <t xml:space="preserve">campanha_blocos</t>
  </si>
  <si>
    <t xml:space="preserve">campanhas, workspaces</t>
  </si>
  <si>
    <t xml:space="preserve">campanha_calculos</t>
  </si>
  <si>
    <t xml:space="preserve">campanha_canais</t>
  </si>
  <si>
    <t xml:space="preserve">campanhas, canais, funis, workspaces</t>
  </si>
  <si>
    <t xml:space="preserve">campanha_debriefing</t>
  </si>
  <si>
    <t xml:space="preserve">campanha_estrategias</t>
  </si>
  <si>
    <t xml:space="preserve">campanhas, funis, workspaces</t>
  </si>
  <si>
    <t xml:space="preserve">campanha_etapa_valores</t>
  </si>
  <si>
    <t xml:space="preserve">campanha_etapas, workspaces</t>
  </si>
  <si>
    <t xml:space="preserve">campanha_etapas</t>
  </si>
  <si>
    <t xml:space="preserve">campanha_blocos, campanhas, workspaces</t>
  </si>
  <si>
    <t xml:space="preserve">campanha_fechamentos</t>
  </si>
  <si>
    <t xml:space="preserve">campanha_fechamentos, campanhas, workspaces</t>
  </si>
  <si>
    <t xml:space="preserve">campanha_links</t>
  </si>
  <si>
    <t xml:space="preserve">anuncios, campanha_canais, workspaces</t>
  </si>
  <si>
    <t xml:space="preserve">campanha_melhorias</t>
  </si>
  <si>
    <t xml:space="preserve">campanha_metas</t>
  </si>
  <si>
    <t xml:space="preserve">campanha_metas_mes</t>
  </si>
  <si>
    <t xml:space="preserve">campanha_mix</t>
  </si>
  <si>
    <t xml:space="preserve">campanhas, produtos, workspaces</t>
  </si>
  <si>
    <t xml:space="preserve">campanha_ofertas</t>
  </si>
  <si>
    <t xml:space="preserve">campanha_ofertas, campanhas, ofertas, produtos, workspaces</t>
  </si>
  <si>
    <t xml:space="preserve">campanha_participacoes</t>
  </si>
  <si>
    <t xml:space="preserve">campanha_canais, campanhas, pessoas, workspaces</t>
  </si>
  <si>
    <t xml:space="preserve">campanhas</t>
  </si>
  <si>
    <t xml:space="preserve">funis, plano_metas, produtos, projeto_modelos, workspaces</t>
  </si>
  <si>
    <t xml:space="preserve">campos_personalizados</t>
  </si>
  <si>
    <t xml:space="preserve">Pessoas e CRM</t>
  </si>
  <si>
    <t xml:space="preserve">canais</t>
  </si>
  <si>
    <t xml:space="preserve">centros_custo</t>
  </si>
  <si>
    <t xml:space="preserve">Financeiro</t>
  </si>
  <si>
    <t xml:space="preserve">chaves_api</t>
  </si>
  <si>
    <t xml:space="preserve">checkout_abandonos</t>
  </si>
  <si>
    <t xml:space="preserve">Vendas</t>
  </si>
  <si>
    <t xml:space="preserve">campanhas, pessoas, produtos, vendas, workspaces</t>
  </si>
  <si>
    <t xml:space="preserve">contas_bancarias</t>
  </si>
  <si>
    <t xml:space="preserve">plano_contas, workspaces</t>
  </si>
  <si>
    <t xml:space="preserve">contas_pagar</t>
  </si>
  <si>
    <t xml:space="preserve">campanha_canais, campanhas, centros_custo, contas_bancarias, contas_pagar, despesas_recorrentes, formas_pagamento, fornecedores, plano_contas, rateio_regras, workspaces</t>
  </si>
  <si>
    <t xml:space="preserve">contas_receber</t>
  </si>
  <si>
    <t xml:space="preserve">contas_bancarias, contas_receber, contratos, plano_contas, vendas, workspaces</t>
  </si>
  <si>
    <t xml:space="preserve">conteudo_config</t>
  </si>
  <si>
    <t xml:space="preserve">Conteúdo</t>
  </si>
  <si>
    <t xml:space="preserve">conteudo_conta_dia</t>
  </si>
  <si>
    <t xml:space="preserve">conteudo_linhas</t>
  </si>
  <si>
    <t xml:space="preserve">conteudo_metas_semanais</t>
  </si>
  <si>
    <t xml:space="preserve">conteudo_publicacoes</t>
  </si>
  <si>
    <t xml:space="preserve">conteudos, workspaces</t>
  </si>
  <si>
    <t xml:space="preserve">conteudo_temas</t>
  </si>
  <si>
    <t xml:space="preserve">conteudo_linhas, workspaces</t>
  </si>
  <si>
    <t xml:space="preserve">conteudos</t>
  </si>
  <si>
    <t xml:space="preserve">conteudo_temas, equipe, workspaces</t>
  </si>
  <si>
    <t xml:space="preserve">contrato_itens</t>
  </si>
  <si>
    <t xml:space="preserve">contratos, produtos, workspaces</t>
  </si>
  <si>
    <t xml:space="preserve">contrato_parcelas_plano</t>
  </si>
  <si>
    <t xml:space="preserve">contratos, workspaces</t>
  </si>
  <si>
    <t xml:space="preserve">contratos</t>
  </si>
  <si>
    <t xml:space="preserve">campanhas, contas_bancarias, pessoas, workspaces</t>
  </si>
  <si>
    <t xml:space="preserve">custos_cac</t>
  </si>
  <si>
    <t xml:space="preserve">campanha_canais, campanhas, fornecedores, rateio_regras, workspaces</t>
  </si>
  <si>
    <t xml:space="preserve">dashboard_layouts</t>
  </si>
  <si>
    <t xml:space="preserve">despesas_recorrentes</t>
  </si>
  <si>
    <t xml:space="preserve">centros_custo, formas_pagamento, fornecedores, plano_contas, workspaces</t>
  </si>
  <si>
    <t xml:space="preserve">empresa</t>
  </si>
  <si>
    <t xml:space="preserve">Administrativo</t>
  </si>
  <si>
    <t xml:space="preserve">equipe</t>
  </si>
  <si>
    <t xml:space="preserve">funcoes, users, workspaces</t>
  </si>
  <si>
    <t xml:space="preserve">estornos</t>
  </si>
  <si>
    <t xml:space="preserve">lancamentos, vendas, workspaces</t>
  </si>
  <si>
    <t xml:space="preserve">estrategia_blocos</t>
  </si>
  <si>
    <t xml:space="preserve">funis, workspaces</t>
  </si>
  <si>
    <t xml:space="preserve">estrategia_etapas</t>
  </si>
  <si>
    <t xml:space="preserve">estrategia_blocos, funis, workspaces</t>
  </si>
  <si>
    <t xml:space="preserve">etapas_catalogo</t>
  </si>
  <si>
    <t xml:space="preserve">etapas_kanban</t>
  </si>
  <si>
    <t xml:space="preserve">exp_guardrails</t>
  </si>
  <si>
    <t xml:space="preserve">Growth</t>
  </si>
  <si>
    <t xml:space="preserve">growth_experimentos, guardrail_definicoes, workspaces</t>
  </si>
  <si>
    <t xml:space="preserve">fontes_video</t>
  </si>
  <si>
    <t xml:space="preserve">formas_pagamento</t>
  </si>
  <si>
    <t xml:space="preserve">Produtos e ofertas</t>
  </si>
  <si>
    <t xml:space="preserve">contas_bancarias, workspaces</t>
  </si>
  <si>
    <t xml:space="preserve">fornecedores</t>
  </si>
  <si>
    <t xml:space="preserve">centros_custo, formas_pagamento, plano_contas, workspaces</t>
  </si>
  <si>
    <t xml:space="preserve">funcoes</t>
  </si>
  <si>
    <t xml:space="preserve">funil_etapas</t>
  </si>
  <si>
    <t xml:space="preserve">funil_listas</t>
  </si>
  <si>
    <t xml:space="preserve">funil_etapas, funil_listas, funis, workspaces</t>
  </si>
  <si>
    <t xml:space="preserve">funis</t>
  </si>
  <si>
    <t xml:space="preserve">produtos, workspaces</t>
  </si>
  <si>
    <t xml:space="preserve">gm_alavancas</t>
  </si>
  <si>
    <t xml:space="preserve">gm_cenarios</t>
  </si>
  <si>
    <t xml:space="preserve">gm_cenarios, workspaces</t>
  </si>
  <si>
    <t xml:space="preserve">gm_config</t>
  </si>
  <si>
    <t xml:space="preserve">gm_decisoes</t>
  </si>
  <si>
    <t xml:space="preserve">gm_etapas</t>
  </si>
  <si>
    <t xml:space="preserve">gm_etapas, gm_funis, workspaces</t>
  </si>
  <si>
    <t xml:space="preserve">gm_funis</t>
  </si>
  <si>
    <t xml:space="preserve">gm_modelos</t>
  </si>
  <si>
    <t xml:space="preserve">gm_valores</t>
  </si>
  <si>
    <t xml:space="preserve">gm_etapas, workspaces</t>
  </si>
  <si>
    <t xml:space="preserve">growth_experimentos</t>
  </si>
  <si>
    <t xml:space="preserve">gm_cenarios, gm_decisoes, growth_metricas, pesquisas, projetos, workspaces</t>
  </si>
  <si>
    <t xml:space="preserve">growth_metricas</t>
  </si>
  <si>
    <t xml:space="preserve">growth_metricas, produtos, workspaces</t>
  </si>
  <si>
    <t xml:space="preserve">guardrail_alertas</t>
  </si>
  <si>
    <t xml:space="preserve">guardrail_definicoes</t>
  </si>
  <si>
    <t xml:space="preserve">guardrail_observacoes</t>
  </si>
  <si>
    <t xml:space="preserve">heavyops_metas</t>
  </si>
  <si>
    <t xml:space="preserve">ia_perguntas</t>
  </si>
  <si>
    <t xml:space="preserve">importacoes</t>
  </si>
  <si>
    <t xml:space="preserve">impostos_config</t>
  </si>
  <si>
    <t xml:space="preserve">integracoes</t>
  </si>
  <si>
    <t xml:space="preserve">lancamentos</t>
  </si>
  <si>
    <t xml:space="preserve">lancamentos, workspaces</t>
  </si>
  <si>
    <t xml:space="preserve">metricas_anuncio_dia</t>
  </si>
  <si>
    <t xml:space="preserve">anuncios, importacoes, workspaces</t>
  </si>
  <si>
    <t xml:space="preserve">metricas_definicoes</t>
  </si>
  <si>
    <t xml:space="preserve">motivos_resultado</t>
  </si>
  <si>
    <t xml:space="preserve">movimentacoes_bancarias</t>
  </si>
  <si>
    <t xml:space="preserve">contas_bancarias, lancamentos, workspaces</t>
  </si>
  <si>
    <t xml:space="preserve">notificacoes</t>
  </si>
  <si>
    <t xml:space="preserve">equipe, pessoas, projeto_atividades, projetos, workspaces</t>
  </si>
  <si>
    <t xml:space="preserve">oferta_itens</t>
  </si>
  <si>
    <t xml:space="preserve">ofertas, produtos, workspaces</t>
  </si>
  <si>
    <t xml:space="preserve">oferta_versoes</t>
  </si>
  <si>
    <t xml:space="preserve">ofertas, workspaces</t>
  </si>
  <si>
    <t xml:space="preserve">ofertas</t>
  </si>
  <si>
    <t xml:space="preserve">oportunidades</t>
  </si>
  <si>
    <t xml:space="preserve">contratos, equipe, etapas_kanban, pessoas, produtos, workspaces</t>
  </si>
  <si>
    <t xml:space="preserve">pacotes_acesso</t>
  </si>
  <si>
    <t xml:space="preserve">pagamentos_historicos</t>
  </si>
  <si>
    <t xml:space="preserve">pessoas, produtos, workspaces</t>
  </si>
  <si>
    <t xml:space="preserve">partidas</t>
  </si>
  <si>
    <t xml:space="preserve">centros_custo, lancamentos, plano_contas, workspaces</t>
  </si>
  <si>
    <t xml:space="preserve">pesquisa_envios</t>
  </si>
  <si>
    <t xml:space="preserve">Pesquisas</t>
  </si>
  <si>
    <t xml:space="preserve">pesquisas, pessoas, workspaces</t>
  </si>
  <si>
    <t xml:space="preserve">pesquisa_insights</t>
  </si>
  <si>
    <t xml:space="preserve">growth_metricas, pesquisa_perguntas, pesquisas, workspaces</t>
  </si>
  <si>
    <t xml:space="preserve">pesquisa_perguntas</t>
  </si>
  <si>
    <t xml:space="preserve">pesquisas, workspaces</t>
  </si>
  <si>
    <t xml:space="preserve">pesquisa_resposta_itens</t>
  </si>
  <si>
    <t xml:space="preserve">pesquisa_perguntas, pesquisa_respostas, workspaces</t>
  </si>
  <si>
    <t xml:space="preserve">pesquisa_respostas</t>
  </si>
  <si>
    <t xml:space="preserve">pesquisa_envios, pesquisas, pessoas, workspaces</t>
  </si>
  <si>
    <t xml:space="preserve">pesquisas</t>
  </si>
  <si>
    <t xml:space="preserve">pessoa_funil</t>
  </si>
  <si>
    <t xml:space="preserve">funil_etapas, funis, pessoas, workspaces</t>
  </si>
  <si>
    <t xml:space="preserve">pessoa_funil_historico</t>
  </si>
  <si>
    <t xml:space="preserve">funis, pessoas, workspaces</t>
  </si>
  <si>
    <t xml:space="preserve">pessoa_historico</t>
  </si>
  <si>
    <t xml:space="preserve">pessoas</t>
  </si>
  <si>
    <t xml:space="preserve">pessoa_lista</t>
  </si>
  <si>
    <t xml:space="preserve">funil_listas, pessoas, workspaces</t>
  </si>
  <si>
    <t xml:space="preserve">pessoa_notas</t>
  </si>
  <si>
    <t xml:space="preserve">pessoas, workspaces</t>
  </si>
  <si>
    <t xml:space="preserve">pessoa_toques</t>
  </si>
  <si>
    <t xml:space="preserve">campanhas, pessoas, workspaces</t>
  </si>
  <si>
    <t xml:space="preserve">campanhas, equipe, etapas_kanban, motivos_resultado, workspaces</t>
  </si>
  <si>
    <t xml:space="preserve">pessoas_mesclagens</t>
  </si>
  <si>
    <t xml:space="preserve">planejamento_mensal</t>
  </si>
  <si>
    <t xml:space="preserve">plano_contas</t>
  </si>
  <si>
    <t xml:space="preserve">plano_contas, rateio_regras, workspaces</t>
  </si>
  <si>
    <t xml:space="preserve">plano_indicadores</t>
  </si>
  <si>
    <t xml:space="preserve">plano_objetivos, planos, workspaces</t>
  </si>
  <si>
    <t xml:space="preserve">plano_metas</t>
  </si>
  <si>
    <t xml:space="preserve">plano_indicadores, planos, workspaces</t>
  </si>
  <si>
    <t xml:space="preserve">plano_objetivos</t>
  </si>
  <si>
    <t xml:space="preserve">planos, workspaces</t>
  </si>
  <si>
    <t xml:space="preserve">planos</t>
  </si>
  <si>
    <t xml:space="preserve">plataforma_formas_pagamento</t>
  </si>
  <si>
    <t xml:space="preserve">plataformas_venda, workspaces</t>
  </si>
  <si>
    <t xml:space="preserve">plataformas_venda</t>
  </si>
  <si>
    <t xml:space="preserve">presencas_video</t>
  </si>
  <si>
    <t xml:space="preserve">fontes_video, importacoes, pessoas, workspaces</t>
  </si>
  <si>
    <t xml:space="preserve">produto_plataforma</t>
  </si>
  <si>
    <t xml:space="preserve">plataformas_venda, produtos, workspaces</t>
  </si>
  <si>
    <t xml:space="preserve">produtos</t>
  </si>
  <si>
    <t xml:space="preserve">centros_custo, projeto_modelos, workspaces</t>
  </si>
  <si>
    <t xml:space="preserve">projeto_atividades</t>
  </si>
  <si>
    <t xml:space="preserve">Projetos</t>
  </si>
  <si>
    <t xml:space="preserve">campanha_blocos, equipe, projeto_atividades, projetos, workspaces</t>
  </si>
  <si>
    <t xml:space="preserve">projeto_modelo_atividades</t>
  </si>
  <si>
    <t xml:space="preserve">equipe, projeto_modelo_atividades, projeto_modelos, workspaces</t>
  </si>
  <si>
    <t xml:space="preserve">projeto_modelos</t>
  </si>
  <si>
    <t xml:space="preserve">projetos</t>
  </si>
  <si>
    <t xml:space="preserve">campanhas, contratos, equipe, pessoas, produtos, projeto_modelos, vendas, workspaces</t>
  </si>
  <si>
    <t xml:space="preserve">qualidade_regras</t>
  </si>
  <si>
    <t xml:space="preserve">rateio_itens</t>
  </si>
  <si>
    <t xml:space="preserve">centros_custo, rateio_regras, workspaces</t>
  </si>
  <si>
    <t xml:space="preserve">rateio_regras</t>
  </si>
  <si>
    <t xml:space="preserve">regras_contabilizacao</t>
  </si>
  <si>
    <t xml:space="preserve">responsavel_historico</t>
  </si>
  <si>
    <t xml:space="preserve">alunos, pessoas, workspaces</t>
  </si>
  <si>
    <t xml:space="preserve">revops_config</t>
  </si>
  <si>
    <t xml:space="preserve">RevOps</t>
  </si>
  <si>
    <t xml:space="preserve">revops_visoes</t>
  </si>
  <si>
    <t xml:space="preserve">simulador_cenarios</t>
  </si>
  <si>
    <t xml:space="preserve">simulador_snapshots</t>
  </si>
  <si>
    <t xml:space="preserve">transferencias_casa</t>
  </si>
  <si>
    <t xml:space="preserve">contas_pagar, contas_receber, lancamentos, workspaces</t>
  </si>
  <si>
    <t xml:space="preserve">uso_eventos</t>
  </si>
  <si>
    <t xml:space="preserve">venda_atribuicoes</t>
  </si>
  <si>
    <t xml:space="preserve">vendas, workspaces</t>
  </si>
  <si>
    <t xml:space="preserve">vendas</t>
  </si>
  <si>
    <t xml:space="preserve">campanhas, contas_bancarias, pessoas, plataformas_venda, produtos, workspaces</t>
  </si>
  <si>
    <t xml:space="preserve">video_metricas_dia</t>
  </si>
  <si>
    <t xml:space="preserve">fontes_video, importacoes, workspaces</t>
  </si>
  <si>
    <t xml:space="preserve">workspace_membros</t>
  </si>
  <si>
    <t xml:space="preserve">pacotes_acesso, workspaces</t>
  </si>
  <si>
    <t xml:space="preserve">Chave</t>
  </si>
  <si>
    <t xml:space="preserve">Ordem</t>
  </si>
  <si>
    <t xml:space="preserve">Coluna</t>
  </si>
  <si>
    <t xml:space="preserve">Tipo</t>
  </si>
  <si>
    <t xml:space="preserve">Obrigatória</t>
  </si>
  <si>
    <t xml:space="preserve">Padrão / cálculo</t>
  </si>
  <si>
    <t xml:space="preserve">PK / única</t>
  </si>
  <si>
    <t xml:space="preserve">Valores aceitos (CHECK)</t>
  </si>
  <si>
    <t xml:space="preserve">Família do tipo</t>
  </si>
  <si>
    <t xml:space="preserve">Vem do outro banco?</t>
  </si>
  <si>
    <t xml:space="preserve">tela</t>
  </si>
  <si>
    <t xml:space="preserve">text</t>
  </si>
  <si>
    <t xml:space="preserve">sim</t>
  </si>
  <si>
    <t xml:space="preserve">PRIMARY KEY</t>
  </si>
  <si>
    <t xml:space="preserve">modulo</t>
  </si>
  <si>
    <t xml:space="preserve">nome</t>
  </si>
  <si>
    <t xml:space="preserve">grupo</t>
  </si>
  <si>
    <t xml:space="preserve">não</t>
  </si>
  <si>
    <t xml:space="preserve">ordem</t>
  </si>
  <si>
    <t xml:space="preserve">integer</t>
  </si>
  <si>
    <t xml:space="preserve">0</t>
  </si>
  <si>
    <t xml:space="preserve">id</t>
  </si>
  <si>
    <t xml:space="preserve">uuid</t>
  </si>
  <si>
    <t xml:space="preserve">gen_random_uuid()</t>
  </si>
  <si>
    <t xml:space="preserve">workspace_id</t>
  </si>
  <si>
    <t xml:space="preserve">workspaces.id</t>
  </si>
  <si>
    <t xml:space="preserve">aluno_id</t>
  </si>
  <si>
    <t xml:space="preserve">alunos.id</t>
  </si>
  <si>
    <t xml:space="preserve">pessoa_id</t>
  </si>
  <si>
    <t xml:space="preserve">pessoas.id</t>
  </si>
  <si>
    <t xml:space="preserve">tipo</t>
  </si>
  <si>
    <t xml:space="preserve">CHECK ((tipo = ANY (ARRAY['etapa'::text, 'saida'::text, 'volta'::text])))</t>
  </si>
  <si>
    <t xml:space="preserve">etapa_kanban_id</t>
  </si>
  <si>
    <t xml:space="preserve">etapas_kanban.id</t>
  </si>
  <si>
    <t xml:space="preserve">em</t>
  </si>
  <si>
    <t xml:space="preserve">timestamptz</t>
  </si>
  <si>
    <t xml:space="preserve">now()</t>
  </si>
  <si>
    <t xml:space="preserve">produto_id</t>
  </si>
  <si>
    <t xml:space="preserve">produtos.id</t>
  </si>
  <si>
    <t xml:space="preserve">venda_id</t>
  </si>
  <si>
    <t xml:space="preserve">UNIQUE</t>
  </si>
  <si>
    <t xml:space="preserve">vendas.id</t>
  </si>
  <si>
    <t xml:space="preserve">tag</t>
  </si>
  <si>
    <t xml:space="preserve">status</t>
  </si>
  <si>
    <t xml:space="preserve">'ativo'::text</t>
  </si>
  <si>
    <t xml:space="preserve">CHECK ((status = ANY (ARRAY['ativo'::text, 'inativo'::text, 'cancelado'::text])))</t>
  </si>
  <si>
    <t xml:space="preserve">entrou_em</t>
  </si>
  <si>
    <t xml:space="preserve">saiu_em</t>
  </si>
  <si>
    <t xml:space="preserve">responsavel_cs_id</t>
  </si>
  <si>
    <t xml:space="preserve">equipe.id</t>
  </si>
  <si>
    <t xml:space="preserve">contrato_id</t>
  </si>
  <si>
    <t xml:space="preserve">contratos.id</t>
  </si>
  <si>
    <t xml:space="preserve">origem</t>
  </si>
  <si>
    <t xml:space="preserve">'venda'::text</t>
  </si>
  <si>
    <t xml:space="preserve">campanha_canal_id</t>
  </si>
  <si>
    <t xml:space="preserve">campanha_canais.id</t>
  </si>
  <si>
    <t xml:space="preserve">utm_content</t>
  </si>
  <si>
    <t xml:space="preserve">imagem_url</t>
  </si>
  <si>
    <t xml:space="preserve">id_externo</t>
  </si>
  <si>
    <t xml:space="preserve">ativo</t>
  </si>
  <si>
    <t xml:space="preserve">boolean</t>
  </si>
  <si>
    <t xml:space="preserve">true</t>
  </si>
  <si>
    <t xml:space="preserve">angulo</t>
  </si>
  <si>
    <t xml:space="preserve">temperatura</t>
  </si>
  <si>
    <t xml:space="preserve">CHECK (((temperatura IS NULL) OR (temperatura = ANY (ARRAY['frio'::text, 'quente'::text]))))</t>
  </si>
  <si>
    <t xml:space="preserve">bigint</t>
  </si>
  <si>
    <t xml:space="preserve">nextval('auditoria_id_seq'::regclass)</t>
  </si>
  <si>
    <t xml:space="preserve">tabela</t>
  </si>
  <si>
    <t xml:space="preserve">registro_id</t>
  </si>
  <si>
    <t xml:space="preserve">acao</t>
  </si>
  <si>
    <t xml:space="preserve">CHECK ((acao = ANY (ARRAY['inclusao'::text, 'alteracao'::text, 'exclusao'::text])))</t>
  </si>
  <si>
    <t xml:space="preserve">campos</t>
  </si>
  <si>
    <t xml:space="preserve">_text</t>
  </si>
  <si>
    <t xml:space="preserve">antes</t>
  </si>
  <si>
    <t xml:space="preserve">jsonb</t>
  </si>
  <si>
    <t xml:space="preserve">depois</t>
  </si>
  <si>
    <t xml:space="preserve">usuario_id</t>
  </si>
  <si>
    <t xml:space="preserve">usuario_email</t>
  </si>
  <si>
    <t xml:space="preserve">metrica</t>
  </si>
  <si>
    <t xml:space="preserve">CHECK ((metrica = ANY (ARRAY['cpl'::text, 'cac'::text, 'conv'::text, 'ticket'::text, 'roas'::text, 'margem'::text, 'leads'::text, 'receita'::text])))</t>
  </si>
  <si>
    <t xml:space="preserve">valor</t>
  </si>
  <si>
    <t xml:space="preserve">numeric(14,4)</t>
  </si>
  <si>
    <t xml:space="preserve">CHECK ((valor &gt;= (0)::numeric))</t>
  </si>
  <si>
    <t xml:space="preserve">fonte</t>
  </si>
  <si>
    <t xml:space="preserve">CHECK (((fonte IS NULL) OR (char_length(fonte) &lt;= 200)))</t>
  </si>
  <si>
    <t xml:space="preserve">atualizado_em</t>
  </si>
  <si>
    <t xml:space="preserve">campanha_id</t>
  </si>
  <si>
    <t xml:space="preserve">campanhas.id</t>
  </si>
  <si>
    <t xml:space="preserve">bloco_origem_id</t>
  </si>
  <si>
    <t xml:space="preserve">10</t>
  </si>
  <si>
    <t xml:space="preserve">fase</t>
  </si>
  <si>
    <t xml:space="preserve">'aquisicao'::text</t>
  </si>
  <si>
    <t xml:space="preserve">CHECK ((fase = ANY (ARRAY['aquisicao'::text, 'aquecimento'::text, 'conversao'::text, 'retencao'::text])))</t>
  </si>
  <si>
    <t xml:space="preserve">origem_ref</t>
  </si>
  <si>
    <t xml:space="preserve">criado_em</t>
  </si>
  <si>
    <t xml:space="preserve">CHECK (((char_length(nome) &gt;= 1) AND (char_length(nome) &lt;= 120)))</t>
  </si>
  <si>
    <t xml:space="preserve">premissas</t>
  </si>
  <si>
    <t xml:space="preserve">'{}'::jsonb</t>
  </si>
  <si>
    <t xml:space="preserve">CHECK ((jsonb_typeof(premissas) = 'object'::text))</t>
  </si>
  <si>
    <t xml:space="preserve">workspaces.id, canais.workspace_id</t>
  </si>
  <si>
    <t xml:space="preserve">canal</t>
  </si>
  <si>
    <t xml:space="preserve">canais.codigo</t>
  </si>
  <si>
    <t xml:space="preserve">utm_campaign</t>
  </si>
  <si>
    <t xml:space="preserve">orcamento</t>
  </si>
  <si>
    <t xml:space="preserve">numeric(14,2)</t>
  </si>
  <si>
    <t xml:space="preserve">percentual_meta_leads</t>
  </si>
  <si>
    <t xml:space="preserve">numeric(6,3)</t>
  </si>
  <si>
    <t xml:space="preserve">meta_leads</t>
  </si>
  <si>
    <t xml:space="preserve">meta_vendas</t>
  </si>
  <si>
    <t xml:space="preserve">meta_cac</t>
  </si>
  <si>
    <t xml:space="preserve">numeric(12,2)</t>
  </si>
  <si>
    <t xml:space="preserve">meta_cpl</t>
  </si>
  <si>
    <t xml:space="preserve">CHECK (((meta_cpl IS NULL) OR (meta_cpl &gt;= (0)::numeric)))</t>
  </si>
  <si>
    <t xml:space="preserve">CHECK (((tipo IS NULL) OR (tipo = ANY (ARRAY['pago'::text, 'organico'::text]))))</t>
  </si>
  <si>
    <t xml:space="preserve">funil_id</t>
  </si>
  <si>
    <t xml:space="preserve">funis.id</t>
  </si>
  <si>
    <t xml:space="preserve">custo_producao</t>
  </si>
  <si>
    <t xml:space="preserve">CHECK (((custo_producao IS NULL) OR (custo_producao &gt;= (0)::numeric)))</t>
  </si>
  <si>
    <t xml:space="preserve">observacoes</t>
  </si>
  <si>
    <t xml:space="preserve">resultado</t>
  </si>
  <si>
    <t xml:space="preserve">funcionou</t>
  </si>
  <si>
    <t xml:space="preserve">nao_funcionou</t>
  </si>
  <si>
    <t xml:space="preserve">aprendizados</t>
  </si>
  <si>
    <t xml:space="preserve">proximos_passos</t>
  </si>
  <si>
    <t xml:space="preserve">principal</t>
  </si>
  <si>
    <t xml:space="preserve">false</t>
  </si>
  <si>
    <t xml:space="preserve">campanha_etapa_id</t>
  </si>
  <si>
    <t xml:space="preserve">campanha_etapas.id</t>
  </si>
  <si>
    <t xml:space="preserve">data</t>
  </si>
  <si>
    <t xml:space="preserve">date</t>
  </si>
  <si>
    <t xml:space="preserve">numeric</t>
  </si>
  <si>
    <t xml:space="preserve">'manual'::text</t>
  </si>
  <si>
    <t xml:space="preserve">CHECK ((origem = ANY (ARRAY['manual'::text, 'sendflow'::text, 'importacao'::text])))</t>
  </si>
  <si>
    <t xml:space="preserve">disponibilidade</t>
  </si>
  <si>
    <t xml:space="preserve">'completo'::text</t>
  </si>
  <si>
    <t xml:space="preserve">CHECK ((disponibilidade = ANY (ARRAY['completo'::text, 'parcial'::text, 'indisponivel'::text])))</t>
  </si>
  <si>
    <t xml:space="preserve">atualizado_na_origem</t>
  </si>
  <si>
    <t xml:space="preserve">chave</t>
  </si>
  <si>
    <t xml:space="preserve">CHECK ((chave ~ '^[a-z0-9_]{1,40}$'::text))</t>
  </si>
  <si>
    <t xml:space="preserve">CHECK (((char_length(nome) &gt;= 1) AND (char_length(nome) &lt;= 80)))</t>
  </si>
  <si>
    <t xml:space="preserve">unidade</t>
  </si>
  <si>
    <t xml:space="preserve">'numero'::text</t>
  </si>
  <si>
    <t xml:space="preserve">CHECK ((unidade = ANY (ARRAY['numero'::text, 'brl'::text, 'pct'::text])))</t>
  </si>
  <si>
    <t xml:space="preserve">CHECK ((origem = ANY (ARRAY['anuncios'::text, 'leads'::text, 'etapa_funil'::text, 'lista'::text, 'video'::text, 'vendas'::text, 'disparo'::text, 'manual'::text])))</t>
  </si>
  <si>
    <t xml:space="preserve">CHECK (((metrica IS NULL) OR (char_length(metrica) &lt;= 30)))</t>
  </si>
  <si>
    <t xml:space="preserve">conta_como</t>
  </si>
  <si>
    <t xml:space="preserve">CHECK ((conta_como = ANY (ARRAY['investimento'::text, 'clientes_novos'::text, 'upgrades'::text, 'renovados'::text, 'receita'::text])))</t>
  </si>
  <si>
    <t xml:space="preserve">taxa_esperada</t>
  </si>
  <si>
    <t xml:space="preserve">CHECK (((taxa_esperada IS NULL) OR (taxa_esperada &gt;= (0)::numeric)))</t>
  </si>
  <si>
    <t xml:space="preserve">ativa</t>
  </si>
  <si>
    <t xml:space="preserve">bloco_id</t>
  </si>
  <si>
    <t xml:space="preserve">campanha_blocos.id</t>
  </si>
  <si>
    <t xml:space="preserve">papel</t>
  </si>
  <si>
    <t xml:space="preserve">CHECK (((papel IS NULL) OR (papel = ANY (ARRAY['principal'::text, 'diagnostico'::text]))))</t>
  </si>
  <si>
    <t xml:space="preserve">fechado_em</t>
  </si>
  <si>
    <t xml:space="preserve">fechado_por</t>
  </si>
  <si>
    <t xml:space="preserve">auth.uid()</t>
  </si>
  <si>
    <t xml:space="preserve">periodo_ini</t>
  </si>
  <si>
    <t xml:space="preserve">periodo_fim</t>
  </si>
  <si>
    <t xml:space="preserve">snapshot</t>
  </si>
  <si>
    <t xml:space="preserve">versao</t>
  </si>
  <si>
    <t xml:space="preserve">'oficial'::text</t>
  </si>
  <si>
    <t xml:space="preserve">CHECK ((status = ANY (ARRAY['oficial'::text, 'substituido'::text])))</t>
  </si>
  <si>
    <t xml:space="preserve">motivo</t>
  </si>
  <si>
    <t xml:space="preserve">substitui_id</t>
  </si>
  <si>
    <t xml:space="preserve">campanha_fechamentos.id</t>
  </si>
  <si>
    <t xml:space="preserve">corte_em</t>
  </si>
  <si>
    <t xml:space="preserve">qualidade</t>
  </si>
  <si>
    <t xml:space="preserve">url_destino</t>
  </si>
  <si>
    <t xml:space="preserve">CHECK ((url_destino ~* '^https?://'::text))</t>
  </si>
  <si>
    <t xml:space="preserve">utm_source</t>
  </si>
  <si>
    <t xml:space="preserve">utm_medium</t>
  </si>
  <si>
    <t xml:space="preserve">utm_term</t>
  </si>
  <si>
    <t xml:space="preserve">anuncio_id</t>
  </si>
  <si>
    <t xml:space="preserve">anuncios.id</t>
  </si>
  <si>
    <t xml:space="preserve">titulo</t>
  </si>
  <si>
    <t xml:space="preserve">CHECK ((length(btrim(titulo)) &gt; 0))</t>
  </si>
  <si>
    <t xml:space="preserve">descricao</t>
  </si>
  <si>
    <t xml:space="preserve">CHECK ((origem = ANY (ARRAY['manual'::text, 'regra'::text])))</t>
  </si>
  <si>
    <t xml:space="preserve">sprint</t>
  </si>
  <si>
    <t xml:space="preserve">'a_fazer'::text</t>
  </si>
  <si>
    <t xml:space="preserve">CHECK ((status = ANY (ARRAY['a_fazer'::text, 'em_andamento'::text, 'feito'::text, 'descartado'::text])))</t>
  </si>
  <si>
    <t xml:space="preserve">prazo</t>
  </si>
  <si>
    <t xml:space="preserve">responsavel</t>
  </si>
  <si>
    <t xml:space="preserve">CHECK ((tipo = ANY (ARRAY['investimento'::text, 'leads'::text, 'leads_qualificados'::text, 'vendas'::text, 'conversao'::text, 'receita'::text, 'ticket_medio'::text, 'cpl'::text, 'cac'::text, 'roas'::text, 'impressoes'::text, 'cliques'::text])))</t>
  </si>
  <si>
    <t xml:space="preserve">segmento</t>
  </si>
  <si>
    <t xml:space="preserve">CHECK (((segmento IS NULL) OR (segmento = ANY (ARRAY['aluno'::text, 'nao_aluno'::text, 'cliente'::text]))))</t>
  </si>
  <si>
    <t xml:space="preserve">data_ini</t>
  </si>
  <si>
    <t xml:space="preserve">data_fim</t>
  </si>
  <si>
    <t xml:space="preserve">observacao</t>
  </si>
  <si>
    <t xml:space="preserve">mes</t>
  </si>
  <si>
    <t xml:space="preserve">CHECK ((mes = (date_trunc('month'::text, (mes)::timestamp with time zone))::date))</t>
  </si>
  <si>
    <t xml:space="preserve">CHECK (((meta_leads IS NULL) OR (meta_leads &gt;= 0)))</t>
  </si>
  <si>
    <t xml:space="preserve">CHECK (((meta_vendas IS NULL) OR (meta_vendas &gt;= 0)))</t>
  </si>
  <si>
    <t xml:space="preserve">vendas_mes</t>
  </si>
  <si>
    <t xml:space="preserve">CHECK ((vendas_mes &gt; 0))</t>
  </si>
  <si>
    <t xml:space="preserve">oferta_id</t>
  </si>
  <si>
    <t xml:space="preserve">ofertas.id</t>
  </si>
  <si>
    <t xml:space="preserve">'principal'::text</t>
  </si>
  <si>
    <t xml:space="preserve">CHECK ((papel = ANY (ARRAY['principal'::text, 'upsell'::text, 'order_bump'::text, 'cross_sell'::text, 'downsell'::text])))</t>
  </si>
  <si>
    <t xml:space="preserve">preco</t>
  </si>
  <si>
    <t xml:space="preserve">CHECK ((preco &gt;= (0)::numeric))</t>
  </si>
  <si>
    <t xml:space="preserve">oferta_versao</t>
  </si>
  <si>
    <t xml:space="preserve">pai_id</t>
  </si>
  <si>
    <t xml:space="preserve">campanha_ofertas.id</t>
  </si>
  <si>
    <t xml:space="preserve">condicao</t>
  </si>
  <si>
    <t xml:space="preserve">'sempre'::text</t>
  </si>
  <si>
    <t xml:space="preserve">CHECK ((condicao = ANY (ARRAY['sempre'::text, 'aceitou'::text, 'recusou'::text])))</t>
  </si>
  <si>
    <t xml:space="preserve">etapa_exibicao</t>
  </si>
  <si>
    <t xml:space="preserve">elegibilidade</t>
  </si>
  <si>
    <t xml:space="preserve">gatilho</t>
  </si>
  <si>
    <t xml:space="preserve">taxa_exposicao</t>
  </si>
  <si>
    <t xml:space="preserve">CHECK (((taxa_exposicao IS NULL) OR ((taxa_exposicao &gt;= (0)::numeric) AND (taxa_exposicao &lt;= (1)::numeric))))</t>
  </si>
  <si>
    <t xml:space="preserve">taxa_aceite</t>
  </si>
  <si>
    <t xml:space="preserve">CHECK (((taxa_aceite IS NULL) OR ((taxa_aceite &gt;= (0)::numeric) AND (taxa_aceite &lt;= (1)::numeric))))</t>
  </si>
  <si>
    <t xml:space="preserve">era_aluno</t>
  </si>
  <si>
    <t xml:space="preserve">era_cliente</t>
  </si>
  <si>
    <t xml:space="preserve">tentativas</t>
  </si>
  <si>
    <t xml:space="preserve">1</t>
  </si>
  <si>
    <t xml:space="preserve">ultima_tentativa_em</t>
  </si>
  <si>
    <t xml:space="preserve">'planejada'::text</t>
  </si>
  <si>
    <t xml:space="preserve">CHECK ((status = ANY (ARRAY['rascunho'::text, 'planejada'::text, 'ativa'::text, 'pausada'::text, 'finalizada'::text])))</t>
  </si>
  <si>
    <t xml:space="preserve">data_inicio</t>
  </si>
  <si>
    <t xml:space="preserve">orcamento_total</t>
  </si>
  <si>
    <t xml:space="preserve">meta_taxa_lead_venda</t>
  </si>
  <si>
    <t xml:space="preserve">meta_receita</t>
  </si>
  <si>
    <t xml:space="preserve">modelo</t>
  </si>
  <si>
    <t xml:space="preserve">'lancamento'::text</t>
  </si>
  <si>
    <t xml:space="preserve">CHECK ((modelo = ANY (ARRAY['lancamento'::text, 'perpetuo'::text])))</t>
  </si>
  <si>
    <t xml:space="preserve">data_carrinho_abre</t>
  </si>
  <si>
    <t xml:space="preserve">data_carrinho_fecha</t>
  </si>
  <si>
    <t xml:space="preserve">meta_id</t>
  </si>
  <si>
    <t xml:space="preserve">plano_metas.id</t>
  </si>
  <si>
    <t xml:space="preserve">meta_leads_mes</t>
  </si>
  <si>
    <t xml:space="preserve">CHECK (((meta_leads_mes IS NULL) OR (meta_leads_mes &gt; 0)))</t>
  </si>
  <si>
    <t xml:space="preserve">extras</t>
  </si>
  <si>
    <t xml:space="preserve">CHECK ((jsonb_typeof(extras) = 'object'::text))</t>
  </si>
  <si>
    <t xml:space="preserve">fases</t>
  </si>
  <si>
    <t xml:space="preserve">CHECK ((jsonb_typeof(fases) = 'object'::text))</t>
  </si>
  <si>
    <t xml:space="preserve">projeto_auto</t>
  </si>
  <si>
    <t xml:space="preserve">projeto_modelo_id</t>
  </si>
  <si>
    <t xml:space="preserve">projeto_modelos.id</t>
  </si>
  <si>
    <t xml:space="preserve">tipo_midia</t>
  </si>
  <si>
    <t xml:space="preserve">'hibrida'::text</t>
  </si>
  <si>
    <t xml:space="preserve">CHECK ((tipo_midia = ANY (ARRAY['hibrida'::text, 'paga'::text, 'organica'::text])))</t>
  </si>
  <si>
    <t xml:space="preserve">entidade</t>
  </si>
  <si>
    <t xml:space="preserve">CHECK ((entidade = ANY (ARRAY['pessoas'::text, 'produtos'::text, 'fornecedores'::text, 'campanhas'::text, 'vendas'::text])))</t>
  </si>
  <si>
    <t xml:space="preserve">CHECK ((chave ~ '^[a-z][a-z0-9_]{1,40}$'::text))</t>
  </si>
  <si>
    <t xml:space="preserve">rotulo</t>
  </si>
  <si>
    <t xml:space="preserve">CHECK (((char_length(rotulo) &gt;= 1) AND (char_length(rotulo) &lt;= 80)))</t>
  </si>
  <si>
    <t xml:space="preserve">'text'::text</t>
  </si>
  <si>
    <t xml:space="preserve">CHECK ((tipo = ANY (ARRAY['text'::text, 'number'::text, 'date'::text])))</t>
  </si>
  <si>
    <t xml:space="preserve">codigo</t>
  </si>
  <si>
    <t xml:space="preserve">'organico'::text</t>
  </si>
  <si>
    <t xml:space="preserve">CHECK ((tipo = ANY (ARRAY['pago'::text, 'organico'::text])))</t>
  </si>
  <si>
    <t xml:space="preserve">entra_no_cac</t>
  </si>
  <si>
    <t xml:space="preserve">escopo</t>
  </si>
  <si>
    <t xml:space="preserve">'ideias'::text</t>
  </si>
  <si>
    <t xml:space="preserve">CHECK ((escopo = 'ideias'::text))</t>
  </si>
  <si>
    <t xml:space="preserve">prefixo</t>
  </si>
  <si>
    <t xml:space="preserve">hash</t>
  </si>
  <si>
    <t xml:space="preserve">criado_por</t>
  </si>
  <si>
    <t xml:space="preserve">ultimo_uso</t>
  </si>
  <si>
    <t xml:space="preserve">usos</t>
  </si>
  <si>
    <t xml:space="preserve">revogada_em</t>
  </si>
  <si>
    <t xml:space="preserve">abandonado_em</t>
  </si>
  <si>
    <t xml:space="preserve">recuperado_venda_id</t>
  </si>
  <si>
    <t xml:space="preserve">recuperado_em</t>
  </si>
  <si>
    <t xml:space="preserve">banco</t>
  </si>
  <si>
    <t xml:space="preserve">saldo_inicial</t>
  </si>
  <si>
    <t xml:space="preserve">conta_contabil_id</t>
  </si>
  <si>
    <t xml:space="preserve">plano_contas.id</t>
  </si>
  <si>
    <t xml:space="preserve">padrao</t>
  </si>
  <si>
    <t xml:space="preserve">'conta'::text</t>
  </si>
  <si>
    <t xml:space="preserve">CHECK ((tipo = ANY (ARRAY['conta'::text, 'cartao'::text])))</t>
  </si>
  <si>
    <t xml:space="preserve">dia_vencimento</t>
  </si>
  <si>
    <t xml:space="preserve">CHECK (((dia_vencimento IS NULL) OR ((dia_vencimento &gt;= 1) AND (dia_vencimento &lt;= 31))))</t>
  </si>
  <si>
    <t xml:space="preserve">fornecedor_id</t>
  </si>
  <si>
    <t xml:space="preserve">fornecedores.id</t>
  </si>
  <si>
    <t xml:space="preserve">CHECK ((valor &gt; (0)::numeric))</t>
  </si>
  <si>
    <t xml:space="preserve">competencia</t>
  </si>
  <si>
    <t xml:space="preserve">vencimento</t>
  </si>
  <si>
    <t xml:space="preserve">conta_despesa_id</t>
  </si>
  <si>
    <t xml:space="preserve">centro_custo_id</t>
  </si>
  <si>
    <t xml:space="preserve">centros_custo.id</t>
  </si>
  <si>
    <t xml:space="preserve">'previsto'::text</t>
  </si>
  <si>
    <t xml:space="preserve">CHECK ((status = ANY (ARRAY['previsto'::text, 'pago'::text, 'cancelado'::text])))</t>
  </si>
  <si>
    <t xml:space="preserve">data_pagamento</t>
  </si>
  <si>
    <t xml:space="preserve">conta_bancaria_id</t>
  </si>
  <si>
    <t xml:space="preserve">contas_bancarias.id</t>
  </si>
  <si>
    <t xml:space="preserve">rateio_regra_id</t>
  </si>
  <si>
    <t xml:space="preserve">rateio_regras.id</t>
  </si>
  <si>
    <t xml:space="preserve">forma_pagamento_id</t>
  </si>
  <si>
    <t xml:space="preserve">formas_pagamento.id</t>
  </si>
  <si>
    <t xml:space="preserve">estimativa</t>
  </si>
  <si>
    <t xml:space="preserve">provisionada</t>
  </si>
  <si>
    <t xml:space="preserve">substituida_por</t>
  </si>
  <si>
    <t xml:space="preserve">contas_pagar.id</t>
  </si>
  <si>
    <t xml:space="preserve">recorrencia_id</t>
  </si>
  <si>
    <t xml:space="preserve">despesas_recorrentes.id</t>
  </si>
  <si>
    <t xml:space="preserve">saldo_de</t>
  </si>
  <si>
    <t xml:space="preserve">CHECK ((status = ANY (ARRAY['previsto'::text, 'recebido'::text, 'cancelado'::text, 'estornado'::text])))</t>
  </si>
  <si>
    <t xml:space="preserve">data_recebimento</t>
  </si>
  <si>
    <t xml:space="preserve">parcela</t>
  </si>
  <si>
    <t xml:space="preserve">contas_receber.id</t>
  </si>
  <si>
    <t xml:space="preserve">desconto</t>
  </si>
  <si>
    <t xml:space="preserve">CHECK ((desconto &gt;= (0)::numeric))</t>
  </si>
  <si>
    <t xml:space="preserve">desconto_motivo</t>
  </si>
  <si>
    <t xml:space="preserve">desconto_em</t>
  </si>
  <si>
    <t xml:space="preserve">conta_receita_id</t>
  </si>
  <si>
    <t xml:space="preserve">criterios</t>
  </si>
  <si>
    <t xml:space="preserve">ARRAY['Aderência à linha editorial'::text, 'Potencial de alcance'::text, 'Potencial de conversão'::text, 'Facilidade de produção'::text, 'Oportunidade e timing'::text]</t>
  </si>
  <si>
    <t xml:space="preserve">CHECK ((cardinality(criterios) = 5))</t>
  </si>
  <si>
    <t xml:space="preserve">CHECK ((canal = ANY (ARRAY['instagram'::text, 'linkedin'::text, 'youtube'::text, 'tiktok'::text, 'facebook'::text, 'x'::text, 'blog'::text, 'email'::text])))</t>
  </si>
  <si>
    <t xml:space="preserve">seguidores</t>
  </si>
  <si>
    <t xml:space="preserve">CHECK ((seguidores &gt;= 0))</t>
  </si>
  <si>
    <t xml:space="preserve">alcance</t>
  </si>
  <si>
    <t xml:space="preserve">CHECK ((alcance &gt;= 0))</t>
  </si>
  <si>
    <t xml:space="preserve">impressoes</t>
  </si>
  <si>
    <t xml:space="preserve">CHECK ((impressoes &gt;= 0))</t>
  </si>
  <si>
    <t xml:space="preserve">visitas_perfil</t>
  </si>
  <si>
    <t xml:space="preserve">CHECK ((visitas_perfil &gt;= 0))</t>
  </si>
  <si>
    <t xml:space="preserve">cliques_link</t>
  </si>
  <si>
    <t xml:space="preserve">CHECK ((cliques_link &gt;= 0))</t>
  </si>
  <si>
    <t xml:space="preserve">formato</t>
  </si>
  <si>
    <t xml:space="preserve">CHECK ((formato = ANY (ARRAY['video'::text, 'reels'::text, 'carrossel'::text, 'imagem'::text, 'story'::text, 'artigo'::text, 'newsletter'::text, 'live'::text])))</t>
  </si>
  <si>
    <t xml:space="preserve">quantidade</t>
  </si>
  <si>
    <t xml:space="preserve">CHECK ((quantidade &gt;= 0))</t>
  </si>
  <si>
    <t xml:space="preserve">conteudo_id</t>
  </si>
  <si>
    <t xml:space="preserve">conteudos.id</t>
  </si>
  <si>
    <t xml:space="preserve">data_publicacao</t>
  </si>
  <si>
    <t xml:space="preserve">url</t>
  </si>
  <si>
    <t xml:space="preserve">CHECK (((url IS NULL) OR (url ~* '^https?://'::text)))</t>
  </si>
  <si>
    <t xml:space="preserve">'agendada'::text</t>
  </si>
  <si>
    <t xml:space="preserve">CHECK ((status = ANY (ARRAY['agendada'::text, 'publicada'::text])))</t>
  </si>
  <si>
    <t xml:space="preserve">visualizacoes</t>
  </si>
  <si>
    <t xml:space="preserve">CHECK ((visualizacoes &gt;= 0))</t>
  </si>
  <si>
    <t xml:space="preserve">curtidas</t>
  </si>
  <si>
    <t xml:space="preserve">CHECK ((curtidas &gt;= 0))</t>
  </si>
  <si>
    <t xml:space="preserve">comentarios</t>
  </si>
  <si>
    <t xml:space="preserve">CHECK ((comentarios &gt;= 0))</t>
  </si>
  <si>
    <t xml:space="preserve">compartilhamentos</t>
  </si>
  <si>
    <t xml:space="preserve">CHECK ((compartilhamentos &gt;= 0))</t>
  </si>
  <si>
    <t xml:space="preserve">salvamentos</t>
  </si>
  <si>
    <t xml:space="preserve">CHECK ((salvamentos &gt;= 0))</t>
  </si>
  <si>
    <t xml:space="preserve">cliques</t>
  </si>
  <si>
    <t xml:space="preserve">CHECK ((cliques &gt;= 0))</t>
  </si>
  <si>
    <t xml:space="preserve">seguidores_ganhos</t>
  </si>
  <si>
    <t xml:space="preserve">metricas_em</t>
  </si>
  <si>
    <t xml:space="preserve">linha_id</t>
  </si>
  <si>
    <t xml:space="preserve">conteudo_linhas.id</t>
  </si>
  <si>
    <t xml:space="preserve">prioridade</t>
  </si>
  <si>
    <t xml:space="preserve">2</t>
  </si>
  <si>
    <t xml:space="preserve">CHECK (((prioridade &gt;= 1) AND (prioridade &lt;= 3)))</t>
  </si>
  <si>
    <t xml:space="preserve">cor</t>
  </si>
  <si>
    <t xml:space="preserve">'#0a6b5b'::text</t>
  </si>
  <si>
    <t xml:space="preserve">CHECK ((cor ~ '^#[0-9a-fA-F]{6}$'::text))</t>
  </si>
  <si>
    <t xml:space="preserve">tema_id</t>
  </si>
  <si>
    <t xml:space="preserve">conteudo_temas.id</t>
  </si>
  <si>
    <t xml:space="preserve">'carrossel'::text</t>
  </si>
  <si>
    <t xml:space="preserve">'{}'::text[]</t>
  </si>
  <si>
    <t xml:space="preserve">CHECK ((canais &lt;@ ARRAY['instagram'::text, 'linkedin'::text, 'youtube'::text, 'tiktok'::text, 'facebook'::text, 'x'::text, 'blog'::text, 'email'::text]))</t>
  </si>
  <si>
    <t xml:space="preserve">'ideia'::text</t>
  </si>
  <si>
    <t xml:space="preserve">CHECK ((status = ANY (ARRAY['ideia'::text, 'pauta'::text, 'producao'::text, 'pronto'::text, 'agendado'::text, 'publicado'::text, 'arquivado'::text])))</t>
  </si>
  <si>
    <t xml:space="preserve">CHECK ((origem = ANY (ARRAY['manual'::text, 'ia'::text, 'importada'::text])))</t>
  </si>
  <si>
    <t xml:space="preserve">fonte_url</t>
  </si>
  <si>
    <t xml:space="preserve">CHECK (((fonte_url IS NULL) OR (fonte_url ~* '^https?://'::text)))</t>
  </si>
  <si>
    <t xml:space="preserve">copy_url</t>
  </si>
  <si>
    <t xml:space="preserve">CHECK (((copy_url IS NULL) OR (copy_url ~* '^https?://'::text)))</t>
  </si>
  <si>
    <t xml:space="preserve">midia_url</t>
  </si>
  <si>
    <t xml:space="preserve">CHECK (((midia_url IS NULL) OR (midia_url ~* '^https?://'::text)))</t>
  </si>
  <si>
    <t xml:space="preserve">responsavel_id</t>
  </si>
  <si>
    <t xml:space="preserve">publicado_em</t>
  </si>
  <si>
    <t xml:space="preserve">ideia_n1</t>
  </si>
  <si>
    <t xml:space="preserve">CHECK (((ideia_n1 &gt;= 1) AND (ideia_n1 &lt;= 10)))</t>
  </si>
  <si>
    <t xml:space="preserve">ideia_n2</t>
  </si>
  <si>
    <t xml:space="preserve">CHECK (((ideia_n2 &gt;= 1) AND (ideia_n2 &lt;= 10)))</t>
  </si>
  <si>
    <t xml:space="preserve">ideia_n3</t>
  </si>
  <si>
    <t xml:space="preserve">CHECK (((ideia_n3 &gt;= 1) AND (ideia_n3 &lt;= 10)))</t>
  </si>
  <si>
    <t xml:space="preserve">ideia_n4</t>
  </si>
  <si>
    <t xml:space="preserve">CHECK (((ideia_n4 &gt;= 1) AND (ideia_n4 &lt;= 10)))</t>
  </si>
  <si>
    <t xml:space="preserve">ideia_n5</t>
  </si>
  <si>
    <t xml:space="preserve">CHECK (((ideia_n5 &gt;= 1) AND (ideia_n5 &lt;= 10)))</t>
  </si>
  <si>
    <t xml:space="preserve">pauta_n1</t>
  </si>
  <si>
    <t xml:space="preserve">CHECK (((pauta_n1 &gt;= 1) AND (pauta_n1 &lt;= 10)))</t>
  </si>
  <si>
    <t xml:space="preserve">pauta_n2</t>
  </si>
  <si>
    <t xml:space="preserve">CHECK (((pauta_n2 &gt;= 1) AND (pauta_n2 &lt;= 10)))</t>
  </si>
  <si>
    <t xml:space="preserve">pauta_n3</t>
  </si>
  <si>
    <t xml:space="preserve">CHECK (((pauta_n3 &gt;= 1) AND (pauta_n3 &lt;= 10)))</t>
  </si>
  <si>
    <t xml:space="preserve">pauta_n4</t>
  </si>
  <si>
    <t xml:space="preserve">CHECK (((pauta_n4 &gt;= 1) AND (pauta_n4 &lt;= 10)))</t>
  </si>
  <si>
    <t xml:space="preserve">pauta_n5</t>
  </si>
  <si>
    <t xml:space="preserve">CHECK (((pauta_n5 &gt;= 1) AND (pauta_n5 &lt;= 10)))</t>
  </si>
  <si>
    <t xml:space="preserve">ideia_media</t>
  </si>
  <si>
    <t xml:space="preserve">numeric(3,1)</t>
  </si>
  <si>
    <t xml:space="preserve">calculada:  CASE WHEN ((ideia_n1 IS NOT NULL) AND (ideia_n2 IS NOT NULL) AND (ideia_n3 IS NOT NULL) AND (ideia_n4 IS NOT NULL) AND (ideia_n5 IS NOT NULL)) THEN round(((((((ideia_n1 + ideia_n2) + ideia_n3) + ideia_n4) + ideia_n5))::numeric / 5.0), 1) ELSE NULL::numeric END</t>
  </si>
  <si>
    <t xml:space="preserve">pauta_media</t>
  </si>
  <si>
    <t xml:space="preserve">calculada:  CASE WHEN ((pauta_n1 IS NOT NULL) AND (pauta_n2 IS NOT NULL) AND (pauta_n3 IS NOT NULL) AND (pauta_n4 IS NOT NULL) AND (pauta_n5 IS NOT NULL)) THEN round(((((((pauta_n1 + pauta_n2) + pauta_n3) + pauta_n4) + pauta_n5))::numeric / 5.0), 1) ELSE NULL::numeric END</t>
  </si>
  <si>
    <t xml:space="preserve">numeric(10,2)</t>
  </si>
  <si>
    <t xml:space="preserve">CHECK ((quantidade &gt; (0)::numeric))</t>
  </si>
  <si>
    <t xml:space="preserve">numero</t>
  </si>
  <si>
    <t xml:space="preserve">CHECK ((numero &gt;= 1))</t>
  </si>
  <si>
    <t xml:space="preserve">'rascunho'::text</t>
  </si>
  <si>
    <t xml:space="preserve">CHECK ((status = ANY (ARRAY['rascunho'::text, 'ativo'::text, 'encerrado'::text, 'cancelado'::text])))</t>
  </si>
  <si>
    <t xml:space="preserve">recorrente</t>
  </si>
  <si>
    <t xml:space="preserve">periodicidade</t>
  </si>
  <si>
    <t xml:space="preserve">CHECK ((periodicidade = ANY (ARRAY['mensal'::text, 'trimestral'::text, 'semestral'::text, 'anual'::text])))</t>
  </si>
  <si>
    <t xml:space="preserve">num_parcelas</t>
  </si>
  <si>
    <t xml:space="preserve">CHECK (((num_parcelas &gt;= 1) AND (num_parcelas &lt;= 120)))</t>
  </si>
  <si>
    <t xml:space="preserve">primeiro_vencimento</t>
  </si>
  <si>
    <t xml:space="preserve">forma_pagamento</t>
  </si>
  <si>
    <t xml:space="preserve">acessos</t>
  </si>
  <si>
    <t xml:space="preserve">ativado_em</t>
  </si>
  <si>
    <t xml:space="preserve">cancelado_em</t>
  </si>
  <si>
    <t xml:space="preserve">vendedor_id</t>
  </si>
  <si>
    <t xml:space="preserve">'outros'::text</t>
  </si>
  <si>
    <t xml:space="preserve">CHECK ((grupo = ANY (ARRAY['midia'::text, 'comissao'::text, 'equipe'::text, 'ferramentas'::text, 'outros'::text])))</t>
  </si>
  <si>
    <t xml:space="preserve">user_id</t>
  </si>
  <si>
    <t xml:space="preserve">layout</t>
  </si>
  <si>
    <t xml:space="preserve">CHECK ((tipo = ANY (ARRAY['fixa'::text, 'variavel'::text, 'parcelada'::text])))</t>
  </si>
  <si>
    <t xml:space="preserve">parcelas</t>
  </si>
  <si>
    <t xml:space="preserve">CHECK (((parcelas IS NULL) OR ((parcelas &gt;= 2) AND (parcelas &lt;= 120))))</t>
  </si>
  <si>
    <t xml:space="preserve">do_fornecedor</t>
  </si>
  <si>
    <t xml:space="preserve">razao_social</t>
  </si>
  <si>
    <t xml:space="preserve">cnpj</t>
  </si>
  <si>
    <t xml:space="preserve">telefone</t>
  </si>
  <si>
    <t xml:space="preserve">email_contato</t>
  </si>
  <si>
    <t xml:space="preserve">endereco</t>
  </si>
  <si>
    <t xml:space="preserve">responsavel_nome</t>
  </si>
  <si>
    <t xml:space="preserve">responsavel_email</t>
  </si>
  <si>
    <t xml:space="preserve">responsavel_telefone</t>
  </si>
  <si>
    <t xml:space="preserve">financeiro_nome</t>
  </si>
  <si>
    <t xml:space="preserve">financeiro_email</t>
  </si>
  <si>
    <t xml:space="preserve">financeiro_telefone</t>
  </si>
  <si>
    <t xml:space="preserve">regime_tributario</t>
  </si>
  <si>
    <t xml:space="preserve">CHECK ((regime_tributario = ANY (ARRAY['mei'::text, 'simples_nacional'::text, 'lucro_presumido'::text, 'lucro_real'::text, 'outro'::text])))</t>
  </si>
  <si>
    <t xml:space="preserve">regime_apuracao</t>
  </si>
  <si>
    <t xml:space="preserve">CHECK ((regime_apuracao = ANY (ARRAY['competencia'::text, 'caixa'::text])))</t>
  </si>
  <si>
    <t xml:space="preserve">exercicio_inicio</t>
  </si>
  <si>
    <t xml:space="preserve">exercicio_fim</t>
  </si>
  <si>
    <t xml:space="preserve">periodicidade_fechamento</t>
  </si>
  <si>
    <t xml:space="preserve">CHECK ((periodicidade_fechamento = ANY (ARRAY['mensal'::text, 'trimestral'::text, 'anual'::text])))</t>
  </si>
  <si>
    <t xml:space="preserve">atualizado_por</t>
  </si>
  <si>
    <t xml:space="preserve">anexo_simples</t>
  </si>
  <si>
    <t xml:space="preserve">CHECK (((anexo_simples IS NULL) OR (anexo_simples = ANY (ARRAY['auto'::text, 'III'::text, 'V'::text]))))</t>
  </si>
  <si>
    <t xml:space="preserve">aliquota_manual</t>
  </si>
  <si>
    <t xml:space="preserve">numeric(6,2)</t>
  </si>
  <si>
    <t xml:space="preserve">CHECK (((aliquota_manual IS NULL) OR ((aliquota_manual &gt;= (0)::numeric) AND (aliquota_manual &lt;= (100)::numeric))))</t>
  </si>
  <si>
    <t xml:space="preserve">taxas_variaveis_pct</t>
  </si>
  <si>
    <t xml:space="preserve">CHECK (((taxas_variaveis_pct IS NULL) OR ((taxas_variaveis_pct &gt;= (0)::numeric) AND (taxas_variaveis_pct &lt;= (100)::numeric))))</t>
  </si>
  <si>
    <t xml:space="preserve">email</t>
  </si>
  <si>
    <t xml:space="preserve">funcao</t>
  </si>
  <si>
    <t xml:space="preserve">avisar_app</t>
  </si>
  <si>
    <t xml:space="preserve">avisar_email</t>
  </si>
  <si>
    <t xml:space="preserve">avisar_whatsapp</t>
  </si>
  <si>
    <t xml:space="preserve">funcao_id</t>
  </si>
  <si>
    <t xml:space="preserve">funcoes.id</t>
  </si>
  <si>
    <t xml:space="preserve">acesso_ativo</t>
  </si>
  <si>
    <t xml:space="preserve">users.id</t>
  </si>
  <si>
    <t xml:space="preserve">permissoes_ind</t>
  </si>
  <si>
    <t xml:space="preserve">acoes_ind</t>
  </si>
  <si>
    <t xml:space="preserve">CHECK ((tipo = ANY (ARRAY['cancelamento'::text, 'reembolso'::text, 'chargeback'::text])))</t>
  </si>
  <si>
    <t xml:space="preserve">lancamento_id</t>
  </si>
  <si>
    <t xml:space="preserve">lancamentos.id</t>
  </si>
  <si>
    <t xml:space="preserve">estrategia_blocos.id</t>
  </si>
  <si>
    <t xml:space="preserve">quadro</t>
  </si>
  <si>
    <t xml:space="preserve">CHECK ((quadro = ANY (ARRAY['leads'::text, 'alunos'::text, 'oportunidades'::text])))</t>
  </si>
  <si>
    <t xml:space="preserve">mensagem_padrao</t>
  </si>
  <si>
    <t xml:space="preserve">alertar_responsavel</t>
  </si>
  <si>
    <t xml:space="preserve">experimento_id</t>
  </si>
  <si>
    <t xml:space="preserve">growth_experimentos.id</t>
  </si>
  <si>
    <t xml:space="preserve">guardrail_id</t>
  </si>
  <si>
    <t xml:space="preserve">guardrail_definicoes.id</t>
  </si>
  <si>
    <t xml:space="preserve">CHECK ((tipo = ANY (ARRAY['webinario'::text, 'vsl'::text, 'aula'::text])))</t>
  </si>
  <si>
    <t xml:space="preserve">plataforma</t>
  </si>
  <si>
    <t xml:space="preserve">'outro'::text</t>
  </si>
  <si>
    <t xml:space="preserve">CHECK ((plataforma = ANY (ARRAY['youtube'::text, 'vimeo'::text, 'vturb'::text, 'panda'::text, 'wistia'::text, 'zoom'::text, 'meet'::text, 'outro'::text])))</t>
  </si>
  <si>
    <t xml:space="preserve">data_evento</t>
  </si>
  <si>
    <t xml:space="preserve">CHECK ((tipo = ANY (ARRAY['pix'::text, 'boleto'::text, 'cartao'::text, 'debito_automatico'::text, 'transferencia'::text, 'dinheiro'::text, 'outro'::text])))</t>
  </si>
  <si>
    <t xml:space="preserve">titular_terceiro</t>
  </si>
  <si>
    <t xml:space="preserve">documento</t>
  </si>
  <si>
    <t xml:space="preserve">categoria</t>
  </si>
  <si>
    <t xml:space="preserve">tipo_custo</t>
  </si>
  <si>
    <t xml:space="preserve">CHECK ((tipo_custo = ANY (ARRAY['fixo'::text, 'variavel'::text])))</t>
  </si>
  <si>
    <t xml:space="preserve">valor_padrao</t>
  </si>
  <si>
    <t xml:space="preserve">CHECK (((valor_padrao IS NULL) OR (valor_padrao &gt; (0)::numeric)))</t>
  </si>
  <si>
    <t xml:space="preserve">smallint</t>
  </si>
  <si>
    <t xml:space="preserve">provisionar</t>
  </si>
  <si>
    <t xml:space="preserve">recorrencia</t>
  </si>
  <si>
    <t xml:space="preserve">CHECK (((recorrencia IS NULL) OR (recorrencia = ANY (ARRAY['fixa'::text, 'variavel'::text, 'parcelada'::text]))))</t>
  </si>
  <si>
    <t xml:space="preserve">contrato_url</t>
  </si>
  <si>
    <t xml:space="preserve">administrador</t>
  </si>
  <si>
    <t xml:space="preserve">permissoes</t>
  </si>
  <si>
    <t xml:space="preserve">acoes</t>
  </si>
  <si>
    <t xml:space="preserve">'meio'::text</t>
  </si>
  <si>
    <t xml:space="preserve">CHECK ((tipo = ANY (ARRAY['entrada'::text, 'meio'::text, 'compra'::text])))</t>
  </si>
  <si>
    <t xml:space="preserve">CHECK ((tipo = ANY (ARRAY['grupo'::text, 'api'::text, 'outro'::text])))</t>
  </si>
  <si>
    <t xml:space="preserve">lista_pai_id</t>
  </si>
  <si>
    <t xml:space="preserve">funil_listas.id</t>
  </si>
  <si>
    <t xml:space="preserve">reinicia_jornada</t>
  </si>
  <si>
    <t xml:space="preserve">etapa_ao_entrar_id</t>
  </si>
  <si>
    <t xml:space="preserve">funil_etapas.id</t>
  </si>
  <si>
    <t xml:space="preserve">'captacao'::text</t>
  </si>
  <si>
    <t xml:space="preserve">CHECK ((tipo = ANY (ARRAY['captacao'::text, 'lancamento'::text, 'perpetuo'::text, 'assinatura'::text, 'webinario'::text, 'disparo'::text, 'recompra'::text, 'comercial'::text, 'outro'::text])))</t>
  </si>
  <si>
    <t xml:space="preserve">modelo_pronto</t>
  </si>
  <si>
    <t xml:space="preserve">CHECK (((modelo_pronto IS NULL) OR (char_length(modelo_pronto) &lt;= 40)))</t>
  </si>
  <si>
    <t xml:space="preserve">loop_chave</t>
  </si>
  <si>
    <t xml:space="preserve">alavanca</t>
  </si>
  <si>
    <t xml:space="preserve">cenario</t>
  </si>
  <si>
    <t xml:space="preserve">CHECK (((cenario = 'base'::text) OR (cenario ~ '^[0-9a-f]{8}-[0-9a-f]{4}-[0-9a-f]{4}-[0-9a-f]{4}-[0-9a-f]{12}$'::text)))</t>
  </si>
  <si>
    <t xml:space="preserve">hipotese</t>
  </si>
  <si>
    <t xml:space="preserve">autor</t>
  </si>
  <si>
    <t xml:space="preserve">CHECK ((jsonb_typeof(escopo) = 'object'::text))</t>
  </si>
  <si>
    <t xml:space="preserve">CHECK ((status = ANY (ARRAY['rascunho'::text, 'aprovado'::text, 'arquivado'::text])))</t>
  </si>
  <si>
    <t xml:space="preserve">gm_cenarios.id</t>
  </si>
  <si>
    <t xml:space="preserve">baseline</t>
  </si>
  <si>
    <t xml:space="preserve">resultados</t>
  </si>
  <si>
    <t xml:space="preserve">financeiro</t>
  </si>
  <si>
    <t xml:space="preserve">CHECK ((jsonb_typeof(financeiro) = 'object'::text))</t>
  </si>
  <si>
    <t xml:space="preserve">ue</t>
  </si>
  <si>
    <t xml:space="preserve">impacto</t>
  </si>
  <si>
    <t xml:space="preserve">CHECK (((impacto IS NULL) OR ((impacto &gt;= 1) AND (impacto &lt;= 10))))</t>
  </si>
  <si>
    <t xml:space="preserve">confianca</t>
  </si>
  <si>
    <t xml:space="preserve">CHECK (((confianca IS NULL) OR ((confianca &gt;= 1) AND (confianca &lt;= 10))))</t>
  </si>
  <si>
    <t xml:space="preserve">facilidade</t>
  </si>
  <si>
    <t xml:space="preserve">CHECK (((facilidade IS NULL) OR ((facilidade &gt;= 1) AND (facilidade &lt;= 10))))</t>
  </si>
  <si>
    <t xml:space="preserve">ice_justificativa</t>
  </si>
  <si>
    <t xml:space="preserve">aprovado_em</t>
  </si>
  <si>
    <t xml:space="preserve">aprovado_por</t>
  </si>
  <si>
    <t xml:space="preserve">descarte</t>
  </si>
  <si>
    <t xml:space="preserve">CHECK (((descarte IS NULL) OR (jsonb_typeof(descarte) = 'object'::text)))</t>
  </si>
  <si>
    <t xml:space="preserve">inicio</t>
  </si>
  <si>
    <t xml:space="preserve">meses</t>
  </si>
  <si>
    <t xml:space="preserve">12</t>
  </si>
  <si>
    <t xml:space="preserve">CHECK (((meses &gt;= 1) AND (meses &lt;= 36)))</t>
  </si>
  <si>
    <t xml:space="preserve">cenario_id</t>
  </si>
  <si>
    <t xml:space="preserve">CHECK ((jsonb_typeof(documento) = 'object'::text))</t>
  </si>
  <si>
    <t xml:space="preserve">aprovado_por_email</t>
  </si>
  <si>
    <t xml:space="preserve">gm_funis.id</t>
  </si>
  <si>
    <t xml:space="preserve">CHECK ((unidade = ANY (ARRAY['brl'::text, 'numero'::text, 'pct'::text])))</t>
  </si>
  <si>
    <t xml:space="preserve">op</t>
  </si>
  <si>
    <t xml:space="preserve">'input'::text</t>
  </si>
  <si>
    <t xml:space="preserve">CHECK ((op = ANY (ARRAY['input'::text, 'mult'::text, 'div'::text, 'div_mil'::text, 'soma'::text, 'coorte'::text])))</t>
  </si>
  <si>
    <t xml:space="preserve">ref_id</t>
  </si>
  <si>
    <t xml:space="preserve">gm_etapas.id</t>
  </si>
  <si>
    <t xml:space="preserve">ref2_id</t>
  </si>
  <si>
    <t xml:space="preserve">refs</t>
  </si>
  <si>
    <t xml:space="preserve">_uuid</t>
  </si>
  <si>
    <t xml:space="preserve">'{}'::uuid[]</t>
  </si>
  <si>
    <t xml:space="preserve">curva</t>
  </si>
  <si>
    <t xml:space="preserve">_numeric</t>
  </si>
  <si>
    <t xml:space="preserve">'{}'::numeric[]</t>
  </si>
  <si>
    <t xml:space="preserve">carrega</t>
  </si>
  <si>
    <t xml:space="preserve">CHECK ((papel = ANY (ARRAY['investimento'::text, 'clientes_novos'::text, 'renovados'::text, 'receita'::text])))</t>
  </si>
  <si>
    <t xml:space="preserve">chave_auto</t>
  </si>
  <si>
    <t xml:space="preserve">CHECK ((chave_auto = ANY (ARRAY['investimento'::text, 'leads'::text, 'vendas'::text, 'receita'::text])))</t>
  </si>
  <si>
    <t xml:space="preserve">CHECK ((fase = ANY (ARRAY['aquisicao'::text, 'retencao'::text])))</t>
  </si>
  <si>
    <t xml:space="preserve">'Modelo atual'::text</t>
  </si>
  <si>
    <t xml:space="preserve">CHECK ((char_length(nome) &lt;= 120))</t>
  </si>
  <si>
    <t xml:space="preserve">dados</t>
  </si>
  <si>
    <t xml:space="preserve">etapa_id</t>
  </si>
  <si>
    <t xml:space="preserve">CHECK ((cenario = ANY (ARRAY['base'::text, 'sim'::text])))</t>
  </si>
  <si>
    <t xml:space="preserve">metrica_id</t>
  </si>
  <si>
    <t xml:space="preserve">growth_metricas.id</t>
  </si>
  <si>
    <t xml:space="preserve">criterio_sucesso</t>
  </si>
  <si>
    <t xml:space="preserve">etapa</t>
  </si>
  <si>
    <t xml:space="preserve">CHECK ((etapa = ANY (ARRAY['ideia'::text, 'avaliacao'::text, 'priorizado'::text, 'preparacao'::text, 'rodando'::text, 'analise'::text, 'concluido'::text, 'arquivado'::text])))</t>
  </si>
  <si>
    <t xml:space="preserve">CHECK (((impacto &gt;= 1) AND (impacto &lt;= 10)))</t>
  </si>
  <si>
    <t xml:space="preserve">CHECK (((confianca &gt;= 1) AND (confianca &lt;= 10)))</t>
  </si>
  <si>
    <t xml:space="preserve">CHECK (((facilidade &gt;= 1) AND (facilidade &lt;= 10)))</t>
  </si>
  <si>
    <t xml:space="preserve">score</t>
  </si>
  <si>
    <t xml:space="preserve">numeric(4,1)</t>
  </si>
  <si>
    <t xml:space="preserve">calculada: round(((((impacto + confianca) + facilidade))::numeric / 3.0), 1)</t>
  </si>
  <si>
    <t xml:space="preserve">fim_previsto</t>
  </si>
  <si>
    <t xml:space="preserve">valor_base</t>
  </si>
  <si>
    <t xml:space="preserve">valor_resultado</t>
  </si>
  <si>
    <t xml:space="preserve">CHECK ((resultado = ANY (ARRAY['venceu'::text, 'perdeu'::text, 'inconclusivo'::text])))</t>
  </si>
  <si>
    <t xml:space="preserve">decisao</t>
  </si>
  <si>
    <t xml:space="preserve">CHECK ((decisao = ANY (ARRAY['escalar'::text, 'repetir'::text, 'descartar'::text])))</t>
  </si>
  <si>
    <t xml:space="preserve">aprendizado</t>
  </si>
  <si>
    <t xml:space="preserve">concluido_em</t>
  </si>
  <si>
    <t xml:space="preserve">pesquisa_id</t>
  </si>
  <si>
    <t xml:space="preserve">pesquisas.id</t>
  </si>
  <si>
    <t xml:space="preserve">insight</t>
  </si>
  <si>
    <t xml:space="preserve">decisao_id</t>
  </si>
  <si>
    <t xml:space="preserve">gm_decisoes.id</t>
  </si>
  <si>
    <t xml:space="preserve">'experimento'::text</t>
  </si>
  <si>
    <t xml:space="preserve">CHECK ((tipo = ANY (ARRAY['experimento'::text, 'planejamento'::text])))</t>
  </si>
  <si>
    <t xml:space="preserve">projeto_id</t>
  </si>
  <si>
    <t xml:space="preserve">projetos.id</t>
  </si>
  <si>
    <t xml:space="preserve">publico</t>
  </si>
  <si>
    <t xml:space="preserve">intervencao</t>
  </si>
  <si>
    <t xml:space="preserve">instrumentacao</t>
  </si>
  <si>
    <t xml:space="preserve">custo_previsto</t>
  </si>
  <si>
    <t xml:space="preserve">CHECK (((custo_previsto IS NULL) OR (custo_previsto &gt;= (0)::numeric)))</t>
  </si>
  <si>
    <t xml:space="preserve">metrica_alvo</t>
  </si>
  <si>
    <t xml:space="preserve">link_doc</t>
  </si>
  <si>
    <t xml:space="preserve">CHECK (((link_doc IS NULL) OR (link_doc ~* '^https?://'::text)))</t>
  </si>
  <si>
    <t xml:space="preserve">formula</t>
  </si>
  <si>
    <t xml:space="preserve">'driver'::text</t>
  </si>
  <si>
    <t xml:space="preserve">CHECK ((tipo = ANY (ARRAY['north_star'::text, 'driver'::text, 'input'::text])))</t>
  </si>
  <si>
    <t xml:space="preserve">CHECK ((fonte = ANY (ARRAY['manual'::text, 'auto'::text])))</t>
  </si>
  <si>
    <t xml:space="preserve">CHECK ((chave_auto = ANY (ARRAY['investimento'::text, 'leads'::text, 'cpl'::text, 'vendas'::text, 'receita'::text, 'ticket'::text, 'cac'::text, 'roas'::text, 'conv'::text, 'clientes_ativos'::text])))</t>
  </si>
  <si>
    <t xml:space="preserve">CHECK ((unidade = ANY (ARRAY['numero'::text, 'brl'::text, 'pct'::text, 'x'::text])))</t>
  </si>
  <si>
    <t xml:space="preserve">direcao</t>
  </si>
  <si>
    <t xml:space="preserve">'sobe'::text</t>
  </si>
  <si>
    <t xml:space="preserve">CHECK ((direcao = ANY (ARRAY['sobe'::text, 'desce'::text])))</t>
  </si>
  <si>
    <t xml:space="preserve">meta</t>
  </si>
  <si>
    <t xml:space="preserve">valor_manual</t>
  </si>
  <si>
    <t xml:space="preserve">valor_manual_anterior</t>
  </si>
  <si>
    <t xml:space="preserve">nsm_evento</t>
  </si>
  <si>
    <t xml:space="preserve">nsm_populacao</t>
  </si>
  <si>
    <t xml:space="preserve">nsm_frequencia</t>
  </si>
  <si>
    <t xml:space="preserve">nsm_fonte</t>
  </si>
  <si>
    <t xml:space="preserve">limite</t>
  </si>
  <si>
    <t xml:space="preserve">severidade</t>
  </si>
  <si>
    <t xml:space="preserve">CHECK ((severidade = ANY (ARRAY['atencao'::text, 'critico'::text])))</t>
  </si>
  <si>
    <t xml:space="preserve">mensagem</t>
  </si>
  <si>
    <t xml:space="preserve">acao_sugerida</t>
  </si>
  <si>
    <t xml:space="preserve">'aberto'::text</t>
  </si>
  <si>
    <t xml:space="preserve">CHECK ((status = ANY (ARRAY['aberto'::text, 'reconhecido'::text, 'resolvido'::text])))</t>
  </si>
  <si>
    <t xml:space="preserve">nota</t>
  </si>
  <si>
    <t xml:space="preserve">resolvido_em</t>
  </si>
  <si>
    <t xml:space="preserve">CHECK ((metrica = ANY (ARRAY['margem'::text, 'lucro'::text, 'roas'::text, 'cac_midia'::text, 'cpl'::text, 'midia'::text, 'receita'::text, 'vendas'::text, 'leads'::text, 'conv'::text, 'ticket'::text])))</t>
  </si>
  <si>
    <t xml:space="preserve">operador</t>
  </si>
  <si>
    <t xml:space="preserve">CHECK ((operador = ANY (ARRAY['min'::text, 'max'::text])))</t>
  </si>
  <si>
    <t xml:space="preserve">'atencao'::text</t>
  </si>
  <si>
    <t xml:space="preserve">'negocio'::text</t>
  </si>
  <si>
    <t xml:space="preserve">CHECK ((escopo = ANY (ARRAY['negocio'::text, 'recorte'::text])))</t>
  </si>
  <si>
    <t xml:space="preserve">janela_dias</t>
  </si>
  <si>
    <t xml:space="preserve">14</t>
  </si>
  <si>
    <t xml:space="preserve">CHECK (((janela_dias &gt;= 1) AND (janela_dias &lt;= 180)))</t>
  </si>
  <si>
    <t xml:space="preserve">frequencia</t>
  </si>
  <si>
    <t xml:space="preserve">'semanal'::text</t>
  </si>
  <si>
    <t xml:space="preserve">CHECK ((frequencia = ANY (ARRAY['diaria'::text, 'semanal'::text])))</t>
  </si>
  <si>
    <t xml:space="preserve">continuo</t>
  </si>
  <si>
    <t xml:space="preserve">periodo</t>
  </si>
  <si>
    <t xml:space="preserve">CHECK ((periodo = ANY (ARRAY['antes'::text, 'durante'::text, 'depois'::text, 'continuo'::text])))</t>
  </si>
  <si>
    <t xml:space="preserve">janela_ini</t>
  </si>
  <si>
    <t xml:space="preserve">janela_fim</t>
  </si>
  <si>
    <t xml:space="preserve">situacao</t>
  </si>
  <si>
    <t xml:space="preserve">CHECK ((situacao = ANY (ARRAY['ok'::text, 'atencao'::text, 'violado'::text, 'sem_dado'::text])))</t>
  </si>
  <si>
    <t xml:space="preserve">churn_max</t>
  </si>
  <si>
    <t xml:space="preserve">6</t>
  </si>
  <si>
    <t xml:space="preserve">CHECK ((churn_max &gt;= (0)::numeric))</t>
  </si>
  <si>
    <t xml:space="preserve">retencao_min</t>
  </si>
  <si>
    <t xml:space="preserve">85</t>
  </si>
  <si>
    <t xml:space="preserve">CHECK (((retencao_min &gt;= (0)::numeric) AND (retencao_min &lt;= (100)::numeric)))</t>
  </si>
  <si>
    <t xml:space="preserve">ltv_min</t>
  </si>
  <si>
    <t xml:space="preserve">600</t>
  </si>
  <si>
    <t xml:space="preserve">CHECK ((ltv_min &gt;= (0)::numeric))</t>
  </si>
  <si>
    <t xml:space="preserve">ascensao_min</t>
  </si>
  <si>
    <t xml:space="preserve">15</t>
  </si>
  <si>
    <t xml:space="preserve">CHECK (((ascensao_min &gt;= (0)::numeric) AND (ascensao_min &lt;= (100)::numeric)))</t>
  </si>
  <si>
    <t xml:space="preserve">tolerancia</t>
  </si>
  <si>
    <t xml:space="preserve">CHECK (((tolerancia &gt;= (0)::numeric) AND (tolerancia &lt;= (100)::numeric)))</t>
  </si>
  <si>
    <t xml:space="preserve">pergunta</t>
  </si>
  <si>
    <t xml:space="preserve">CHECK ((char_length(pergunta) &lt;= 600))</t>
  </si>
  <si>
    <t xml:space="preserve">resposta</t>
  </si>
  <si>
    <t xml:space="preserve">provedor</t>
  </si>
  <si>
    <t xml:space="preserve">sem_dado</t>
  </si>
  <si>
    <t xml:space="preserve">nao_conferidos</t>
  </si>
  <si>
    <t xml:space="preserve">'[]'::jsonb</t>
  </si>
  <si>
    <t xml:space="preserve">CHECK ((tipo = ANY (ARRAY['trafego'::text, 'video_metricas'::text, 'video_presenca'::text])))</t>
  </si>
  <si>
    <t xml:space="preserve">escopo_id</t>
  </si>
  <si>
    <t xml:space="preserve">CHECK ((motivo = ANY (ARRAY['primeira_carga'::text, 'recuperacao_falha'::text])))</t>
  </si>
  <si>
    <t xml:space="preserve">justificativa</t>
  </si>
  <si>
    <t xml:space="preserve">arquivo_nome</t>
  </si>
  <si>
    <t xml:space="preserve">arquivo_hash</t>
  </si>
  <si>
    <t xml:space="preserve">linhas</t>
  </si>
  <si>
    <t xml:space="preserve">totais</t>
  </si>
  <si>
    <t xml:space="preserve">'aplicada'::text</t>
  </si>
  <si>
    <t xml:space="preserve">CHECK ((status = ANY (ARRAY['aplicada'::text, 'revertida'::text])))</t>
  </si>
  <si>
    <t xml:space="preserve">revertida_em</t>
  </si>
  <si>
    <t xml:space="preserve">revertida_por</t>
  </si>
  <si>
    <t xml:space="preserve">motivo_reversao</t>
  </si>
  <si>
    <t xml:space="preserve">aliquota_percentual</t>
  </si>
  <si>
    <t xml:space="preserve">CHECK ((aliquota_percentual &gt;= (0)::numeric))</t>
  </si>
  <si>
    <t xml:space="preserve">base</t>
  </si>
  <si>
    <t xml:space="preserve">'valor_bruto'::text</t>
  </si>
  <si>
    <t xml:space="preserve">CHECK ((base = ANY (ARRAY['valor_bruto'::text, 'valor_liquido'::text])))</t>
  </si>
  <si>
    <t xml:space="preserve">CHECK ((categoria = ANY (ARRAY['anuncios'::text, 'video'::text, 'vendas'::text, 'mensageria'::text, 'social'::text, 'ia'::text, 'outro'::text])))</t>
  </si>
  <si>
    <t xml:space="preserve">'configurando'::text</t>
  </si>
  <si>
    <t xml:space="preserve">CHECK ((status = ANY (ARRAY['configurando'::text, 'conectado'::text, 'erro'::text, 'desconectado'::text])))</t>
  </si>
  <si>
    <t xml:space="preserve">conta_externa</t>
  </si>
  <si>
    <t xml:space="preserve">ultima_sincronizacao</t>
  </si>
  <si>
    <t xml:space="preserve">data_fato</t>
  </si>
  <si>
    <t xml:space="preserve">origem_tipo</t>
  </si>
  <si>
    <t xml:space="preserve">CHECK ((origem_tipo = ANY (ARRAY['venda'::text, 'recebimento'::text, 'estorno'::text, 'manual'::text, 'conta_pagar'::text, 'pagamento'::text, 'cancelamento_pagar'::text, 'contrato_parcela'::text, 'cancelamento_contrato'::text, 'desconto'::text, 'fatura_cartao'::text, 'transferencia_casa'::text])))</t>
  </si>
  <si>
    <t xml:space="preserve">origem_id</t>
  </si>
  <si>
    <t xml:space="preserve">estorno_de</t>
  </si>
  <si>
    <t xml:space="preserve">custo</t>
  </si>
  <si>
    <t xml:space="preserve">CHECK ((custo &gt;= (0)::numeric))</t>
  </si>
  <si>
    <t xml:space="preserve">visualizacoes_pagina</t>
  </si>
  <si>
    <t xml:space="preserve">CHECK ((visualizacoes_pagina &gt;= 0))</t>
  </si>
  <si>
    <t xml:space="preserve">'integracao'::text</t>
  </si>
  <si>
    <t xml:space="preserve">CHECK ((origem = ANY (ARRAY['integracao'::text, 'importacao'::text, 'legado'::text])))</t>
  </si>
  <si>
    <t xml:space="preserve">importacao_id</t>
  </si>
  <si>
    <t xml:space="preserve">importacoes.id</t>
  </si>
  <si>
    <t xml:space="preserve">CHECK ((tipo = ANY (ARRAY['ganho'::text, 'perdido'::text])))</t>
  </si>
  <si>
    <t xml:space="preserve">CHECK ((tipo = ANY (ARRAY['entrada'::text, 'saida'::text])))</t>
  </si>
  <si>
    <t xml:space="preserve">destinatario_id</t>
  </si>
  <si>
    <t xml:space="preserve">atividade_id</t>
  </si>
  <si>
    <t xml:space="preserve">projeto_atividades.id</t>
  </si>
  <si>
    <t xml:space="preserve">'atividade_liberada'::text</t>
  </si>
  <si>
    <t xml:space="preserve">CHECK ((canal = ANY (ARRAY['app'::text, 'email'::text, 'whatsapp'::text])))</t>
  </si>
  <si>
    <t xml:space="preserve">'pendente'::text</t>
  </si>
  <si>
    <t xml:space="preserve">CHECK ((status = ANY (ARRAY['pendente'::text, 'enviada'::text, 'falhou'::text])))</t>
  </si>
  <si>
    <t xml:space="preserve">erro</t>
  </si>
  <si>
    <t xml:space="preserve">criada_em</t>
  </si>
  <si>
    <t xml:space="preserve">enviada_em</t>
  </si>
  <si>
    <t xml:space="preserve">lida_em</t>
  </si>
  <si>
    <t xml:space="preserve">alocacao_pct</t>
  </si>
  <si>
    <t xml:space="preserve">100</t>
  </si>
  <si>
    <t xml:space="preserve">CHECK (((alocacao_pct &gt;= (0)::numeric) AND (alocacao_pct &lt;= (100)::numeric)))</t>
  </si>
  <si>
    <t xml:space="preserve">condicoes</t>
  </si>
  <si>
    <t xml:space="preserve">parcelas_max</t>
  </si>
  <si>
    <t xml:space="preserve">itens</t>
  </si>
  <si>
    <t xml:space="preserve">CHECK (((parcelas_max IS NULL) OR ((parcelas_max &gt;= 1) AND (parcelas_max &lt;= 36))))</t>
  </si>
  <si>
    <t xml:space="preserve">vigencia_ini</t>
  </si>
  <si>
    <t xml:space="preserve">vigencia_fim</t>
  </si>
  <si>
    <t xml:space="preserve">'ativa'::text</t>
  </si>
  <si>
    <t xml:space="preserve">CHECK ((status = ANY (ARRAY['rascunho'::text, 'ativa'::text, 'pausada'::text, 'encerrada'::text])))</t>
  </si>
  <si>
    <t xml:space="preserve">'nova_venda'::text</t>
  </si>
  <si>
    <t xml:space="preserve">CHECK ((tipo = ANY (ARRAY['nova_venda'::text, 'renovacao'::text, 'ajuste'::text])))</t>
  </si>
  <si>
    <t xml:space="preserve">contrato_origem_id</t>
  </si>
  <si>
    <t xml:space="preserve">valor_estimado</t>
  </si>
  <si>
    <t xml:space="preserve">CHECK (((valor_estimado IS NULL) OR (valor_estimado &gt;= (0)::numeric)))</t>
  </si>
  <si>
    <t xml:space="preserve">previsao_fechamento</t>
  </si>
  <si>
    <t xml:space="preserve">'aberta'::text</t>
  </si>
  <si>
    <t xml:space="preserve">CHECK ((status = ANY (ARRAY['aberta'::text, 'ganha'::text, 'perdida'::text])))</t>
  </si>
  <si>
    <t xml:space="preserve">telas</t>
  </si>
  <si>
    <t xml:space="preserve">periodo_inicio</t>
  </si>
  <si>
    <t xml:space="preserve">conta_id</t>
  </si>
  <si>
    <t xml:space="preserve">CHECK ((tipo = ANY (ARRAY['D'::text, 'C'::text])))</t>
  </si>
  <si>
    <t xml:space="preserve">token</t>
  </si>
  <si>
    <t xml:space="preserve">replace(((gen_random_uuid())::text || (gen_random_uuid())::text), '-'::text, ''::text)</t>
  </si>
  <si>
    <t xml:space="preserve">CHECK ((status = ANY (ARRAY['pendente'::text, 'enviado'::text, 'respondido'::text, 'dispensado'::text])))</t>
  </si>
  <si>
    <t xml:space="preserve">'gatilho'::text</t>
  </si>
  <si>
    <t xml:space="preserve">CHECK ((origem = ANY (ARRAY['gatilho'::text, 'manual'::text, 'retroativo'::text])))</t>
  </si>
  <si>
    <t xml:space="preserve">gerado_em</t>
  </si>
  <si>
    <t xml:space="preserve">enviado_em</t>
  </si>
  <si>
    <t xml:space="preserve">respondido_em</t>
  </si>
  <si>
    <t xml:space="preserve">pergunta_id</t>
  </si>
  <si>
    <t xml:space="preserve">pesquisa_perguntas.id</t>
  </si>
  <si>
    <t xml:space="preserve">texto</t>
  </si>
  <si>
    <t xml:space="preserve">CHECK ((tipo = ANY (ARRAY['nps'::text, 'escala'::text, 'escolha'::text, 'multipla'::text, 'sim_nao'::text, 'texto'::text])))</t>
  </si>
  <si>
    <t xml:space="preserve">opcoes</t>
  </si>
  <si>
    <t xml:space="preserve">obrigatoria</t>
  </si>
  <si>
    <t xml:space="preserve">'livre'::text</t>
  </si>
  <si>
    <t xml:space="preserve">CHECK ((papel = ANY (ARRAY['livre'::text, 'nps'::text, 'pmf'::text, 'valor'::text, 'alavanca'::text, 'qualificacao'::text])))</t>
  </si>
  <si>
    <t xml:space="preserve">resposta_id</t>
  </si>
  <si>
    <t xml:space="preserve">pesquisa_respostas.id</t>
  </si>
  <si>
    <t xml:space="preserve">valor_num</t>
  </si>
  <si>
    <t xml:space="preserve">valor_texto</t>
  </si>
  <si>
    <t xml:space="preserve">envio_id</t>
  </si>
  <si>
    <t xml:space="preserve">pesquisa_envios.id</t>
  </si>
  <si>
    <t xml:space="preserve">respondida_em</t>
  </si>
  <si>
    <t xml:space="preserve">'lead'::text</t>
  </si>
  <si>
    <t xml:space="preserve">CHECK ((tipo = ANY (ARRAY['lead'::text, 'onboarding'::text, 'jornada'::text, 'nsm'::text, 'outra'::text])))</t>
  </si>
  <si>
    <t xml:space="preserve">CHECK ((gatilho = ANY (ARRAY['manual'::text, 'cadastro'::text, 'etapa'::text, 'entrada_aluno'::text])))</t>
  </si>
  <si>
    <t xml:space="preserve">gatilho_etapa</t>
  </si>
  <si>
    <t xml:space="preserve">dispensa_qualificado</t>
  </si>
  <si>
    <t xml:space="preserve">canal_envio</t>
  </si>
  <si>
    <t xml:space="preserve">'link'::text</t>
  </si>
  <si>
    <t xml:space="preserve">CHECK ((canal_envio = ANY (ARRAY['link'::text, 'whatsapp'::text, 'email'::text])))</t>
  </si>
  <si>
    <t xml:space="preserve">aceita_link_aberto</t>
  </si>
  <si>
    <t xml:space="preserve">token_aberto</t>
  </si>
  <si>
    <t xml:space="preserve">CHECK ((tipo = ANY (ARRAY['etapa'::text, 'lista'::text])))</t>
  </si>
  <si>
    <t xml:space="preserve">ref</t>
  </si>
  <si>
    <t xml:space="preserve">de</t>
  </si>
  <si>
    <t xml:space="preserve">para</t>
  </si>
  <si>
    <t xml:space="preserve">campo</t>
  </si>
  <si>
    <t xml:space="preserve">valor_anterior</t>
  </si>
  <si>
    <t xml:space="preserve">valor_novo</t>
  </si>
  <si>
    <t xml:space="preserve">alterado_em</t>
  </si>
  <si>
    <t xml:space="preserve">lista_id</t>
  </si>
  <si>
    <t xml:space="preserve">CHECK ((length(btrim(texto)) &gt; 0))</t>
  </si>
  <si>
    <t xml:space="preserve">autor_id</t>
  </si>
  <si>
    <t xml:space="preserve">autor_email</t>
  </si>
  <si>
    <t xml:space="preserve">CHECK ((tipo = ANY (ARRAY['entrada'::text, 'etapa'::text, 'lista'::text, 'video'::text, 'disparo'::text, 'comercial'::text, 'compra'::text, 'recompra'::text, 'outro'::text, 'captura'::text])))</t>
  </si>
  <si>
    <t xml:space="preserve">'sistema'::text</t>
  </si>
  <si>
    <t xml:space="preserve">CHECK ((origem = ANY (ARRAY['sistema'::text, 'sendflow'::text, 'manual'::text, 'importacao'::text, 'captura'::text, 'integracao'::text])))</t>
  </si>
  <si>
    <t xml:space="preserve">ref_tabela</t>
  </si>
  <si>
    <t xml:space="preserve">status_funil</t>
  </si>
  <si>
    <t xml:space="preserve">CHECK ((status_funil = ANY (ARRAY['lead'::text, 'cliente'::text])))</t>
  </si>
  <si>
    <t xml:space="preserve">status_cliente</t>
  </si>
  <si>
    <t xml:space="preserve">CHECK ((status_cliente = ANY (ARRAY['ativo'::text, 'inativo'::text])))</t>
  </si>
  <si>
    <t xml:space="preserve">pagina_origem</t>
  </si>
  <si>
    <t xml:space="preserve">canal_origem</t>
  </si>
  <si>
    <t xml:space="preserve">respostas_pesquisa</t>
  </si>
  <si>
    <t xml:space="preserve">pesquisa_respondida_em</t>
  </si>
  <si>
    <t xml:space="preserve">pontuacao_qualificacao</t>
  </si>
  <si>
    <t xml:space="preserve">qualificacao</t>
  </si>
  <si>
    <t xml:space="preserve">CHECK ((qualificacao = ANY (ARRAY['pendente'::text, 'qualificado'::text, 'nao_qualificado'::text])))</t>
  </si>
  <si>
    <t xml:space="preserve">convertido_em</t>
  </si>
  <si>
    <t xml:space="preserve">utm_id</t>
  </si>
  <si>
    <t xml:space="preserve">gclid</t>
  </si>
  <si>
    <t xml:space="preserve">fbclid</t>
  </si>
  <si>
    <t xml:space="preserve">referrer</t>
  </si>
  <si>
    <t xml:space="preserve">tags</t>
  </si>
  <si>
    <t xml:space="preserve">negocio_status</t>
  </si>
  <si>
    <t xml:space="preserve">CHECK ((negocio_status = ANY (ARRAY['aberto'::text, 'ganho'::text, 'perdido'::text])))</t>
  </si>
  <si>
    <t xml:space="preserve">negocio_motivo_id</t>
  </si>
  <si>
    <t xml:space="preserve">motivos_resultado.id</t>
  </si>
  <si>
    <t xml:space="preserve">negocio_obs</t>
  </si>
  <si>
    <t xml:space="preserve">negocio_fechado_em</t>
  </si>
  <si>
    <t xml:space="preserve">responsavel_comercial_id</t>
  </si>
  <si>
    <t xml:space="preserve">captada</t>
  </si>
  <si>
    <t xml:space="preserve">telefone_norm</t>
  </si>
  <si>
    <t xml:space="preserve">calculada: norm_fone(telefone)</t>
  </si>
  <si>
    <t xml:space="preserve">email_norm</t>
  </si>
  <si>
    <t xml:space="preserve">calculada: norm_email(email)</t>
  </si>
  <si>
    <t xml:space="preserve">pessoa_mantida</t>
  </si>
  <si>
    <t xml:space="preserve">pessoa_removida</t>
  </si>
  <si>
    <t xml:space="preserve">dados_removida</t>
  </si>
  <si>
    <t xml:space="preserve">feito_por</t>
  </si>
  <si>
    <t xml:space="preserve">feito_em</t>
  </si>
  <si>
    <t xml:space="preserve">ano</t>
  </si>
  <si>
    <t xml:space="preserve">CHECK (((mes &gt;= 1) AND (mes &lt;= 12)))</t>
  </si>
  <si>
    <t xml:space="preserve">CHECK ((tipo = ANY (ARRAY['ativo'::text, 'passivo'::text, 'patrimonio'::text, 'receita'::text, 'deducao'::text, 'custo'::text, 'despesa'::text])))</t>
  </si>
  <si>
    <t xml:space="preserve">natureza</t>
  </si>
  <si>
    <t xml:space="preserve">CHECK ((natureza = ANY (ARRAY['devedora'::text, 'credora'::text])))</t>
  </si>
  <si>
    <t xml:space="preserve">conta_pai_id</t>
  </si>
  <si>
    <t xml:space="preserve">aceita_lancamento</t>
  </si>
  <si>
    <t xml:space="preserve">cac_grupo</t>
  </si>
  <si>
    <t xml:space="preserve">CHECK (((cac_grupo IS NULL) OR (cac_grupo = ANY (ARRAY['midia'::text, 'equipe'::text, 'ferramentas'::text, 'comissao'::text, 'outros'::text]))))</t>
  </si>
  <si>
    <t xml:space="preserve">conta_passivo_id</t>
  </si>
  <si>
    <t xml:space="preserve">plano_id</t>
  </si>
  <si>
    <t xml:space="preserve">planos.id</t>
  </si>
  <si>
    <t xml:space="preserve">objetivo_id</t>
  </si>
  <si>
    <t xml:space="preserve">plano_objetivos.id</t>
  </si>
  <si>
    <t xml:space="preserve">CHECK ((chave = ANY (ARRAY['receita'::text, 'mrr'::text, 'leads'::text, 'clientes'::text, 'conversao'::text, 'investimento'::text, 'cac'::text, 'ticket_medio'::text, 'margem_lucro'::text, 'margem_contribuicao'::text])))</t>
  </si>
  <si>
    <t xml:space="preserve">'num'::text</t>
  </si>
  <si>
    <t xml:space="preserve">CHECK ((unidade = ANY (ARRAY['brl'::text, 'num'::text, 'pct'::text])))</t>
  </si>
  <si>
    <t xml:space="preserve">sentido</t>
  </si>
  <si>
    <t xml:space="preserve">'aumentar'::text</t>
  </si>
  <si>
    <t xml:space="preserve">CHECK ((sentido = ANY (ARRAY['aumentar'::text, 'diminuir'::text])))</t>
  </si>
  <si>
    <t xml:space="preserve">numeric(16,4)</t>
  </si>
  <si>
    <t xml:space="preserve">valor_meta</t>
  </si>
  <si>
    <t xml:space="preserve">valor_atual</t>
  </si>
  <si>
    <t xml:space="preserve">faixa_ruim</t>
  </si>
  <si>
    <t xml:space="preserve">faixa_otimo</t>
  </si>
  <si>
    <t xml:space="preserve">indicador_id</t>
  </si>
  <si>
    <t xml:space="preserve">plano_indicadores.id</t>
  </si>
  <si>
    <t xml:space="preserve">setor</t>
  </si>
  <si>
    <t xml:space="preserve">CHECK ((setor = ANY (ARRAY['marketing'::text, 'vendas'::text, 'financeiro'::text, 'operacao'::text, 'produto'::text, 'cs'::text, 'outro'::text])))</t>
  </si>
  <si>
    <t xml:space="preserve">CHECK ((chave = ANY (ARRAY['receita'::text, 'mrr'::text, 'leads'::text, 'clientes'::text, 'conversao'::text, 'investimento'::text, 'cac'::text, 'ticket_medio'::text])))</t>
  </si>
  <si>
    <t xml:space="preserve">'em_andamento'::text</t>
  </si>
  <si>
    <t xml:space="preserve">CHECK ((status = ANY (ARRAY['em_andamento'::text, 'concluida'::text, 'cancelada'::text])))</t>
  </si>
  <si>
    <t xml:space="preserve">visao</t>
  </si>
  <si>
    <t xml:space="preserve">estrategia</t>
  </si>
  <si>
    <t xml:space="preserve">CHECK ((status = ANY (ARRAY['rascunho'::text, 'ativo'::text, 'encerrado'::text])))</t>
  </si>
  <si>
    <t xml:space="preserve">mercado_total</t>
  </si>
  <si>
    <t xml:space="preserve">numeric(16,0)</t>
  </si>
  <si>
    <t xml:space="preserve">CHECK (((mercado_total IS NULL) OR (mercado_total &gt; (0)::numeric)))</t>
  </si>
  <si>
    <t xml:space="preserve">mercado_rotulo</t>
  </si>
  <si>
    <t xml:space="preserve">plataforma_id</t>
  </si>
  <si>
    <t xml:space="preserve">plataformas_venda.id</t>
  </si>
  <si>
    <t xml:space="preserve">CHECK ((forma_pagamento = ANY (ARRAY['pix'::text, 'cartao_credito'::text, 'boleto'::text, 'outro'::text])))</t>
  </si>
  <si>
    <t xml:space="preserve">taxa_percentual</t>
  </si>
  <si>
    <t xml:space="preserve">taxa_fixa</t>
  </si>
  <si>
    <t xml:space="preserve">prazo_recebimento_dias</t>
  </si>
  <si>
    <t xml:space="preserve">CHECK ((prazo_recebimento_dias &gt;= 0))</t>
  </si>
  <si>
    <t xml:space="preserve">fonte_id</t>
  </si>
  <si>
    <t xml:space="preserve">fontes_video.id</t>
  </si>
  <si>
    <t xml:space="preserve">assistiu_seg</t>
  </si>
  <si>
    <t xml:space="preserve">CHECK ((assistiu_seg &gt;= 0))</t>
  </si>
  <si>
    <t xml:space="preserve">ao_vivo</t>
  </si>
  <si>
    <t xml:space="preserve">primeiro_em</t>
  </si>
  <si>
    <t xml:space="preserve">ultimo_em</t>
  </si>
  <si>
    <t xml:space="preserve">'curso'::text</t>
  </si>
  <si>
    <t xml:space="preserve">CHECK ((tipo = ANY (ARRAY['digital'::text, 'saas'::text, 'servico'::text, 'curso'::text, 'assinatura'::text, 'outro'::text])))</t>
  </si>
  <si>
    <t xml:space="preserve">taxa_percentual_override</t>
  </si>
  <si>
    <t xml:space="preserve">taxa_fixa_override</t>
  </si>
  <si>
    <t xml:space="preserve">nivel_escada</t>
  </si>
  <si>
    <t xml:space="preserve">CHECK ((nivel_escada &gt;= 1))</t>
  </si>
  <si>
    <t xml:space="preserve">modelo_projeto_id</t>
  </si>
  <si>
    <t xml:space="preserve">'bloqueada'::text</t>
  </si>
  <si>
    <t xml:space="preserve">CHECK ((status = ANY (ARRAY['bloqueada'::text, 'liberada'::text, 'em_andamento'::text, 'concluida'::text, 'cancelada'::text])))</t>
  </si>
  <si>
    <t xml:space="preserve">depende_de</t>
  </si>
  <si>
    <t xml:space="preserve">liberada_em</t>
  </si>
  <si>
    <t xml:space="preserve">iniciada_em</t>
  </si>
  <si>
    <t xml:space="preserve">concluida_em</t>
  </si>
  <si>
    <t xml:space="preserve">campanha_bloco_id</t>
  </si>
  <si>
    <t xml:space="preserve">modelo_id</t>
  </si>
  <si>
    <t xml:space="preserve">projeto_modelo_atividades.id</t>
  </si>
  <si>
    <t xml:space="preserve">prazo_dias</t>
  </si>
  <si>
    <t xml:space="preserve">CHECK ((prazo_dias &gt;= 0))</t>
  </si>
  <si>
    <t xml:space="preserve">padrao_campanha</t>
  </si>
  <si>
    <t xml:space="preserve">'planejado'::text</t>
  </si>
  <si>
    <t xml:space="preserve">CHECK ((status = ANY (ARRAY['planejado'::text, 'em_andamento'::text, 'concluido'::text, 'pausado'::text, 'cancelado'::text])))</t>
  </si>
  <si>
    <t xml:space="preserve">data_fim_prevista</t>
  </si>
  <si>
    <t xml:space="preserve">regra_id</t>
  </si>
  <si>
    <t xml:space="preserve">percentual</t>
  </si>
  <si>
    <t xml:space="preserve">numeric(7,4)</t>
  </si>
  <si>
    <t xml:space="preserve">CHECK (((percentual &gt; (0)::numeric) AND (percentual &lt;= (100)::numeric)))</t>
  </si>
  <si>
    <t xml:space="preserve">evento</t>
  </si>
  <si>
    <t xml:space="preserve">conta_debito_id</t>
  </si>
  <si>
    <t xml:space="preserve">conta_credito_id</t>
  </si>
  <si>
    <t xml:space="preserve">personalizada</t>
  </si>
  <si>
    <t xml:space="preserve">CHECK ((tipo = ANY (ARRAY['comercial'::text, 'cs'::text])))</t>
  </si>
  <si>
    <t xml:space="preserve">de_equipe_id</t>
  </si>
  <si>
    <t xml:space="preserve">para_equipe_id</t>
  </si>
  <si>
    <t xml:space="preserve">de_nome</t>
  </si>
  <si>
    <t xml:space="preserve">para_nome</t>
  </si>
  <si>
    <t xml:space="preserve">alterado_por</t>
  </si>
  <si>
    <t xml:space="preserve">alterado_por_email</t>
  </si>
  <si>
    <t xml:space="preserve">simultanea</t>
  </si>
  <si>
    <t xml:space="preserve">'dia'::text</t>
  </si>
  <si>
    <t xml:space="preserve">CHECK ((simultanea = ANY (ARRAY['dia'::text, 'pedido'::text])))</t>
  </si>
  <si>
    <t xml:space="preserve">rfm</t>
  </si>
  <si>
    <t xml:space="preserve">CHECK ((jsonb_typeof(rfm) = 'object'::text))</t>
  </si>
  <si>
    <t xml:space="preserve">aba</t>
  </si>
  <si>
    <t xml:space="preserve">'coortes'::text</t>
  </si>
  <si>
    <t xml:space="preserve">CHECK ((aba = ANY (ARRAY['coortes'::text, 'recompra'::text, 'rfm'::text])))</t>
  </si>
  <si>
    <t xml:space="preserve">filtros</t>
  </si>
  <si>
    <t xml:space="preserve">CHECK ((jsonb_typeof(dados) = 'object'::text))</t>
  </si>
  <si>
    <t xml:space="preserve">versao_formula</t>
  </si>
  <si>
    <t xml:space="preserve">'gps-1.0'::text</t>
  </si>
  <si>
    <t xml:space="preserve">CHECK ((status = ANY (ARRAY['rascunho'::text, 'ativo'::text, 'arquivado'::text])))</t>
  </si>
  <si>
    <t xml:space="preserve">metricas</t>
  </si>
  <si>
    <t xml:space="preserve">CHECK ((jsonb_typeof(metricas) = 'object'::text))</t>
  </si>
  <si>
    <t xml:space="preserve">calculado_em</t>
  </si>
  <si>
    <t xml:space="preserve">ws_origem</t>
  </si>
  <si>
    <t xml:space="preserve">ws_casa</t>
  </si>
  <si>
    <t xml:space="preserve">conta_pagar_id</t>
  </si>
  <si>
    <t xml:space="preserve">lancamento_origem</t>
  </si>
  <si>
    <t xml:space="preserve">conta_receber_casa</t>
  </si>
  <si>
    <t xml:space="preserve">desfeita_em</t>
  </si>
  <si>
    <t xml:space="preserve">sessao</t>
  </si>
  <si>
    <t xml:space="preserve">CHECK ((tipo = ANY (ARRAY['tela'::text, 'tempo'::text, 'modal_abre'::text, 'modal_salva'::text, 'modal_cancela'::text, 'erro'::text])))</t>
  </si>
  <si>
    <t xml:space="preserve">detalhe</t>
  </si>
  <si>
    <t xml:space="preserve">segundos</t>
  </si>
  <si>
    <t xml:space="preserve">CHECK (((segundos IS NULL) OR ((segundos &gt;= 0) AND (segundos &lt;= 14400))))</t>
  </si>
  <si>
    <t xml:space="preserve">CHECK ((modelo = ANY (ARRAY['primeiro_toque'::text, 'ultimo_toque'::text])))</t>
  </si>
  <si>
    <t xml:space="preserve">toque_id</t>
  </si>
  <si>
    <t xml:space="preserve">peso</t>
  </si>
  <si>
    <t xml:space="preserve">regra_versao</t>
  </si>
  <si>
    <t xml:space="preserve">evidencia</t>
  </si>
  <si>
    <t xml:space="preserve">atribuido_em</t>
  </si>
  <si>
    <t xml:space="preserve">CHECK ((parcelas &gt;= 1))</t>
  </si>
  <si>
    <t xml:space="preserve">'aprovada'::text</t>
  </si>
  <si>
    <t xml:space="preserve">CHECK ((status = ANY (ARRAY['pendente'::text, 'aprovada'::text, 'cancelada'::text, 'reembolsada'::text, 'chargeback'::text])))</t>
  </si>
  <si>
    <t xml:space="preserve">data_venda</t>
  </si>
  <si>
    <t xml:space="preserve">valor_bruto</t>
  </si>
  <si>
    <t xml:space="preserve">CHECK ((valor_bruto &gt;= (0)::numeric))</t>
  </si>
  <si>
    <t xml:space="preserve">taxa_plataforma</t>
  </si>
  <si>
    <t xml:space="preserve">impostos</t>
  </si>
  <si>
    <t xml:space="preserve">valor_a_receber</t>
  </si>
  <si>
    <t xml:space="preserve">valor_liquido</t>
  </si>
  <si>
    <t xml:space="preserve">data_prevista_recebimento</t>
  </si>
  <si>
    <t xml:space="preserve">canal_fechamento</t>
  </si>
  <si>
    <t xml:space="preserve">CHECK (((canal_fechamento IS NULL) OR (char_length(canal_fechamento) &lt;= 60)))</t>
  </si>
  <si>
    <t xml:space="preserve">comprador_email</t>
  </si>
  <si>
    <t xml:space="preserve">comprador_telefone</t>
  </si>
  <si>
    <t xml:space="preserve">aprovada_em</t>
  </si>
  <si>
    <t xml:space="preserve">reembolsada_em</t>
  </si>
  <si>
    <t xml:space="preserve">cancelada_em</t>
  </si>
  <si>
    <t xml:space="preserve">origem_dado</t>
  </si>
  <si>
    <t xml:space="preserve">CHECK ((origem_dado = ANY (ARRAY['manual'::text, 'importacao'::text, 'integracao'::text])))</t>
  </si>
  <si>
    <t xml:space="preserve">pedido_ref</t>
  </si>
  <si>
    <t xml:space="preserve">plays</t>
  </si>
  <si>
    <t xml:space="preserve">CHECK ((plays &gt;= 0))</t>
  </si>
  <si>
    <t xml:space="preserve">espectadores</t>
  </si>
  <si>
    <t xml:space="preserve">CHECK ((espectadores &gt;= 0))</t>
  </si>
  <si>
    <t xml:space="preserve">tempo_assistido_seg</t>
  </si>
  <si>
    <t xml:space="preserve">CHECK ((tempo_assistido_seg &gt;= 0))</t>
  </si>
  <si>
    <t xml:space="preserve">retencao_pct</t>
  </si>
  <si>
    <t xml:space="preserve">numeric(5,2)</t>
  </si>
  <si>
    <t xml:space="preserve">CHECK (((retencao_pct &gt;= (0)::numeric) AND (retencao_pct &lt;= (100)::numeric)))</t>
  </si>
  <si>
    <t xml:space="preserve">conclusoes</t>
  </si>
  <si>
    <t xml:space="preserve">CHECK ((conclusoes &gt;= 0))</t>
  </si>
  <si>
    <t xml:space="preserve">cliques_cta</t>
  </si>
  <si>
    <t xml:space="preserve">CHECK ((cliques_cta &gt;= 0))</t>
  </si>
  <si>
    <t xml:space="preserve">pico_simultaneo</t>
  </si>
  <si>
    <t xml:space="preserve">CHECK ((pico_simultaneo &gt;= 0))</t>
  </si>
  <si>
    <t xml:space="preserve">'admin'::text</t>
  </si>
  <si>
    <t xml:space="preserve">CHECK ((papel = ANY (ARRAY['admin'::text, 'editor'::text, 'leitor'::text])))</t>
  </si>
  <si>
    <t xml:space="preserve">modo_financeiro</t>
  </si>
  <si>
    <t xml:space="preserve">CHECK ((modo_financeiro = ANY (ARRAY['completo'::text, 'simplificado'::text])))</t>
  </si>
  <si>
    <t xml:space="preserve">modo_produto</t>
  </si>
  <si>
    <t xml:space="preserve">CHECK ((modo_produto = ANY (ARRAY['completo'::text, 'starter'::text])))</t>
  </si>
  <si>
    <t xml:space="preserve">agencia</t>
  </si>
  <si>
    <t xml:space="preserve">pacote_id</t>
  </si>
  <si>
    <t xml:space="preserve">pacotes_acesso.id</t>
  </si>
  <si>
    <t xml:space="preserve">acesso_liga</t>
  </si>
  <si>
    <t xml:space="preserve">acesso_desliga</t>
  </si>
  <si>
    <t xml:space="preserve">casa_de</t>
  </si>
  <si>
    <t xml:space="preserve">atribuicao_padrao</t>
  </si>
  <si>
    <t xml:space="preserve">'ultimo_toque'::text</t>
  </si>
  <si>
    <t xml:space="preserve">CHECK ((atribuicao_padrao = ANY (ARRAY['primeiro_toque'::text, 'ultimo_toque'::text])))</t>
  </si>
  <si>
    <t xml:space="preserve">Tipo (como aparece)</t>
  </si>
  <si>
    <t xml:space="preserve">Família</t>
  </si>
  <si>
    <t xml:space="preserve">varchar</t>
  </si>
  <si>
    <t xml:space="preserve">character varying</t>
  </si>
  <si>
    <t xml:space="preserve">character</t>
  </si>
  <si>
    <t xml:space="preserve">char</t>
  </si>
  <si>
    <t xml:space="preserve">nvarchar</t>
  </si>
  <si>
    <t xml:space="preserve">nchar</t>
  </si>
  <si>
    <t xml:space="preserve">citext</t>
  </si>
  <si>
    <t xml:space="preserve">longtext</t>
  </si>
  <si>
    <t xml:space="preserve">mediumtext</t>
  </si>
  <si>
    <t xml:space="preserve">tinytext</t>
  </si>
  <si>
    <t xml:space="preserve">string</t>
  </si>
  <si>
    <t xml:space="preserve">enum</t>
  </si>
  <si>
    <t xml:space="preserve">inteiro</t>
  </si>
  <si>
    <t xml:space="preserve">int</t>
  </si>
  <si>
    <t xml:space="preserve">int4</t>
  </si>
  <si>
    <t xml:space="preserve">int8</t>
  </si>
  <si>
    <t xml:space="preserve">int2</t>
  </si>
  <si>
    <t xml:space="preserve">tinyint</t>
  </si>
  <si>
    <t xml:space="preserve">mediumint</t>
  </si>
  <si>
    <t xml:space="preserve">serial</t>
  </si>
  <si>
    <t xml:space="preserve">bigserial</t>
  </si>
  <si>
    <t xml:space="preserve">decimal</t>
  </si>
  <si>
    <t xml:space="preserve">double precision</t>
  </si>
  <si>
    <t xml:space="preserve">real</t>
  </si>
  <si>
    <t xml:space="preserve">float</t>
  </si>
  <si>
    <t xml:space="preserve">float4</t>
  </si>
  <si>
    <t xml:space="preserve">float8</t>
  </si>
  <si>
    <t xml:space="preserve">double</t>
  </si>
  <si>
    <t xml:space="preserve">money</t>
  </si>
  <si>
    <t xml:space="preserve">smallmoney</t>
  </si>
  <si>
    <t xml:space="preserve">booleano</t>
  </si>
  <si>
    <t xml:space="preserve">bool</t>
  </si>
  <si>
    <t xml:space="preserve">bit</t>
  </si>
  <si>
    <t xml:space="preserve">data e hora</t>
  </si>
  <si>
    <t xml:space="preserve">timestamp</t>
  </si>
  <si>
    <t xml:space="preserve">timestamp with time zone</t>
  </si>
  <si>
    <t xml:space="preserve">timestamp without time zone</t>
  </si>
  <si>
    <t xml:space="preserve">datetime</t>
  </si>
  <si>
    <t xml:space="preserve">datetime2</t>
  </si>
  <si>
    <t xml:space="preserve">smalldatetime</t>
  </si>
  <si>
    <t xml:space="preserve">datetimeoffset</t>
  </si>
  <si>
    <t xml:space="preserve">time</t>
  </si>
  <si>
    <t xml:space="preserve">hora</t>
  </si>
  <si>
    <t xml:space="preserve">time without time zone</t>
  </si>
  <si>
    <t xml:space="preserve">interval</t>
  </si>
  <si>
    <t xml:space="preserve">uniqueidentifier</t>
  </si>
  <si>
    <t xml:space="preserve">json</t>
  </si>
  <si>
    <t xml:space="preserve">ARRAY</t>
  </si>
  <si>
    <t xml:space="preserve">lista</t>
  </si>
  <si>
    <t xml:space="preserve">_int4</t>
  </si>
  <si>
    <t xml:space="preserve">_jsonb</t>
  </si>
  <si>
    <t xml:space="preserve">coluna</t>
  </si>
  <si>
    <t xml:space="preserve">obrigatório</t>
  </si>
  <si>
    <t xml:space="preserve">(cole aqui o resultado da consulta, a partir desta linha)</t>
  </si>
  <si>
    <t xml:space="preserve">Tabela (outro banco)</t>
  </si>
  <si>
    <t xml:space="preserve">Coluna (outro banco)</t>
  </si>
  <si>
    <t xml:space="preserve">Tipo (outro banco)</t>
  </si>
  <si>
    <t xml:space="preserve">Obrigatório (outro)</t>
  </si>
  <si>
    <t xml:space="preserve">Tabela no Growths (mude se o nome for outro)</t>
  </si>
  <si>
    <t xml:space="preserve">Coluna no Growths (mude se o nome for outro)</t>
  </si>
  <si>
    <t xml:space="preserve">Tabela existe?</t>
  </si>
  <si>
    <t xml:space="preserve">Chave Growths</t>
  </si>
  <si>
    <t xml:space="preserve">Tipo no Growths</t>
  </si>
  <si>
    <t xml:space="preserve">Família outro</t>
  </si>
  <si>
    <t xml:space="preserve">Família Growths</t>
  </si>
  <si>
    <t xml:space="preserve">Status</t>
  </si>
  <si>
    <t xml:space="preserve">Observação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</si>
</sst>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10"/>
      <name val="Courier New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EB9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2" t="str">
        <f aca="false">"Importa direto: "&amp;COUNTIF(Comparação!$L:$L,"Importa direto")</f>
        <v>Importa direto: 0</v>
      </c>
    </row>
    <row r="22" customFormat="false" ht="15" hidden="false" customHeight="false" outlineLevel="0" collapsed="false">
      <c r="A22" s="2" t="str">
        <f aca="false">"Ajustar tipo: "&amp;COUNTIF(Comparação!$L:$L,"Ajustar tipo")</f>
        <v>Ajustar tipo: 0</v>
      </c>
    </row>
    <row r="23" customFormat="false" ht="15" hidden="false" customHeight="false" outlineLevel="0" collapsed="false">
      <c r="A23" s="2" t="str">
        <f aca="false">"Sem campo no Growths: "&amp;COUNTIF(Comparação!$L:$L,"Sem campo no Growths")</f>
        <v>Sem campo no Growths: 0</v>
      </c>
    </row>
    <row r="24" customFormat="false" ht="15" hidden="false" customHeight="false" outlineLevel="0" collapsed="false">
      <c r="A24" s="2" t="str">
        <f aca="false">"Sem tabela no Growths: "&amp;COUNTIF(Comparação!$L:$L,"Sem tabela no Growths")</f>
        <v>Sem tabela no Growths: 0</v>
      </c>
    </row>
    <row r="25" customFormat="false" ht="15" hidden="false" customHeight="false" outlineLevel="0" collapsed="false">
      <c r="A25" s="2" t="str">
        <f aca="false">"Campos obrigatórios do Growths sem origem: "&amp;COUNTIF('Campos Growths'!$M:$M,"FALTA*")&amp;" (filtre a aba Campos Growths pelas tabelas que vai importar)"</f>
        <v>Campos obrigatórios do Growths sem origem: 438 (filtre a aba Campos Growths pelas tabelas que vai importar)</v>
      </c>
    </row>
    <row r="27" customFormat="false" ht="15" hidden="false" customHeight="false" outlineLevel="0" collapsed="false">
      <c r="A27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90"/>
  </cols>
  <sheetData>
    <row r="1" customFormat="false" ht="26.85" hidden="false" customHeight="fals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</row>
    <row r="2" customFormat="false" ht="15" hidden="false" customHeight="false" outlineLevel="0" collapsed="false">
      <c r="A2" s="7" t="s">
        <v>23</v>
      </c>
      <c r="B2" s="7" t="s">
        <v>24</v>
      </c>
      <c r="C2" s="7" t="n">
        <v>5</v>
      </c>
      <c r="D2" s="7" t="n">
        <v>4</v>
      </c>
      <c r="E2" s="7"/>
    </row>
    <row r="3" customFormat="false" ht="15" hidden="false" customHeight="false" outlineLevel="0" collapsed="false">
      <c r="A3" s="7" t="s">
        <v>25</v>
      </c>
      <c r="B3" s="7" t="s">
        <v>26</v>
      </c>
      <c r="C3" s="7" t="n">
        <v>7</v>
      </c>
      <c r="D3" s="7" t="n">
        <v>5</v>
      </c>
      <c r="E3" s="7" t="s">
        <v>27</v>
      </c>
    </row>
    <row r="4" customFormat="false" ht="15" hidden="false" customHeight="false" outlineLevel="0" collapsed="false">
      <c r="A4" s="7" t="s">
        <v>28</v>
      </c>
      <c r="B4" s="7" t="s">
        <v>26</v>
      </c>
      <c r="C4" s="7" t="n">
        <v>13</v>
      </c>
      <c r="D4" s="7" t="n">
        <v>8</v>
      </c>
      <c r="E4" s="7" t="s">
        <v>29</v>
      </c>
    </row>
    <row r="5" customFormat="false" ht="15" hidden="false" customHeight="false" outlineLevel="0" collapsed="false">
      <c r="A5" s="7" t="s">
        <v>30</v>
      </c>
      <c r="B5" s="7" t="s">
        <v>31</v>
      </c>
      <c r="C5" s="7" t="n">
        <v>10</v>
      </c>
      <c r="D5" s="7" t="n">
        <v>6</v>
      </c>
      <c r="E5" s="7" t="s">
        <v>32</v>
      </c>
    </row>
    <row r="6" customFormat="false" ht="15" hidden="false" customHeight="false" outlineLevel="0" collapsed="false">
      <c r="A6" s="7" t="s">
        <v>33</v>
      </c>
      <c r="B6" s="7" t="s">
        <v>34</v>
      </c>
      <c r="C6" s="7" t="n">
        <v>12</v>
      </c>
      <c r="D6" s="7" t="n">
        <v>5</v>
      </c>
      <c r="E6" s="7"/>
    </row>
    <row r="7" customFormat="false" ht="15" hidden="false" customHeight="false" outlineLevel="0" collapsed="false">
      <c r="A7" s="7" t="s">
        <v>35</v>
      </c>
      <c r="B7" s="7" t="s">
        <v>36</v>
      </c>
      <c r="C7" s="7" t="n">
        <v>6</v>
      </c>
      <c r="D7" s="7" t="n">
        <v>5</v>
      </c>
      <c r="E7" s="7" t="s">
        <v>37</v>
      </c>
    </row>
    <row r="8" customFormat="false" ht="15" hidden="false" customHeight="false" outlineLevel="0" collapsed="false">
      <c r="A8" s="7" t="s">
        <v>38</v>
      </c>
      <c r="B8" s="7" t="s">
        <v>31</v>
      </c>
      <c r="C8" s="7" t="n">
        <v>11</v>
      </c>
      <c r="D8" s="7" t="n">
        <v>9</v>
      </c>
      <c r="E8" s="7" t="s">
        <v>39</v>
      </c>
    </row>
    <row r="9" customFormat="false" ht="15" hidden="false" customHeight="false" outlineLevel="0" collapsed="false">
      <c r="A9" s="7" t="s">
        <v>40</v>
      </c>
      <c r="B9" s="7" t="s">
        <v>31</v>
      </c>
      <c r="C9" s="7" t="n">
        <v>7</v>
      </c>
      <c r="D9" s="7" t="n">
        <v>6</v>
      </c>
      <c r="E9" s="7" t="s">
        <v>39</v>
      </c>
    </row>
    <row r="10" customFormat="false" ht="15" hidden="false" customHeight="false" outlineLevel="0" collapsed="false">
      <c r="A10" s="7" t="s">
        <v>41</v>
      </c>
      <c r="B10" s="7" t="s">
        <v>31</v>
      </c>
      <c r="C10" s="7" t="n">
        <v>16</v>
      </c>
      <c r="D10" s="7" t="n">
        <v>5</v>
      </c>
      <c r="E10" s="7" t="s">
        <v>42</v>
      </c>
    </row>
    <row r="11" customFormat="false" ht="15" hidden="false" customHeight="false" outlineLevel="0" collapsed="false">
      <c r="A11" s="7" t="s">
        <v>43</v>
      </c>
      <c r="B11" s="7" t="s">
        <v>31</v>
      </c>
      <c r="C11" s="7" t="n">
        <v>9</v>
      </c>
      <c r="D11" s="7" t="n">
        <v>4</v>
      </c>
      <c r="E11" s="7" t="s">
        <v>39</v>
      </c>
    </row>
    <row r="12" customFormat="false" ht="15" hidden="false" customHeight="false" outlineLevel="0" collapsed="false">
      <c r="A12" s="7" t="s">
        <v>44</v>
      </c>
      <c r="B12" s="7" t="s">
        <v>31</v>
      </c>
      <c r="C12" s="7" t="n">
        <v>6</v>
      </c>
      <c r="D12" s="7" t="n">
        <v>6</v>
      </c>
      <c r="E12" s="7" t="s">
        <v>45</v>
      </c>
    </row>
    <row r="13" customFormat="false" ht="15" hidden="false" customHeight="false" outlineLevel="0" collapsed="false">
      <c r="A13" s="7" t="s">
        <v>46</v>
      </c>
      <c r="B13" s="7" t="s">
        <v>31</v>
      </c>
      <c r="C13" s="7" t="n">
        <v>9</v>
      </c>
      <c r="D13" s="7" t="n">
        <v>8</v>
      </c>
      <c r="E13" s="7" t="s">
        <v>47</v>
      </c>
    </row>
    <row r="14" customFormat="false" ht="15" hidden="false" customHeight="false" outlineLevel="0" collapsed="false">
      <c r="A14" s="7" t="s">
        <v>48</v>
      </c>
      <c r="B14" s="7" t="s">
        <v>31</v>
      </c>
      <c r="C14" s="7" t="n">
        <v>18</v>
      </c>
      <c r="D14" s="7" t="n">
        <v>11</v>
      </c>
      <c r="E14" s="7" t="s">
        <v>49</v>
      </c>
    </row>
    <row r="15" customFormat="false" ht="15" hidden="false" customHeight="false" outlineLevel="0" collapsed="false">
      <c r="A15" s="7" t="s">
        <v>50</v>
      </c>
      <c r="B15" s="7" t="s">
        <v>31</v>
      </c>
      <c r="C15" s="7" t="n">
        <v>15</v>
      </c>
      <c r="D15" s="7" t="n">
        <v>6</v>
      </c>
      <c r="E15" s="7" t="s">
        <v>51</v>
      </c>
    </row>
    <row r="16" customFormat="false" ht="15" hidden="false" customHeight="false" outlineLevel="0" collapsed="false">
      <c r="A16" s="7" t="s">
        <v>52</v>
      </c>
      <c r="B16" s="7" t="s">
        <v>31</v>
      </c>
      <c r="C16" s="7" t="n">
        <v>13</v>
      </c>
      <c r="D16" s="7" t="n">
        <v>10</v>
      </c>
      <c r="E16" s="7" t="s">
        <v>53</v>
      </c>
    </row>
    <row r="17" customFormat="false" ht="15" hidden="false" customHeight="false" outlineLevel="0" collapsed="false">
      <c r="A17" s="7" t="s">
        <v>54</v>
      </c>
      <c r="B17" s="7" t="s">
        <v>31</v>
      </c>
      <c r="C17" s="7" t="n">
        <v>12</v>
      </c>
      <c r="D17" s="7" t="n">
        <v>8</v>
      </c>
      <c r="E17" s="7" t="s">
        <v>39</v>
      </c>
    </row>
    <row r="18" customFormat="false" ht="15" hidden="false" customHeight="false" outlineLevel="0" collapsed="false">
      <c r="A18" s="7" t="s">
        <v>55</v>
      </c>
      <c r="B18" s="7" t="s">
        <v>31</v>
      </c>
      <c r="C18" s="7" t="n">
        <v>13</v>
      </c>
      <c r="D18" s="7" t="n">
        <v>6</v>
      </c>
      <c r="E18" s="7" t="s">
        <v>39</v>
      </c>
    </row>
    <row r="19" customFormat="false" ht="15" hidden="false" customHeight="false" outlineLevel="0" collapsed="false">
      <c r="A19" s="7" t="s">
        <v>56</v>
      </c>
      <c r="B19" s="7" t="s">
        <v>31</v>
      </c>
      <c r="C19" s="7" t="n">
        <v>6</v>
      </c>
      <c r="D19" s="7" t="n">
        <v>4</v>
      </c>
      <c r="E19" s="7" t="s">
        <v>39</v>
      </c>
    </row>
    <row r="20" customFormat="false" ht="15" hidden="false" customHeight="false" outlineLevel="0" collapsed="false">
      <c r="A20" s="7" t="s">
        <v>57</v>
      </c>
      <c r="B20" s="7" t="s">
        <v>31</v>
      </c>
      <c r="C20" s="7" t="n">
        <v>5</v>
      </c>
      <c r="D20" s="7" t="n">
        <v>5</v>
      </c>
      <c r="E20" s="7" t="s">
        <v>58</v>
      </c>
    </row>
    <row r="21" customFormat="false" ht="15" hidden="false" customHeight="false" outlineLevel="0" collapsed="false">
      <c r="A21" s="7" t="s">
        <v>59</v>
      </c>
      <c r="B21" s="7" t="s">
        <v>31</v>
      </c>
      <c r="C21" s="7" t="n">
        <v>18</v>
      </c>
      <c r="D21" s="7" t="n">
        <v>10</v>
      </c>
      <c r="E21" s="7" t="s">
        <v>60</v>
      </c>
    </row>
    <row r="22" customFormat="false" ht="15" hidden="false" customHeight="false" outlineLevel="0" collapsed="false">
      <c r="A22" s="7" t="s">
        <v>61</v>
      </c>
      <c r="B22" s="7" t="s">
        <v>31</v>
      </c>
      <c r="C22" s="7" t="n">
        <v>16</v>
      </c>
      <c r="D22" s="7" t="n">
        <v>8</v>
      </c>
      <c r="E22" s="7" t="s">
        <v>62</v>
      </c>
    </row>
    <row r="23" customFormat="false" ht="15" hidden="false" customHeight="false" outlineLevel="0" collapsed="false">
      <c r="A23" s="7" t="s">
        <v>63</v>
      </c>
      <c r="B23" s="7" t="s">
        <v>31</v>
      </c>
      <c r="C23" s="7" t="n">
        <v>26</v>
      </c>
      <c r="D23" s="7" t="n">
        <v>9</v>
      </c>
      <c r="E23" s="7" t="s">
        <v>64</v>
      </c>
    </row>
    <row r="24" customFormat="false" ht="15" hidden="false" customHeight="false" outlineLevel="0" collapsed="false">
      <c r="A24" s="7" t="s">
        <v>65</v>
      </c>
      <c r="B24" s="7" t="s">
        <v>66</v>
      </c>
      <c r="C24" s="7" t="n">
        <v>7</v>
      </c>
      <c r="D24" s="7" t="n">
        <v>7</v>
      </c>
      <c r="E24" s="7" t="s">
        <v>37</v>
      </c>
    </row>
    <row r="25" customFormat="false" ht="15" hidden="false" customHeight="false" outlineLevel="0" collapsed="false">
      <c r="A25" s="7" t="s">
        <v>67</v>
      </c>
      <c r="B25" s="7" t="s">
        <v>31</v>
      </c>
      <c r="C25" s="7" t="n">
        <v>8</v>
      </c>
      <c r="D25" s="7" t="n">
        <v>5</v>
      </c>
      <c r="E25" s="7" t="s">
        <v>37</v>
      </c>
    </row>
    <row r="26" customFormat="false" ht="15" hidden="false" customHeight="false" outlineLevel="0" collapsed="false">
      <c r="A26" s="7" t="s">
        <v>68</v>
      </c>
      <c r="B26" s="7" t="s">
        <v>69</v>
      </c>
      <c r="C26" s="7" t="n">
        <v>6</v>
      </c>
      <c r="D26" s="7" t="n">
        <v>6</v>
      </c>
      <c r="E26" s="7" t="s">
        <v>37</v>
      </c>
    </row>
    <row r="27" customFormat="false" ht="15" hidden="false" customHeight="false" outlineLevel="0" collapsed="false">
      <c r="A27" s="7" t="s">
        <v>70</v>
      </c>
      <c r="B27" s="7" t="s">
        <v>24</v>
      </c>
      <c r="C27" s="7" t="n">
        <v>11</v>
      </c>
      <c r="D27" s="7" t="n">
        <v>8</v>
      </c>
      <c r="E27" s="7" t="s">
        <v>37</v>
      </c>
    </row>
    <row r="28" customFormat="false" ht="15" hidden="false" customHeight="false" outlineLevel="0" collapsed="false">
      <c r="A28" s="7" t="s">
        <v>71</v>
      </c>
      <c r="B28" s="7" t="s">
        <v>72</v>
      </c>
      <c r="C28" s="7" t="n">
        <v>12</v>
      </c>
      <c r="D28" s="7" t="n">
        <v>5</v>
      </c>
      <c r="E28" s="7" t="s">
        <v>73</v>
      </c>
    </row>
    <row r="29" customFormat="false" ht="15" hidden="false" customHeight="false" outlineLevel="0" collapsed="false">
      <c r="A29" s="7" t="s">
        <v>74</v>
      </c>
      <c r="B29" s="7" t="s">
        <v>69</v>
      </c>
      <c r="C29" s="7" t="n">
        <v>10</v>
      </c>
      <c r="D29" s="7" t="n">
        <v>8</v>
      </c>
      <c r="E29" s="7" t="s">
        <v>75</v>
      </c>
    </row>
    <row r="30" customFormat="false" ht="15" hidden="false" customHeight="false" outlineLevel="0" collapsed="false">
      <c r="A30" s="7" t="s">
        <v>76</v>
      </c>
      <c r="B30" s="7" t="s">
        <v>69</v>
      </c>
      <c r="C30" s="7" t="n">
        <v>22</v>
      </c>
      <c r="D30" s="7" t="n">
        <v>10</v>
      </c>
      <c r="E30" s="7" t="s">
        <v>77</v>
      </c>
    </row>
    <row r="31" customFormat="false" ht="15" hidden="false" customHeight="false" outlineLevel="0" collapsed="false">
      <c r="A31" s="7" t="s">
        <v>78</v>
      </c>
      <c r="B31" s="7" t="s">
        <v>69</v>
      </c>
      <c r="C31" s="7" t="n">
        <v>16</v>
      </c>
      <c r="D31" s="7" t="n">
        <v>6</v>
      </c>
      <c r="E31" s="7" t="s">
        <v>79</v>
      </c>
    </row>
    <row r="32" customFormat="false" ht="15" hidden="false" customHeight="false" outlineLevel="0" collapsed="false">
      <c r="A32" s="7" t="s">
        <v>80</v>
      </c>
      <c r="B32" s="7" t="s">
        <v>81</v>
      </c>
      <c r="C32" s="7" t="n">
        <v>2</v>
      </c>
      <c r="D32" s="7" t="n">
        <v>2</v>
      </c>
      <c r="E32" s="7" t="s">
        <v>37</v>
      </c>
    </row>
    <row r="33" customFormat="false" ht="15" hidden="false" customHeight="false" outlineLevel="0" collapsed="false">
      <c r="A33" s="7" t="s">
        <v>82</v>
      </c>
      <c r="B33" s="7" t="s">
        <v>81</v>
      </c>
      <c r="C33" s="7" t="n">
        <v>11</v>
      </c>
      <c r="D33" s="7" t="n">
        <v>5</v>
      </c>
      <c r="E33" s="7" t="s">
        <v>37</v>
      </c>
    </row>
    <row r="34" customFormat="false" ht="15" hidden="false" customHeight="false" outlineLevel="0" collapsed="false">
      <c r="A34" s="7" t="s">
        <v>83</v>
      </c>
      <c r="B34" s="7" t="s">
        <v>81</v>
      </c>
      <c r="C34" s="7" t="n">
        <v>7</v>
      </c>
      <c r="D34" s="7" t="n">
        <v>6</v>
      </c>
      <c r="E34" s="7" t="s">
        <v>37</v>
      </c>
    </row>
    <row r="35" customFormat="false" ht="15" hidden="false" customHeight="false" outlineLevel="0" collapsed="false">
      <c r="A35" s="7" t="s">
        <v>84</v>
      </c>
      <c r="B35" s="7" t="s">
        <v>81</v>
      </c>
      <c r="C35" s="7" t="n">
        <v>4</v>
      </c>
      <c r="D35" s="7" t="n">
        <v>4</v>
      </c>
      <c r="E35" s="7" t="s">
        <v>37</v>
      </c>
    </row>
    <row r="36" customFormat="false" ht="15" hidden="false" customHeight="false" outlineLevel="0" collapsed="false">
      <c r="A36" s="7" t="s">
        <v>85</v>
      </c>
      <c r="B36" s="7" t="s">
        <v>81</v>
      </c>
      <c r="C36" s="7" t="n">
        <v>18</v>
      </c>
      <c r="D36" s="7" t="n">
        <v>6</v>
      </c>
      <c r="E36" s="7" t="s">
        <v>86</v>
      </c>
    </row>
    <row r="37" customFormat="false" ht="15" hidden="false" customHeight="false" outlineLevel="0" collapsed="false">
      <c r="A37" s="7" t="s">
        <v>87</v>
      </c>
      <c r="B37" s="7" t="s">
        <v>81</v>
      </c>
      <c r="C37" s="7" t="n">
        <v>8</v>
      </c>
      <c r="D37" s="7" t="n">
        <v>7</v>
      </c>
      <c r="E37" s="7" t="s">
        <v>88</v>
      </c>
    </row>
    <row r="38" customFormat="false" ht="15" hidden="false" customHeight="false" outlineLevel="0" collapsed="false">
      <c r="A38" s="7" t="s">
        <v>89</v>
      </c>
      <c r="B38" s="7" t="s">
        <v>81</v>
      </c>
      <c r="C38" s="7" t="n">
        <v>30</v>
      </c>
      <c r="D38" s="7" t="n">
        <v>9</v>
      </c>
      <c r="E38" s="7" t="s">
        <v>90</v>
      </c>
    </row>
    <row r="39" customFormat="false" ht="15" hidden="false" customHeight="false" outlineLevel="0" collapsed="false">
      <c r="A39" s="7" t="s">
        <v>91</v>
      </c>
      <c r="B39" s="7" t="s">
        <v>72</v>
      </c>
      <c r="C39" s="7" t="n">
        <v>6</v>
      </c>
      <c r="D39" s="7" t="n">
        <v>6</v>
      </c>
      <c r="E39" s="7" t="s">
        <v>92</v>
      </c>
    </row>
    <row r="40" customFormat="false" ht="15" hidden="false" customHeight="false" outlineLevel="0" collapsed="false">
      <c r="A40" s="7" t="s">
        <v>93</v>
      </c>
      <c r="B40" s="7" t="s">
        <v>72</v>
      </c>
      <c r="C40" s="7" t="n">
        <v>6</v>
      </c>
      <c r="D40" s="7" t="n">
        <v>6</v>
      </c>
      <c r="E40" s="7" t="s">
        <v>94</v>
      </c>
    </row>
    <row r="41" customFormat="false" ht="15" hidden="false" customHeight="false" outlineLevel="0" collapsed="false">
      <c r="A41" s="7" t="s">
        <v>95</v>
      </c>
      <c r="B41" s="7" t="s">
        <v>72</v>
      </c>
      <c r="C41" s="7" t="n">
        <v>21</v>
      </c>
      <c r="D41" s="7" t="n">
        <v>8</v>
      </c>
      <c r="E41" s="7" t="s">
        <v>96</v>
      </c>
    </row>
    <row r="42" customFormat="false" ht="15" hidden="false" customHeight="false" outlineLevel="0" collapsed="false">
      <c r="A42" s="7" t="s">
        <v>97</v>
      </c>
      <c r="B42" s="7" t="s">
        <v>31</v>
      </c>
      <c r="C42" s="7" t="n">
        <v>12</v>
      </c>
      <c r="D42" s="7" t="n">
        <v>7</v>
      </c>
      <c r="E42" s="7" t="s">
        <v>98</v>
      </c>
    </row>
    <row r="43" customFormat="false" ht="15" hidden="false" customHeight="false" outlineLevel="0" collapsed="false">
      <c r="A43" s="7" t="s">
        <v>99</v>
      </c>
      <c r="B43" s="7" t="s">
        <v>34</v>
      </c>
      <c r="C43" s="7" t="n">
        <v>4</v>
      </c>
      <c r="D43" s="7" t="n">
        <v>4</v>
      </c>
      <c r="E43" s="7" t="s">
        <v>37</v>
      </c>
    </row>
    <row r="44" customFormat="false" ht="15" hidden="false" customHeight="false" outlineLevel="0" collapsed="false">
      <c r="A44" s="7" t="s">
        <v>100</v>
      </c>
      <c r="B44" s="7" t="s">
        <v>69</v>
      </c>
      <c r="C44" s="7" t="n">
        <v>15</v>
      </c>
      <c r="D44" s="7" t="n">
        <v>10</v>
      </c>
      <c r="E44" s="7" t="s">
        <v>101</v>
      </c>
    </row>
    <row r="45" customFormat="false" ht="15" hidden="false" customHeight="false" outlineLevel="0" collapsed="false">
      <c r="A45" s="7" t="s">
        <v>102</v>
      </c>
      <c r="B45" s="7" t="s">
        <v>103</v>
      </c>
      <c r="C45" s="7" t="n">
        <v>24</v>
      </c>
      <c r="D45" s="7" t="n">
        <v>2</v>
      </c>
      <c r="E45" s="7" t="s">
        <v>37</v>
      </c>
    </row>
    <row r="46" customFormat="false" ht="15" hidden="false" customHeight="false" outlineLevel="0" collapsed="false">
      <c r="A46" s="7" t="s">
        <v>104</v>
      </c>
      <c r="B46" s="7" t="s">
        <v>24</v>
      </c>
      <c r="C46" s="7" t="n">
        <v>16</v>
      </c>
      <c r="D46" s="7" t="n">
        <v>11</v>
      </c>
      <c r="E46" s="7" t="s">
        <v>105</v>
      </c>
    </row>
    <row r="47" customFormat="false" ht="15" hidden="false" customHeight="false" outlineLevel="0" collapsed="false">
      <c r="A47" s="7" t="s">
        <v>106</v>
      </c>
      <c r="B47" s="7" t="s">
        <v>72</v>
      </c>
      <c r="C47" s="7" t="n">
        <v>9</v>
      </c>
      <c r="D47" s="7" t="n">
        <v>7</v>
      </c>
      <c r="E47" s="7" t="s">
        <v>107</v>
      </c>
    </row>
    <row r="48" customFormat="false" ht="15" hidden="false" customHeight="false" outlineLevel="0" collapsed="false">
      <c r="A48" s="7" t="s">
        <v>108</v>
      </c>
      <c r="B48" s="7" t="s">
        <v>31</v>
      </c>
      <c r="C48" s="7" t="n">
        <v>9</v>
      </c>
      <c r="D48" s="7" t="n">
        <v>8</v>
      </c>
      <c r="E48" s="7" t="s">
        <v>109</v>
      </c>
    </row>
    <row r="49" customFormat="false" ht="15" hidden="false" customHeight="false" outlineLevel="0" collapsed="false">
      <c r="A49" s="7" t="s">
        <v>110</v>
      </c>
      <c r="B49" s="7" t="s">
        <v>31</v>
      </c>
      <c r="C49" s="7" t="n">
        <v>17</v>
      </c>
      <c r="D49" s="7" t="n">
        <v>10</v>
      </c>
      <c r="E49" s="7" t="s">
        <v>111</v>
      </c>
    </row>
    <row r="50" customFormat="false" ht="15" hidden="false" customHeight="false" outlineLevel="0" collapsed="false">
      <c r="A50" s="7" t="s">
        <v>112</v>
      </c>
      <c r="B50" s="7" t="s">
        <v>31</v>
      </c>
      <c r="C50" s="7" t="n">
        <v>8</v>
      </c>
      <c r="D50" s="7" t="n">
        <v>7</v>
      </c>
      <c r="E50" s="7" t="s">
        <v>37</v>
      </c>
    </row>
    <row r="51" customFormat="false" ht="15" hidden="false" customHeight="false" outlineLevel="0" collapsed="false">
      <c r="A51" s="7" t="s">
        <v>113</v>
      </c>
      <c r="B51" s="7" t="s">
        <v>66</v>
      </c>
      <c r="C51" s="7" t="n">
        <v>8</v>
      </c>
      <c r="D51" s="7" t="n">
        <v>6</v>
      </c>
      <c r="E51" s="7" t="s">
        <v>37</v>
      </c>
    </row>
    <row r="52" customFormat="false" ht="15" hidden="false" customHeight="false" outlineLevel="0" collapsed="false">
      <c r="A52" s="7" t="s">
        <v>114</v>
      </c>
      <c r="B52" s="7" t="s">
        <v>115</v>
      </c>
      <c r="C52" s="7" t="n">
        <v>5</v>
      </c>
      <c r="D52" s="7" t="n">
        <v>5</v>
      </c>
      <c r="E52" s="7" t="s">
        <v>116</v>
      </c>
    </row>
    <row r="53" customFormat="false" ht="15" hidden="false" customHeight="false" outlineLevel="0" collapsed="false">
      <c r="A53" s="7" t="s">
        <v>117</v>
      </c>
      <c r="B53" s="7" t="s">
        <v>31</v>
      </c>
      <c r="C53" s="7" t="n">
        <v>11</v>
      </c>
      <c r="D53" s="7" t="n">
        <v>6</v>
      </c>
      <c r="E53" s="7" t="s">
        <v>45</v>
      </c>
    </row>
    <row r="54" customFormat="false" ht="15" hidden="false" customHeight="false" outlineLevel="0" collapsed="false">
      <c r="A54" s="7" t="s">
        <v>118</v>
      </c>
      <c r="B54" s="7" t="s">
        <v>119</v>
      </c>
      <c r="C54" s="7" t="n">
        <v>8</v>
      </c>
      <c r="D54" s="7" t="n">
        <v>6</v>
      </c>
      <c r="E54" s="7" t="s">
        <v>120</v>
      </c>
    </row>
    <row r="55" customFormat="false" ht="15" hidden="false" customHeight="false" outlineLevel="0" collapsed="false">
      <c r="A55" s="7" t="s">
        <v>121</v>
      </c>
      <c r="B55" s="7" t="s">
        <v>69</v>
      </c>
      <c r="C55" s="7" t="n">
        <v>23</v>
      </c>
      <c r="D55" s="7" t="n">
        <v>6</v>
      </c>
      <c r="E55" s="7" t="s">
        <v>122</v>
      </c>
    </row>
    <row r="56" customFormat="false" ht="15" hidden="false" customHeight="false" outlineLevel="0" collapsed="false">
      <c r="A56" s="7" t="s">
        <v>123</v>
      </c>
      <c r="B56" s="7" t="s">
        <v>24</v>
      </c>
      <c r="C56" s="7" t="n">
        <v>8</v>
      </c>
      <c r="D56" s="7" t="n">
        <v>7</v>
      </c>
      <c r="E56" s="7" t="s">
        <v>37</v>
      </c>
    </row>
    <row r="57" customFormat="false" ht="15" hidden="false" customHeight="false" outlineLevel="0" collapsed="false">
      <c r="A57" s="7" t="s">
        <v>124</v>
      </c>
      <c r="B57" s="7" t="s">
        <v>31</v>
      </c>
      <c r="C57" s="7" t="n">
        <v>6</v>
      </c>
      <c r="D57" s="7" t="n">
        <v>6</v>
      </c>
      <c r="E57" s="7" t="s">
        <v>109</v>
      </c>
    </row>
    <row r="58" customFormat="false" ht="15" hidden="false" customHeight="false" outlineLevel="0" collapsed="false">
      <c r="A58" s="7" t="s">
        <v>125</v>
      </c>
      <c r="B58" s="7" t="s">
        <v>31</v>
      </c>
      <c r="C58" s="7" t="n">
        <v>8</v>
      </c>
      <c r="D58" s="7" t="n">
        <v>6</v>
      </c>
      <c r="E58" s="7" t="s">
        <v>126</v>
      </c>
    </row>
    <row r="59" customFormat="false" ht="15" hidden="false" customHeight="false" outlineLevel="0" collapsed="false">
      <c r="A59" s="7" t="s">
        <v>127</v>
      </c>
      <c r="B59" s="7" t="s">
        <v>31</v>
      </c>
      <c r="C59" s="7" t="n">
        <v>8</v>
      </c>
      <c r="D59" s="7" t="n">
        <v>5</v>
      </c>
      <c r="E59" s="7" t="s">
        <v>128</v>
      </c>
    </row>
    <row r="60" customFormat="false" ht="15" hidden="false" customHeight="false" outlineLevel="0" collapsed="false">
      <c r="A60" s="7" t="s">
        <v>129</v>
      </c>
      <c r="B60" s="7" t="s">
        <v>115</v>
      </c>
      <c r="C60" s="7" t="n">
        <v>9</v>
      </c>
      <c r="D60" s="7" t="n">
        <v>8</v>
      </c>
      <c r="E60" s="7" t="s">
        <v>128</v>
      </c>
    </row>
    <row r="61" customFormat="false" ht="15" hidden="false" customHeight="false" outlineLevel="0" collapsed="false">
      <c r="A61" s="7" t="s">
        <v>130</v>
      </c>
      <c r="B61" s="7" t="s">
        <v>115</v>
      </c>
      <c r="C61" s="7" t="n">
        <v>22</v>
      </c>
      <c r="D61" s="7" t="n">
        <v>9</v>
      </c>
      <c r="E61" s="7" t="s">
        <v>131</v>
      </c>
    </row>
    <row r="62" customFormat="false" ht="15" hidden="false" customHeight="false" outlineLevel="0" collapsed="false">
      <c r="A62" s="7" t="s">
        <v>132</v>
      </c>
      <c r="B62" s="7" t="s">
        <v>115</v>
      </c>
      <c r="C62" s="7" t="n">
        <v>3</v>
      </c>
      <c r="D62" s="7" t="n">
        <v>3</v>
      </c>
      <c r="E62" s="7" t="s">
        <v>37</v>
      </c>
    </row>
    <row r="63" customFormat="false" ht="15" hidden="false" customHeight="false" outlineLevel="0" collapsed="false">
      <c r="A63" s="7" t="s">
        <v>133</v>
      </c>
      <c r="B63" s="7" t="s">
        <v>115</v>
      </c>
      <c r="C63" s="7" t="n">
        <v>11</v>
      </c>
      <c r="D63" s="7" t="n">
        <v>7</v>
      </c>
      <c r="E63" s="7" t="s">
        <v>131</v>
      </c>
    </row>
    <row r="64" customFormat="false" ht="15" hidden="false" customHeight="false" outlineLevel="0" collapsed="false">
      <c r="A64" s="7" t="s">
        <v>134</v>
      </c>
      <c r="B64" s="7" t="s">
        <v>115</v>
      </c>
      <c r="C64" s="7" t="n">
        <v>15</v>
      </c>
      <c r="D64" s="7" t="n">
        <v>11</v>
      </c>
      <c r="E64" s="7" t="s">
        <v>135</v>
      </c>
    </row>
    <row r="65" customFormat="false" ht="15" hidden="false" customHeight="false" outlineLevel="0" collapsed="false">
      <c r="A65" s="7" t="s">
        <v>136</v>
      </c>
      <c r="B65" s="7" t="s">
        <v>115</v>
      </c>
      <c r="C65" s="7" t="n">
        <v>8</v>
      </c>
      <c r="D65" s="7" t="n">
        <v>7</v>
      </c>
      <c r="E65" s="7" t="s">
        <v>128</v>
      </c>
    </row>
    <row r="66" customFormat="false" ht="15" hidden="false" customHeight="false" outlineLevel="0" collapsed="false">
      <c r="A66" s="7" t="s">
        <v>137</v>
      </c>
      <c r="B66" s="7" t="s">
        <v>115</v>
      </c>
      <c r="C66" s="7" t="n">
        <v>6</v>
      </c>
      <c r="D66" s="7" t="n">
        <v>6</v>
      </c>
      <c r="E66" s="7" t="s">
        <v>37</v>
      </c>
    </row>
    <row r="67" customFormat="false" ht="15" hidden="false" customHeight="false" outlineLevel="0" collapsed="false">
      <c r="A67" s="7" t="s">
        <v>138</v>
      </c>
      <c r="B67" s="7" t="s">
        <v>115</v>
      </c>
      <c r="C67" s="7" t="n">
        <v>6</v>
      </c>
      <c r="D67" s="7" t="n">
        <v>6</v>
      </c>
      <c r="E67" s="7" t="s">
        <v>139</v>
      </c>
    </row>
    <row r="68" customFormat="false" ht="15" hidden="false" customHeight="false" outlineLevel="0" collapsed="false">
      <c r="A68" s="7" t="s">
        <v>140</v>
      </c>
      <c r="B68" s="7" t="s">
        <v>115</v>
      </c>
      <c r="C68" s="7" t="n">
        <v>35</v>
      </c>
      <c r="D68" s="7" t="n">
        <v>7</v>
      </c>
      <c r="E68" s="7" t="s">
        <v>141</v>
      </c>
    </row>
    <row r="69" customFormat="false" ht="15" hidden="false" customHeight="false" outlineLevel="0" collapsed="false">
      <c r="A69" s="7" t="s">
        <v>142</v>
      </c>
      <c r="B69" s="7" t="s">
        <v>115</v>
      </c>
      <c r="C69" s="7" t="n">
        <v>21</v>
      </c>
      <c r="D69" s="7" t="n">
        <v>9</v>
      </c>
      <c r="E69" s="7" t="s">
        <v>143</v>
      </c>
    </row>
    <row r="70" customFormat="false" ht="15" hidden="false" customHeight="false" outlineLevel="0" collapsed="false">
      <c r="A70" s="7" t="s">
        <v>144</v>
      </c>
      <c r="B70" s="7" t="s">
        <v>115</v>
      </c>
      <c r="C70" s="7" t="n">
        <v>15</v>
      </c>
      <c r="D70" s="7" t="n">
        <v>9</v>
      </c>
      <c r="E70" s="7" t="s">
        <v>116</v>
      </c>
    </row>
    <row r="71" customFormat="false" ht="15" hidden="false" customHeight="false" outlineLevel="0" collapsed="false">
      <c r="A71" s="7" t="s">
        <v>145</v>
      </c>
      <c r="B71" s="7" t="s">
        <v>115</v>
      </c>
      <c r="C71" s="7" t="n">
        <v>16</v>
      </c>
      <c r="D71" s="7" t="n">
        <v>13</v>
      </c>
      <c r="E71" s="7" t="s">
        <v>128</v>
      </c>
    </row>
    <row r="72" customFormat="false" ht="15" hidden="false" customHeight="false" outlineLevel="0" collapsed="false">
      <c r="A72" s="7" t="s">
        <v>146</v>
      </c>
      <c r="B72" s="7" t="s">
        <v>115</v>
      </c>
      <c r="C72" s="7" t="n">
        <v>12</v>
      </c>
      <c r="D72" s="7" t="n">
        <v>8</v>
      </c>
      <c r="E72" s="7" t="s">
        <v>116</v>
      </c>
    </row>
    <row r="73" customFormat="false" ht="15" hidden="false" customHeight="false" outlineLevel="0" collapsed="false">
      <c r="A73" s="7" t="s">
        <v>147</v>
      </c>
      <c r="B73" s="7" t="s">
        <v>36</v>
      </c>
      <c r="C73" s="7" t="n">
        <v>6</v>
      </c>
      <c r="D73" s="7" t="n">
        <v>6</v>
      </c>
      <c r="E73" s="7" t="s">
        <v>37</v>
      </c>
    </row>
    <row r="74" customFormat="false" ht="15" hidden="false" customHeight="false" outlineLevel="0" collapsed="false">
      <c r="A74" s="7" t="s">
        <v>148</v>
      </c>
      <c r="B74" s="7" t="s">
        <v>34</v>
      </c>
      <c r="C74" s="7" t="n">
        <v>10</v>
      </c>
      <c r="D74" s="7" t="n">
        <v>6</v>
      </c>
      <c r="E74" s="7" t="s">
        <v>37</v>
      </c>
    </row>
    <row r="75" customFormat="false" ht="15" hidden="false" customHeight="false" outlineLevel="0" collapsed="false">
      <c r="A75" s="7" t="s">
        <v>149</v>
      </c>
      <c r="B75" s="7" t="s">
        <v>34</v>
      </c>
      <c r="C75" s="7" t="n">
        <v>18</v>
      </c>
      <c r="D75" s="7" t="n">
        <v>11</v>
      </c>
      <c r="E75" s="7" t="s">
        <v>37</v>
      </c>
    </row>
    <row r="76" customFormat="false" ht="15" hidden="false" customHeight="false" outlineLevel="0" collapsed="false">
      <c r="A76" s="7" t="s">
        <v>150</v>
      </c>
      <c r="B76" s="7" t="s">
        <v>69</v>
      </c>
      <c r="C76" s="7" t="n">
        <v>6</v>
      </c>
      <c r="D76" s="7" t="n">
        <v>6</v>
      </c>
      <c r="E76" s="7" t="s">
        <v>37</v>
      </c>
    </row>
    <row r="77" customFormat="false" ht="15" hidden="false" customHeight="false" outlineLevel="0" collapsed="false">
      <c r="A77" s="7" t="s">
        <v>151</v>
      </c>
      <c r="B77" s="7" t="s">
        <v>34</v>
      </c>
      <c r="C77" s="7" t="n">
        <v>9</v>
      </c>
      <c r="D77" s="7" t="n">
        <v>6</v>
      </c>
      <c r="E77" s="7" t="s">
        <v>37</v>
      </c>
    </row>
    <row r="78" customFormat="false" ht="15" hidden="false" customHeight="false" outlineLevel="0" collapsed="false">
      <c r="A78" s="7" t="s">
        <v>152</v>
      </c>
      <c r="B78" s="7" t="s">
        <v>69</v>
      </c>
      <c r="C78" s="7" t="n">
        <v>8</v>
      </c>
      <c r="D78" s="7" t="n">
        <v>5</v>
      </c>
      <c r="E78" s="7" t="s">
        <v>153</v>
      </c>
    </row>
    <row r="79" customFormat="false" ht="15" hidden="false" customHeight="false" outlineLevel="0" collapsed="false">
      <c r="A79" s="7" t="s">
        <v>154</v>
      </c>
      <c r="B79" s="7" t="s">
        <v>31</v>
      </c>
      <c r="C79" s="7" t="n">
        <v>13</v>
      </c>
      <c r="D79" s="7" t="n">
        <v>10</v>
      </c>
      <c r="E79" s="7" t="s">
        <v>155</v>
      </c>
    </row>
    <row r="80" customFormat="false" ht="15" hidden="false" customHeight="false" outlineLevel="0" collapsed="false">
      <c r="A80" s="7" t="s">
        <v>156</v>
      </c>
      <c r="B80" s="7" t="s">
        <v>34</v>
      </c>
      <c r="C80" s="7" t="n">
        <v>8</v>
      </c>
      <c r="D80" s="7" t="n">
        <v>7</v>
      </c>
      <c r="E80" s="7"/>
    </row>
    <row r="81" customFormat="false" ht="15" hidden="false" customHeight="false" outlineLevel="0" collapsed="false">
      <c r="A81" s="7" t="s">
        <v>157</v>
      </c>
      <c r="B81" s="7" t="s">
        <v>66</v>
      </c>
      <c r="C81" s="7" t="n">
        <v>5</v>
      </c>
      <c r="D81" s="7" t="n">
        <v>5</v>
      </c>
      <c r="E81" s="7" t="s">
        <v>37</v>
      </c>
    </row>
    <row r="82" customFormat="false" ht="15" hidden="false" customHeight="false" outlineLevel="0" collapsed="false">
      <c r="A82" s="7" t="s">
        <v>158</v>
      </c>
      <c r="B82" s="7" t="s">
        <v>69</v>
      </c>
      <c r="C82" s="7" t="n">
        <v>10</v>
      </c>
      <c r="D82" s="7" t="n">
        <v>6</v>
      </c>
      <c r="E82" s="7" t="s">
        <v>159</v>
      </c>
    </row>
    <row r="83" customFormat="false" ht="15" hidden="false" customHeight="false" outlineLevel="0" collapsed="false">
      <c r="A83" s="7" t="s">
        <v>160</v>
      </c>
      <c r="B83" s="7" t="s">
        <v>24</v>
      </c>
      <c r="C83" s="7" t="n">
        <v>15</v>
      </c>
      <c r="D83" s="7" t="n">
        <v>9</v>
      </c>
      <c r="E83" s="7" t="s">
        <v>161</v>
      </c>
    </row>
    <row r="84" customFormat="false" ht="15" hidden="false" customHeight="false" outlineLevel="0" collapsed="false">
      <c r="A84" s="7" t="s">
        <v>162</v>
      </c>
      <c r="B84" s="7" t="s">
        <v>119</v>
      </c>
      <c r="C84" s="7" t="n">
        <v>6</v>
      </c>
      <c r="D84" s="7" t="n">
        <v>6</v>
      </c>
      <c r="E84" s="7" t="s">
        <v>163</v>
      </c>
    </row>
    <row r="85" customFormat="false" ht="15" hidden="false" customHeight="false" outlineLevel="0" collapsed="false">
      <c r="A85" s="7" t="s">
        <v>164</v>
      </c>
      <c r="B85" s="7" t="s">
        <v>119</v>
      </c>
      <c r="C85" s="7" t="n">
        <v>11</v>
      </c>
      <c r="D85" s="7" t="n">
        <v>8</v>
      </c>
      <c r="E85" s="7" t="s">
        <v>165</v>
      </c>
    </row>
    <row r="86" customFormat="false" ht="15" hidden="false" customHeight="false" outlineLevel="0" collapsed="false">
      <c r="A86" s="7" t="s">
        <v>166</v>
      </c>
      <c r="B86" s="7" t="s">
        <v>119</v>
      </c>
      <c r="C86" s="7" t="n">
        <v>15</v>
      </c>
      <c r="D86" s="7" t="n">
        <v>9</v>
      </c>
      <c r="E86" s="7" t="s">
        <v>128</v>
      </c>
    </row>
    <row r="87" customFormat="false" ht="15" hidden="false" customHeight="false" outlineLevel="0" collapsed="false">
      <c r="A87" s="7" t="s">
        <v>167</v>
      </c>
      <c r="B87" s="7" t="s">
        <v>66</v>
      </c>
      <c r="C87" s="7" t="n">
        <v>16</v>
      </c>
      <c r="D87" s="7" t="n">
        <v>7</v>
      </c>
      <c r="E87" s="7" t="s">
        <v>168</v>
      </c>
    </row>
    <row r="88" customFormat="false" ht="15" hidden="false" customHeight="false" outlineLevel="0" collapsed="false">
      <c r="A88" s="7" t="s">
        <v>169</v>
      </c>
      <c r="B88" s="7" t="s">
        <v>24</v>
      </c>
      <c r="C88" s="7" t="n">
        <v>7</v>
      </c>
      <c r="D88" s="7" t="n">
        <v>6</v>
      </c>
      <c r="E88" s="7"/>
    </row>
    <row r="89" customFormat="false" ht="15" hidden="false" customHeight="false" outlineLevel="0" collapsed="false">
      <c r="A89" s="7" t="s">
        <v>170</v>
      </c>
      <c r="B89" s="7" t="s">
        <v>69</v>
      </c>
      <c r="C89" s="7" t="n">
        <v>10</v>
      </c>
      <c r="D89" s="7" t="n">
        <v>5</v>
      </c>
      <c r="E89" s="7" t="s">
        <v>171</v>
      </c>
    </row>
    <row r="90" customFormat="false" ht="15" hidden="false" customHeight="false" outlineLevel="0" collapsed="false">
      <c r="A90" s="7" t="s">
        <v>172</v>
      </c>
      <c r="B90" s="7" t="s">
        <v>69</v>
      </c>
      <c r="C90" s="7" t="n">
        <v>7</v>
      </c>
      <c r="D90" s="7" t="n">
        <v>6</v>
      </c>
      <c r="E90" s="7" t="s">
        <v>173</v>
      </c>
    </row>
    <row r="91" customFormat="false" ht="15" hidden="false" customHeight="false" outlineLevel="0" collapsed="false">
      <c r="A91" s="7" t="s">
        <v>174</v>
      </c>
      <c r="B91" s="7" t="s">
        <v>175</v>
      </c>
      <c r="C91" s="7" t="n">
        <v>11</v>
      </c>
      <c r="D91" s="7" t="n">
        <v>8</v>
      </c>
      <c r="E91" s="7" t="s">
        <v>176</v>
      </c>
    </row>
    <row r="92" customFormat="false" ht="15" hidden="false" customHeight="false" outlineLevel="0" collapsed="false">
      <c r="A92" s="7" t="s">
        <v>177</v>
      </c>
      <c r="B92" s="7" t="s">
        <v>175</v>
      </c>
      <c r="C92" s="7" t="n">
        <v>7</v>
      </c>
      <c r="D92" s="7" t="n">
        <v>5</v>
      </c>
      <c r="E92" s="7" t="s">
        <v>178</v>
      </c>
    </row>
    <row r="93" customFormat="false" ht="15" hidden="false" customHeight="false" outlineLevel="0" collapsed="false">
      <c r="A93" s="7" t="s">
        <v>179</v>
      </c>
      <c r="B93" s="7" t="s">
        <v>175</v>
      </c>
      <c r="C93" s="7" t="n">
        <v>10</v>
      </c>
      <c r="D93" s="7" t="n">
        <v>10</v>
      </c>
      <c r="E93" s="7" t="s">
        <v>180</v>
      </c>
    </row>
    <row r="94" customFormat="false" ht="15" hidden="false" customHeight="false" outlineLevel="0" collapsed="false">
      <c r="A94" s="7" t="s">
        <v>181</v>
      </c>
      <c r="B94" s="7" t="s">
        <v>175</v>
      </c>
      <c r="C94" s="7" t="n">
        <v>6</v>
      </c>
      <c r="D94" s="7" t="n">
        <v>4</v>
      </c>
      <c r="E94" s="7" t="s">
        <v>182</v>
      </c>
    </row>
    <row r="95" customFormat="false" ht="15" hidden="false" customHeight="false" outlineLevel="0" collapsed="false">
      <c r="A95" s="7" t="s">
        <v>183</v>
      </c>
      <c r="B95" s="7" t="s">
        <v>175</v>
      </c>
      <c r="C95" s="7" t="n">
        <v>7</v>
      </c>
      <c r="D95" s="7" t="n">
        <v>4</v>
      </c>
      <c r="E95" s="7" t="s">
        <v>184</v>
      </c>
    </row>
    <row r="96" customFormat="false" ht="15" hidden="false" customHeight="false" outlineLevel="0" collapsed="false">
      <c r="A96" s="7" t="s">
        <v>185</v>
      </c>
      <c r="B96" s="7" t="s">
        <v>175</v>
      </c>
      <c r="C96" s="7" t="n">
        <v>15</v>
      </c>
      <c r="D96" s="7" t="n">
        <v>11</v>
      </c>
      <c r="E96" s="7" t="s">
        <v>109</v>
      </c>
    </row>
    <row r="97" customFormat="false" ht="15" hidden="false" customHeight="false" outlineLevel="0" collapsed="false">
      <c r="A97" s="7" t="s">
        <v>186</v>
      </c>
      <c r="B97" s="7" t="s">
        <v>66</v>
      </c>
      <c r="C97" s="7" t="n">
        <v>7</v>
      </c>
      <c r="D97" s="7" t="n">
        <v>7</v>
      </c>
      <c r="E97" s="7" t="s">
        <v>187</v>
      </c>
    </row>
    <row r="98" customFormat="false" ht="15" hidden="false" customHeight="false" outlineLevel="0" collapsed="false">
      <c r="A98" s="7" t="s">
        <v>188</v>
      </c>
      <c r="B98" s="7" t="s">
        <v>66</v>
      </c>
      <c r="C98" s="7" t="n">
        <v>9</v>
      </c>
      <c r="D98" s="7" t="n">
        <v>6</v>
      </c>
      <c r="E98" s="7" t="s">
        <v>189</v>
      </c>
    </row>
    <row r="99" customFormat="false" ht="15" hidden="false" customHeight="false" outlineLevel="0" collapsed="false">
      <c r="A99" s="7" t="s">
        <v>190</v>
      </c>
      <c r="B99" s="7" t="s">
        <v>66</v>
      </c>
      <c r="C99" s="7" t="n">
        <v>7</v>
      </c>
      <c r="D99" s="7" t="n">
        <v>5</v>
      </c>
      <c r="E99" s="7" t="s">
        <v>191</v>
      </c>
    </row>
    <row r="100" customFormat="false" ht="15" hidden="false" customHeight="false" outlineLevel="0" collapsed="false">
      <c r="A100" s="7" t="s">
        <v>192</v>
      </c>
      <c r="B100" s="7" t="s">
        <v>66</v>
      </c>
      <c r="C100" s="7" t="n">
        <v>6</v>
      </c>
      <c r="D100" s="7" t="n">
        <v>5</v>
      </c>
      <c r="E100" s="7" t="s">
        <v>193</v>
      </c>
    </row>
    <row r="101" customFormat="false" ht="15" hidden="false" customHeight="false" outlineLevel="0" collapsed="false">
      <c r="A101" s="7" t="s">
        <v>194</v>
      </c>
      <c r="B101" s="7" t="s">
        <v>66</v>
      </c>
      <c r="C101" s="7" t="n">
        <v>7</v>
      </c>
      <c r="D101" s="7" t="n">
        <v>5</v>
      </c>
      <c r="E101" s="7" t="s">
        <v>195</v>
      </c>
    </row>
    <row r="102" customFormat="false" ht="15" hidden="false" customHeight="false" outlineLevel="0" collapsed="false">
      <c r="A102" s="7" t="s">
        <v>196</v>
      </c>
      <c r="B102" s="7" t="s">
        <v>66</v>
      </c>
      <c r="C102" s="7" t="n">
        <v>16</v>
      </c>
      <c r="D102" s="7" t="n">
        <v>6</v>
      </c>
      <c r="E102" s="7" t="s">
        <v>197</v>
      </c>
    </row>
    <row r="103" customFormat="false" ht="15" hidden="false" customHeight="false" outlineLevel="0" collapsed="false">
      <c r="A103" s="7" t="s">
        <v>191</v>
      </c>
      <c r="B103" s="7" t="s">
        <v>66</v>
      </c>
      <c r="C103" s="7" t="n">
        <v>36</v>
      </c>
      <c r="D103" s="7" t="n">
        <v>10</v>
      </c>
      <c r="E103" s="7" t="s">
        <v>198</v>
      </c>
    </row>
    <row r="104" customFormat="false" ht="15" hidden="false" customHeight="false" outlineLevel="0" collapsed="false">
      <c r="A104" s="7" t="s">
        <v>199</v>
      </c>
      <c r="B104" s="7" t="s">
        <v>66</v>
      </c>
      <c r="C104" s="7" t="n">
        <v>8</v>
      </c>
      <c r="D104" s="7" t="n">
        <v>6</v>
      </c>
      <c r="E104" s="7" t="s">
        <v>37</v>
      </c>
    </row>
    <row r="105" customFormat="false" ht="15" hidden="false" customHeight="false" outlineLevel="0" collapsed="false">
      <c r="A105" s="7" t="s">
        <v>200</v>
      </c>
      <c r="B105" s="7" t="s">
        <v>36</v>
      </c>
      <c r="C105" s="7" t="n">
        <v>8</v>
      </c>
      <c r="D105" s="7" t="n">
        <v>4</v>
      </c>
      <c r="E105" s="7" t="s">
        <v>37</v>
      </c>
    </row>
    <row r="106" customFormat="false" ht="15" hidden="false" customHeight="false" outlineLevel="0" collapsed="false">
      <c r="A106" s="7" t="s">
        <v>201</v>
      </c>
      <c r="B106" s="7" t="s">
        <v>69</v>
      </c>
      <c r="C106" s="7" t="n">
        <v>12</v>
      </c>
      <c r="D106" s="7" t="n">
        <v>8</v>
      </c>
      <c r="E106" s="7" t="s">
        <v>202</v>
      </c>
    </row>
    <row r="107" customFormat="false" ht="15" hidden="false" customHeight="false" outlineLevel="0" collapsed="false">
      <c r="A107" s="7" t="s">
        <v>203</v>
      </c>
      <c r="B107" s="7" t="s">
        <v>36</v>
      </c>
      <c r="C107" s="7" t="n">
        <v>14</v>
      </c>
      <c r="D107" s="7" t="n">
        <v>9</v>
      </c>
      <c r="E107" s="7" t="s">
        <v>204</v>
      </c>
    </row>
    <row r="108" customFormat="false" ht="15" hidden="false" customHeight="false" outlineLevel="0" collapsed="false">
      <c r="A108" s="7" t="s">
        <v>205</v>
      </c>
      <c r="B108" s="7" t="s">
        <v>36</v>
      </c>
      <c r="C108" s="7" t="n">
        <v>15</v>
      </c>
      <c r="D108" s="7" t="n">
        <v>10</v>
      </c>
      <c r="E108" s="7" t="s">
        <v>206</v>
      </c>
    </row>
    <row r="109" customFormat="false" ht="15" hidden="false" customHeight="false" outlineLevel="0" collapsed="false">
      <c r="A109" s="7" t="s">
        <v>207</v>
      </c>
      <c r="B109" s="7" t="s">
        <v>36</v>
      </c>
      <c r="C109" s="7" t="n">
        <v>6</v>
      </c>
      <c r="D109" s="7" t="n">
        <v>5</v>
      </c>
      <c r="E109" s="7" t="s">
        <v>208</v>
      </c>
    </row>
    <row r="110" customFormat="false" ht="15" hidden="false" customHeight="false" outlineLevel="0" collapsed="false">
      <c r="A110" s="7" t="s">
        <v>209</v>
      </c>
      <c r="B110" s="7" t="s">
        <v>36</v>
      </c>
      <c r="C110" s="7" t="n">
        <v>11</v>
      </c>
      <c r="D110" s="7" t="n">
        <v>7</v>
      </c>
      <c r="E110" s="7" t="s">
        <v>37</v>
      </c>
    </row>
    <row r="111" customFormat="false" ht="15" hidden="false" customHeight="false" outlineLevel="0" collapsed="false">
      <c r="A111" s="7" t="s">
        <v>210</v>
      </c>
      <c r="B111" s="7" t="s">
        <v>119</v>
      </c>
      <c r="C111" s="7" t="n">
        <v>8</v>
      </c>
      <c r="D111" s="7" t="n">
        <v>6</v>
      </c>
      <c r="E111" s="7" t="s">
        <v>211</v>
      </c>
    </row>
    <row r="112" customFormat="false" ht="15" hidden="false" customHeight="false" outlineLevel="0" collapsed="false">
      <c r="A112" s="7" t="s">
        <v>212</v>
      </c>
      <c r="B112" s="7" t="s">
        <v>119</v>
      </c>
      <c r="C112" s="7" t="n">
        <v>7</v>
      </c>
      <c r="D112" s="7" t="n">
        <v>6</v>
      </c>
      <c r="E112" s="7" t="s">
        <v>37</v>
      </c>
    </row>
    <row r="113" customFormat="false" ht="15" hidden="false" customHeight="false" outlineLevel="0" collapsed="false">
      <c r="A113" s="7" t="s">
        <v>213</v>
      </c>
      <c r="B113" s="7" t="s">
        <v>31</v>
      </c>
      <c r="C113" s="7" t="n">
        <v>10</v>
      </c>
      <c r="D113" s="7" t="n">
        <v>9</v>
      </c>
      <c r="E113" s="7" t="s">
        <v>214</v>
      </c>
    </row>
    <row r="114" customFormat="false" ht="15" hidden="false" customHeight="false" outlineLevel="0" collapsed="false">
      <c r="A114" s="7" t="s">
        <v>215</v>
      </c>
      <c r="B114" s="7" t="s">
        <v>119</v>
      </c>
      <c r="C114" s="7" t="n">
        <v>4</v>
      </c>
      <c r="D114" s="7" t="n">
        <v>3</v>
      </c>
      <c r="E114" s="7" t="s">
        <v>216</v>
      </c>
    </row>
    <row r="115" customFormat="false" ht="15" hidden="false" customHeight="false" outlineLevel="0" collapsed="false">
      <c r="A115" s="7" t="s">
        <v>217</v>
      </c>
      <c r="B115" s="7" t="s">
        <v>119</v>
      </c>
      <c r="C115" s="7" t="n">
        <v>16</v>
      </c>
      <c r="D115" s="7" t="n">
        <v>9</v>
      </c>
      <c r="E115" s="7" t="s">
        <v>218</v>
      </c>
    </row>
    <row r="116" customFormat="false" ht="15" hidden="false" customHeight="false" outlineLevel="0" collapsed="false">
      <c r="A116" s="7" t="s">
        <v>219</v>
      </c>
      <c r="B116" s="7" t="s">
        <v>220</v>
      </c>
      <c r="C116" s="7" t="n">
        <v>19</v>
      </c>
      <c r="D116" s="7" t="n">
        <v>10</v>
      </c>
      <c r="E116" s="7" t="s">
        <v>221</v>
      </c>
    </row>
    <row r="117" customFormat="false" ht="15" hidden="false" customHeight="false" outlineLevel="0" collapsed="false">
      <c r="A117" s="7" t="s">
        <v>222</v>
      </c>
      <c r="B117" s="7" t="s">
        <v>220</v>
      </c>
      <c r="C117" s="7" t="n">
        <v>11</v>
      </c>
      <c r="D117" s="7" t="n">
        <v>7</v>
      </c>
      <c r="E117" s="7" t="s">
        <v>223</v>
      </c>
    </row>
    <row r="118" customFormat="false" ht="15" hidden="false" customHeight="false" outlineLevel="0" collapsed="false">
      <c r="A118" s="7" t="s">
        <v>224</v>
      </c>
      <c r="B118" s="7" t="s">
        <v>220</v>
      </c>
      <c r="C118" s="7" t="n">
        <v>7</v>
      </c>
      <c r="D118" s="7" t="n">
        <v>6</v>
      </c>
      <c r="E118" s="7" t="s">
        <v>37</v>
      </c>
    </row>
    <row r="119" customFormat="false" ht="15" hidden="false" customHeight="false" outlineLevel="0" collapsed="false">
      <c r="A119" s="7" t="s">
        <v>225</v>
      </c>
      <c r="B119" s="7" t="s">
        <v>220</v>
      </c>
      <c r="C119" s="7" t="n">
        <v>17</v>
      </c>
      <c r="D119" s="7" t="n">
        <v>6</v>
      </c>
      <c r="E119" s="7" t="s">
        <v>226</v>
      </c>
    </row>
    <row r="120" customFormat="false" ht="15" hidden="false" customHeight="false" outlineLevel="0" collapsed="false">
      <c r="A120" s="7" t="s">
        <v>227</v>
      </c>
      <c r="B120" s="7" t="s">
        <v>34</v>
      </c>
      <c r="C120" s="7" t="n">
        <v>5</v>
      </c>
      <c r="D120" s="7" t="n">
        <v>4</v>
      </c>
      <c r="E120" s="7" t="s">
        <v>37</v>
      </c>
    </row>
    <row r="121" customFormat="false" ht="15" hidden="false" customHeight="false" outlineLevel="0" collapsed="false">
      <c r="A121" s="7" t="s">
        <v>228</v>
      </c>
      <c r="B121" s="7" t="s">
        <v>69</v>
      </c>
      <c r="C121" s="7" t="n">
        <v>5</v>
      </c>
      <c r="D121" s="7" t="n">
        <v>5</v>
      </c>
      <c r="E121" s="7" t="s">
        <v>229</v>
      </c>
    </row>
    <row r="122" customFormat="false" ht="15" hidden="false" customHeight="false" outlineLevel="0" collapsed="false">
      <c r="A122" s="7" t="s">
        <v>230</v>
      </c>
      <c r="B122" s="7" t="s">
        <v>69</v>
      </c>
      <c r="C122" s="7" t="n">
        <v>6</v>
      </c>
      <c r="D122" s="7" t="n">
        <v>5</v>
      </c>
      <c r="E122" s="7" t="s">
        <v>37</v>
      </c>
    </row>
    <row r="123" customFormat="false" ht="15" hidden="false" customHeight="false" outlineLevel="0" collapsed="false">
      <c r="A123" s="7" t="s">
        <v>231</v>
      </c>
      <c r="B123" s="7" t="s">
        <v>69</v>
      </c>
      <c r="C123" s="7" t="n">
        <v>9</v>
      </c>
      <c r="D123" s="7" t="n">
        <v>5</v>
      </c>
      <c r="E123" s="7" t="s">
        <v>75</v>
      </c>
    </row>
    <row r="124" customFormat="false" ht="15" hidden="false" customHeight="false" outlineLevel="0" collapsed="false">
      <c r="A124" s="7" t="s">
        <v>232</v>
      </c>
      <c r="B124" s="7" t="s">
        <v>66</v>
      </c>
      <c r="C124" s="7" t="n">
        <v>13</v>
      </c>
      <c r="D124" s="7" t="n">
        <v>5</v>
      </c>
      <c r="E124" s="7" t="s">
        <v>233</v>
      </c>
    </row>
    <row r="125" customFormat="false" ht="15" hidden="false" customHeight="false" outlineLevel="0" collapsed="false">
      <c r="A125" s="7" t="s">
        <v>234</v>
      </c>
      <c r="B125" s="7" t="s">
        <v>235</v>
      </c>
      <c r="C125" s="7" t="n">
        <v>4</v>
      </c>
      <c r="D125" s="7" t="n">
        <v>4</v>
      </c>
      <c r="E125" s="7" t="s">
        <v>37</v>
      </c>
    </row>
    <row r="126" customFormat="false" ht="15" hidden="false" customHeight="false" outlineLevel="0" collapsed="false">
      <c r="A126" s="7" t="s">
        <v>236</v>
      </c>
      <c r="B126" s="7" t="s">
        <v>235</v>
      </c>
      <c r="C126" s="7" t="n">
        <v>7</v>
      </c>
      <c r="D126" s="7" t="n">
        <v>7</v>
      </c>
      <c r="E126" s="7" t="s">
        <v>37</v>
      </c>
    </row>
    <row r="127" customFormat="false" ht="15" hidden="false" customHeight="false" outlineLevel="0" collapsed="false">
      <c r="A127" s="7" t="s">
        <v>237</v>
      </c>
      <c r="B127" s="7" t="s">
        <v>115</v>
      </c>
      <c r="C127" s="7" t="n">
        <v>9</v>
      </c>
      <c r="D127" s="7" t="n">
        <v>8</v>
      </c>
      <c r="E127" s="7" t="s">
        <v>37</v>
      </c>
    </row>
    <row r="128" customFormat="false" ht="15" hidden="false" customHeight="false" outlineLevel="0" collapsed="false">
      <c r="A128" s="7" t="s">
        <v>238</v>
      </c>
      <c r="B128" s="7" t="s">
        <v>115</v>
      </c>
      <c r="C128" s="7" t="n">
        <v>9</v>
      </c>
      <c r="D128" s="7" t="n">
        <v>8</v>
      </c>
      <c r="E128" s="7" t="s">
        <v>131</v>
      </c>
    </row>
    <row r="129" customFormat="false" ht="15" hidden="false" customHeight="false" outlineLevel="0" collapsed="false">
      <c r="A129" s="7" t="s">
        <v>239</v>
      </c>
      <c r="B129" s="7" t="s">
        <v>69</v>
      </c>
      <c r="C129" s="7" t="n">
        <v>12</v>
      </c>
      <c r="D129" s="7" t="n">
        <v>7</v>
      </c>
      <c r="E129" s="7" t="s">
        <v>240</v>
      </c>
    </row>
    <row r="130" customFormat="false" ht="15" hidden="false" customHeight="false" outlineLevel="0" collapsed="false">
      <c r="A130" s="7" t="s">
        <v>241</v>
      </c>
      <c r="B130" s="7" t="s">
        <v>24</v>
      </c>
      <c r="C130" s="7" t="n">
        <v>10</v>
      </c>
      <c r="D130" s="7" t="n">
        <v>7</v>
      </c>
      <c r="E130" s="7" t="s">
        <v>37</v>
      </c>
    </row>
    <row r="131" customFormat="false" ht="15" hidden="false" customHeight="false" outlineLevel="0" collapsed="false">
      <c r="A131" s="7" t="s">
        <v>242</v>
      </c>
      <c r="B131" s="7" t="s">
        <v>72</v>
      </c>
      <c r="C131" s="7" t="n">
        <v>17</v>
      </c>
      <c r="D131" s="7" t="n">
        <v>8</v>
      </c>
      <c r="E131" s="7" t="s">
        <v>243</v>
      </c>
    </row>
    <row r="132" customFormat="false" ht="15" hidden="false" customHeight="false" outlineLevel="0" collapsed="false">
      <c r="A132" s="7" t="s">
        <v>244</v>
      </c>
      <c r="B132" s="7" t="s">
        <v>72</v>
      </c>
      <c r="C132" s="7" t="n">
        <v>33</v>
      </c>
      <c r="D132" s="7" t="n">
        <v>12</v>
      </c>
      <c r="E132" s="7" t="s">
        <v>245</v>
      </c>
    </row>
    <row r="133" customFormat="false" ht="15" hidden="false" customHeight="false" outlineLevel="0" collapsed="false">
      <c r="A133" s="7" t="s">
        <v>246</v>
      </c>
      <c r="B133" s="7" t="s">
        <v>31</v>
      </c>
      <c r="C133" s="7" t="n">
        <v>15</v>
      </c>
      <c r="D133" s="7" t="n">
        <v>12</v>
      </c>
      <c r="E133" s="7" t="s">
        <v>247</v>
      </c>
    </row>
    <row r="134" customFormat="false" ht="15" hidden="false" customHeight="false" outlineLevel="0" collapsed="false">
      <c r="A134" s="7" t="s">
        <v>248</v>
      </c>
      <c r="B134" s="7" t="s">
        <v>24</v>
      </c>
      <c r="C134" s="7" t="n">
        <v>4</v>
      </c>
      <c r="D134" s="7" t="n">
        <v>3</v>
      </c>
      <c r="E134" s="7" t="s">
        <v>105</v>
      </c>
    </row>
    <row r="135" customFormat="false" ht="15" hidden="false" customHeight="false" outlineLevel="0" collapsed="false">
      <c r="A135" s="7" t="s">
        <v>37</v>
      </c>
      <c r="B135" s="7" t="s">
        <v>24</v>
      </c>
      <c r="C135" s="7" t="n">
        <v>11</v>
      </c>
      <c r="D135" s="7" t="n">
        <v>9</v>
      </c>
      <c r="E135" s="7" t="s">
        <v>249</v>
      </c>
    </row>
  </sheetData>
  <autoFilter ref="A1:E1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26"/>
    <col collapsed="false" customWidth="true" hidden="false" outlineLevel="0" max="11" min="11" style="0" width="60"/>
    <col collapsed="false" customWidth="true" hidden="false" outlineLevel="0" max="12" min="12" style="0" width="14"/>
    <col collapsed="false" customWidth="true" hidden="false" outlineLevel="0" max="13" min="13" style="0" width="18"/>
  </cols>
  <sheetData>
    <row r="1" customFormat="false" ht="26.85" hidden="false" customHeight="false" outlineLevel="0" collapsed="false">
      <c r="A1" s="6" t="s">
        <v>250</v>
      </c>
      <c r="B1" s="6" t="s">
        <v>18</v>
      </c>
      <c r="C1" s="6" t="s">
        <v>19</v>
      </c>
      <c r="D1" s="6" t="s">
        <v>251</v>
      </c>
      <c r="E1" s="6" t="s">
        <v>252</v>
      </c>
      <c r="F1" s="6" t="s">
        <v>253</v>
      </c>
      <c r="G1" s="6" t="s">
        <v>254</v>
      </c>
      <c r="H1" s="6" t="s">
        <v>255</v>
      </c>
      <c r="I1" s="6" t="s">
        <v>256</v>
      </c>
      <c r="J1" s="6" t="s">
        <v>22</v>
      </c>
      <c r="K1" s="6" t="s">
        <v>257</v>
      </c>
      <c r="L1" s="6" t="s">
        <v>258</v>
      </c>
      <c r="M1" s="6" t="s">
        <v>259</v>
      </c>
    </row>
    <row r="2" customFormat="false" ht="15" hidden="false" customHeight="false" outlineLevel="0" collapsed="false">
      <c r="A2" s="7" t="str">
        <f aca="false">B2&amp;"."&amp;E2</f>
        <v>acesso_telas.tela</v>
      </c>
      <c r="B2" s="7" t="s">
        <v>23</v>
      </c>
      <c r="C2" s="7" t="s">
        <v>24</v>
      </c>
      <c r="D2" s="7" t="n">
        <v>1</v>
      </c>
      <c r="E2" s="7" t="s">
        <v>260</v>
      </c>
      <c r="F2" s="7" t="s">
        <v>261</v>
      </c>
      <c r="G2" s="7" t="s">
        <v>262</v>
      </c>
      <c r="H2" s="7"/>
      <c r="I2" s="7" t="s">
        <v>263</v>
      </c>
      <c r="J2" s="7"/>
      <c r="K2" s="7"/>
      <c r="L2" s="7" t="str">
        <f aca="false">IFERROR(VLOOKUP(IF(ISNUMBER(SEARCH("(",F2)),LEFT(F2,SEARCH("(",F2)-1),F2),Tipos!$A:$B,2,FALSE()),"outro")</f>
        <v>texto</v>
      </c>
      <c r="M2" s="7" t="str">
        <f aca="false">IF(COUNTIF(Comparação!$H:$H,A2)&gt;0,"sim",IF(AND(G2="sim",H2=""),"FALTA (obrigatória)","não"))</f>
        <v>FALTA (obrigatória)</v>
      </c>
    </row>
    <row r="3" customFormat="false" ht="15" hidden="false" customHeight="false" outlineLevel="0" collapsed="false">
      <c r="A3" s="7" t="str">
        <f aca="false">B3&amp;"."&amp;E3</f>
        <v>acesso_telas.modulo</v>
      </c>
      <c r="B3" s="7" t="s">
        <v>23</v>
      </c>
      <c r="C3" s="7" t="s">
        <v>24</v>
      </c>
      <c r="D3" s="7" t="n">
        <v>2</v>
      </c>
      <c r="E3" s="7" t="s">
        <v>264</v>
      </c>
      <c r="F3" s="7" t="s">
        <v>261</v>
      </c>
      <c r="G3" s="7" t="s">
        <v>262</v>
      </c>
      <c r="H3" s="7"/>
      <c r="I3" s="7"/>
      <c r="J3" s="7"/>
      <c r="K3" s="7"/>
      <c r="L3" s="7" t="str">
        <f aca="false">IFERROR(VLOOKUP(IF(ISNUMBER(SEARCH("(",F3)),LEFT(F3,SEARCH("(",F3)-1),F3),Tipos!$A:$B,2,FALSE()),"outro")</f>
        <v>texto</v>
      </c>
      <c r="M3" s="7" t="str">
        <f aca="false">IF(COUNTIF(Comparação!$H:$H,A3)&gt;0,"sim",IF(AND(G3="sim",H3=""),"FALTA (obrigatória)","não"))</f>
        <v>FALTA (obrigatória)</v>
      </c>
    </row>
    <row r="4" customFormat="false" ht="15" hidden="false" customHeight="false" outlineLevel="0" collapsed="false">
      <c r="A4" s="7" t="str">
        <f aca="false">B4&amp;"."&amp;E4</f>
        <v>acesso_telas.nome</v>
      </c>
      <c r="B4" s="7" t="s">
        <v>23</v>
      </c>
      <c r="C4" s="7" t="s">
        <v>24</v>
      </c>
      <c r="D4" s="7" t="n">
        <v>3</v>
      </c>
      <c r="E4" s="7" t="s">
        <v>265</v>
      </c>
      <c r="F4" s="7" t="s">
        <v>261</v>
      </c>
      <c r="G4" s="7" t="s">
        <v>262</v>
      </c>
      <c r="H4" s="7"/>
      <c r="I4" s="7"/>
      <c r="J4" s="7"/>
      <c r="K4" s="7"/>
      <c r="L4" s="7" t="str">
        <f aca="false">IFERROR(VLOOKUP(IF(ISNUMBER(SEARCH("(",F4)),LEFT(F4,SEARCH("(",F4)-1),F4),Tipos!$A:$B,2,FALSE()),"outro")</f>
        <v>texto</v>
      </c>
      <c r="M4" s="7" t="str">
        <f aca="false">IF(COUNTIF(Comparação!$H:$H,A4)&gt;0,"sim",IF(AND(G4="sim",H4=""),"FALTA (obrigatória)","não"))</f>
        <v>FALTA (obrigatória)</v>
      </c>
    </row>
    <row r="5" customFormat="false" ht="15" hidden="false" customHeight="false" outlineLevel="0" collapsed="false">
      <c r="A5" s="7" t="str">
        <f aca="false">B5&amp;"."&amp;E5</f>
        <v>acesso_telas.grupo</v>
      </c>
      <c r="B5" s="7" t="s">
        <v>23</v>
      </c>
      <c r="C5" s="7" t="s">
        <v>24</v>
      </c>
      <c r="D5" s="7" t="n">
        <v>4</v>
      </c>
      <c r="E5" s="7" t="s">
        <v>266</v>
      </c>
      <c r="F5" s="7" t="s">
        <v>261</v>
      </c>
      <c r="G5" s="7" t="s">
        <v>267</v>
      </c>
      <c r="H5" s="7"/>
      <c r="I5" s="7"/>
      <c r="J5" s="7"/>
      <c r="K5" s="7"/>
      <c r="L5" s="7" t="str">
        <f aca="false">IFERROR(VLOOKUP(IF(ISNUMBER(SEARCH("(",F5)),LEFT(F5,SEARCH("(",F5)-1),F5),Tipos!$A:$B,2,FALSE()),"outro")</f>
        <v>texto</v>
      </c>
      <c r="M5" s="7" t="str">
        <f aca="false">IF(COUNTIF(Comparação!$H:$H,A5)&gt;0,"sim",IF(AND(G5="sim",H5=""),"FALTA (obrigatória)","não"))</f>
        <v>não</v>
      </c>
    </row>
    <row r="6" customFormat="false" ht="15" hidden="false" customHeight="false" outlineLevel="0" collapsed="false">
      <c r="A6" s="7" t="str">
        <f aca="false">B6&amp;"."&amp;E6</f>
        <v>acesso_telas.ordem</v>
      </c>
      <c r="B6" s="7" t="s">
        <v>23</v>
      </c>
      <c r="C6" s="7" t="s">
        <v>24</v>
      </c>
      <c r="D6" s="7" t="n">
        <v>5</v>
      </c>
      <c r="E6" s="7" t="s">
        <v>268</v>
      </c>
      <c r="F6" s="7" t="s">
        <v>269</v>
      </c>
      <c r="G6" s="7" t="s">
        <v>262</v>
      </c>
      <c r="H6" s="7" t="s">
        <v>270</v>
      </c>
      <c r="I6" s="7"/>
      <c r="J6" s="7"/>
      <c r="K6" s="7"/>
      <c r="L6" s="7" t="str">
        <f aca="false">IFERROR(VLOOKUP(IF(ISNUMBER(SEARCH("(",F6)),LEFT(F6,SEARCH("(",F6)-1),F6),Tipos!$A:$B,2,FALSE()),"outro")</f>
        <v>inteiro</v>
      </c>
      <c r="M6" s="7" t="str">
        <f aca="false">IF(COUNTIF(Comparação!$H:$H,A6)&gt;0,"sim",IF(AND(G6="sim",H6=""),"FALTA (obrigatória)","não"))</f>
        <v>não</v>
      </c>
    </row>
    <row r="7" customFormat="false" ht="15" hidden="false" customHeight="false" outlineLevel="0" collapsed="false">
      <c r="A7" s="7" t="str">
        <f aca="false">B7&amp;"."&amp;E7</f>
        <v>aluno_historico.id</v>
      </c>
      <c r="B7" s="7" t="s">
        <v>25</v>
      </c>
      <c r="C7" s="7" t="s">
        <v>26</v>
      </c>
      <c r="D7" s="7" t="n">
        <v>1</v>
      </c>
      <c r="E7" s="7" t="s">
        <v>271</v>
      </c>
      <c r="F7" s="7" t="s">
        <v>272</v>
      </c>
      <c r="G7" s="7" t="s">
        <v>262</v>
      </c>
      <c r="H7" s="7" t="s">
        <v>273</v>
      </c>
      <c r="I7" s="7" t="s">
        <v>263</v>
      </c>
      <c r="J7" s="7"/>
      <c r="K7" s="7"/>
      <c r="L7" s="7" t="str">
        <f aca="false">IFERROR(VLOOKUP(IF(ISNUMBER(SEARCH("(",F7)),LEFT(F7,SEARCH("(",F7)-1),F7),Tipos!$A:$B,2,FALSE()),"outro")</f>
        <v>uuid</v>
      </c>
      <c r="M7" s="7" t="str">
        <f aca="false">IF(COUNTIF(Comparação!$H:$H,A7)&gt;0,"sim",IF(AND(G7="sim",H7=""),"FALTA (obrigatória)","não"))</f>
        <v>não</v>
      </c>
    </row>
    <row r="8" customFormat="false" ht="15" hidden="false" customHeight="false" outlineLevel="0" collapsed="false">
      <c r="A8" s="7" t="str">
        <f aca="false">B8&amp;"."&amp;E8</f>
        <v>aluno_historico.workspace_id</v>
      </c>
      <c r="B8" s="7" t="s">
        <v>25</v>
      </c>
      <c r="C8" s="7" t="s">
        <v>26</v>
      </c>
      <c r="D8" s="7" t="n">
        <v>2</v>
      </c>
      <c r="E8" s="7" t="s">
        <v>274</v>
      </c>
      <c r="F8" s="7" t="s">
        <v>272</v>
      </c>
      <c r="G8" s="7" t="s">
        <v>262</v>
      </c>
      <c r="H8" s="7"/>
      <c r="I8" s="7"/>
      <c r="J8" s="7" t="s">
        <v>275</v>
      </c>
      <c r="K8" s="7"/>
      <c r="L8" s="7" t="str">
        <f aca="false">IFERROR(VLOOKUP(IF(ISNUMBER(SEARCH("(",F8)),LEFT(F8,SEARCH("(",F8)-1),F8),Tipos!$A:$B,2,FALSE()),"outro")</f>
        <v>uuid</v>
      </c>
      <c r="M8" s="7" t="str">
        <f aca="false">IF(COUNTIF(Comparação!$H:$H,A8)&gt;0,"sim",IF(AND(G8="sim",H8=""),"FALTA (obrigatória)","não"))</f>
        <v>FALTA (obrigatória)</v>
      </c>
    </row>
    <row r="9" customFormat="false" ht="15" hidden="false" customHeight="false" outlineLevel="0" collapsed="false">
      <c r="A9" s="7" t="str">
        <f aca="false">B9&amp;"."&amp;E9</f>
        <v>aluno_historico.aluno_id</v>
      </c>
      <c r="B9" s="7" t="s">
        <v>25</v>
      </c>
      <c r="C9" s="7" t="s">
        <v>26</v>
      </c>
      <c r="D9" s="7" t="n">
        <v>3</v>
      </c>
      <c r="E9" s="7" t="s">
        <v>276</v>
      </c>
      <c r="F9" s="7" t="s">
        <v>272</v>
      </c>
      <c r="G9" s="7" t="s">
        <v>262</v>
      </c>
      <c r="H9" s="7"/>
      <c r="I9" s="7"/>
      <c r="J9" s="7" t="s">
        <v>277</v>
      </c>
      <c r="K9" s="7"/>
      <c r="L9" s="7" t="str">
        <f aca="false">IFERROR(VLOOKUP(IF(ISNUMBER(SEARCH("(",F9)),LEFT(F9,SEARCH("(",F9)-1),F9),Tipos!$A:$B,2,FALSE()),"outro")</f>
        <v>uuid</v>
      </c>
      <c r="M9" s="7" t="str">
        <f aca="false">IF(COUNTIF(Comparação!$H:$H,A9)&gt;0,"sim",IF(AND(G9="sim",H9=""),"FALTA (obrigatória)","não"))</f>
        <v>FALTA (obrigatória)</v>
      </c>
    </row>
    <row r="10" customFormat="false" ht="15" hidden="false" customHeight="false" outlineLevel="0" collapsed="false">
      <c r="A10" s="7" t="str">
        <f aca="false">B10&amp;"."&amp;E10</f>
        <v>aluno_historico.pessoa_id</v>
      </c>
      <c r="B10" s="7" t="s">
        <v>25</v>
      </c>
      <c r="C10" s="7" t="s">
        <v>26</v>
      </c>
      <c r="D10" s="7" t="n">
        <v>4</v>
      </c>
      <c r="E10" s="7" t="s">
        <v>278</v>
      </c>
      <c r="F10" s="7" t="s">
        <v>272</v>
      </c>
      <c r="G10" s="7" t="s">
        <v>267</v>
      </c>
      <c r="H10" s="7"/>
      <c r="I10" s="7"/>
      <c r="J10" s="7" t="s">
        <v>279</v>
      </c>
      <c r="K10" s="7"/>
      <c r="L10" s="7" t="str">
        <f aca="false">IFERROR(VLOOKUP(IF(ISNUMBER(SEARCH("(",F10)),LEFT(F10,SEARCH("(",F10)-1),F10),Tipos!$A:$B,2,FALSE()),"outro")</f>
        <v>uuid</v>
      </c>
      <c r="M10" s="7" t="str">
        <f aca="false">IF(COUNTIF(Comparação!$H:$H,A10)&gt;0,"sim",IF(AND(G10="sim",H10=""),"FALTA (obrigatória)","não"))</f>
        <v>não</v>
      </c>
    </row>
    <row r="11" customFormat="false" ht="15" hidden="false" customHeight="false" outlineLevel="0" collapsed="false">
      <c r="A11" s="7" t="str">
        <f aca="false">B11&amp;"."&amp;E11</f>
        <v>aluno_historico.tipo</v>
      </c>
      <c r="B11" s="7" t="s">
        <v>25</v>
      </c>
      <c r="C11" s="7" t="s">
        <v>26</v>
      </c>
      <c r="D11" s="7" t="n">
        <v>5</v>
      </c>
      <c r="E11" s="7" t="s">
        <v>280</v>
      </c>
      <c r="F11" s="7" t="s">
        <v>261</v>
      </c>
      <c r="G11" s="7" t="s">
        <v>262</v>
      </c>
      <c r="H11" s="7"/>
      <c r="I11" s="7"/>
      <c r="J11" s="7"/>
      <c r="K11" s="7" t="s">
        <v>281</v>
      </c>
      <c r="L11" s="7" t="str">
        <f aca="false">IFERROR(VLOOKUP(IF(ISNUMBER(SEARCH("(",F11)),LEFT(F11,SEARCH("(",F11)-1),F11),Tipos!$A:$B,2,FALSE()),"outro")</f>
        <v>texto</v>
      </c>
      <c r="M11" s="7" t="str">
        <f aca="false">IF(COUNTIF(Comparação!$H:$H,A11)&gt;0,"sim",IF(AND(G11="sim",H11=""),"FALTA (obrigatória)","não"))</f>
        <v>FALTA (obrigatória)</v>
      </c>
    </row>
    <row r="12" customFormat="false" ht="15" hidden="false" customHeight="false" outlineLevel="0" collapsed="false">
      <c r="A12" s="7" t="str">
        <f aca="false">B12&amp;"."&amp;E12</f>
        <v>aluno_historico.etapa_kanban_id</v>
      </c>
      <c r="B12" s="7" t="s">
        <v>25</v>
      </c>
      <c r="C12" s="7" t="s">
        <v>26</v>
      </c>
      <c r="D12" s="7" t="n">
        <v>6</v>
      </c>
      <c r="E12" s="7" t="s">
        <v>282</v>
      </c>
      <c r="F12" s="7" t="s">
        <v>272</v>
      </c>
      <c r="G12" s="7" t="s">
        <v>267</v>
      </c>
      <c r="H12" s="7"/>
      <c r="I12" s="7"/>
      <c r="J12" s="7" t="s">
        <v>283</v>
      </c>
      <c r="K12" s="7"/>
      <c r="L12" s="7" t="str">
        <f aca="false">IFERROR(VLOOKUP(IF(ISNUMBER(SEARCH("(",F12)),LEFT(F12,SEARCH("(",F12)-1),F12),Tipos!$A:$B,2,FALSE()),"outro")</f>
        <v>uuid</v>
      </c>
      <c r="M12" s="7" t="str">
        <f aca="false">IF(COUNTIF(Comparação!$H:$H,A12)&gt;0,"sim",IF(AND(G12="sim",H12=""),"FALTA (obrigatória)","não"))</f>
        <v>não</v>
      </c>
    </row>
    <row r="13" customFormat="false" ht="15" hidden="false" customHeight="false" outlineLevel="0" collapsed="false">
      <c r="A13" s="7" t="str">
        <f aca="false">B13&amp;"."&amp;E13</f>
        <v>aluno_historico.em</v>
      </c>
      <c r="B13" s="7" t="s">
        <v>25</v>
      </c>
      <c r="C13" s="7" t="s">
        <v>26</v>
      </c>
      <c r="D13" s="7" t="n">
        <v>7</v>
      </c>
      <c r="E13" s="7" t="s">
        <v>284</v>
      </c>
      <c r="F13" s="7" t="s">
        <v>285</v>
      </c>
      <c r="G13" s="7" t="s">
        <v>262</v>
      </c>
      <c r="H13" s="7" t="s">
        <v>286</v>
      </c>
      <c r="I13" s="7"/>
      <c r="J13" s="7"/>
      <c r="K13" s="7"/>
      <c r="L13" s="7" t="str">
        <f aca="false">IFERROR(VLOOKUP(IF(ISNUMBER(SEARCH("(",F13)),LEFT(F13,SEARCH("(",F13)-1),F13),Tipos!$A:$B,2,FALSE()),"outro")</f>
        <v>data e hora</v>
      </c>
      <c r="M13" s="7" t="str">
        <f aca="false">IF(COUNTIF(Comparação!$H:$H,A13)&gt;0,"sim",IF(AND(G13="sim",H13=""),"FALTA (obrigatória)","não"))</f>
        <v>não</v>
      </c>
    </row>
    <row r="14" customFormat="false" ht="15" hidden="false" customHeight="false" outlineLevel="0" collapsed="false">
      <c r="A14" s="7" t="str">
        <f aca="false">B14&amp;"."&amp;E14</f>
        <v>alunos.id</v>
      </c>
      <c r="B14" s="7" t="s">
        <v>28</v>
      </c>
      <c r="C14" s="7" t="s">
        <v>26</v>
      </c>
      <c r="D14" s="7" t="n">
        <v>1</v>
      </c>
      <c r="E14" s="7" t="s">
        <v>271</v>
      </c>
      <c r="F14" s="7" t="s">
        <v>272</v>
      </c>
      <c r="G14" s="7" t="s">
        <v>262</v>
      </c>
      <c r="H14" s="7" t="s">
        <v>273</v>
      </c>
      <c r="I14" s="7" t="s">
        <v>263</v>
      </c>
      <c r="J14" s="7"/>
      <c r="K14" s="7"/>
      <c r="L14" s="7" t="str">
        <f aca="false">IFERROR(VLOOKUP(IF(ISNUMBER(SEARCH("(",F14)),LEFT(F14,SEARCH("(",F14)-1),F14),Tipos!$A:$B,2,FALSE()),"outro")</f>
        <v>uuid</v>
      </c>
      <c r="M14" s="7" t="str">
        <f aca="false">IF(COUNTIF(Comparação!$H:$H,A14)&gt;0,"sim",IF(AND(G14="sim",H14=""),"FALTA (obrigatória)","não"))</f>
        <v>não</v>
      </c>
    </row>
    <row r="15" customFormat="false" ht="15" hidden="false" customHeight="false" outlineLevel="0" collapsed="false">
      <c r="A15" s="7" t="str">
        <f aca="false">B15&amp;"."&amp;E15</f>
        <v>alunos.workspace_id</v>
      </c>
      <c r="B15" s="7" t="s">
        <v>28</v>
      </c>
      <c r="C15" s="7" t="s">
        <v>26</v>
      </c>
      <c r="D15" s="7" t="n">
        <v>2</v>
      </c>
      <c r="E15" s="7" t="s">
        <v>274</v>
      </c>
      <c r="F15" s="7" t="s">
        <v>272</v>
      </c>
      <c r="G15" s="7" t="s">
        <v>262</v>
      </c>
      <c r="H15" s="7"/>
      <c r="I15" s="7"/>
      <c r="J15" s="7" t="s">
        <v>275</v>
      </c>
      <c r="K15" s="7"/>
      <c r="L15" s="7" t="str">
        <f aca="false">IFERROR(VLOOKUP(IF(ISNUMBER(SEARCH("(",F15)),LEFT(F15,SEARCH("(",F15)-1),F15),Tipos!$A:$B,2,FALSE()),"outro")</f>
        <v>uuid</v>
      </c>
      <c r="M15" s="7" t="str">
        <f aca="false">IF(COUNTIF(Comparação!$H:$H,A15)&gt;0,"sim",IF(AND(G15="sim",H15=""),"FALTA (obrigatória)","não"))</f>
        <v>FALTA (obrigatória)</v>
      </c>
    </row>
    <row r="16" customFormat="false" ht="15" hidden="false" customHeight="false" outlineLevel="0" collapsed="false">
      <c r="A16" s="7" t="str">
        <f aca="false">B16&amp;"."&amp;E16</f>
        <v>alunos.pessoa_id</v>
      </c>
      <c r="B16" s="7" t="s">
        <v>28</v>
      </c>
      <c r="C16" s="7" t="s">
        <v>26</v>
      </c>
      <c r="D16" s="7" t="n">
        <v>3</v>
      </c>
      <c r="E16" s="7" t="s">
        <v>278</v>
      </c>
      <c r="F16" s="7" t="s">
        <v>272</v>
      </c>
      <c r="G16" s="7" t="s">
        <v>262</v>
      </c>
      <c r="H16" s="7"/>
      <c r="I16" s="7"/>
      <c r="J16" s="7" t="s">
        <v>279</v>
      </c>
      <c r="K16" s="7"/>
      <c r="L16" s="7" t="str">
        <f aca="false">IFERROR(VLOOKUP(IF(ISNUMBER(SEARCH("(",F16)),LEFT(F16,SEARCH("(",F16)-1),F16),Tipos!$A:$B,2,FALSE()),"outro")</f>
        <v>uuid</v>
      </c>
      <c r="M16" s="7" t="str">
        <f aca="false">IF(COUNTIF(Comparação!$H:$H,A16)&gt;0,"sim",IF(AND(G16="sim",H16=""),"FALTA (obrigatória)","não"))</f>
        <v>FALTA (obrigatória)</v>
      </c>
    </row>
    <row r="17" customFormat="false" ht="15" hidden="false" customHeight="false" outlineLevel="0" collapsed="false">
      <c r="A17" s="7" t="str">
        <f aca="false">B17&amp;"."&amp;E17</f>
        <v>alunos.produto_id</v>
      </c>
      <c r="B17" s="7" t="s">
        <v>28</v>
      </c>
      <c r="C17" s="7" t="s">
        <v>26</v>
      </c>
      <c r="D17" s="7" t="n">
        <v>4</v>
      </c>
      <c r="E17" s="7" t="s">
        <v>287</v>
      </c>
      <c r="F17" s="7" t="s">
        <v>272</v>
      </c>
      <c r="G17" s="7" t="s">
        <v>262</v>
      </c>
      <c r="H17" s="7"/>
      <c r="I17" s="7"/>
      <c r="J17" s="7" t="s">
        <v>288</v>
      </c>
      <c r="K17" s="7"/>
      <c r="L17" s="7" t="str">
        <f aca="false">IFERROR(VLOOKUP(IF(ISNUMBER(SEARCH("(",F17)),LEFT(F17,SEARCH("(",F17)-1),F17),Tipos!$A:$B,2,FALSE()),"outro")</f>
        <v>uuid</v>
      </c>
      <c r="M17" s="7" t="str">
        <f aca="false">IF(COUNTIF(Comparação!$H:$H,A17)&gt;0,"sim",IF(AND(G17="sim",H17=""),"FALTA (obrigatória)","não"))</f>
        <v>FALTA (obrigatória)</v>
      </c>
    </row>
    <row r="18" customFormat="false" ht="15" hidden="false" customHeight="false" outlineLevel="0" collapsed="false">
      <c r="A18" s="7" t="str">
        <f aca="false">B18&amp;"."&amp;E18</f>
        <v>alunos.venda_id</v>
      </c>
      <c r="B18" s="7" t="s">
        <v>28</v>
      </c>
      <c r="C18" s="7" t="s">
        <v>26</v>
      </c>
      <c r="D18" s="7" t="n">
        <v>5</v>
      </c>
      <c r="E18" s="7" t="s">
        <v>289</v>
      </c>
      <c r="F18" s="7" t="s">
        <v>272</v>
      </c>
      <c r="G18" s="7" t="s">
        <v>267</v>
      </c>
      <c r="H18" s="7"/>
      <c r="I18" s="7" t="s">
        <v>290</v>
      </c>
      <c r="J18" s="7" t="s">
        <v>291</v>
      </c>
      <c r="K18" s="7"/>
      <c r="L18" s="7" t="str">
        <f aca="false">IFERROR(VLOOKUP(IF(ISNUMBER(SEARCH("(",F18)),LEFT(F18,SEARCH("(",F18)-1),F18),Tipos!$A:$B,2,FALSE()),"outro")</f>
        <v>uuid</v>
      </c>
      <c r="M18" s="7" t="str">
        <f aca="false">IF(COUNTIF(Comparação!$H:$H,A18)&gt;0,"sim",IF(AND(G18="sim",H18=""),"FALTA (obrigatória)","não"))</f>
        <v>não</v>
      </c>
    </row>
    <row r="19" customFormat="false" ht="15" hidden="false" customHeight="false" outlineLevel="0" collapsed="false">
      <c r="A19" s="7" t="str">
        <f aca="false">B19&amp;"."&amp;E19</f>
        <v>alunos.tag</v>
      </c>
      <c r="B19" s="7" t="s">
        <v>28</v>
      </c>
      <c r="C19" s="7" t="s">
        <v>26</v>
      </c>
      <c r="D19" s="7" t="n">
        <v>6</v>
      </c>
      <c r="E19" s="7" t="s">
        <v>292</v>
      </c>
      <c r="F19" s="7" t="s">
        <v>261</v>
      </c>
      <c r="G19" s="7" t="s">
        <v>262</v>
      </c>
      <c r="H19" s="7"/>
      <c r="I19" s="7"/>
      <c r="J19" s="7"/>
      <c r="K19" s="7"/>
      <c r="L19" s="7" t="str">
        <f aca="false">IFERROR(VLOOKUP(IF(ISNUMBER(SEARCH("(",F19)),LEFT(F19,SEARCH("(",F19)-1),F19),Tipos!$A:$B,2,FALSE()),"outro")</f>
        <v>texto</v>
      </c>
      <c r="M19" s="7" t="str">
        <f aca="false">IF(COUNTIF(Comparação!$H:$H,A19)&gt;0,"sim",IF(AND(G19="sim",H19=""),"FALTA (obrigatória)","não"))</f>
        <v>FALTA (obrigatória)</v>
      </c>
    </row>
    <row r="20" customFormat="false" ht="15" hidden="false" customHeight="false" outlineLevel="0" collapsed="false">
      <c r="A20" s="7" t="str">
        <f aca="false">B20&amp;"."&amp;E20</f>
        <v>alunos.etapa_kanban_id</v>
      </c>
      <c r="B20" s="7" t="s">
        <v>28</v>
      </c>
      <c r="C20" s="7" t="s">
        <v>26</v>
      </c>
      <c r="D20" s="7" t="n">
        <v>7</v>
      </c>
      <c r="E20" s="7" t="s">
        <v>282</v>
      </c>
      <c r="F20" s="7" t="s">
        <v>272</v>
      </c>
      <c r="G20" s="7" t="s">
        <v>267</v>
      </c>
      <c r="H20" s="7"/>
      <c r="I20" s="7"/>
      <c r="J20" s="7" t="s">
        <v>283</v>
      </c>
      <c r="K20" s="7"/>
      <c r="L20" s="7" t="str">
        <f aca="false">IFERROR(VLOOKUP(IF(ISNUMBER(SEARCH("(",F20)),LEFT(F20,SEARCH("(",F20)-1),F20),Tipos!$A:$B,2,FALSE()),"outro")</f>
        <v>uuid</v>
      </c>
      <c r="M20" s="7" t="str">
        <f aca="false">IF(COUNTIF(Comparação!$H:$H,A20)&gt;0,"sim",IF(AND(G20="sim",H20=""),"FALTA (obrigatória)","não"))</f>
        <v>não</v>
      </c>
    </row>
    <row r="21" customFormat="false" ht="15" hidden="false" customHeight="false" outlineLevel="0" collapsed="false">
      <c r="A21" s="7" t="str">
        <f aca="false">B21&amp;"."&amp;E21</f>
        <v>alunos.status</v>
      </c>
      <c r="B21" s="7" t="s">
        <v>28</v>
      </c>
      <c r="C21" s="7" t="s">
        <v>26</v>
      </c>
      <c r="D21" s="7" t="n">
        <v>8</v>
      </c>
      <c r="E21" s="7" t="s">
        <v>293</v>
      </c>
      <c r="F21" s="7" t="s">
        <v>261</v>
      </c>
      <c r="G21" s="7" t="s">
        <v>262</v>
      </c>
      <c r="H21" s="7" t="s">
        <v>294</v>
      </c>
      <c r="I21" s="7"/>
      <c r="J21" s="7"/>
      <c r="K21" s="7" t="s">
        <v>295</v>
      </c>
      <c r="L21" s="7" t="str">
        <f aca="false">IFERROR(VLOOKUP(IF(ISNUMBER(SEARCH("(",F21)),LEFT(F21,SEARCH("(",F21)-1),F21),Tipos!$A:$B,2,FALSE()),"outro")</f>
        <v>texto</v>
      </c>
      <c r="M21" s="7" t="str">
        <f aca="false">IF(COUNTIF(Comparação!$H:$H,A21)&gt;0,"sim",IF(AND(G21="sim",H21=""),"FALTA (obrigatória)","não"))</f>
        <v>não</v>
      </c>
    </row>
    <row r="22" customFormat="false" ht="15" hidden="false" customHeight="false" outlineLevel="0" collapsed="false">
      <c r="A22" s="7" t="str">
        <f aca="false">B22&amp;"."&amp;E22</f>
        <v>alunos.entrou_em</v>
      </c>
      <c r="B22" s="7" t="s">
        <v>28</v>
      </c>
      <c r="C22" s="7" t="s">
        <v>26</v>
      </c>
      <c r="D22" s="7" t="n">
        <v>9</v>
      </c>
      <c r="E22" s="7" t="s">
        <v>296</v>
      </c>
      <c r="F22" s="7" t="s">
        <v>285</v>
      </c>
      <c r="G22" s="7" t="s">
        <v>262</v>
      </c>
      <c r="H22" s="7" t="s">
        <v>286</v>
      </c>
      <c r="I22" s="7"/>
      <c r="J22" s="7"/>
      <c r="K22" s="7"/>
      <c r="L22" s="7" t="str">
        <f aca="false">IFERROR(VLOOKUP(IF(ISNUMBER(SEARCH("(",F22)),LEFT(F22,SEARCH("(",F22)-1),F22),Tipos!$A:$B,2,FALSE()),"outro")</f>
        <v>data e hora</v>
      </c>
      <c r="M22" s="7" t="str">
        <f aca="false">IF(COUNTIF(Comparação!$H:$H,A22)&gt;0,"sim",IF(AND(G22="sim",H22=""),"FALTA (obrigatória)","não"))</f>
        <v>não</v>
      </c>
    </row>
    <row r="23" customFormat="false" ht="15" hidden="false" customHeight="false" outlineLevel="0" collapsed="false">
      <c r="A23" s="7" t="str">
        <f aca="false">B23&amp;"."&amp;E23</f>
        <v>alunos.saiu_em</v>
      </c>
      <c r="B23" s="7" t="s">
        <v>28</v>
      </c>
      <c r="C23" s="7" t="s">
        <v>26</v>
      </c>
      <c r="D23" s="7" t="n">
        <v>10</v>
      </c>
      <c r="E23" s="7" t="s">
        <v>297</v>
      </c>
      <c r="F23" s="7" t="s">
        <v>285</v>
      </c>
      <c r="G23" s="7" t="s">
        <v>267</v>
      </c>
      <c r="H23" s="7"/>
      <c r="I23" s="7"/>
      <c r="J23" s="7"/>
      <c r="K23" s="7"/>
      <c r="L23" s="7" t="str">
        <f aca="false">IFERROR(VLOOKUP(IF(ISNUMBER(SEARCH("(",F23)),LEFT(F23,SEARCH("(",F23)-1),F23),Tipos!$A:$B,2,FALSE()),"outro")</f>
        <v>data e hora</v>
      </c>
      <c r="M23" s="7" t="str">
        <f aca="false">IF(COUNTIF(Comparação!$H:$H,A23)&gt;0,"sim",IF(AND(G23="sim",H23=""),"FALTA (obrigatória)","não"))</f>
        <v>não</v>
      </c>
    </row>
    <row r="24" customFormat="false" ht="15" hidden="false" customHeight="false" outlineLevel="0" collapsed="false">
      <c r="A24" s="7" t="str">
        <f aca="false">B24&amp;"."&amp;E24</f>
        <v>alunos.responsavel_cs_id</v>
      </c>
      <c r="B24" s="7" t="s">
        <v>28</v>
      </c>
      <c r="C24" s="7" t="s">
        <v>26</v>
      </c>
      <c r="D24" s="7" t="n">
        <v>11</v>
      </c>
      <c r="E24" s="7" t="s">
        <v>298</v>
      </c>
      <c r="F24" s="7" t="s">
        <v>272</v>
      </c>
      <c r="G24" s="7" t="s">
        <v>267</v>
      </c>
      <c r="H24" s="7"/>
      <c r="I24" s="7"/>
      <c r="J24" s="7" t="s">
        <v>299</v>
      </c>
      <c r="K24" s="7"/>
      <c r="L24" s="7" t="str">
        <f aca="false">IFERROR(VLOOKUP(IF(ISNUMBER(SEARCH("(",F24)),LEFT(F24,SEARCH("(",F24)-1),F24),Tipos!$A:$B,2,FALSE()),"outro")</f>
        <v>uuid</v>
      </c>
      <c r="M24" s="7" t="str">
        <f aca="false">IF(COUNTIF(Comparação!$H:$H,A24)&gt;0,"sim",IF(AND(G24="sim",H24=""),"FALTA (obrigatória)","não"))</f>
        <v>não</v>
      </c>
    </row>
    <row r="25" customFormat="false" ht="15" hidden="false" customHeight="false" outlineLevel="0" collapsed="false">
      <c r="A25" s="7" t="str">
        <f aca="false">B25&amp;"."&amp;E25</f>
        <v>alunos.contrato_id</v>
      </c>
      <c r="B25" s="7" t="s">
        <v>28</v>
      </c>
      <c r="C25" s="7" t="s">
        <v>26</v>
      </c>
      <c r="D25" s="7" t="n">
        <v>12</v>
      </c>
      <c r="E25" s="7" t="s">
        <v>300</v>
      </c>
      <c r="F25" s="7" t="s">
        <v>272</v>
      </c>
      <c r="G25" s="7" t="s">
        <v>267</v>
      </c>
      <c r="H25" s="7"/>
      <c r="I25" s="7"/>
      <c r="J25" s="7" t="s">
        <v>301</v>
      </c>
      <c r="K25" s="7"/>
      <c r="L25" s="7" t="str">
        <f aca="false">IFERROR(VLOOKUP(IF(ISNUMBER(SEARCH("(",F25)),LEFT(F25,SEARCH("(",F25)-1),F25),Tipos!$A:$B,2,FALSE()),"outro")</f>
        <v>uuid</v>
      </c>
      <c r="M25" s="7" t="str">
        <f aca="false">IF(COUNTIF(Comparação!$H:$H,A25)&gt;0,"sim",IF(AND(G25="sim",H25=""),"FALTA (obrigatória)","não"))</f>
        <v>não</v>
      </c>
    </row>
    <row r="26" customFormat="false" ht="15" hidden="false" customHeight="false" outlineLevel="0" collapsed="false">
      <c r="A26" s="7" t="str">
        <f aca="false">B26&amp;"."&amp;E26</f>
        <v>alunos.origem</v>
      </c>
      <c r="B26" s="7" t="s">
        <v>28</v>
      </c>
      <c r="C26" s="7" t="s">
        <v>26</v>
      </c>
      <c r="D26" s="7" t="n">
        <v>13</v>
      </c>
      <c r="E26" s="7" t="s">
        <v>302</v>
      </c>
      <c r="F26" s="7" t="s">
        <v>261</v>
      </c>
      <c r="G26" s="7" t="s">
        <v>262</v>
      </c>
      <c r="H26" s="7" t="s">
        <v>303</v>
      </c>
      <c r="I26" s="7"/>
      <c r="J26" s="7"/>
      <c r="K26" s="7"/>
      <c r="L26" s="7" t="str">
        <f aca="false">IFERROR(VLOOKUP(IF(ISNUMBER(SEARCH("(",F26)),LEFT(F26,SEARCH("(",F26)-1),F26),Tipos!$A:$B,2,FALSE()),"outro")</f>
        <v>texto</v>
      </c>
      <c r="M26" s="7" t="str">
        <f aca="false">IF(COUNTIF(Comparação!$H:$H,A26)&gt;0,"sim",IF(AND(G26="sim",H26=""),"FALTA (obrigatória)","não"))</f>
        <v>não</v>
      </c>
    </row>
    <row r="27" customFormat="false" ht="15" hidden="false" customHeight="false" outlineLevel="0" collapsed="false">
      <c r="A27" s="7" t="str">
        <f aca="false">B27&amp;"."&amp;E27</f>
        <v>anuncios.id</v>
      </c>
      <c r="B27" s="7" t="s">
        <v>30</v>
      </c>
      <c r="C27" s="7" t="s">
        <v>31</v>
      </c>
      <c r="D27" s="7" t="n">
        <v>1</v>
      </c>
      <c r="E27" s="7" t="s">
        <v>271</v>
      </c>
      <c r="F27" s="7" t="s">
        <v>272</v>
      </c>
      <c r="G27" s="7" t="s">
        <v>262</v>
      </c>
      <c r="H27" s="7" t="s">
        <v>273</v>
      </c>
      <c r="I27" s="7" t="s">
        <v>263</v>
      </c>
      <c r="J27" s="7"/>
      <c r="K27" s="7"/>
      <c r="L27" s="7" t="str">
        <f aca="false">IFERROR(VLOOKUP(IF(ISNUMBER(SEARCH("(",F27)),LEFT(F27,SEARCH("(",F27)-1),F27),Tipos!$A:$B,2,FALSE()),"outro")</f>
        <v>uuid</v>
      </c>
      <c r="M27" s="7" t="str">
        <f aca="false">IF(COUNTIF(Comparação!$H:$H,A27)&gt;0,"sim",IF(AND(G27="sim",H27=""),"FALTA (obrigatória)","não"))</f>
        <v>não</v>
      </c>
    </row>
    <row r="28" customFormat="false" ht="15" hidden="false" customHeight="false" outlineLevel="0" collapsed="false">
      <c r="A28" s="7" t="str">
        <f aca="false">B28&amp;"."&amp;E28</f>
        <v>anuncios.workspace_id</v>
      </c>
      <c r="B28" s="7" t="s">
        <v>30</v>
      </c>
      <c r="C28" s="7" t="s">
        <v>31</v>
      </c>
      <c r="D28" s="7" t="n">
        <v>2</v>
      </c>
      <c r="E28" s="7" t="s">
        <v>274</v>
      </c>
      <c r="F28" s="7" t="s">
        <v>272</v>
      </c>
      <c r="G28" s="7" t="s">
        <v>262</v>
      </c>
      <c r="H28" s="7"/>
      <c r="I28" s="7"/>
      <c r="J28" s="7" t="s">
        <v>275</v>
      </c>
      <c r="K28" s="7"/>
      <c r="L28" s="7" t="str">
        <f aca="false">IFERROR(VLOOKUP(IF(ISNUMBER(SEARCH("(",F28)),LEFT(F28,SEARCH("(",F28)-1),F28),Tipos!$A:$B,2,FALSE()),"outro")</f>
        <v>uuid</v>
      </c>
      <c r="M28" s="7" t="str">
        <f aca="false">IF(COUNTIF(Comparação!$H:$H,A28)&gt;0,"sim",IF(AND(G28="sim",H28=""),"FALTA (obrigatória)","não"))</f>
        <v>FALTA (obrigatória)</v>
      </c>
    </row>
    <row r="29" customFormat="false" ht="15" hidden="false" customHeight="false" outlineLevel="0" collapsed="false">
      <c r="A29" s="7" t="str">
        <f aca="false">B29&amp;"."&amp;E29</f>
        <v>anuncios.campanha_canal_id</v>
      </c>
      <c r="B29" s="7" t="s">
        <v>30</v>
      </c>
      <c r="C29" s="7" t="s">
        <v>31</v>
      </c>
      <c r="D29" s="7" t="n">
        <v>3</v>
      </c>
      <c r="E29" s="7" t="s">
        <v>304</v>
      </c>
      <c r="F29" s="7" t="s">
        <v>272</v>
      </c>
      <c r="G29" s="7" t="s">
        <v>262</v>
      </c>
      <c r="H29" s="7"/>
      <c r="I29" s="7" t="s">
        <v>290</v>
      </c>
      <c r="J29" s="7" t="s">
        <v>305</v>
      </c>
      <c r="K29" s="7"/>
      <c r="L29" s="7" t="str">
        <f aca="false">IFERROR(VLOOKUP(IF(ISNUMBER(SEARCH("(",F29)),LEFT(F29,SEARCH("(",F29)-1),F29),Tipos!$A:$B,2,FALSE()),"outro")</f>
        <v>uuid</v>
      </c>
      <c r="M29" s="7" t="str">
        <f aca="false">IF(COUNTIF(Comparação!$H:$H,A29)&gt;0,"sim",IF(AND(G29="sim",H29=""),"FALTA (obrigatória)","não"))</f>
        <v>FALTA (obrigatória)</v>
      </c>
    </row>
    <row r="30" customFormat="false" ht="15" hidden="false" customHeight="false" outlineLevel="0" collapsed="false">
      <c r="A30" s="7" t="str">
        <f aca="false">B30&amp;"."&amp;E30</f>
        <v>anuncios.nome</v>
      </c>
      <c r="B30" s="7" t="s">
        <v>30</v>
      </c>
      <c r="C30" s="7" t="s">
        <v>31</v>
      </c>
      <c r="D30" s="7" t="n">
        <v>4</v>
      </c>
      <c r="E30" s="7" t="s">
        <v>265</v>
      </c>
      <c r="F30" s="7" t="s">
        <v>261</v>
      </c>
      <c r="G30" s="7" t="s">
        <v>262</v>
      </c>
      <c r="H30" s="7"/>
      <c r="I30" s="7"/>
      <c r="J30" s="7"/>
      <c r="K30" s="7"/>
      <c r="L30" s="7" t="str">
        <f aca="false">IFERROR(VLOOKUP(IF(ISNUMBER(SEARCH("(",F30)),LEFT(F30,SEARCH("(",F30)-1),F30),Tipos!$A:$B,2,FALSE()),"outro")</f>
        <v>texto</v>
      </c>
      <c r="M30" s="7" t="str">
        <f aca="false">IF(COUNTIF(Comparação!$H:$H,A30)&gt;0,"sim",IF(AND(G30="sim",H30=""),"FALTA (obrigatória)","não"))</f>
        <v>FALTA (obrigatória)</v>
      </c>
    </row>
    <row r="31" customFormat="false" ht="15" hidden="false" customHeight="false" outlineLevel="0" collapsed="false">
      <c r="A31" s="7" t="str">
        <f aca="false">B31&amp;"."&amp;E31</f>
        <v>anuncios.utm_content</v>
      </c>
      <c r="B31" s="7" t="s">
        <v>30</v>
      </c>
      <c r="C31" s="7" t="s">
        <v>31</v>
      </c>
      <c r="D31" s="7" t="n">
        <v>5</v>
      </c>
      <c r="E31" s="7" t="s">
        <v>306</v>
      </c>
      <c r="F31" s="7" t="s">
        <v>261</v>
      </c>
      <c r="G31" s="7" t="s">
        <v>262</v>
      </c>
      <c r="H31" s="7"/>
      <c r="I31" s="7" t="s">
        <v>290</v>
      </c>
      <c r="J31" s="7"/>
      <c r="K31" s="7"/>
      <c r="L31" s="7" t="str">
        <f aca="false">IFERROR(VLOOKUP(IF(ISNUMBER(SEARCH("(",F31)),LEFT(F31,SEARCH("(",F31)-1),F31),Tipos!$A:$B,2,FALSE()),"outro")</f>
        <v>texto</v>
      </c>
      <c r="M31" s="7" t="str">
        <f aca="false">IF(COUNTIF(Comparação!$H:$H,A31)&gt;0,"sim",IF(AND(G31="sim",H31=""),"FALTA (obrigatória)","não"))</f>
        <v>FALTA (obrigatória)</v>
      </c>
    </row>
    <row r="32" customFormat="false" ht="15" hidden="false" customHeight="false" outlineLevel="0" collapsed="false">
      <c r="A32" s="7" t="str">
        <f aca="false">B32&amp;"."&amp;E32</f>
        <v>anuncios.imagem_url</v>
      </c>
      <c r="B32" s="7" t="s">
        <v>30</v>
      </c>
      <c r="C32" s="7" t="s">
        <v>31</v>
      </c>
      <c r="D32" s="7" t="n">
        <v>6</v>
      </c>
      <c r="E32" s="7" t="s">
        <v>307</v>
      </c>
      <c r="F32" s="7" t="s">
        <v>261</v>
      </c>
      <c r="G32" s="7" t="s">
        <v>267</v>
      </c>
      <c r="H32" s="7"/>
      <c r="I32" s="7"/>
      <c r="J32" s="7"/>
      <c r="K32" s="7"/>
      <c r="L32" s="7" t="str">
        <f aca="false">IFERROR(VLOOKUP(IF(ISNUMBER(SEARCH("(",F32)),LEFT(F32,SEARCH("(",F32)-1),F32),Tipos!$A:$B,2,FALSE()),"outro")</f>
        <v>texto</v>
      </c>
      <c r="M32" s="7" t="str">
        <f aca="false">IF(COUNTIF(Comparação!$H:$H,A32)&gt;0,"sim",IF(AND(G32="sim",H32=""),"FALTA (obrigatória)","não"))</f>
        <v>não</v>
      </c>
    </row>
    <row r="33" customFormat="false" ht="15" hidden="false" customHeight="false" outlineLevel="0" collapsed="false">
      <c r="A33" s="7" t="str">
        <f aca="false">B33&amp;"."&amp;E33</f>
        <v>anuncios.id_externo</v>
      </c>
      <c r="B33" s="7" t="s">
        <v>30</v>
      </c>
      <c r="C33" s="7" t="s">
        <v>31</v>
      </c>
      <c r="D33" s="7" t="n">
        <v>7</v>
      </c>
      <c r="E33" s="7" t="s">
        <v>308</v>
      </c>
      <c r="F33" s="7" t="s">
        <v>261</v>
      </c>
      <c r="G33" s="7" t="s">
        <v>267</v>
      </c>
      <c r="H33" s="7"/>
      <c r="I33" s="7"/>
      <c r="J33" s="7"/>
      <c r="K33" s="7"/>
      <c r="L33" s="7" t="str">
        <f aca="false">IFERROR(VLOOKUP(IF(ISNUMBER(SEARCH("(",F33)),LEFT(F33,SEARCH("(",F33)-1),F33),Tipos!$A:$B,2,FALSE()),"outro")</f>
        <v>texto</v>
      </c>
      <c r="M33" s="7" t="str">
        <f aca="false">IF(COUNTIF(Comparação!$H:$H,A33)&gt;0,"sim",IF(AND(G33="sim",H33=""),"FALTA (obrigatória)","não"))</f>
        <v>não</v>
      </c>
    </row>
    <row r="34" customFormat="false" ht="15" hidden="false" customHeight="false" outlineLevel="0" collapsed="false">
      <c r="A34" s="7" t="str">
        <f aca="false">B34&amp;"."&amp;E34</f>
        <v>anuncios.ativo</v>
      </c>
      <c r="B34" s="7" t="s">
        <v>30</v>
      </c>
      <c r="C34" s="7" t="s">
        <v>31</v>
      </c>
      <c r="D34" s="7" t="n">
        <v>8</v>
      </c>
      <c r="E34" s="7" t="s">
        <v>309</v>
      </c>
      <c r="F34" s="7" t="s">
        <v>310</v>
      </c>
      <c r="G34" s="7" t="s">
        <v>262</v>
      </c>
      <c r="H34" s="7" t="s">
        <v>311</v>
      </c>
      <c r="I34" s="7"/>
      <c r="J34" s="7"/>
      <c r="K34" s="7"/>
      <c r="L34" s="7" t="str">
        <f aca="false">IFERROR(VLOOKUP(IF(ISNUMBER(SEARCH("(",F34)),LEFT(F34,SEARCH("(",F34)-1),F34),Tipos!$A:$B,2,FALSE()),"outro")</f>
        <v>booleano</v>
      </c>
      <c r="M34" s="7" t="str">
        <f aca="false">IF(COUNTIF(Comparação!$H:$H,A34)&gt;0,"sim",IF(AND(G34="sim",H34=""),"FALTA (obrigatória)","não"))</f>
        <v>não</v>
      </c>
    </row>
    <row r="35" customFormat="false" ht="15" hidden="false" customHeight="false" outlineLevel="0" collapsed="false">
      <c r="A35" s="7" t="str">
        <f aca="false">B35&amp;"."&amp;E35</f>
        <v>anuncios.angulo</v>
      </c>
      <c r="B35" s="7" t="s">
        <v>30</v>
      </c>
      <c r="C35" s="7" t="s">
        <v>31</v>
      </c>
      <c r="D35" s="7" t="n">
        <v>9</v>
      </c>
      <c r="E35" s="7" t="s">
        <v>312</v>
      </c>
      <c r="F35" s="7" t="s">
        <v>261</v>
      </c>
      <c r="G35" s="7" t="s">
        <v>267</v>
      </c>
      <c r="H35" s="7"/>
      <c r="I35" s="7"/>
      <c r="J35" s="7"/>
      <c r="K35" s="7"/>
      <c r="L35" s="7" t="str">
        <f aca="false">IFERROR(VLOOKUP(IF(ISNUMBER(SEARCH("(",F35)),LEFT(F35,SEARCH("(",F35)-1),F35),Tipos!$A:$B,2,FALSE()),"outro")</f>
        <v>texto</v>
      </c>
      <c r="M35" s="7" t="str">
        <f aca="false">IF(COUNTIF(Comparação!$H:$H,A35)&gt;0,"sim",IF(AND(G35="sim",H35=""),"FALTA (obrigatória)","não"))</f>
        <v>não</v>
      </c>
    </row>
    <row r="36" customFormat="false" ht="15" hidden="false" customHeight="false" outlineLevel="0" collapsed="false">
      <c r="A36" s="7" t="str">
        <f aca="false">B36&amp;"."&amp;E36</f>
        <v>anuncios.temperatura</v>
      </c>
      <c r="B36" s="7" t="s">
        <v>30</v>
      </c>
      <c r="C36" s="7" t="s">
        <v>31</v>
      </c>
      <c r="D36" s="7" t="n">
        <v>10</v>
      </c>
      <c r="E36" s="7" t="s">
        <v>313</v>
      </c>
      <c r="F36" s="7" t="s">
        <v>261</v>
      </c>
      <c r="G36" s="7" t="s">
        <v>267</v>
      </c>
      <c r="H36" s="7"/>
      <c r="I36" s="7"/>
      <c r="J36" s="7"/>
      <c r="K36" s="7" t="s">
        <v>314</v>
      </c>
      <c r="L36" s="7" t="str">
        <f aca="false">IFERROR(VLOOKUP(IF(ISNUMBER(SEARCH("(",F36)),LEFT(F36,SEARCH("(",F36)-1),F36),Tipos!$A:$B,2,FALSE()),"outro")</f>
        <v>texto</v>
      </c>
      <c r="M36" s="7" t="str">
        <f aca="false">IF(COUNTIF(Comparação!$H:$H,A36)&gt;0,"sim",IF(AND(G36="sim",H36=""),"FALTA (obrigatória)","não"))</f>
        <v>não</v>
      </c>
    </row>
    <row r="37" customFormat="false" ht="15" hidden="false" customHeight="false" outlineLevel="0" collapsed="false">
      <c r="A37" s="7" t="str">
        <f aca="false">B37&amp;"."&amp;E37</f>
        <v>auditoria.id</v>
      </c>
      <c r="B37" s="7" t="s">
        <v>33</v>
      </c>
      <c r="C37" s="7" t="s">
        <v>34</v>
      </c>
      <c r="D37" s="7" t="n">
        <v>1</v>
      </c>
      <c r="E37" s="7" t="s">
        <v>271</v>
      </c>
      <c r="F37" s="7" t="s">
        <v>315</v>
      </c>
      <c r="G37" s="7" t="s">
        <v>262</v>
      </c>
      <c r="H37" s="7" t="s">
        <v>316</v>
      </c>
      <c r="I37" s="7" t="s">
        <v>263</v>
      </c>
      <c r="J37" s="7"/>
      <c r="K37" s="7"/>
      <c r="L37" s="7" t="str">
        <f aca="false">IFERROR(VLOOKUP(IF(ISNUMBER(SEARCH("(",F37)),LEFT(F37,SEARCH("(",F37)-1),F37),Tipos!$A:$B,2,FALSE()),"outro")</f>
        <v>inteiro</v>
      </c>
      <c r="M37" s="7" t="str">
        <f aca="false">IF(COUNTIF(Comparação!$H:$H,A37)&gt;0,"sim",IF(AND(G37="sim",H37=""),"FALTA (obrigatória)","não"))</f>
        <v>não</v>
      </c>
    </row>
    <row r="38" customFormat="false" ht="15" hidden="false" customHeight="false" outlineLevel="0" collapsed="false">
      <c r="A38" s="7" t="str">
        <f aca="false">B38&amp;"."&amp;E38</f>
        <v>auditoria.workspace_id</v>
      </c>
      <c r="B38" s="7" t="s">
        <v>33</v>
      </c>
      <c r="C38" s="7" t="s">
        <v>34</v>
      </c>
      <c r="D38" s="7" t="n">
        <v>2</v>
      </c>
      <c r="E38" s="7" t="s">
        <v>274</v>
      </c>
      <c r="F38" s="7" t="s">
        <v>272</v>
      </c>
      <c r="G38" s="7" t="s">
        <v>267</v>
      </c>
      <c r="H38" s="7"/>
      <c r="I38" s="7"/>
      <c r="J38" s="7"/>
      <c r="K38" s="7"/>
      <c r="L38" s="7" t="str">
        <f aca="false">IFERROR(VLOOKUP(IF(ISNUMBER(SEARCH("(",F38)),LEFT(F38,SEARCH("(",F38)-1),F38),Tipos!$A:$B,2,FALSE()),"outro")</f>
        <v>uuid</v>
      </c>
      <c r="M38" s="7" t="str">
        <f aca="false">IF(COUNTIF(Comparação!$H:$H,A38)&gt;0,"sim",IF(AND(G38="sim",H38=""),"FALTA (obrigatória)","não"))</f>
        <v>não</v>
      </c>
    </row>
    <row r="39" customFormat="false" ht="15" hidden="false" customHeight="false" outlineLevel="0" collapsed="false">
      <c r="A39" s="7" t="str">
        <f aca="false">B39&amp;"."&amp;E39</f>
        <v>auditoria.tabela</v>
      </c>
      <c r="B39" s="7" t="s">
        <v>33</v>
      </c>
      <c r="C39" s="7" t="s">
        <v>34</v>
      </c>
      <c r="D39" s="7" t="n">
        <v>3</v>
      </c>
      <c r="E39" s="7" t="s">
        <v>317</v>
      </c>
      <c r="F39" s="7" t="s">
        <v>261</v>
      </c>
      <c r="G39" s="7" t="s">
        <v>262</v>
      </c>
      <c r="H39" s="7"/>
      <c r="I39" s="7"/>
      <c r="J39" s="7"/>
      <c r="K39" s="7"/>
      <c r="L39" s="7" t="str">
        <f aca="false">IFERROR(VLOOKUP(IF(ISNUMBER(SEARCH("(",F39)),LEFT(F39,SEARCH("(",F39)-1),F39),Tipos!$A:$B,2,FALSE()),"outro")</f>
        <v>texto</v>
      </c>
      <c r="M39" s="7" t="str">
        <f aca="false">IF(COUNTIF(Comparação!$H:$H,A39)&gt;0,"sim",IF(AND(G39="sim",H39=""),"FALTA (obrigatória)","não"))</f>
        <v>FALTA (obrigatória)</v>
      </c>
    </row>
    <row r="40" customFormat="false" ht="15" hidden="false" customHeight="false" outlineLevel="0" collapsed="false">
      <c r="A40" s="7" t="str">
        <f aca="false">B40&amp;"."&amp;E40</f>
        <v>auditoria.registro_id</v>
      </c>
      <c r="B40" s="7" t="s">
        <v>33</v>
      </c>
      <c r="C40" s="7" t="s">
        <v>34</v>
      </c>
      <c r="D40" s="7" t="n">
        <v>4</v>
      </c>
      <c r="E40" s="7" t="s">
        <v>318</v>
      </c>
      <c r="F40" s="7" t="s">
        <v>272</v>
      </c>
      <c r="G40" s="7" t="s">
        <v>267</v>
      </c>
      <c r="H40" s="7"/>
      <c r="I40" s="7"/>
      <c r="J40" s="7"/>
      <c r="K40" s="7"/>
      <c r="L40" s="7" t="str">
        <f aca="false">IFERROR(VLOOKUP(IF(ISNUMBER(SEARCH("(",F40)),LEFT(F40,SEARCH("(",F40)-1),F40),Tipos!$A:$B,2,FALSE()),"outro")</f>
        <v>uuid</v>
      </c>
      <c r="M40" s="7" t="str">
        <f aca="false">IF(COUNTIF(Comparação!$H:$H,A40)&gt;0,"sim",IF(AND(G40="sim",H40=""),"FALTA (obrigatória)","não"))</f>
        <v>não</v>
      </c>
    </row>
    <row r="41" customFormat="false" ht="15" hidden="false" customHeight="false" outlineLevel="0" collapsed="false">
      <c r="A41" s="7" t="str">
        <f aca="false">B41&amp;"."&amp;E41</f>
        <v>auditoria.acao</v>
      </c>
      <c r="B41" s="7" t="s">
        <v>33</v>
      </c>
      <c r="C41" s="7" t="s">
        <v>34</v>
      </c>
      <c r="D41" s="7" t="n">
        <v>5</v>
      </c>
      <c r="E41" s="7" t="s">
        <v>319</v>
      </c>
      <c r="F41" s="7" t="s">
        <v>261</v>
      </c>
      <c r="G41" s="7" t="s">
        <v>262</v>
      </c>
      <c r="H41" s="7"/>
      <c r="I41" s="7"/>
      <c r="J41" s="7"/>
      <c r="K41" s="7" t="s">
        <v>320</v>
      </c>
      <c r="L41" s="7" t="str">
        <f aca="false">IFERROR(VLOOKUP(IF(ISNUMBER(SEARCH("(",F41)),LEFT(F41,SEARCH("(",F41)-1),F41),Tipos!$A:$B,2,FALSE()),"outro")</f>
        <v>texto</v>
      </c>
      <c r="M41" s="7" t="str">
        <f aca="false">IF(COUNTIF(Comparação!$H:$H,A41)&gt;0,"sim",IF(AND(G41="sim",H41=""),"FALTA (obrigatória)","não"))</f>
        <v>FALTA (obrigatória)</v>
      </c>
    </row>
    <row r="42" customFormat="false" ht="15" hidden="false" customHeight="false" outlineLevel="0" collapsed="false">
      <c r="A42" s="7" t="str">
        <f aca="false">B42&amp;"."&amp;E42</f>
        <v>auditoria.campos</v>
      </c>
      <c r="B42" s="7" t="s">
        <v>33</v>
      </c>
      <c r="C42" s="7" t="s">
        <v>34</v>
      </c>
      <c r="D42" s="7" t="n">
        <v>6</v>
      </c>
      <c r="E42" s="7" t="s">
        <v>321</v>
      </c>
      <c r="F42" s="7" t="s">
        <v>322</v>
      </c>
      <c r="G42" s="7" t="s">
        <v>267</v>
      </c>
      <c r="H42" s="7"/>
      <c r="I42" s="7"/>
      <c r="J42" s="7"/>
      <c r="K42" s="7"/>
      <c r="L42" s="7" t="str">
        <f aca="false">IFERROR(VLOOKUP(IF(ISNUMBER(SEARCH("(",F42)),LEFT(F42,SEARCH("(",F42)-1),F42),Tipos!$A:$B,2,FALSE()),"outro")</f>
        <v>lista</v>
      </c>
      <c r="M42" s="7" t="str">
        <f aca="false">IF(COUNTIF(Comparação!$H:$H,A42)&gt;0,"sim",IF(AND(G42="sim",H42=""),"FALTA (obrigatória)","não"))</f>
        <v>não</v>
      </c>
    </row>
    <row r="43" customFormat="false" ht="15" hidden="false" customHeight="false" outlineLevel="0" collapsed="false">
      <c r="A43" s="7" t="str">
        <f aca="false">B43&amp;"."&amp;E43</f>
        <v>auditoria.antes</v>
      </c>
      <c r="B43" s="7" t="s">
        <v>33</v>
      </c>
      <c r="C43" s="7" t="s">
        <v>34</v>
      </c>
      <c r="D43" s="7" t="n">
        <v>7</v>
      </c>
      <c r="E43" s="7" t="s">
        <v>323</v>
      </c>
      <c r="F43" s="7" t="s">
        <v>324</v>
      </c>
      <c r="G43" s="7" t="s">
        <v>267</v>
      </c>
      <c r="H43" s="7"/>
      <c r="I43" s="7"/>
      <c r="J43" s="7"/>
      <c r="K43" s="7"/>
      <c r="L43" s="7" t="str">
        <f aca="false">IFERROR(VLOOKUP(IF(ISNUMBER(SEARCH("(",F43)),LEFT(F43,SEARCH("(",F43)-1),F43),Tipos!$A:$B,2,FALSE()),"outro")</f>
        <v>json</v>
      </c>
      <c r="M43" s="7" t="str">
        <f aca="false">IF(COUNTIF(Comparação!$H:$H,A43)&gt;0,"sim",IF(AND(G43="sim",H43=""),"FALTA (obrigatória)","não"))</f>
        <v>não</v>
      </c>
    </row>
    <row r="44" customFormat="false" ht="15" hidden="false" customHeight="false" outlineLevel="0" collapsed="false">
      <c r="A44" s="7" t="str">
        <f aca="false">B44&amp;"."&amp;E44</f>
        <v>auditoria.depois</v>
      </c>
      <c r="B44" s="7" t="s">
        <v>33</v>
      </c>
      <c r="C44" s="7" t="s">
        <v>34</v>
      </c>
      <c r="D44" s="7" t="n">
        <v>8</v>
      </c>
      <c r="E44" s="7" t="s">
        <v>325</v>
      </c>
      <c r="F44" s="7" t="s">
        <v>324</v>
      </c>
      <c r="G44" s="7" t="s">
        <v>267</v>
      </c>
      <c r="H44" s="7"/>
      <c r="I44" s="7"/>
      <c r="J44" s="7"/>
      <c r="K44" s="7"/>
      <c r="L44" s="7" t="str">
        <f aca="false">IFERROR(VLOOKUP(IF(ISNUMBER(SEARCH("(",F44)),LEFT(F44,SEARCH("(",F44)-1),F44),Tipos!$A:$B,2,FALSE()),"outro")</f>
        <v>json</v>
      </c>
      <c r="M44" s="7" t="str">
        <f aca="false">IF(COUNTIF(Comparação!$H:$H,A44)&gt;0,"sim",IF(AND(G44="sim",H44=""),"FALTA (obrigatória)","não"))</f>
        <v>não</v>
      </c>
    </row>
    <row r="45" customFormat="false" ht="15" hidden="false" customHeight="false" outlineLevel="0" collapsed="false">
      <c r="A45" s="7" t="str">
        <f aca="false">B45&amp;"."&amp;E45</f>
        <v>auditoria.usuario_id</v>
      </c>
      <c r="B45" s="7" t="s">
        <v>33</v>
      </c>
      <c r="C45" s="7" t="s">
        <v>34</v>
      </c>
      <c r="D45" s="7" t="n">
        <v>9</v>
      </c>
      <c r="E45" s="7" t="s">
        <v>326</v>
      </c>
      <c r="F45" s="7" t="s">
        <v>272</v>
      </c>
      <c r="G45" s="7" t="s">
        <v>267</v>
      </c>
      <c r="H45" s="7"/>
      <c r="I45" s="7"/>
      <c r="J45" s="7"/>
      <c r="K45" s="7"/>
      <c r="L45" s="7" t="str">
        <f aca="false">IFERROR(VLOOKUP(IF(ISNUMBER(SEARCH("(",F45)),LEFT(F45,SEARCH("(",F45)-1),F45),Tipos!$A:$B,2,FALSE()),"outro")</f>
        <v>uuid</v>
      </c>
      <c r="M45" s="7" t="str">
        <f aca="false">IF(COUNTIF(Comparação!$H:$H,A45)&gt;0,"sim",IF(AND(G45="sim",H45=""),"FALTA (obrigatória)","não"))</f>
        <v>não</v>
      </c>
    </row>
    <row r="46" customFormat="false" ht="15" hidden="false" customHeight="false" outlineLevel="0" collapsed="false">
      <c r="A46" s="7" t="str">
        <f aca="false">B46&amp;"."&amp;E46</f>
        <v>auditoria.usuario_email</v>
      </c>
      <c r="B46" s="7" t="s">
        <v>33</v>
      </c>
      <c r="C46" s="7" t="s">
        <v>34</v>
      </c>
      <c r="D46" s="7" t="n">
        <v>10</v>
      </c>
      <c r="E46" s="7" t="s">
        <v>327</v>
      </c>
      <c r="F46" s="7" t="s">
        <v>261</v>
      </c>
      <c r="G46" s="7" t="s">
        <v>267</v>
      </c>
      <c r="H46" s="7"/>
      <c r="I46" s="7"/>
      <c r="J46" s="7"/>
      <c r="K46" s="7"/>
      <c r="L46" s="7" t="str">
        <f aca="false">IFERROR(VLOOKUP(IF(ISNUMBER(SEARCH("(",F46)),LEFT(F46,SEARCH("(",F46)-1),F46),Tipos!$A:$B,2,FALSE()),"outro")</f>
        <v>texto</v>
      </c>
      <c r="M46" s="7" t="str">
        <f aca="false">IF(COUNTIF(Comparação!$H:$H,A46)&gt;0,"sim",IF(AND(G46="sim",H46=""),"FALTA (obrigatória)","não"))</f>
        <v>não</v>
      </c>
    </row>
    <row r="47" customFormat="false" ht="15" hidden="false" customHeight="false" outlineLevel="0" collapsed="false">
      <c r="A47" s="7" t="str">
        <f aca="false">B47&amp;"."&amp;E47</f>
        <v>auditoria.origem</v>
      </c>
      <c r="B47" s="7" t="s">
        <v>33</v>
      </c>
      <c r="C47" s="7" t="s">
        <v>34</v>
      </c>
      <c r="D47" s="7" t="n">
        <v>11</v>
      </c>
      <c r="E47" s="7" t="s">
        <v>302</v>
      </c>
      <c r="F47" s="7" t="s">
        <v>261</v>
      </c>
      <c r="G47" s="7" t="s">
        <v>262</v>
      </c>
      <c r="H47" s="7"/>
      <c r="I47" s="7"/>
      <c r="J47" s="7"/>
      <c r="K47" s="7"/>
      <c r="L47" s="7" t="str">
        <f aca="false">IFERROR(VLOOKUP(IF(ISNUMBER(SEARCH("(",F47)),LEFT(F47,SEARCH("(",F47)-1),F47),Tipos!$A:$B,2,FALSE()),"outro")</f>
        <v>texto</v>
      </c>
      <c r="M47" s="7" t="str">
        <f aca="false">IF(COUNTIF(Comparação!$H:$H,A47)&gt;0,"sim",IF(AND(G47="sim",H47=""),"FALTA (obrigatória)","não"))</f>
        <v>FALTA (obrigatória)</v>
      </c>
    </row>
    <row r="48" customFormat="false" ht="15" hidden="false" customHeight="false" outlineLevel="0" collapsed="false">
      <c r="A48" s="7" t="str">
        <f aca="false">B48&amp;"."&amp;E48</f>
        <v>auditoria.em</v>
      </c>
      <c r="B48" s="7" t="s">
        <v>33</v>
      </c>
      <c r="C48" s="7" t="s">
        <v>34</v>
      </c>
      <c r="D48" s="7" t="n">
        <v>12</v>
      </c>
      <c r="E48" s="7" t="s">
        <v>284</v>
      </c>
      <c r="F48" s="7" t="s">
        <v>285</v>
      </c>
      <c r="G48" s="7" t="s">
        <v>262</v>
      </c>
      <c r="H48" s="7" t="s">
        <v>286</v>
      </c>
      <c r="I48" s="7"/>
      <c r="J48" s="7"/>
      <c r="K48" s="7"/>
      <c r="L48" s="7" t="str">
        <f aca="false">IFERROR(VLOOKUP(IF(ISNUMBER(SEARCH("(",F48)),LEFT(F48,SEARCH("(",F48)-1),F48),Tipos!$A:$B,2,FALSE()),"outro")</f>
        <v>data e hora</v>
      </c>
      <c r="M48" s="7" t="str">
        <f aca="false">IF(COUNTIF(Comparação!$H:$H,A48)&gt;0,"sim",IF(AND(G48="sim",H48=""),"FALTA (obrigatória)","não"))</f>
        <v>não</v>
      </c>
    </row>
    <row r="49" customFormat="false" ht="15" hidden="false" customHeight="false" outlineLevel="0" collapsed="false">
      <c r="A49" s="7" t="str">
        <f aca="false">B49&amp;"."&amp;E49</f>
        <v>benchmarks_mercado.id</v>
      </c>
      <c r="B49" s="7" t="s">
        <v>35</v>
      </c>
      <c r="C49" s="7" t="s">
        <v>36</v>
      </c>
      <c r="D49" s="7" t="n">
        <v>1</v>
      </c>
      <c r="E49" s="7" t="s">
        <v>271</v>
      </c>
      <c r="F49" s="7" t="s">
        <v>272</v>
      </c>
      <c r="G49" s="7" t="s">
        <v>262</v>
      </c>
      <c r="H49" s="7" t="s">
        <v>273</v>
      </c>
      <c r="I49" s="7" t="s">
        <v>263</v>
      </c>
      <c r="J49" s="7"/>
      <c r="K49" s="7"/>
      <c r="L49" s="7" t="str">
        <f aca="false">IFERROR(VLOOKUP(IF(ISNUMBER(SEARCH("(",F49)),LEFT(F49,SEARCH("(",F49)-1),F49),Tipos!$A:$B,2,FALSE()),"outro")</f>
        <v>uuid</v>
      </c>
      <c r="M49" s="7" t="str">
        <f aca="false">IF(COUNTIF(Comparação!$H:$H,A49)&gt;0,"sim",IF(AND(G49="sim",H49=""),"FALTA (obrigatória)","não"))</f>
        <v>não</v>
      </c>
    </row>
    <row r="50" customFormat="false" ht="15" hidden="false" customHeight="false" outlineLevel="0" collapsed="false">
      <c r="A50" s="7" t="str">
        <f aca="false">B50&amp;"."&amp;E50</f>
        <v>benchmarks_mercado.workspace_id</v>
      </c>
      <c r="B50" s="7" t="s">
        <v>35</v>
      </c>
      <c r="C50" s="7" t="s">
        <v>36</v>
      </c>
      <c r="D50" s="7" t="n">
        <v>2</v>
      </c>
      <c r="E50" s="7" t="s">
        <v>274</v>
      </c>
      <c r="F50" s="7" t="s">
        <v>272</v>
      </c>
      <c r="G50" s="7" t="s">
        <v>262</v>
      </c>
      <c r="H50" s="7"/>
      <c r="I50" s="7" t="s">
        <v>290</v>
      </c>
      <c r="J50" s="7" t="s">
        <v>275</v>
      </c>
      <c r="K50" s="7"/>
      <c r="L50" s="7" t="str">
        <f aca="false">IFERROR(VLOOKUP(IF(ISNUMBER(SEARCH("(",F50)),LEFT(F50,SEARCH("(",F50)-1),F50),Tipos!$A:$B,2,FALSE()),"outro")</f>
        <v>uuid</v>
      </c>
      <c r="M50" s="7" t="str">
        <f aca="false">IF(COUNTIF(Comparação!$H:$H,A50)&gt;0,"sim",IF(AND(G50="sim",H50=""),"FALTA (obrigatória)","não"))</f>
        <v>FALTA (obrigatória)</v>
      </c>
    </row>
    <row r="51" customFormat="false" ht="15" hidden="false" customHeight="false" outlineLevel="0" collapsed="false">
      <c r="A51" s="7" t="str">
        <f aca="false">B51&amp;"."&amp;E51</f>
        <v>benchmarks_mercado.metrica</v>
      </c>
      <c r="B51" s="7" t="s">
        <v>35</v>
      </c>
      <c r="C51" s="7" t="s">
        <v>36</v>
      </c>
      <c r="D51" s="7" t="n">
        <v>3</v>
      </c>
      <c r="E51" s="7" t="s">
        <v>328</v>
      </c>
      <c r="F51" s="7" t="s">
        <v>261</v>
      </c>
      <c r="G51" s="7" t="s">
        <v>262</v>
      </c>
      <c r="H51" s="7"/>
      <c r="I51" s="7" t="s">
        <v>290</v>
      </c>
      <c r="J51" s="7"/>
      <c r="K51" s="7" t="s">
        <v>329</v>
      </c>
      <c r="L51" s="7" t="str">
        <f aca="false">IFERROR(VLOOKUP(IF(ISNUMBER(SEARCH("(",F51)),LEFT(F51,SEARCH("(",F51)-1),F51),Tipos!$A:$B,2,FALSE()),"outro")</f>
        <v>texto</v>
      </c>
      <c r="M51" s="7" t="str">
        <f aca="false">IF(COUNTIF(Comparação!$H:$H,A51)&gt;0,"sim",IF(AND(G51="sim",H51=""),"FALTA (obrigatória)","não"))</f>
        <v>FALTA (obrigatória)</v>
      </c>
    </row>
    <row r="52" customFormat="false" ht="15" hidden="false" customHeight="false" outlineLevel="0" collapsed="false">
      <c r="A52" s="7" t="str">
        <f aca="false">B52&amp;"."&amp;E52</f>
        <v>benchmarks_mercado.valor</v>
      </c>
      <c r="B52" s="7" t="s">
        <v>35</v>
      </c>
      <c r="C52" s="7" t="s">
        <v>36</v>
      </c>
      <c r="D52" s="7" t="n">
        <v>4</v>
      </c>
      <c r="E52" s="7" t="s">
        <v>330</v>
      </c>
      <c r="F52" s="7" t="s">
        <v>331</v>
      </c>
      <c r="G52" s="7" t="s">
        <v>262</v>
      </c>
      <c r="H52" s="7"/>
      <c r="I52" s="7"/>
      <c r="J52" s="7"/>
      <c r="K52" s="7" t="s">
        <v>332</v>
      </c>
      <c r="L52" s="7" t="str">
        <f aca="false">IFERROR(VLOOKUP(IF(ISNUMBER(SEARCH("(",F52)),LEFT(F52,SEARCH("(",F52)-1),F52),Tipos!$A:$B,2,FALSE()),"outro")</f>
        <v>decimal</v>
      </c>
      <c r="M52" s="7" t="str">
        <f aca="false">IF(COUNTIF(Comparação!$H:$H,A52)&gt;0,"sim",IF(AND(G52="sim",H52=""),"FALTA (obrigatória)","não"))</f>
        <v>FALTA (obrigatória)</v>
      </c>
    </row>
    <row r="53" customFormat="false" ht="15" hidden="false" customHeight="false" outlineLevel="0" collapsed="false">
      <c r="A53" s="7" t="str">
        <f aca="false">B53&amp;"."&amp;E53</f>
        <v>benchmarks_mercado.fonte</v>
      </c>
      <c r="B53" s="7" t="s">
        <v>35</v>
      </c>
      <c r="C53" s="7" t="s">
        <v>36</v>
      </c>
      <c r="D53" s="7" t="n">
        <v>5</v>
      </c>
      <c r="E53" s="7" t="s">
        <v>333</v>
      </c>
      <c r="F53" s="7" t="s">
        <v>261</v>
      </c>
      <c r="G53" s="7" t="s">
        <v>267</v>
      </c>
      <c r="H53" s="7"/>
      <c r="I53" s="7"/>
      <c r="J53" s="7"/>
      <c r="K53" s="7" t="s">
        <v>334</v>
      </c>
      <c r="L53" s="7" t="str">
        <f aca="false">IFERROR(VLOOKUP(IF(ISNUMBER(SEARCH("(",F53)),LEFT(F53,SEARCH("(",F53)-1),F53),Tipos!$A:$B,2,FALSE()),"outro")</f>
        <v>texto</v>
      </c>
      <c r="M53" s="7" t="str">
        <f aca="false">IF(COUNTIF(Comparação!$H:$H,A53)&gt;0,"sim",IF(AND(G53="sim",H53=""),"FALTA (obrigatória)","não"))</f>
        <v>não</v>
      </c>
    </row>
    <row r="54" customFormat="false" ht="15" hidden="false" customHeight="false" outlineLevel="0" collapsed="false">
      <c r="A54" s="7" t="str">
        <f aca="false">B54&amp;"."&amp;E54</f>
        <v>benchmarks_mercado.atualizado_em</v>
      </c>
      <c r="B54" s="7" t="s">
        <v>35</v>
      </c>
      <c r="C54" s="7" t="s">
        <v>36</v>
      </c>
      <c r="D54" s="7" t="n">
        <v>6</v>
      </c>
      <c r="E54" s="7" t="s">
        <v>335</v>
      </c>
      <c r="F54" s="7" t="s">
        <v>285</v>
      </c>
      <c r="G54" s="7" t="s">
        <v>262</v>
      </c>
      <c r="H54" s="7" t="s">
        <v>286</v>
      </c>
      <c r="I54" s="7"/>
      <c r="J54" s="7"/>
      <c r="K54" s="7"/>
      <c r="L54" s="7" t="str">
        <f aca="false">IFERROR(VLOOKUP(IF(ISNUMBER(SEARCH("(",F54)),LEFT(F54,SEARCH("(",F54)-1),F54),Tipos!$A:$B,2,FALSE()),"outro")</f>
        <v>data e hora</v>
      </c>
      <c r="M54" s="7" t="str">
        <f aca="false">IF(COUNTIF(Comparação!$H:$H,A54)&gt;0,"sim",IF(AND(G54="sim",H54=""),"FALTA (obrigatória)","não"))</f>
        <v>não</v>
      </c>
    </row>
    <row r="55" customFormat="false" ht="15" hidden="false" customHeight="false" outlineLevel="0" collapsed="false">
      <c r="A55" s="7" t="str">
        <f aca="false">B55&amp;"."&amp;E55</f>
        <v>campanha_blocos.id</v>
      </c>
      <c r="B55" s="7" t="s">
        <v>38</v>
      </c>
      <c r="C55" s="7" t="s">
        <v>31</v>
      </c>
      <c r="D55" s="7" t="n">
        <v>1</v>
      </c>
      <c r="E55" s="7" t="s">
        <v>271</v>
      </c>
      <c r="F55" s="7" t="s">
        <v>272</v>
      </c>
      <c r="G55" s="7" t="s">
        <v>262</v>
      </c>
      <c r="H55" s="7" t="s">
        <v>273</v>
      </c>
      <c r="I55" s="7" t="s">
        <v>263</v>
      </c>
      <c r="J55" s="7"/>
      <c r="K55" s="7"/>
      <c r="L55" s="7" t="str">
        <f aca="false">IFERROR(VLOOKUP(IF(ISNUMBER(SEARCH("(",F55)),LEFT(F55,SEARCH("(",F55)-1),F55),Tipos!$A:$B,2,FALSE()),"outro")</f>
        <v>uuid</v>
      </c>
      <c r="M55" s="7" t="str">
        <f aca="false">IF(COUNTIF(Comparação!$H:$H,A55)&gt;0,"sim",IF(AND(G55="sim",H55=""),"FALTA (obrigatória)","não"))</f>
        <v>não</v>
      </c>
    </row>
    <row r="56" customFormat="false" ht="15" hidden="false" customHeight="false" outlineLevel="0" collapsed="false">
      <c r="A56" s="7" t="str">
        <f aca="false">B56&amp;"."&amp;E56</f>
        <v>campanha_blocos.workspace_id</v>
      </c>
      <c r="B56" s="7" t="s">
        <v>38</v>
      </c>
      <c r="C56" s="7" t="s">
        <v>31</v>
      </c>
      <c r="D56" s="7" t="n">
        <v>2</v>
      </c>
      <c r="E56" s="7" t="s">
        <v>274</v>
      </c>
      <c r="F56" s="7" t="s">
        <v>272</v>
      </c>
      <c r="G56" s="7" t="s">
        <v>262</v>
      </c>
      <c r="H56" s="7"/>
      <c r="I56" s="7"/>
      <c r="J56" s="7" t="s">
        <v>275</v>
      </c>
      <c r="K56" s="7"/>
      <c r="L56" s="7" t="str">
        <f aca="false">IFERROR(VLOOKUP(IF(ISNUMBER(SEARCH("(",F56)),LEFT(F56,SEARCH("(",F56)-1),F56),Tipos!$A:$B,2,FALSE()),"outro")</f>
        <v>uuid</v>
      </c>
      <c r="M56" s="7" t="str">
        <f aca="false">IF(COUNTIF(Comparação!$H:$H,A56)&gt;0,"sim",IF(AND(G56="sim",H56=""),"FALTA (obrigatória)","não"))</f>
        <v>FALTA (obrigatória)</v>
      </c>
    </row>
    <row r="57" customFormat="false" ht="15" hidden="false" customHeight="false" outlineLevel="0" collapsed="false">
      <c r="A57" s="7" t="str">
        <f aca="false">B57&amp;"."&amp;E57</f>
        <v>campanha_blocos.campanha_id</v>
      </c>
      <c r="B57" s="7" t="s">
        <v>38</v>
      </c>
      <c r="C57" s="7" t="s">
        <v>31</v>
      </c>
      <c r="D57" s="7" t="n">
        <v>3</v>
      </c>
      <c r="E57" s="7" t="s">
        <v>336</v>
      </c>
      <c r="F57" s="7" t="s">
        <v>272</v>
      </c>
      <c r="G57" s="7" t="s">
        <v>262</v>
      </c>
      <c r="H57" s="7"/>
      <c r="I57" s="7"/>
      <c r="J57" s="7" t="s">
        <v>337</v>
      </c>
      <c r="K57" s="7"/>
      <c r="L57" s="7" t="str">
        <f aca="false">IFERROR(VLOOKUP(IF(ISNUMBER(SEARCH("(",F57)),LEFT(F57,SEARCH("(",F57)-1),F57),Tipos!$A:$B,2,FALSE()),"outro")</f>
        <v>uuid</v>
      </c>
      <c r="M57" s="7" t="str">
        <f aca="false">IF(COUNTIF(Comparação!$H:$H,A57)&gt;0,"sim",IF(AND(G57="sim",H57=""),"FALTA (obrigatória)","não"))</f>
        <v>FALTA (obrigatória)</v>
      </c>
    </row>
    <row r="58" customFormat="false" ht="15" hidden="false" customHeight="false" outlineLevel="0" collapsed="false">
      <c r="A58" s="7" t="str">
        <f aca="false">B58&amp;"."&amp;E58</f>
        <v>campanha_blocos.bloco_origem_id</v>
      </c>
      <c r="B58" s="7" t="s">
        <v>38</v>
      </c>
      <c r="C58" s="7" t="s">
        <v>31</v>
      </c>
      <c r="D58" s="7" t="n">
        <v>4</v>
      </c>
      <c r="E58" s="7" t="s">
        <v>338</v>
      </c>
      <c r="F58" s="7" t="s">
        <v>272</v>
      </c>
      <c r="G58" s="7" t="s">
        <v>267</v>
      </c>
      <c r="H58" s="7"/>
      <c r="I58" s="7"/>
      <c r="J58" s="7"/>
      <c r="K58" s="7"/>
      <c r="L58" s="7" t="str">
        <f aca="false">IFERROR(VLOOKUP(IF(ISNUMBER(SEARCH("(",F58)),LEFT(F58,SEARCH("(",F58)-1),F58),Tipos!$A:$B,2,FALSE()),"outro")</f>
        <v>uuid</v>
      </c>
      <c r="M58" s="7" t="str">
        <f aca="false">IF(COUNTIF(Comparação!$H:$H,A58)&gt;0,"sim",IF(AND(G58="sim",H58=""),"FALTA (obrigatória)","não"))</f>
        <v>não</v>
      </c>
    </row>
    <row r="59" customFormat="false" ht="15" hidden="false" customHeight="false" outlineLevel="0" collapsed="false">
      <c r="A59" s="7" t="str">
        <f aca="false">B59&amp;"."&amp;E59</f>
        <v>campanha_blocos.ordem</v>
      </c>
      <c r="B59" s="7" t="s">
        <v>38</v>
      </c>
      <c r="C59" s="7" t="s">
        <v>31</v>
      </c>
      <c r="D59" s="7" t="n">
        <v>5</v>
      </c>
      <c r="E59" s="7" t="s">
        <v>268</v>
      </c>
      <c r="F59" s="7" t="s">
        <v>269</v>
      </c>
      <c r="G59" s="7" t="s">
        <v>262</v>
      </c>
      <c r="H59" s="7" t="s">
        <v>339</v>
      </c>
      <c r="I59" s="7"/>
      <c r="J59" s="7"/>
      <c r="K59" s="7"/>
      <c r="L59" s="7" t="str">
        <f aca="false">IFERROR(VLOOKUP(IF(ISNUMBER(SEARCH("(",F59)),LEFT(F59,SEARCH("(",F59)-1),F59),Tipos!$A:$B,2,FALSE()),"outro")</f>
        <v>inteiro</v>
      </c>
      <c r="M59" s="7" t="str">
        <f aca="false">IF(COUNTIF(Comparação!$H:$H,A59)&gt;0,"sim",IF(AND(G59="sim",H59=""),"FALTA (obrigatória)","não"))</f>
        <v>não</v>
      </c>
    </row>
    <row r="60" customFormat="false" ht="15" hidden="false" customHeight="false" outlineLevel="0" collapsed="false">
      <c r="A60" s="7" t="str">
        <f aca="false">B60&amp;"."&amp;E60</f>
        <v>campanha_blocos.fase</v>
      </c>
      <c r="B60" s="7" t="s">
        <v>38</v>
      </c>
      <c r="C60" s="7" t="s">
        <v>31</v>
      </c>
      <c r="D60" s="7" t="n">
        <v>6</v>
      </c>
      <c r="E60" s="7" t="s">
        <v>340</v>
      </c>
      <c r="F60" s="7" t="s">
        <v>261</v>
      </c>
      <c r="G60" s="7" t="s">
        <v>262</v>
      </c>
      <c r="H60" s="7" t="s">
        <v>341</v>
      </c>
      <c r="I60" s="7"/>
      <c r="J60" s="7"/>
      <c r="K60" s="7" t="s">
        <v>342</v>
      </c>
      <c r="L60" s="7" t="str">
        <f aca="false">IFERROR(VLOOKUP(IF(ISNUMBER(SEARCH("(",F60)),LEFT(F60,SEARCH("(",F60)-1),F60),Tipos!$A:$B,2,FALSE()),"outro")</f>
        <v>texto</v>
      </c>
      <c r="M60" s="7" t="str">
        <f aca="false">IF(COUNTIF(Comparação!$H:$H,A60)&gt;0,"sim",IF(AND(G60="sim",H60=""),"FALTA (obrigatória)","não"))</f>
        <v>não</v>
      </c>
    </row>
    <row r="61" customFormat="false" ht="15" hidden="false" customHeight="false" outlineLevel="0" collapsed="false">
      <c r="A61" s="7" t="str">
        <f aca="false">B61&amp;"."&amp;E61</f>
        <v>campanha_blocos.tipo</v>
      </c>
      <c r="B61" s="7" t="s">
        <v>38</v>
      </c>
      <c r="C61" s="7" t="s">
        <v>31</v>
      </c>
      <c r="D61" s="7" t="n">
        <v>7</v>
      </c>
      <c r="E61" s="7" t="s">
        <v>280</v>
      </c>
      <c r="F61" s="7" t="s">
        <v>261</v>
      </c>
      <c r="G61" s="7" t="s">
        <v>262</v>
      </c>
      <c r="H61" s="7"/>
      <c r="I61" s="7"/>
      <c r="J61" s="7"/>
      <c r="K61" s="7"/>
      <c r="L61" s="7" t="str">
        <f aca="false">IFERROR(VLOOKUP(IF(ISNUMBER(SEARCH("(",F61)),LEFT(F61,SEARCH("(",F61)-1),F61),Tipos!$A:$B,2,FALSE()),"outro")</f>
        <v>texto</v>
      </c>
      <c r="M61" s="7" t="str">
        <f aca="false">IF(COUNTIF(Comparação!$H:$H,A61)&gt;0,"sim",IF(AND(G61="sim",H61=""),"FALTA (obrigatória)","não"))</f>
        <v>FALTA (obrigatória)</v>
      </c>
    </row>
    <row r="62" customFormat="false" ht="15" hidden="false" customHeight="false" outlineLevel="0" collapsed="false">
      <c r="A62" s="7" t="str">
        <f aca="false">B62&amp;"."&amp;E62</f>
        <v>campanha_blocos.nome</v>
      </c>
      <c r="B62" s="7" t="s">
        <v>38</v>
      </c>
      <c r="C62" s="7" t="s">
        <v>31</v>
      </c>
      <c r="D62" s="7" t="n">
        <v>8</v>
      </c>
      <c r="E62" s="7" t="s">
        <v>265</v>
      </c>
      <c r="F62" s="7" t="s">
        <v>261</v>
      </c>
      <c r="G62" s="7" t="s">
        <v>262</v>
      </c>
      <c r="H62" s="7"/>
      <c r="I62" s="7"/>
      <c r="J62" s="7"/>
      <c r="K62" s="7"/>
      <c r="L62" s="7" t="str">
        <f aca="false">IFERROR(VLOOKUP(IF(ISNUMBER(SEARCH("(",F62)),LEFT(F62,SEARCH("(",F62)-1),F62),Tipos!$A:$B,2,FALSE()),"outro")</f>
        <v>texto</v>
      </c>
      <c r="M62" s="7" t="str">
        <f aca="false">IF(COUNTIF(Comparação!$H:$H,A62)&gt;0,"sim",IF(AND(G62="sim",H62=""),"FALTA (obrigatória)","não"))</f>
        <v>FALTA (obrigatória)</v>
      </c>
    </row>
    <row r="63" customFormat="false" ht="15" hidden="false" customHeight="false" outlineLevel="0" collapsed="false">
      <c r="A63" s="7" t="str">
        <f aca="false">B63&amp;"."&amp;E63</f>
        <v>campanha_blocos.origem_ref</v>
      </c>
      <c r="B63" s="7" t="s">
        <v>38</v>
      </c>
      <c r="C63" s="7" t="s">
        <v>31</v>
      </c>
      <c r="D63" s="7" t="n">
        <v>9</v>
      </c>
      <c r="E63" s="7" t="s">
        <v>343</v>
      </c>
      <c r="F63" s="7" t="s">
        <v>272</v>
      </c>
      <c r="G63" s="7" t="s">
        <v>267</v>
      </c>
      <c r="H63" s="7"/>
      <c r="I63" s="7"/>
      <c r="J63" s="7"/>
      <c r="K63" s="7"/>
      <c r="L63" s="7" t="str">
        <f aca="false">IFERROR(VLOOKUP(IF(ISNUMBER(SEARCH("(",F63)),LEFT(F63,SEARCH("(",F63)-1),F63),Tipos!$A:$B,2,FALSE()),"outro")</f>
        <v>uuid</v>
      </c>
      <c r="M63" s="7" t="str">
        <f aca="false">IF(COUNTIF(Comparação!$H:$H,A63)&gt;0,"sim",IF(AND(G63="sim",H63=""),"FALTA (obrigatória)","não"))</f>
        <v>não</v>
      </c>
    </row>
    <row r="64" customFormat="false" ht="15" hidden="false" customHeight="false" outlineLevel="0" collapsed="false">
      <c r="A64" s="7" t="str">
        <f aca="false">B64&amp;"."&amp;E64</f>
        <v>campanha_blocos.ativo</v>
      </c>
      <c r="B64" s="7" t="s">
        <v>38</v>
      </c>
      <c r="C64" s="7" t="s">
        <v>31</v>
      </c>
      <c r="D64" s="7" t="n">
        <v>10</v>
      </c>
      <c r="E64" s="7" t="s">
        <v>309</v>
      </c>
      <c r="F64" s="7" t="s">
        <v>310</v>
      </c>
      <c r="G64" s="7" t="s">
        <v>262</v>
      </c>
      <c r="H64" s="7" t="s">
        <v>311</v>
      </c>
      <c r="I64" s="7"/>
      <c r="J64" s="7"/>
      <c r="K64" s="7"/>
      <c r="L64" s="7" t="str">
        <f aca="false">IFERROR(VLOOKUP(IF(ISNUMBER(SEARCH("(",F64)),LEFT(F64,SEARCH("(",F64)-1),F64),Tipos!$A:$B,2,FALSE()),"outro")</f>
        <v>booleano</v>
      </c>
      <c r="M64" s="7" t="str">
        <f aca="false">IF(COUNTIF(Comparação!$H:$H,A64)&gt;0,"sim",IF(AND(G64="sim",H64=""),"FALTA (obrigatória)","não"))</f>
        <v>não</v>
      </c>
    </row>
    <row r="65" customFormat="false" ht="15" hidden="false" customHeight="false" outlineLevel="0" collapsed="false">
      <c r="A65" s="7" t="str">
        <f aca="false">B65&amp;"."&amp;E65</f>
        <v>campanha_blocos.criado_em</v>
      </c>
      <c r="B65" s="7" t="s">
        <v>38</v>
      </c>
      <c r="C65" s="7" t="s">
        <v>31</v>
      </c>
      <c r="D65" s="7" t="n">
        <v>11</v>
      </c>
      <c r="E65" s="7" t="s">
        <v>344</v>
      </c>
      <c r="F65" s="7" t="s">
        <v>285</v>
      </c>
      <c r="G65" s="7" t="s">
        <v>262</v>
      </c>
      <c r="H65" s="7" t="s">
        <v>286</v>
      </c>
      <c r="I65" s="7"/>
      <c r="J65" s="7"/>
      <c r="K65" s="7"/>
      <c r="L65" s="7" t="str">
        <f aca="false">IFERROR(VLOOKUP(IF(ISNUMBER(SEARCH("(",F65)),LEFT(F65,SEARCH("(",F65)-1),F65),Tipos!$A:$B,2,FALSE()),"outro")</f>
        <v>data e hora</v>
      </c>
      <c r="M65" s="7" t="str">
        <f aca="false">IF(COUNTIF(Comparação!$H:$H,A65)&gt;0,"sim",IF(AND(G65="sim",H65=""),"FALTA (obrigatória)","não"))</f>
        <v>não</v>
      </c>
    </row>
    <row r="66" customFormat="false" ht="15" hidden="false" customHeight="false" outlineLevel="0" collapsed="false">
      <c r="A66" s="7" t="str">
        <f aca="false">B66&amp;"."&amp;E66</f>
        <v>campanha_calculos.id</v>
      </c>
      <c r="B66" s="7" t="s">
        <v>40</v>
      </c>
      <c r="C66" s="7" t="s">
        <v>31</v>
      </c>
      <c r="D66" s="7" t="n">
        <v>1</v>
      </c>
      <c r="E66" s="7" t="s">
        <v>271</v>
      </c>
      <c r="F66" s="7" t="s">
        <v>272</v>
      </c>
      <c r="G66" s="7" t="s">
        <v>262</v>
      </c>
      <c r="H66" s="7" t="s">
        <v>273</v>
      </c>
      <c r="I66" s="7" t="s">
        <v>263</v>
      </c>
      <c r="J66" s="7"/>
      <c r="K66" s="7"/>
      <c r="L66" s="7" t="str">
        <f aca="false">IFERROR(VLOOKUP(IF(ISNUMBER(SEARCH("(",F66)),LEFT(F66,SEARCH("(",F66)-1),F66),Tipos!$A:$B,2,FALSE()),"outro")</f>
        <v>uuid</v>
      </c>
      <c r="M66" s="7" t="str">
        <f aca="false">IF(COUNTIF(Comparação!$H:$H,A66)&gt;0,"sim",IF(AND(G66="sim",H66=""),"FALTA (obrigatória)","não"))</f>
        <v>não</v>
      </c>
    </row>
    <row r="67" customFormat="false" ht="15" hidden="false" customHeight="false" outlineLevel="0" collapsed="false">
      <c r="A67" s="7" t="str">
        <f aca="false">B67&amp;"."&amp;E67</f>
        <v>campanha_calculos.workspace_id</v>
      </c>
      <c r="B67" s="7" t="s">
        <v>40</v>
      </c>
      <c r="C67" s="7" t="s">
        <v>31</v>
      </c>
      <c r="D67" s="7" t="n">
        <v>2</v>
      </c>
      <c r="E67" s="7" t="s">
        <v>274</v>
      </c>
      <c r="F67" s="7" t="s">
        <v>272</v>
      </c>
      <c r="G67" s="7" t="s">
        <v>262</v>
      </c>
      <c r="H67" s="7"/>
      <c r="I67" s="7"/>
      <c r="J67" s="7" t="s">
        <v>275</v>
      </c>
      <c r="K67" s="7"/>
      <c r="L67" s="7" t="str">
        <f aca="false">IFERROR(VLOOKUP(IF(ISNUMBER(SEARCH("(",F67)),LEFT(F67,SEARCH("(",F67)-1),F67),Tipos!$A:$B,2,FALSE()),"outro")</f>
        <v>uuid</v>
      </c>
      <c r="M67" s="7" t="str">
        <f aca="false">IF(COUNTIF(Comparação!$H:$H,A67)&gt;0,"sim",IF(AND(G67="sim",H67=""),"FALTA (obrigatória)","não"))</f>
        <v>FALTA (obrigatória)</v>
      </c>
    </row>
    <row r="68" customFormat="false" ht="15" hidden="false" customHeight="false" outlineLevel="0" collapsed="false">
      <c r="A68" s="7" t="str">
        <f aca="false">B68&amp;"."&amp;E68</f>
        <v>campanha_calculos.campanha_id</v>
      </c>
      <c r="B68" s="7" t="s">
        <v>40</v>
      </c>
      <c r="C68" s="7" t="s">
        <v>31</v>
      </c>
      <c r="D68" s="7" t="n">
        <v>3</v>
      </c>
      <c r="E68" s="7" t="s">
        <v>336</v>
      </c>
      <c r="F68" s="7" t="s">
        <v>272</v>
      </c>
      <c r="G68" s="7" t="s">
        <v>267</v>
      </c>
      <c r="H68" s="7"/>
      <c r="I68" s="7"/>
      <c r="J68" s="7" t="s">
        <v>337</v>
      </c>
      <c r="K68" s="7"/>
      <c r="L68" s="7" t="str">
        <f aca="false">IFERROR(VLOOKUP(IF(ISNUMBER(SEARCH("(",F68)),LEFT(F68,SEARCH("(",F68)-1),F68),Tipos!$A:$B,2,FALSE()),"outro")</f>
        <v>uuid</v>
      </c>
      <c r="M68" s="7" t="str">
        <f aca="false">IF(COUNTIF(Comparação!$H:$H,A68)&gt;0,"sim",IF(AND(G68="sim",H68=""),"FALTA (obrigatória)","não"))</f>
        <v>não</v>
      </c>
    </row>
    <row r="69" customFormat="false" ht="15" hidden="false" customHeight="false" outlineLevel="0" collapsed="false">
      <c r="A69" s="7" t="str">
        <f aca="false">B69&amp;"."&amp;E69</f>
        <v>campanha_calculos.nome</v>
      </c>
      <c r="B69" s="7" t="s">
        <v>40</v>
      </c>
      <c r="C69" s="7" t="s">
        <v>31</v>
      </c>
      <c r="D69" s="7" t="n">
        <v>4</v>
      </c>
      <c r="E69" s="7" t="s">
        <v>265</v>
      </c>
      <c r="F69" s="7" t="s">
        <v>261</v>
      </c>
      <c r="G69" s="7" t="s">
        <v>262</v>
      </c>
      <c r="H69" s="7"/>
      <c r="I69" s="7"/>
      <c r="J69" s="7"/>
      <c r="K69" s="7" t="s">
        <v>345</v>
      </c>
      <c r="L69" s="7" t="str">
        <f aca="false">IFERROR(VLOOKUP(IF(ISNUMBER(SEARCH("(",F69)),LEFT(F69,SEARCH("(",F69)-1),F69),Tipos!$A:$B,2,FALSE()),"outro")</f>
        <v>texto</v>
      </c>
      <c r="M69" s="7" t="str">
        <f aca="false">IF(COUNTIF(Comparação!$H:$H,A69)&gt;0,"sim",IF(AND(G69="sim",H69=""),"FALTA (obrigatória)","não"))</f>
        <v>FALTA (obrigatória)</v>
      </c>
    </row>
    <row r="70" customFormat="false" ht="15" hidden="false" customHeight="false" outlineLevel="0" collapsed="false">
      <c r="A70" s="7" t="str">
        <f aca="false">B70&amp;"."&amp;E70</f>
        <v>campanha_calculos.premissas</v>
      </c>
      <c r="B70" s="7" t="s">
        <v>40</v>
      </c>
      <c r="C70" s="7" t="s">
        <v>31</v>
      </c>
      <c r="D70" s="7" t="n">
        <v>5</v>
      </c>
      <c r="E70" s="7" t="s">
        <v>346</v>
      </c>
      <c r="F70" s="7" t="s">
        <v>324</v>
      </c>
      <c r="G70" s="7" t="s">
        <v>262</v>
      </c>
      <c r="H70" s="7" t="s">
        <v>347</v>
      </c>
      <c r="I70" s="7"/>
      <c r="J70" s="7"/>
      <c r="K70" s="7" t="s">
        <v>348</v>
      </c>
      <c r="L70" s="7" t="str">
        <f aca="false">IFERROR(VLOOKUP(IF(ISNUMBER(SEARCH("(",F70)),LEFT(F70,SEARCH("(",F70)-1),F70),Tipos!$A:$B,2,FALSE()),"outro")</f>
        <v>json</v>
      </c>
      <c r="M70" s="7" t="str">
        <f aca="false">IF(COUNTIF(Comparação!$H:$H,A70)&gt;0,"sim",IF(AND(G70="sim",H70=""),"FALTA (obrigatória)","não"))</f>
        <v>não</v>
      </c>
    </row>
    <row r="71" customFormat="false" ht="15" hidden="false" customHeight="false" outlineLevel="0" collapsed="false">
      <c r="A71" s="7" t="str">
        <f aca="false">B71&amp;"."&amp;E71</f>
        <v>campanha_calculos.criado_em</v>
      </c>
      <c r="B71" s="7" t="s">
        <v>40</v>
      </c>
      <c r="C71" s="7" t="s">
        <v>31</v>
      </c>
      <c r="D71" s="7" t="n">
        <v>6</v>
      </c>
      <c r="E71" s="7" t="s">
        <v>344</v>
      </c>
      <c r="F71" s="7" t="s">
        <v>285</v>
      </c>
      <c r="G71" s="7" t="s">
        <v>262</v>
      </c>
      <c r="H71" s="7" t="s">
        <v>286</v>
      </c>
      <c r="I71" s="7"/>
      <c r="J71" s="7"/>
      <c r="K71" s="7"/>
      <c r="L71" s="7" t="str">
        <f aca="false">IFERROR(VLOOKUP(IF(ISNUMBER(SEARCH("(",F71)),LEFT(F71,SEARCH("(",F71)-1),F71),Tipos!$A:$B,2,FALSE()),"outro")</f>
        <v>data e hora</v>
      </c>
      <c r="M71" s="7" t="str">
        <f aca="false">IF(COUNTIF(Comparação!$H:$H,A71)&gt;0,"sim",IF(AND(G71="sim",H71=""),"FALTA (obrigatória)","não"))</f>
        <v>não</v>
      </c>
    </row>
    <row r="72" customFormat="false" ht="15" hidden="false" customHeight="false" outlineLevel="0" collapsed="false">
      <c r="A72" s="7" t="str">
        <f aca="false">B72&amp;"."&amp;E72</f>
        <v>campanha_calculos.atualizado_em</v>
      </c>
      <c r="B72" s="7" t="s">
        <v>40</v>
      </c>
      <c r="C72" s="7" t="s">
        <v>31</v>
      </c>
      <c r="D72" s="7" t="n">
        <v>7</v>
      </c>
      <c r="E72" s="7" t="s">
        <v>335</v>
      </c>
      <c r="F72" s="7" t="s">
        <v>285</v>
      </c>
      <c r="G72" s="7" t="s">
        <v>262</v>
      </c>
      <c r="H72" s="7" t="s">
        <v>286</v>
      </c>
      <c r="I72" s="7"/>
      <c r="J72" s="7"/>
      <c r="K72" s="7"/>
      <c r="L72" s="7" t="str">
        <f aca="false">IFERROR(VLOOKUP(IF(ISNUMBER(SEARCH("(",F72)),LEFT(F72,SEARCH("(",F72)-1),F72),Tipos!$A:$B,2,FALSE()),"outro")</f>
        <v>data e hora</v>
      </c>
      <c r="M72" s="7" t="str">
        <f aca="false">IF(COUNTIF(Comparação!$H:$H,A72)&gt;0,"sim",IF(AND(G72="sim",H72=""),"FALTA (obrigatória)","não"))</f>
        <v>não</v>
      </c>
    </row>
    <row r="73" customFormat="false" ht="15" hidden="false" customHeight="false" outlineLevel="0" collapsed="false">
      <c r="A73" s="7" t="str">
        <f aca="false">B73&amp;"."&amp;E73</f>
        <v>campanha_canais.id</v>
      </c>
      <c r="B73" s="7" t="s">
        <v>41</v>
      </c>
      <c r="C73" s="7" t="s">
        <v>31</v>
      </c>
      <c r="D73" s="7" t="n">
        <v>1</v>
      </c>
      <c r="E73" s="7" t="s">
        <v>271</v>
      </c>
      <c r="F73" s="7" t="s">
        <v>272</v>
      </c>
      <c r="G73" s="7" t="s">
        <v>262</v>
      </c>
      <c r="H73" s="7" t="s">
        <v>273</v>
      </c>
      <c r="I73" s="7" t="s">
        <v>263</v>
      </c>
      <c r="J73" s="7"/>
      <c r="K73" s="7"/>
      <c r="L73" s="7" t="str">
        <f aca="false">IFERROR(VLOOKUP(IF(ISNUMBER(SEARCH("(",F73)),LEFT(F73,SEARCH("(",F73)-1),F73),Tipos!$A:$B,2,FALSE()),"outro")</f>
        <v>uuid</v>
      </c>
      <c r="M73" s="7" t="str">
        <f aca="false">IF(COUNTIF(Comparação!$H:$H,A73)&gt;0,"sim",IF(AND(G73="sim",H73=""),"FALTA (obrigatória)","não"))</f>
        <v>não</v>
      </c>
    </row>
    <row r="74" customFormat="false" ht="15" hidden="false" customHeight="false" outlineLevel="0" collapsed="false">
      <c r="A74" s="7" t="str">
        <f aca="false">B74&amp;"."&amp;E74</f>
        <v>campanha_canais.workspace_id</v>
      </c>
      <c r="B74" s="7" t="s">
        <v>41</v>
      </c>
      <c r="C74" s="7" t="s">
        <v>31</v>
      </c>
      <c r="D74" s="7" t="n">
        <v>2</v>
      </c>
      <c r="E74" s="7" t="s">
        <v>274</v>
      </c>
      <c r="F74" s="7" t="s">
        <v>272</v>
      </c>
      <c r="G74" s="7" t="s">
        <v>262</v>
      </c>
      <c r="H74" s="7"/>
      <c r="I74" s="7" t="s">
        <v>290</v>
      </c>
      <c r="J74" s="7" t="s">
        <v>349</v>
      </c>
      <c r="K74" s="7"/>
      <c r="L74" s="7" t="str">
        <f aca="false">IFERROR(VLOOKUP(IF(ISNUMBER(SEARCH("(",F74)),LEFT(F74,SEARCH("(",F74)-1),F74),Tipos!$A:$B,2,FALSE()),"outro")</f>
        <v>uuid</v>
      </c>
      <c r="M74" s="7" t="str">
        <f aca="false">IF(COUNTIF(Comparação!$H:$H,A74)&gt;0,"sim",IF(AND(G74="sim",H74=""),"FALTA (obrigatória)","não"))</f>
        <v>FALTA (obrigatória)</v>
      </c>
    </row>
    <row r="75" customFormat="false" ht="15" hidden="false" customHeight="false" outlineLevel="0" collapsed="false">
      <c r="A75" s="7" t="str">
        <f aca="false">B75&amp;"."&amp;E75</f>
        <v>campanha_canais.campanha_id</v>
      </c>
      <c r="B75" s="7" t="s">
        <v>41</v>
      </c>
      <c r="C75" s="7" t="s">
        <v>31</v>
      </c>
      <c r="D75" s="7" t="n">
        <v>3</v>
      </c>
      <c r="E75" s="7" t="s">
        <v>336</v>
      </c>
      <c r="F75" s="7" t="s">
        <v>272</v>
      </c>
      <c r="G75" s="7" t="s">
        <v>262</v>
      </c>
      <c r="H75" s="7"/>
      <c r="I75" s="7"/>
      <c r="J75" s="7" t="s">
        <v>337</v>
      </c>
      <c r="K75" s="7"/>
      <c r="L75" s="7" t="str">
        <f aca="false">IFERROR(VLOOKUP(IF(ISNUMBER(SEARCH("(",F75)),LEFT(F75,SEARCH("(",F75)-1),F75),Tipos!$A:$B,2,FALSE()),"outro")</f>
        <v>uuid</v>
      </c>
      <c r="M75" s="7" t="str">
        <f aca="false">IF(COUNTIF(Comparação!$H:$H,A75)&gt;0,"sim",IF(AND(G75="sim",H75=""),"FALTA (obrigatória)","não"))</f>
        <v>FALTA (obrigatória)</v>
      </c>
    </row>
    <row r="76" customFormat="false" ht="15" hidden="false" customHeight="false" outlineLevel="0" collapsed="false">
      <c r="A76" s="7" t="str">
        <f aca="false">B76&amp;"."&amp;E76</f>
        <v>campanha_canais.canal</v>
      </c>
      <c r="B76" s="7" t="s">
        <v>41</v>
      </c>
      <c r="C76" s="7" t="s">
        <v>31</v>
      </c>
      <c r="D76" s="7" t="n">
        <v>4</v>
      </c>
      <c r="E76" s="7" t="s">
        <v>350</v>
      </c>
      <c r="F76" s="7" t="s">
        <v>261</v>
      </c>
      <c r="G76" s="7" t="s">
        <v>262</v>
      </c>
      <c r="H76" s="7"/>
      <c r="I76" s="7"/>
      <c r="J76" s="7" t="s">
        <v>351</v>
      </c>
      <c r="K76" s="7"/>
      <c r="L76" s="7" t="str">
        <f aca="false">IFERROR(VLOOKUP(IF(ISNUMBER(SEARCH("(",F76)),LEFT(F76,SEARCH("(",F76)-1),F76),Tipos!$A:$B,2,FALSE()),"outro")</f>
        <v>texto</v>
      </c>
      <c r="M76" s="7" t="str">
        <f aca="false">IF(COUNTIF(Comparação!$H:$H,A76)&gt;0,"sim",IF(AND(G76="sim",H76=""),"FALTA (obrigatória)","não"))</f>
        <v>FALTA (obrigatória)</v>
      </c>
    </row>
    <row r="77" customFormat="false" ht="15" hidden="false" customHeight="false" outlineLevel="0" collapsed="false">
      <c r="A77" s="7" t="str">
        <f aca="false">B77&amp;"."&amp;E77</f>
        <v>campanha_canais.utm_campaign</v>
      </c>
      <c r="B77" s="7" t="s">
        <v>41</v>
      </c>
      <c r="C77" s="7" t="s">
        <v>31</v>
      </c>
      <c r="D77" s="7" t="n">
        <v>5</v>
      </c>
      <c r="E77" s="7" t="s">
        <v>352</v>
      </c>
      <c r="F77" s="7" t="s">
        <v>261</v>
      </c>
      <c r="G77" s="7" t="s">
        <v>262</v>
      </c>
      <c r="H77" s="7"/>
      <c r="I77" s="7" t="s">
        <v>290</v>
      </c>
      <c r="J77" s="7"/>
      <c r="K77" s="7"/>
      <c r="L77" s="7" t="str">
        <f aca="false">IFERROR(VLOOKUP(IF(ISNUMBER(SEARCH("(",F77)),LEFT(F77,SEARCH("(",F77)-1),F77),Tipos!$A:$B,2,FALSE()),"outro")</f>
        <v>texto</v>
      </c>
      <c r="M77" s="7" t="str">
        <f aca="false">IF(COUNTIF(Comparação!$H:$H,A77)&gt;0,"sim",IF(AND(G77="sim",H77=""),"FALTA (obrigatória)","não"))</f>
        <v>FALTA (obrigatória)</v>
      </c>
    </row>
    <row r="78" customFormat="false" ht="15" hidden="false" customHeight="false" outlineLevel="0" collapsed="false">
      <c r="A78" s="7" t="str">
        <f aca="false">B78&amp;"."&amp;E78</f>
        <v>campanha_canais.orcamento</v>
      </c>
      <c r="B78" s="7" t="s">
        <v>41</v>
      </c>
      <c r="C78" s="7" t="s">
        <v>31</v>
      </c>
      <c r="D78" s="7" t="n">
        <v>6</v>
      </c>
      <c r="E78" s="7" t="s">
        <v>353</v>
      </c>
      <c r="F78" s="7" t="s">
        <v>354</v>
      </c>
      <c r="G78" s="7" t="s">
        <v>267</v>
      </c>
      <c r="H78" s="7"/>
      <c r="I78" s="7"/>
      <c r="J78" s="7"/>
      <c r="K78" s="7"/>
      <c r="L78" s="7" t="str">
        <f aca="false">IFERROR(VLOOKUP(IF(ISNUMBER(SEARCH("(",F78)),LEFT(F78,SEARCH("(",F78)-1),F78),Tipos!$A:$B,2,FALSE()),"outro")</f>
        <v>decimal</v>
      </c>
      <c r="M78" s="7" t="str">
        <f aca="false">IF(COUNTIF(Comparação!$H:$H,A78)&gt;0,"sim",IF(AND(G78="sim",H78=""),"FALTA (obrigatória)","não"))</f>
        <v>não</v>
      </c>
    </row>
    <row r="79" customFormat="false" ht="15" hidden="false" customHeight="false" outlineLevel="0" collapsed="false">
      <c r="A79" s="7" t="str">
        <f aca="false">B79&amp;"."&amp;E79</f>
        <v>campanha_canais.percentual_meta_leads</v>
      </c>
      <c r="B79" s="7" t="s">
        <v>41</v>
      </c>
      <c r="C79" s="7" t="s">
        <v>31</v>
      </c>
      <c r="D79" s="7" t="n">
        <v>7</v>
      </c>
      <c r="E79" s="7" t="s">
        <v>355</v>
      </c>
      <c r="F79" s="7" t="s">
        <v>356</v>
      </c>
      <c r="G79" s="7" t="s">
        <v>267</v>
      </c>
      <c r="H79" s="7"/>
      <c r="I79" s="7"/>
      <c r="J79" s="7"/>
      <c r="K79" s="7"/>
      <c r="L79" s="7" t="str">
        <f aca="false">IFERROR(VLOOKUP(IF(ISNUMBER(SEARCH("(",F79)),LEFT(F79,SEARCH("(",F79)-1),F79),Tipos!$A:$B,2,FALSE()),"outro")</f>
        <v>decimal</v>
      </c>
      <c r="M79" s="7" t="str">
        <f aca="false">IF(COUNTIF(Comparação!$H:$H,A79)&gt;0,"sim",IF(AND(G79="sim",H79=""),"FALTA (obrigatória)","não"))</f>
        <v>não</v>
      </c>
    </row>
    <row r="80" customFormat="false" ht="15" hidden="false" customHeight="false" outlineLevel="0" collapsed="false">
      <c r="A80" s="7" t="str">
        <f aca="false">B80&amp;"."&amp;E80</f>
        <v>campanha_canais.meta_leads</v>
      </c>
      <c r="B80" s="7" t="s">
        <v>41</v>
      </c>
      <c r="C80" s="7" t="s">
        <v>31</v>
      </c>
      <c r="D80" s="7" t="n">
        <v>8</v>
      </c>
      <c r="E80" s="7" t="s">
        <v>357</v>
      </c>
      <c r="F80" s="7" t="s">
        <v>269</v>
      </c>
      <c r="G80" s="7" t="s">
        <v>267</v>
      </c>
      <c r="H80" s="7"/>
      <c r="I80" s="7"/>
      <c r="J80" s="7"/>
      <c r="K80" s="7"/>
      <c r="L80" s="7" t="str">
        <f aca="false">IFERROR(VLOOKUP(IF(ISNUMBER(SEARCH("(",F80)),LEFT(F80,SEARCH("(",F80)-1),F80),Tipos!$A:$B,2,FALSE()),"outro")</f>
        <v>inteiro</v>
      </c>
      <c r="M80" s="7" t="str">
        <f aca="false">IF(COUNTIF(Comparação!$H:$H,A80)&gt;0,"sim",IF(AND(G80="sim",H80=""),"FALTA (obrigatória)","não"))</f>
        <v>não</v>
      </c>
    </row>
    <row r="81" customFormat="false" ht="15" hidden="false" customHeight="false" outlineLevel="0" collapsed="false">
      <c r="A81" s="7" t="str">
        <f aca="false">B81&amp;"."&amp;E81</f>
        <v>campanha_canais.meta_vendas</v>
      </c>
      <c r="B81" s="7" t="s">
        <v>41</v>
      </c>
      <c r="C81" s="7" t="s">
        <v>31</v>
      </c>
      <c r="D81" s="7" t="n">
        <v>9</v>
      </c>
      <c r="E81" s="7" t="s">
        <v>358</v>
      </c>
      <c r="F81" s="7" t="s">
        <v>269</v>
      </c>
      <c r="G81" s="7" t="s">
        <v>267</v>
      </c>
      <c r="H81" s="7"/>
      <c r="I81" s="7"/>
      <c r="J81" s="7"/>
      <c r="K81" s="7"/>
      <c r="L81" s="7" t="str">
        <f aca="false">IFERROR(VLOOKUP(IF(ISNUMBER(SEARCH("(",F81)),LEFT(F81,SEARCH("(",F81)-1),F81),Tipos!$A:$B,2,FALSE()),"outro")</f>
        <v>inteiro</v>
      </c>
      <c r="M81" s="7" t="str">
        <f aca="false">IF(COUNTIF(Comparação!$H:$H,A81)&gt;0,"sim",IF(AND(G81="sim",H81=""),"FALTA (obrigatória)","não"))</f>
        <v>não</v>
      </c>
    </row>
    <row r="82" customFormat="false" ht="15" hidden="false" customHeight="false" outlineLevel="0" collapsed="false">
      <c r="A82" s="7" t="str">
        <f aca="false">B82&amp;"."&amp;E82</f>
        <v>campanha_canais.meta_cac</v>
      </c>
      <c r="B82" s="7" t="s">
        <v>41</v>
      </c>
      <c r="C82" s="7" t="s">
        <v>31</v>
      </c>
      <c r="D82" s="7" t="n">
        <v>10</v>
      </c>
      <c r="E82" s="7" t="s">
        <v>359</v>
      </c>
      <c r="F82" s="7" t="s">
        <v>360</v>
      </c>
      <c r="G82" s="7" t="s">
        <v>267</v>
      </c>
      <c r="H82" s="7"/>
      <c r="I82" s="7"/>
      <c r="J82" s="7"/>
      <c r="K82" s="7"/>
      <c r="L82" s="7" t="str">
        <f aca="false">IFERROR(VLOOKUP(IF(ISNUMBER(SEARCH("(",F82)),LEFT(F82,SEARCH("(",F82)-1),F82),Tipos!$A:$B,2,FALSE()),"outro")</f>
        <v>decimal</v>
      </c>
      <c r="M82" s="7" t="str">
        <f aca="false">IF(COUNTIF(Comparação!$H:$H,A82)&gt;0,"sim",IF(AND(G82="sim",H82=""),"FALTA (obrigatória)","não"))</f>
        <v>não</v>
      </c>
    </row>
    <row r="83" customFormat="false" ht="15" hidden="false" customHeight="false" outlineLevel="0" collapsed="false">
      <c r="A83" s="7" t="str">
        <f aca="false">B83&amp;"."&amp;E83</f>
        <v>campanha_canais.meta_cpl</v>
      </c>
      <c r="B83" s="7" t="s">
        <v>41</v>
      </c>
      <c r="C83" s="7" t="s">
        <v>31</v>
      </c>
      <c r="D83" s="7" t="n">
        <v>11</v>
      </c>
      <c r="E83" s="7" t="s">
        <v>361</v>
      </c>
      <c r="F83" s="7" t="s">
        <v>360</v>
      </c>
      <c r="G83" s="7" t="s">
        <v>267</v>
      </c>
      <c r="H83" s="7"/>
      <c r="I83" s="7"/>
      <c r="J83" s="7"/>
      <c r="K83" s="7" t="s">
        <v>362</v>
      </c>
      <c r="L83" s="7" t="str">
        <f aca="false">IFERROR(VLOOKUP(IF(ISNUMBER(SEARCH("(",F83)),LEFT(F83,SEARCH("(",F83)-1),F83),Tipos!$A:$B,2,FALSE()),"outro")</f>
        <v>decimal</v>
      </c>
      <c r="M83" s="7" t="str">
        <f aca="false">IF(COUNTIF(Comparação!$H:$H,A83)&gt;0,"sim",IF(AND(G83="sim",H83=""),"FALTA (obrigatória)","não"))</f>
        <v>não</v>
      </c>
    </row>
    <row r="84" customFormat="false" ht="15" hidden="false" customHeight="false" outlineLevel="0" collapsed="false">
      <c r="A84" s="7" t="str">
        <f aca="false">B84&amp;"."&amp;E84</f>
        <v>campanha_canais.temperatura</v>
      </c>
      <c r="B84" s="7" t="s">
        <v>41</v>
      </c>
      <c r="C84" s="7" t="s">
        <v>31</v>
      </c>
      <c r="D84" s="7" t="n">
        <v>12</v>
      </c>
      <c r="E84" s="7" t="s">
        <v>313</v>
      </c>
      <c r="F84" s="7" t="s">
        <v>261</v>
      </c>
      <c r="G84" s="7" t="s">
        <v>267</v>
      </c>
      <c r="H84" s="7"/>
      <c r="I84" s="7"/>
      <c r="J84" s="7"/>
      <c r="K84" s="7" t="s">
        <v>314</v>
      </c>
      <c r="L84" s="7" t="str">
        <f aca="false">IFERROR(VLOOKUP(IF(ISNUMBER(SEARCH("(",F84)),LEFT(F84,SEARCH("(",F84)-1),F84),Tipos!$A:$B,2,FALSE()),"outro")</f>
        <v>texto</v>
      </c>
      <c r="M84" s="7" t="str">
        <f aca="false">IF(COUNTIF(Comparação!$H:$H,A84)&gt;0,"sim",IF(AND(G84="sim",H84=""),"FALTA (obrigatória)","não"))</f>
        <v>não</v>
      </c>
    </row>
    <row r="85" customFormat="false" ht="15" hidden="false" customHeight="false" outlineLevel="0" collapsed="false">
      <c r="A85" s="7" t="str">
        <f aca="false">B85&amp;"."&amp;E85</f>
        <v>campanha_canais.tipo</v>
      </c>
      <c r="B85" s="7" t="s">
        <v>41</v>
      </c>
      <c r="C85" s="7" t="s">
        <v>31</v>
      </c>
      <c r="D85" s="7" t="n">
        <v>13</v>
      </c>
      <c r="E85" s="7" t="s">
        <v>280</v>
      </c>
      <c r="F85" s="7" t="s">
        <v>261</v>
      </c>
      <c r="G85" s="7" t="s">
        <v>267</v>
      </c>
      <c r="H85" s="7"/>
      <c r="I85" s="7"/>
      <c r="J85" s="7"/>
      <c r="K85" s="7" t="s">
        <v>363</v>
      </c>
      <c r="L85" s="7" t="str">
        <f aca="false">IFERROR(VLOOKUP(IF(ISNUMBER(SEARCH("(",F85)),LEFT(F85,SEARCH("(",F85)-1),F85),Tipos!$A:$B,2,FALSE()),"outro")</f>
        <v>texto</v>
      </c>
      <c r="M85" s="7" t="str">
        <f aca="false">IF(COUNTIF(Comparação!$H:$H,A85)&gt;0,"sim",IF(AND(G85="sim",H85=""),"FALTA (obrigatória)","não"))</f>
        <v>não</v>
      </c>
    </row>
    <row r="86" customFormat="false" ht="15" hidden="false" customHeight="false" outlineLevel="0" collapsed="false">
      <c r="A86" s="7" t="str">
        <f aca="false">B86&amp;"."&amp;E86</f>
        <v>campanha_canais.funil_id</v>
      </c>
      <c r="B86" s="7" t="s">
        <v>41</v>
      </c>
      <c r="C86" s="7" t="s">
        <v>31</v>
      </c>
      <c r="D86" s="7" t="n">
        <v>14</v>
      </c>
      <c r="E86" s="7" t="s">
        <v>364</v>
      </c>
      <c r="F86" s="7" t="s">
        <v>272</v>
      </c>
      <c r="G86" s="7" t="s">
        <v>267</v>
      </c>
      <c r="H86" s="7"/>
      <c r="I86" s="7"/>
      <c r="J86" s="7" t="s">
        <v>365</v>
      </c>
      <c r="K86" s="7"/>
      <c r="L86" s="7" t="str">
        <f aca="false">IFERROR(VLOOKUP(IF(ISNUMBER(SEARCH("(",F86)),LEFT(F86,SEARCH("(",F86)-1),F86),Tipos!$A:$B,2,FALSE()),"outro")</f>
        <v>uuid</v>
      </c>
      <c r="M86" s="7" t="str">
        <f aca="false">IF(COUNTIF(Comparação!$H:$H,A86)&gt;0,"sim",IF(AND(G86="sim",H86=""),"FALTA (obrigatória)","não"))</f>
        <v>não</v>
      </c>
    </row>
    <row r="87" customFormat="false" ht="15" hidden="false" customHeight="false" outlineLevel="0" collapsed="false">
      <c r="A87" s="7" t="str">
        <f aca="false">B87&amp;"."&amp;E87</f>
        <v>campanha_canais.custo_producao</v>
      </c>
      <c r="B87" s="7" t="s">
        <v>41</v>
      </c>
      <c r="C87" s="7" t="s">
        <v>31</v>
      </c>
      <c r="D87" s="7" t="n">
        <v>15</v>
      </c>
      <c r="E87" s="7" t="s">
        <v>366</v>
      </c>
      <c r="F87" s="7" t="s">
        <v>360</v>
      </c>
      <c r="G87" s="7" t="s">
        <v>267</v>
      </c>
      <c r="H87" s="7"/>
      <c r="I87" s="7"/>
      <c r="J87" s="7"/>
      <c r="K87" s="7" t="s">
        <v>367</v>
      </c>
      <c r="L87" s="7" t="str">
        <f aca="false">IFERROR(VLOOKUP(IF(ISNUMBER(SEARCH("(",F87)),LEFT(F87,SEARCH("(",F87)-1),F87),Tipos!$A:$B,2,FALSE()),"outro")</f>
        <v>decimal</v>
      </c>
      <c r="M87" s="7" t="str">
        <f aca="false">IF(COUNTIF(Comparação!$H:$H,A87)&gt;0,"sim",IF(AND(G87="sim",H87=""),"FALTA (obrigatória)","não"))</f>
        <v>não</v>
      </c>
    </row>
    <row r="88" customFormat="false" ht="15" hidden="false" customHeight="false" outlineLevel="0" collapsed="false">
      <c r="A88" s="7" t="str">
        <f aca="false">B88&amp;"."&amp;E88</f>
        <v>campanha_canais.observacoes</v>
      </c>
      <c r="B88" s="7" t="s">
        <v>41</v>
      </c>
      <c r="C88" s="7" t="s">
        <v>31</v>
      </c>
      <c r="D88" s="7" t="n">
        <v>16</v>
      </c>
      <c r="E88" s="7" t="s">
        <v>368</v>
      </c>
      <c r="F88" s="7" t="s">
        <v>261</v>
      </c>
      <c r="G88" s="7" t="s">
        <v>267</v>
      </c>
      <c r="H88" s="7"/>
      <c r="I88" s="7"/>
      <c r="J88" s="7"/>
      <c r="K88" s="7"/>
      <c r="L88" s="7" t="str">
        <f aca="false">IFERROR(VLOOKUP(IF(ISNUMBER(SEARCH("(",F88)),LEFT(F88,SEARCH("(",F88)-1),F88),Tipos!$A:$B,2,FALSE()),"outro")</f>
        <v>texto</v>
      </c>
      <c r="M88" s="7" t="str">
        <f aca="false">IF(COUNTIF(Comparação!$H:$H,A88)&gt;0,"sim",IF(AND(G88="sim",H88=""),"FALTA (obrigatória)","não"))</f>
        <v>não</v>
      </c>
    </row>
    <row r="89" customFormat="false" ht="15" hidden="false" customHeight="false" outlineLevel="0" collapsed="false">
      <c r="A89" s="7" t="str">
        <f aca="false">B89&amp;"."&amp;E89</f>
        <v>campanha_debriefing.id</v>
      </c>
      <c r="B89" s="7" t="s">
        <v>43</v>
      </c>
      <c r="C89" s="7" t="s">
        <v>31</v>
      </c>
      <c r="D89" s="7" t="n">
        <v>1</v>
      </c>
      <c r="E89" s="7" t="s">
        <v>271</v>
      </c>
      <c r="F89" s="7" t="s">
        <v>272</v>
      </c>
      <c r="G89" s="7" t="s">
        <v>262</v>
      </c>
      <c r="H89" s="7" t="s">
        <v>273</v>
      </c>
      <c r="I89" s="7" t="s">
        <v>263</v>
      </c>
      <c r="J89" s="7"/>
      <c r="K89" s="7"/>
      <c r="L89" s="7" t="str">
        <f aca="false">IFERROR(VLOOKUP(IF(ISNUMBER(SEARCH("(",F89)),LEFT(F89,SEARCH("(",F89)-1),F89),Tipos!$A:$B,2,FALSE()),"outro")</f>
        <v>uuid</v>
      </c>
      <c r="M89" s="7" t="str">
        <f aca="false">IF(COUNTIF(Comparação!$H:$H,A89)&gt;0,"sim",IF(AND(G89="sim",H89=""),"FALTA (obrigatória)","não"))</f>
        <v>não</v>
      </c>
    </row>
    <row r="90" customFormat="false" ht="15" hidden="false" customHeight="false" outlineLevel="0" collapsed="false">
      <c r="A90" s="7" t="str">
        <f aca="false">B90&amp;"."&amp;E90</f>
        <v>campanha_debriefing.workspace_id</v>
      </c>
      <c r="B90" s="7" t="s">
        <v>43</v>
      </c>
      <c r="C90" s="7" t="s">
        <v>31</v>
      </c>
      <c r="D90" s="7" t="n">
        <v>2</v>
      </c>
      <c r="E90" s="7" t="s">
        <v>274</v>
      </c>
      <c r="F90" s="7" t="s">
        <v>272</v>
      </c>
      <c r="G90" s="7" t="s">
        <v>262</v>
      </c>
      <c r="H90" s="7"/>
      <c r="I90" s="7"/>
      <c r="J90" s="7" t="s">
        <v>275</v>
      </c>
      <c r="K90" s="7"/>
      <c r="L90" s="7" t="str">
        <f aca="false">IFERROR(VLOOKUP(IF(ISNUMBER(SEARCH("(",F90)),LEFT(F90,SEARCH("(",F90)-1),F90),Tipos!$A:$B,2,FALSE()),"outro")</f>
        <v>uuid</v>
      </c>
      <c r="M90" s="7" t="str">
        <f aca="false">IF(COUNTIF(Comparação!$H:$H,A90)&gt;0,"sim",IF(AND(G90="sim",H90=""),"FALTA (obrigatória)","não"))</f>
        <v>FALTA (obrigatória)</v>
      </c>
    </row>
    <row r="91" customFormat="false" ht="15" hidden="false" customHeight="false" outlineLevel="0" collapsed="false">
      <c r="A91" s="7" t="str">
        <f aca="false">B91&amp;"."&amp;E91</f>
        <v>campanha_debriefing.campanha_id</v>
      </c>
      <c r="B91" s="7" t="s">
        <v>43</v>
      </c>
      <c r="C91" s="7" t="s">
        <v>31</v>
      </c>
      <c r="D91" s="7" t="n">
        <v>3</v>
      </c>
      <c r="E91" s="7" t="s">
        <v>336</v>
      </c>
      <c r="F91" s="7" t="s">
        <v>272</v>
      </c>
      <c r="G91" s="7" t="s">
        <v>262</v>
      </c>
      <c r="H91" s="7"/>
      <c r="I91" s="7" t="s">
        <v>290</v>
      </c>
      <c r="J91" s="7" t="s">
        <v>337</v>
      </c>
      <c r="K91" s="7"/>
      <c r="L91" s="7" t="str">
        <f aca="false">IFERROR(VLOOKUP(IF(ISNUMBER(SEARCH("(",F91)),LEFT(F91,SEARCH("(",F91)-1),F91),Tipos!$A:$B,2,FALSE()),"outro")</f>
        <v>uuid</v>
      </c>
      <c r="M91" s="7" t="str">
        <f aca="false">IF(COUNTIF(Comparação!$H:$H,A91)&gt;0,"sim",IF(AND(G91="sim",H91=""),"FALTA (obrigatória)","não"))</f>
        <v>FALTA (obrigatória)</v>
      </c>
    </row>
    <row r="92" customFormat="false" ht="15" hidden="false" customHeight="false" outlineLevel="0" collapsed="false">
      <c r="A92" s="7" t="str">
        <f aca="false">B92&amp;"."&amp;E92</f>
        <v>campanha_debriefing.resultado</v>
      </c>
      <c r="B92" s="7" t="s">
        <v>43</v>
      </c>
      <c r="C92" s="7" t="s">
        <v>31</v>
      </c>
      <c r="D92" s="7" t="n">
        <v>4</v>
      </c>
      <c r="E92" s="7" t="s">
        <v>369</v>
      </c>
      <c r="F92" s="7" t="s">
        <v>261</v>
      </c>
      <c r="G92" s="7" t="s">
        <v>267</v>
      </c>
      <c r="H92" s="7"/>
      <c r="I92" s="7"/>
      <c r="J92" s="7"/>
      <c r="K92" s="7"/>
      <c r="L92" s="7" t="str">
        <f aca="false">IFERROR(VLOOKUP(IF(ISNUMBER(SEARCH("(",F92)),LEFT(F92,SEARCH("(",F92)-1),F92),Tipos!$A:$B,2,FALSE()),"outro")</f>
        <v>texto</v>
      </c>
      <c r="M92" s="7" t="str">
        <f aca="false">IF(COUNTIF(Comparação!$H:$H,A92)&gt;0,"sim",IF(AND(G92="sim",H92=""),"FALTA (obrigatória)","não"))</f>
        <v>não</v>
      </c>
    </row>
    <row r="93" customFormat="false" ht="15" hidden="false" customHeight="false" outlineLevel="0" collapsed="false">
      <c r="A93" s="7" t="str">
        <f aca="false">B93&amp;"."&amp;E93</f>
        <v>campanha_debriefing.funcionou</v>
      </c>
      <c r="B93" s="7" t="s">
        <v>43</v>
      </c>
      <c r="C93" s="7" t="s">
        <v>31</v>
      </c>
      <c r="D93" s="7" t="n">
        <v>5</v>
      </c>
      <c r="E93" s="7" t="s">
        <v>370</v>
      </c>
      <c r="F93" s="7" t="s">
        <v>261</v>
      </c>
      <c r="G93" s="7" t="s">
        <v>267</v>
      </c>
      <c r="H93" s="7"/>
      <c r="I93" s="7"/>
      <c r="J93" s="7"/>
      <c r="K93" s="7"/>
      <c r="L93" s="7" t="str">
        <f aca="false">IFERROR(VLOOKUP(IF(ISNUMBER(SEARCH("(",F93)),LEFT(F93,SEARCH("(",F93)-1),F93),Tipos!$A:$B,2,FALSE()),"outro")</f>
        <v>texto</v>
      </c>
      <c r="M93" s="7" t="str">
        <f aca="false">IF(COUNTIF(Comparação!$H:$H,A93)&gt;0,"sim",IF(AND(G93="sim",H93=""),"FALTA (obrigatória)","não"))</f>
        <v>não</v>
      </c>
    </row>
    <row r="94" customFormat="false" ht="15" hidden="false" customHeight="false" outlineLevel="0" collapsed="false">
      <c r="A94" s="7" t="str">
        <f aca="false">B94&amp;"."&amp;E94</f>
        <v>campanha_debriefing.nao_funcionou</v>
      </c>
      <c r="B94" s="7" t="s">
        <v>43</v>
      </c>
      <c r="C94" s="7" t="s">
        <v>31</v>
      </c>
      <c r="D94" s="7" t="n">
        <v>6</v>
      </c>
      <c r="E94" s="7" t="s">
        <v>371</v>
      </c>
      <c r="F94" s="7" t="s">
        <v>261</v>
      </c>
      <c r="G94" s="7" t="s">
        <v>267</v>
      </c>
      <c r="H94" s="7"/>
      <c r="I94" s="7"/>
      <c r="J94" s="7"/>
      <c r="K94" s="7"/>
      <c r="L94" s="7" t="str">
        <f aca="false">IFERROR(VLOOKUP(IF(ISNUMBER(SEARCH("(",F94)),LEFT(F94,SEARCH("(",F94)-1),F94),Tipos!$A:$B,2,FALSE()),"outro")</f>
        <v>texto</v>
      </c>
      <c r="M94" s="7" t="str">
        <f aca="false">IF(COUNTIF(Comparação!$H:$H,A94)&gt;0,"sim",IF(AND(G94="sim",H94=""),"FALTA (obrigatória)","não"))</f>
        <v>não</v>
      </c>
    </row>
    <row r="95" customFormat="false" ht="15" hidden="false" customHeight="false" outlineLevel="0" collapsed="false">
      <c r="A95" s="7" t="str">
        <f aca="false">B95&amp;"."&amp;E95</f>
        <v>campanha_debriefing.aprendizados</v>
      </c>
      <c r="B95" s="7" t="s">
        <v>43</v>
      </c>
      <c r="C95" s="7" t="s">
        <v>31</v>
      </c>
      <c r="D95" s="7" t="n">
        <v>7</v>
      </c>
      <c r="E95" s="7" t="s">
        <v>372</v>
      </c>
      <c r="F95" s="7" t="s">
        <v>261</v>
      </c>
      <c r="G95" s="7" t="s">
        <v>267</v>
      </c>
      <c r="H95" s="7"/>
      <c r="I95" s="7"/>
      <c r="J95" s="7"/>
      <c r="K95" s="7"/>
      <c r="L95" s="7" t="str">
        <f aca="false">IFERROR(VLOOKUP(IF(ISNUMBER(SEARCH("(",F95)),LEFT(F95,SEARCH("(",F95)-1),F95),Tipos!$A:$B,2,FALSE()),"outro")</f>
        <v>texto</v>
      </c>
      <c r="M95" s="7" t="str">
        <f aca="false">IF(COUNTIF(Comparação!$H:$H,A95)&gt;0,"sim",IF(AND(G95="sim",H95=""),"FALTA (obrigatória)","não"))</f>
        <v>não</v>
      </c>
    </row>
    <row r="96" customFormat="false" ht="15" hidden="false" customHeight="false" outlineLevel="0" collapsed="false">
      <c r="A96" s="7" t="str">
        <f aca="false">B96&amp;"."&amp;E96</f>
        <v>campanha_debriefing.proximos_passos</v>
      </c>
      <c r="B96" s="7" t="s">
        <v>43</v>
      </c>
      <c r="C96" s="7" t="s">
        <v>31</v>
      </c>
      <c r="D96" s="7" t="n">
        <v>8</v>
      </c>
      <c r="E96" s="7" t="s">
        <v>373</v>
      </c>
      <c r="F96" s="7" t="s">
        <v>261</v>
      </c>
      <c r="G96" s="7" t="s">
        <v>267</v>
      </c>
      <c r="H96" s="7"/>
      <c r="I96" s="7"/>
      <c r="J96" s="7"/>
      <c r="K96" s="7"/>
      <c r="L96" s="7" t="str">
        <f aca="false">IFERROR(VLOOKUP(IF(ISNUMBER(SEARCH("(",F96)),LEFT(F96,SEARCH("(",F96)-1),F96),Tipos!$A:$B,2,FALSE()),"outro")</f>
        <v>texto</v>
      </c>
      <c r="M96" s="7" t="str">
        <f aca="false">IF(COUNTIF(Comparação!$H:$H,A96)&gt;0,"sim",IF(AND(G96="sim",H96=""),"FALTA (obrigatória)","não"))</f>
        <v>não</v>
      </c>
    </row>
    <row r="97" customFormat="false" ht="15" hidden="false" customHeight="false" outlineLevel="0" collapsed="false">
      <c r="A97" s="7" t="str">
        <f aca="false">B97&amp;"."&amp;E97</f>
        <v>campanha_debriefing.atualizado_em</v>
      </c>
      <c r="B97" s="7" t="s">
        <v>43</v>
      </c>
      <c r="C97" s="7" t="s">
        <v>31</v>
      </c>
      <c r="D97" s="7" t="n">
        <v>9</v>
      </c>
      <c r="E97" s="7" t="s">
        <v>335</v>
      </c>
      <c r="F97" s="7" t="s">
        <v>285</v>
      </c>
      <c r="G97" s="7" t="s">
        <v>262</v>
      </c>
      <c r="H97" s="7" t="s">
        <v>286</v>
      </c>
      <c r="I97" s="7"/>
      <c r="J97" s="7"/>
      <c r="K97" s="7"/>
      <c r="L97" s="7" t="str">
        <f aca="false">IFERROR(VLOOKUP(IF(ISNUMBER(SEARCH("(",F97)),LEFT(F97,SEARCH("(",F97)-1),F97),Tipos!$A:$B,2,FALSE()),"outro")</f>
        <v>data e hora</v>
      </c>
      <c r="M97" s="7" t="str">
        <f aca="false">IF(COUNTIF(Comparação!$H:$H,A97)&gt;0,"sim",IF(AND(G97="sim",H97=""),"FALTA (obrigatória)","não"))</f>
        <v>não</v>
      </c>
    </row>
    <row r="98" customFormat="false" ht="15" hidden="false" customHeight="false" outlineLevel="0" collapsed="false">
      <c r="A98" s="7" t="str">
        <f aca="false">B98&amp;"."&amp;E98</f>
        <v>campanha_estrategias.id</v>
      </c>
      <c r="B98" s="7" t="s">
        <v>44</v>
      </c>
      <c r="C98" s="7" t="s">
        <v>31</v>
      </c>
      <c r="D98" s="7" t="n">
        <v>1</v>
      </c>
      <c r="E98" s="7" t="s">
        <v>271</v>
      </c>
      <c r="F98" s="7" t="s">
        <v>272</v>
      </c>
      <c r="G98" s="7" t="s">
        <v>262</v>
      </c>
      <c r="H98" s="7" t="s">
        <v>273</v>
      </c>
      <c r="I98" s="7" t="s">
        <v>263</v>
      </c>
      <c r="J98" s="7"/>
      <c r="K98" s="7"/>
      <c r="L98" s="7" t="str">
        <f aca="false">IFERROR(VLOOKUP(IF(ISNUMBER(SEARCH("(",F98)),LEFT(F98,SEARCH("(",F98)-1),F98),Tipos!$A:$B,2,FALSE()),"outro")</f>
        <v>uuid</v>
      </c>
      <c r="M98" s="7" t="str">
        <f aca="false">IF(COUNTIF(Comparação!$H:$H,A98)&gt;0,"sim",IF(AND(G98="sim",H98=""),"FALTA (obrigatória)","não"))</f>
        <v>não</v>
      </c>
    </row>
    <row r="99" customFormat="false" ht="15" hidden="false" customHeight="false" outlineLevel="0" collapsed="false">
      <c r="A99" s="7" t="str">
        <f aca="false">B99&amp;"."&amp;E99</f>
        <v>campanha_estrategias.workspace_id</v>
      </c>
      <c r="B99" s="7" t="s">
        <v>44</v>
      </c>
      <c r="C99" s="7" t="s">
        <v>31</v>
      </c>
      <c r="D99" s="7" t="n">
        <v>2</v>
      </c>
      <c r="E99" s="7" t="s">
        <v>274</v>
      </c>
      <c r="F99" s="7" t="s">
        <v>272</v>
      </c>
      <c r="G99" s="7" t="s">
        <v>262</v>
      </c>
      <c r="H99" s="7"/>
      <c r="I99" s="7"/>
      <c r="J99" s="7" t="s">
        <v>275</v>
      </c>
      <c r="K99" s="7"/>
      <c r="L99" s="7" t="str">
        <f aca="false">IFERROR(VLOOKUP(IF(ISNUMBER(SEARCH("(",F99)),LEFT(F99,SEARCH("(",F99)-1),F99),Tipos!$A:$B,2,FALSE()),"outro")</f>
        <v>uuid</v>
      </c>
      <c r="M99" s="7" t="str">
        <f aca="false">IF(COUNTIF(Comparação!$H:$H,A99)&gt;0,"sim",IF(AND(G99="sim",H99=""),"FALTA (obrigatória)","não"))</f>
        <v>FALTA (obrigatória)</v>
      </c>
    </row>
    <row r="100" customFormat="false" ht="15" hidden="false" customHeight="false" outlineLevel="0" collapsed="false">
      <c r="A100" s="7" t="str">
        <f aca="false">B100&amp;"."&amp;E100</f>
        <v>campanha_estrategias.campanha_id</v>
      </c>
      <c r="B100" s="7" t="s">
        <v>44</v>
      </c>
      <c r="C100" s="7" t="s">
        <v>31</v>
      </c>
      <c r="D100" s="7" t="n">
        <v>3</v>
      </c>
      <c r="E100" s="7" t="s">
        <v>336</v>
      </c>
      <c r="F100" s="7" t="s">
        <v>272</v>
      </c>
      <c r="G100" s="7" t="s">
        <v>262</v>
      </c>
      <c r="H100" s="7"/>
      <c r="I100" s="7" t="s">
        <v>290</v>
      </c>
      <c r="J100" s="7" t="s">
        <v>337</v>
      </c>
      <c r="K100" s="7"/>
      <c r="L100" s="7" t="str">
        <f aca="false">IFERROR(VLOOKUP(IF(ISNUMBER(SEARCH("(",F100)),LEFT(F100,SEARCH("(",F100)-1),F100),Tipos!$A:$B,2,FALSE()),"outro")</f>
        <v>uuid</v>
      </c>
      <c r="M100" s="7" t="str">
        <f aca="false">IF(COUNTIF(Comparação!$H:$H,A100)&gt;0,"sim",IF(AND(G100="sim",H100=""),"FALTA (obrigatória)","não"))</f>
        <v>FALTA (obrigatória)</v>
      </c>
    </row>
    <row r="101" customFormat="false" ht="15" hidden="false" customHeight="false" outlineLevel="0" collapsed="false">
      <c r="A101" s="7" t="str">
        <f aca="false">B101&amp;"."&amp;E101</f>
        <v>campanha_estrategias.funil_id</v>
      </c>
      <c r="B101" s="7" t="s">
        <v>44</v>
      </c>
      <c r="C101" s="7" t="s">
        <v>31</v>
      </c>
      <c r="D101" s="7" t="n">
        <v>4</v>
      </c>
      <c r="E101" s="7" t="s">
        <v>364</v>
      </c>
      <c r="F101" s="7" t="s">
        <v>272</v>
      </c>
      <c r="G101" s="7" t="s">
        <v>262</v>
      </c>
      <c r="H101" s="7"/>
      <c r="I101" s="7" t="s">
        <v>290</v>
      </c>
      <c r="J101" s="7" t="s">
        <v>365</v>
      </c>
      <c r="K101" s="7"/>
      <c r="L101" s="7" t="str">
        <f aca="false">IFERROR(VLOOKUP(IF(ISNUMBER(SEARCH("(",F101)),LEFT(F101,SEARCH("(",F101)-1),F101),Tipos!$A:$B,2,FALSE()),"outro")</f>
        <v>uuid</v>
      </c>
      <c r="M101" s="7" t="str">
        <f aca="false">IF(COUNTIF(Comparação!$H:$H,A101)&gt;0,"sim",IF(AND(G101="sim",H101=""),"FALTA (obrigatória)","não"))</f>
        <v>FALTA (obrigatória)</v>
      </c>
    </row>
    <row r="102" customFormat="false" ht="15" hidden="false" customHeight="false" outlineLevel="0" collapsed="false">
      <c r="A102" s="7" t="str">
        <f aca="false">B102&amp;"."&amp;E102</f>
        <v>campanha_estrategias.principal</v>
      </c>
      <c r="B102" s="7" t="s">
        <v>44</v>
      </c>
      <c r="C102" s="7" t="s">
        <v>31</v>
      </c>
      <c r="D102" s="7" t="n">
        <v>5</v>
      </c>
      <c r="E102" s="7" t="s">
        <v>374</v>
      </c>
      <c r="F102" s="7" t="s">
        <v>310</v>
      </c>
      <c r="G102" s="7" t="s">
        <v>262</v>
      </c>
      <c r="H102" s="7" t="s">
        <v>375</v>
      </c>
      <c r="I102" s="7"/>
      <c r="J102" s="7"/>
      <c r="K102" s="7"/>
      <c r="L102" s="7" t="str">
        <f aca="false">IFERROR(VLOOKUP(IF(ISNUMBER(SEARCH("(",F102)),LEFT(F102,SEARCH("(",F102)-1),F102),Tipos!$A:$B,2,FALSE()),"outro")</f>
        <v>booleano</v>
      </c>
      <c r="M102" s="7" t="str">
        <f aca="false">IF(COUNTIF(Comparação!$H:$H,A102)&gt;0,"sim",IF(AND(G102="sim",H102=""),"FALTA (obrigatória)","não"))</f>
        <v>não</v>
      </c>
    </row>
    <row r="103" customFormat="false" ht="15" hidden="false" customHeight="false" outlineLevel="0" collapsed="false">
      <c r="A103" s="7" t="str">
        <f aca="false">B103&amp;"."&amp;E103</f>
        <v>campanha_estrategias.criado_em</v>
      </c>
      <c r="B103" s="7" t="s">
        <v>44</v>
      </c>
      <c r="C103" s="7" t="s">
        <v>31</v>
      </c>
      <c r="D103" s="7" t="n">
        <v>6</v>
      </c>
      <c r="E103" s="7" t="s">
        <v>344</v>
      </c>
      <c r="F103" s="7" t="s">
        <v>285</v>
      </c>
      <c r="G103" s="7" t="s">
        <v>262</v>
      </c>
      <c r="H103" s="7" t="s">
        <v>286</v>
      </c>
      <c r="I103" s="7"/>
      <c r="J103" s="7"/>
      <c r="K103" s="7"/>
      <c r="L103" s="7" t="str">
        <f aca="false">IFERROR(VLOOKUP(IF(ISNUMBER(SEARCH("(",F103)),LEFT(F103,SEARCH("(",F103)-1),F103),Tipos!$A:$B,2,FALSE()),"outro")</f>
        <v>data e hora</v>
      </c>
      <c r="M103" s="7" t="str">
        <f aca="false">IF(COUNTIF(Comparação!$H:$H,A103)&gt;0,"sim",IF(AND(G103="sim",H103=""),"FALTA (obrigatória)","não"))</f>
        <v>não</v>
      </c>
    </row>
    <row r="104" customFormat="false" ht="15" hidden="false" customHeight="false" outlineLevel="0" collapsed="false">
      <c r="A104" s="7" t="str">
        <f aca="false">B104&amp;"."&amp;E104</f>
        <v>campanha_etapa_valores.id</v>
      </c>
      <c r="B104" s="7" t="s">
        <v>46</v>
      </c>
      <c r="C104" s="7" t="s">
        <v>31</v>
      </c>
      <c r="D104" s="7" t="n">
        <v>1</v>
      </c>
      <c r="E104" s="7" t="s">
        <v>271</v>
      </c>
      <c r="F104" s="7" t="s">
        <v>272</v>
      </c>
      <c r="G104" s="7" t="s">
        <v>262</v>
      </c>
      <c r="H104" s="7" t="s">
        <v>273</v>
      </c>
      <c r="I104" s="7" t="s">
        <v>263</v>
      </c>
      <c r="J104" s="7"/>
      <c r="K104" s="7"/>
      <c r="L104" s="7" t="str">
        <f aca="false">IFERROR(VLOOKUP(IF(ISNUMBER(SEARCH("(",F104)),LEFT(F104,SEARCH("(",F104)-1),F104),Tipos!$A:$B,2,FALSE()),"outro")</f>
        <v>uuid</v>
      </c>
      <c r="M104" s="7" t="str">
        <f aca="false">IF(COUNTIF(Comparação!$H:$H,A104)&gt;0,"sim",IF(AND(G104="sim",H104=""),"FALTA (obrigatória)","não"))</f>
        <v>não</v>
      </c>
    </row>
    <row r="105" customFormat="false" ht="15" hidden="false" customHeight="false" outlineLevel="0" collapsed="false">
      <c r="A105" s="7" t="str">
        <f aca="false">B105&amp;"."&amp;E105</f>
        <v>campanha_etapa_valores.workspace_id</v>
      </c>
      <c r="B105" s="7" t="s">
        <v>46</v>
      </c>
      <c r="C105" s="7" t="s">
        <v>31</v>
      </c>
      <c r="D105" s="7" t="n">
        <v>2</v>
      </c>
      <c r="E105" s="7" t="s">
        <v>274</v>
      </c>
      <c r="F105" s="7" t="s">
        <v>272</v>
      </c>
      <c r="G105" s="7" t="s">
        <v>262</v>
      </c>
      <c r="H105" s="7"/>
      <c r="I105" s="7"/>
      <c r="J105" s="7" t="s">
        <v>275</v>
      </c>
      <c r="K105" s="7"/>
      <c r="L105" s="7" t="str">
        <f aca="false">IFERROR(VLOOKUP(IF(ISNUMBER(SEARCH("(",F105)),LEFT(F105,SEARCH("(",F105)-1),F105),Tipos!$A:$B,2,FALSE()),"outro")</f>
        <v>uuid</v>
      </c>
      <c r="M105" s="7" t="str">
        <f aca="false">IF(COUNTIF(Comparação!$H:$H,A105)&gt;0,"sim",IF(AND(G105="sim",H105=""),"FALTA (obrigatória)","não"))</f>
        <v>FALTA (obrigatória)</v>
      </c>
    </row>
    <row r="106" customFormat="false" ht="15" hidden="false" customHeight="false" outlineLevel="0" collapsed="false">
      <c r="A106" s="7" t="str">
        <f aca="false">B106&amp;"."&amp;E106</f>
        <v>campanha_etapa_valores.campanha_etapa_id</v>
      </c>
      <c r="B106" s="7" t="s">
        <v>46</v>
      </c>
      <c r="C106" s="7" t="s">
        <v>31</v>
      </c>
      <c r="D106" s="7" t="n">
        <v>3</v>
      </c>
      <c r="E106" s="7" t="s">
        <v>376</v>
      </c>
      <c r="F106" s="7" t="s">
        <v>272</v>
      </c>
      <c r="G106" s="7" t="s">
        <v>262</v>
      </c>
      <c r="H106" s="7"/>
      <c r="I106" s="7" t="s">
        <v>290</v>
      </c>
      <c r="J106" s="7" t="s">
        <v>377</v>
      </c>
      <c r="K106" s="7"/>
      <c r="L106" s="7" t="str">
        <f aca="false">IFERROR(VLOOKUP(IF(ISNUMBER(SEARCH("(",F106)),LEFT(F106,SEARCH("(",F106)-1),F106),Tipos!$A:$B,2,FALSE()),"outro")</f>
        <v>uuid</v>
      </c>
      <c r="M106" s="7" t="str">
        <f aca="false">IF(COUNTIF(Comparação!$H:$H,A106)&gt;0,"sim",IF(AND(G106="sim",H106=""),"FALTA (obrigatória)","não"))</f>
        <v>FALTA (obrigatória)</v>
      </c>
    </row>
    <row r="107" customFormat="false" ht="15" hidden="false" customHeight="false" outlineLevel="0" collapsed="false">
      <c r="A107" s="7" t="str">
        <f aca="false">B107&amp;"."&amp;E107</f>
        <v>campanha_etapa_valores.data</v>
      </c>
      <c r="B107" s="7" t="s">
        <v>46</v>
      </c>
      <c r="C107" s="7" t="s">
        <v>31</v>
      </c>
      <c r="D107" s="7" t="n">
        <v>4</v>
      </c>
      <c r="E107" s="7" t="s">
        <v>378</v>
      </c>
      <c r="F107" s="7" t="s">
        <v>379</v>
      </c>
      <c r="G107" s="7" t="s">
        <v>262</v>
      </c>
      <c r="H107" s="7"/>
      <c r="I107" s="7" t="s">
        <v>290</v>
      </c>
      <c r="J107" s="7"/>
      <c r="K107" s="7"/>
      <c r="L107" s="7" t="str">
        <f aca="false">IFERROR(VLOOKUP(IF(ISNUMBER(SEARCH("(",F107)),LEFT(F107,SEARCH("(",F107)-1),F107),Tipos!$A:$B,2,FALSE()),"outro")</f>
        <v>data</v>
      </c>
      <c r="M107" s="7" t="str">
        <f aca="false">IF(COUNTIF(Comparação!$H:$H,A107)&gt;0,"sim",IF(AND(G107="sim",H107=""),"FALTA (obrigatória)","não"))</f>
        <v>FALTA (obrigatória)</v>
      </c>
    </row>
    <row r="108" customFormat="false" ht="15" hidden="false" customHeight="false" outlineLevel="0" collapsed="false">
      <c r="A108" s="7" t="str">
        <f aca="false">B108&amp;"."&amp;E108</f>
        <v>campanha_etapa_valores.valor</v>
      </c>
      <c r="B108" s="7" t="s">
        <v>46</v>
      </c>
      <c r="C108" s="7" t="s">
        <v>31</v>
      </c>
      <c r="D108" s="7" t="n">
        <v>5</v>
      </c>
      <c r="E108" s="7" t="s">
        <v>330</v>
      </c>
      <c r="F108" s="7" t="s">
        <v>380</v>
      </c>
      <c r="G108" s="7" t="s">
        <v>262</v>
      </c>
      <c r="H108" s="7"/>
      <c r="I108" s="7"/>
      <c r="J108" s="7"/>
      <c r="K108" s="7" t="s">
        <v>332</v>
      </c>
      <c r="L108" s="7" t="str">
        <f aca="false">IFERROR(VLOOKUP(IF(ISNUMBER(SEARCH("(",F108)),LEFT(F108,SEARCH("(",F108)-1),F108),Tipos!$A:$B,2,FALSE()),"outro")</f>
        <v>decimal</v>
      </c>
      <c r="M108" s="7" t="str">
        <f aca="false">IF(COUNTIF(Comparação!$H:$H,A108)&gt;0,"sim",IF(AND(G108="sim",H108=""),"FALTA (obrigatória)","não"))</f>
        <v>FALTA (obrigatória)</v>
      </c>
    </row>
    <row r="109" customFormat="false" ht="15" hidden="false" customHeight="false" outlineLevel="0" collapsed="false">
      <c r="A109" s="7" t="str">
        <f aca="false">B109&amp;"."&amp;E109</f>
        <v>campanha_etapa_valores.origem</v>
      </c>
      <c r="B109" s="7" t="s">
        <v>46</v>
      </c>
      <c r="C109" s="7" t="s">
        <v>31</v>
      </c>
      <c r="D109" s="7" t="n">
        <v>6</v>
      </c>
      <c r="E109" s="7" t="s">
        <v>302</v>
      </c>
      <c r="F109" s="7" t="s">
        <v>261</v>
      </c>
      <c r="G109" s="7" t="s">
        <v>262</v>
      </c>
      <c r="H109" s="7" t="s">
        <v>381</v>
      </c>
      <c r="I109" s="7"/>
      <c r="J109" s="7"/>
      <c r="K109" s="7" t="s">
        <v>382</v>
      </c>
      <c r="L109" s="7" t="str">
        <f aca="false">IFERROR(VLOOKUP(IF(ISNUMBER(SEARCH("(",F109)),LEFT(F109,SEARCH("(",F109)-1),F109),Tipos!$A:$B,2,FALSE()),"outro")</f>
        <v>texto</v>
      </c>
      <c r="M109" s="7" t="str">
        <f aca="false">IF(COUNTIF(Comparação!$H:$H,A109)&gt;0,"sim",IF(AND(G109="sim",H109=""),"FALTA (obrigatória)","não"))</f>
        <v>não</v>
      </c>
    </row>
    <row r="110" customFormat="false" ht="15" hidden="false" customHeight="false" outlineLevel="0" collapsed="false">
      <c r="A110" s="7" t="str">
        <f aca="false">B110&amp;"."&amp;E110</f>
        <v>campanha_etapa_valores.atualizado_em</v>
      </c>
      <c r="B110" s="7" t="s">
        <v>46</v>
      </c>
      <c r="C110" s="7" t="s">
        <v>31</v>
      </c>
      <c r="D110" s="7" t="n">
        <v>7</v>
      </c>
      <c r="E110" s="7" t="s">
        <v>335</v>
      </c>
      <c r="F110" s="7" t="s">
        <v>285</v>
      </c>
      <c r="G110" s="7" t="s">
        <v>262</v>
      </c>
      <c r="H110" s="7" t="s">
        <v>286</v>
      </c>
      <c r="I110" s="7"/>
      <c r="J110" s="7"/>
      <c r="K110" s="7"/>
      <c r="L110" s="7" t="str">
        <f aca="false">IFERROR(VLOOKUP(IF(ISNUMBER(SEARCH("(",F110)),LEFT(F110,SEARCH("(",F110)-1),F110),Tipos!$A:$B,2,FALSE()),"outro")</f>
        <v>data e hora</v>
      </c>
      <c r="M110" s="7" t="str">
        <f aca="false">IF(COUNTIF(Comparação!$H:$H,A110)&gt;0,"sim",IF(AND(G110="sim",H110=""),"FALTA (obrigatória)","não"))</f>
        <v>não</v>
      </c>
    </row>
    <row r="111" customFormat="false" ht="15" hidden="false" customHeight="false" outlineLevel="0" collapsed="false">
      <c r="A111" s="7" t="str">
        <f aca="false">B111&amp;"."&amp;E111</f>
        <v>campanha_etapa_valores.disponibilidade</v>
      </c>
      <c r="B111" s="7" t="s">
        <v>46</v>
      </c>
      <c r="C111" s="7" t="s">
        <v>31</v>
      </c>
      <c r="D111" s="7" t="n">
        <v>8</v>
      </c>
      <c r="E111" s="7" t="s">
        <v>383</v>
      </c>
      <c r="F111" s="7" t="s">
        <v>261</v>
      </c>
      <c r="G111" s="7" t="s">
        <v>262</v>
      </c>
      <c r="H111" s="7" t="s">
        <v>384</v>
      </c>
      <c r="I111" s="7"/>
      <c r="J111" s="7"/>
      <c r="K111" s="7" t="s">
        <v>385</v>
      </c>
      <c r="L111" s="7" t="str">
        <f aca="false">IFERROR(VLOOKUP(IF(ISNUMBER(SEARCH("(",F111)),LEFT(F111,SEARCH("(",F111)-1),F111),Tipos!$A:$B,2,FALSE()),"outro")</f>
        <v>texto</v>
      </c>
      <c r="M111" s="7" t="str">
        <f aca="false">IF(COUNTIF(Comparação!$H:$H,A111)&gt;0,"sim",IF(AND(G111="sim",H111=""),"FALTA (obrigatória)","não"))</f>
        <v>não</v>
      </c>
    </row>
    <row r="112" customFormat="false" ht="15" hidden="false" customHeight="false" outlineLevel="0" collapsed="false">
      <c r="A112" s="7" t="str">
        <f aca="false">B112&amp;"."&amp;E112</f>
        <v>campanha_etapa_valores.atualizado_na_origem</v>
      </c>
      <c r="B112" s="7" t="s">
        <v>46</v>
      </c>
      <c r="C112" s="7" t="s">
        <v>31</v>
      </c>
      <c r="D112" s="7" t="n">
        <v>9</v>
      </c>
      <c r="E112" s="7" t="s">
        <v>386</v>
      </c>
      <c r="F112" s="7" t="s">
        <v>285</v>
      </c>
      <c r="G112" s="7" t="s">
        <v>267</v>
      </c>
      <c r="H112" s="7"/>
      <c r="I112" s="7"/>
      <c r="J112" s="7"/>
      <c r="K112" s="7"/>
      <c r="L112" s="7" t="str">
        <f aca="false">IFERROR(VLOOKUP(IF(ISNUMBER(SEARCH("(",F112)),LEFT(F112,SEARCH("(",F112)-1),F112),Tipos!$A:$B,2,FALSE()),"outro")</f>
        <v>data e hora</v>
      </c>
      <c r="M112" s="7" t="str">
        <f aca="false">IF(COUNTIF(Comparação!$H:$H,A112)&gt;0,"sim",IF(AND(G112="sim",H112=""),"FALTA (obrigatória)","não"))</f>
        <v>não</v>
      </c>
    </row>
    <row r="113" customFormat="false" ht="15" hidden="false" customHeight="false" outlineLevel="0" collapsed="false">
      <c r="A113" s="7" t="str">
        <f aca="false">B113&amp;"."&amp;E113</f>
        <v>campanha_etapas.id</v>
      </c>
      <c r="B113" s="7" t="s">
        <v>48</v>
      </c>
      <c r="C113" s="7" t="s">
        <v>31</v>
      </c>
      <c r="D113" s="7" t="n">
        <v>1</v>
      </c>
      <c r="E113" s="7" t="s">
        <v>271</v>
      </c>
      <c r="F113" s="7" t="s">
        <v>272</v>
      </c>
      <c r="G113" s="7" t="s">
        <v>262</v>
      </c>
      <c r="H113" s="7" t="s">
        <v>273</v>
      </c>
      <c r="I113" s="7" t="s">
        <v>263</v>
      </c>
      <c r="J113" s="7"/>
      <c r="K113" s="7"/>
      <c r="L113" s="7" t="str">
        <f aca="false">IFERROR(VLOOKUP(IF(ISNUMBER(SEARCH("(",F113)),LEFT(F113,SEARCH("(",F113)-1),F113),Tipos!$A:$B,2,FALSE()),"outro")</f>
        <v>uuid</v>
      </c>
      <c r="M113" s="7" t="str">
        <f aca="false">IF(COUNTIF(Comparação!$H:$H,A113)&gt;0,"sim",IF(AND(G113="sim",H113=""),"FALTA (obrigatória)","não"))</f>
        <v>não</v>
      </c>
    </row>
    <row r="114" customFormat="false" ht="15" hidden="false" customHeight="false" outlineLevel="0" collapsed="false">
      <c r="A114" s="7" t="str">
        <f aca="false">B114&amp;"."&amp;E114</f>
        <v>campanha_etapas.workspace_id</v>
      </c>
      <c r="B114" s="7" t="s">
        <v>48</v>
      </c>
      <c r="C114" s="7" t="s">
        <v>31</v>
      </c>
      <c r="D114" s="7" t="n">
        <v>2</v>
      </c>
      <c r="E114" s="7" t="s">
        <v>274</v>
      </c>
      <c r="F114" s="7" t="s">
        <v>272</v>
      </c>
      <c r="G114" s="7" t="s">
        <v>262</v>
      </c>
      <c r="H114" s="7"/>
      <c r="I114" s="7"/>
      <c r="J114" s="7" t="s">
        <v>275</v>
      </c>
      <c r="K114" s="7"/>
      <c r="L114" s="7" t="str">
        <f aca="false">IFERROR(VLOOKUP(IF(ISNUMBER(SEARCH("(",F114)),LEFT(F114,SEARCH("(",F114)-1),F114),Tipos!$A:$B,2,FALSE()),"outro")</f>
        <v>uuid</v>
      </c>
      <c r="M114" s="7" t="str">
        <f aca="false">IF(COUNTIF(Comparação!$H:$H,A114)&gt;0,"sim",IF(AND(G114="sim",H114=""),"FALTA (obrigatória)","não"))</f>
        <v>FALTA (obrigatória)</v>
      </c>
    </row>
    <row r="115" customFormat="false" ht="15" hidden="false" customHeight="false" outlineLevel="0" collapsed="false">
      <c r="A115" s="7" t="str">
        <f aca="false">B115&amp;"."&amp;E115</f>
        <v>campanha_etapas.campanha_id</v>
      </c>
      <c r="B115" s="7" t="s">
        <v>48</v>
      </c>
      <c r="C115" s="7" t="s">
        <v>31</v>
      </c>
      <c r="D115" s="7" t="n">
        <v>3</v>
      </c>
      <c r="E115" s="7" t="s">
        <v>336</v>
      </c>
      <c r="F115" s="7" t="s">
        <v>272</v>
      </c>
      <c r="G115" s="7" t="s">
        <v>262</v>
      </c>
      <c r="H115" s="7"/>
      <c r="I115" s="7" t="s">
        <v>290</v>
      </c>
      <c r="J115" s="7" t="s">
        <v>337</v>
      </c>
      <c r="K115" s="7"/>
      <c r="L115" s="7" t="str">
        <f aca="false">IFERROR(VLOOKUP(IF(ISNUMBER(SEARCH("(",F115)),LEFT(F115,SEARCH("(",F115)-1),F115),Tipos!$A:$B,2,FALSE()),"outro")</f>
        <v>uuid</v>
      </c>
      <c r="M115" s="7" t="str">
        <f aca="false">IF(COUNTIF(Comparação!$H:$H,A115)&gt;0,"sim",IF(AND(G115="sim",H115=""),"FALTA (obrigatória)","não"))</f>
        <v>FALTA (obrigatória)</v>
      </c>
    </row>
    <row r="116" customFormat="false" ht="15" hidden="false" customHeight="false" outlineLevel="0" collapsed="false">
      <c r="A116" s="7" t="str">
        <f aca="false">B116&amp;"."&amp;E116</f>
        <v>campanha_etapas.ordem</v>
      </c>
      <c r="B116" s="7" t="s">
        <v>48</v>
      </c>
      <c r="C116" s="7" t="s">
        <v>31</v>
      </c>
      <c r="D116" s="7" t="n">
        <v>4</v>
      </c>
      <c r="E116" s="7" t="s">
        <v>268</v>
      </c>
      <c r="F116" s="7" t="s">
        <v>269</v>
      </c>
      <c r="G116" s="7" t="s">
        <v>262</v>
      </c>
      <c r="H116" s="7" t="s">
        <v>270</v>
      </c>
      <c r="I116" s="7"/>
      <c r="J116" s="7"/>
      <c r="K116" s="7"/>
      <c r="L116" s="7" t="str">
        <f aca="false">IFERROR(VLOOKUP(IF(ISNUMBER(SEARCH("(",F116)),LEFT(F116,SEARCH("(",F116)-1),F116),Tipos!$A:$B,2,FALSE()),"outro")</f>
        <v>inteiro</v>
      </c>
      <c r="M116" s="7" t="str">
        <f aca="false">IF(COUNTIF(Comparação!$H:$H,A116)&gt;0,"sim",IF(AND(G116="sim",H116=""),"FALTA (obrigatória)","não"))</f>
        <v>não</v>
      </c>
    </row>
    <row r="117" customFormat="false" ht="15" hidden="false" customHeight="false" outlineLevel="0" collapsed="false">
      <c r="A117" s="7" t="str">
        <f aca="false">B117&amp;"."&amp;E117</f>
        <v>campanha_etapas.fase</v>
      </c>
      <c r="B117" s="7" t="s">
        <v>48</v>
      </c>
      <c r="C117" s="7" t="s">
        <v>31</v>
      </c>
      <c r="D117" s="7" t="n">
        <v>5</v>
      </c>
      <c r="E117" s="7" t="s">
        <v>340</v>
      </c>
      <c r="F117" s="7" t="s">
        <v>261</v>
      </c>
      <c r="G117" s="7" t="s">
        <v>262</v>
      </c>
      <c r="H117" s="7" t="s">
        <v>341</v>
      </c>
      <c r="I117" s="7"/>
      <c r="J117" s="7"/>
      <c r="K117" s="7" t="s">
        <v>342</v>
      </c>
      <c r="L117" s="7" t="str">
        <f aca="false">IFERROR(VLOOKUP(IF(ISNUMBER(SEARCH("(",F117)),LEFT(F117,SEARCH("(",F117)-1),F117),Tipos!$A:$B,2,FALSE()),"outro")</f>
        <v>texto</v>
      </c>
      <c r="M117" s="7" t="str">
        <f aca="false">IF(COUNTIF(Comparação!$H:$H,A117)&gt;0,"sim",IF(AND(G117="sim",H117=""),"FALTA (obrigatória)","não"))</f>
        <v>não</v>
      </c>
    </row>
    <row r="118" customFormat="false" ht="15" hidden="false" customHeight="false" outlineLevel="0" collapsed="false">
      <c r="A118" s="7" t="str">
        <f aca="false">B118&amp;"."&amp;E118</f>
        <v>campanha_etapas.chave</v>
      </c>
      <c r="B118" s="7" t="s">
        <v>48</v>
      </c>
      <c r="C118" s="7" t="s">
        <v>31</v>
      </c>
      <c r="D118" s="7" t="n">
        <v>6</v>
      </c>
      <c r="E118" s="7" t="s">
        <v>387</v>
      </c>
      <c r="F118" s="7" t="s">
        <v>261</v>
      </c>
      <c r="G118" s="7" t="s">
        <v>262</v>
      </c>
      <c r="H118" s="7"/>
      <c r="I118" s="7" t="s">
        <v>290</v>
      </c>
      <c r="J118" s="7"/>
      <c r="K118" s="7" t="s">
        <v>388</v>
      </c>
      <c r="L118" s="7" t="str">
        <f aca="false">IFERROR(VLOOKUP(IF(ISNUMBER(SEARCH("(",F118)),LEFT(F118,SEARCH("(",F118)-1),F118),Tipos!$A:$B,2,FALSE()),"outro")</f>
        <v>texto</v>
      </c>
      <c r="M118" s="7" t="str">
        <f aca="false">IF(COUNTIF(Comparação!$H:$H,A118)&gt;0,"sim",IF(AND(G118="sim",H118=""),"FALTA (obrigatória)","não"))</f>
        <v>FALTA (obrigatória)</v>
      </c>
    </row>
    <row r="119" customFormat="false" ht="15" hidden="false" customHeight="false" outlineLevel="0" collapsed="false">
      <c r="A119" s="7" t="str">
        <f aca="false">B119&amp;"."&amp;E119</f>
        <v>campanha_etapas.nome</v>
      </c>
      <c r="B119" s="7" t="s">
        <v>48</v>
      </c>
      <c r="C119" s="7" t="s">
        <v>31</v>
      </c>
      <c r="D119" s="7" t="n">
        <v>7</v>
      </c>
      <c r="E119" s="7" t="s">
        <v>265</v>
      </c>
      <c r="F119" s="7" t="s">
        <v>261</v>
      </c>
      <c r="G119" s="7" t="s">
        <v>262</v>
      </c>
      <c r="H119" s="7"/>
      <c r="I119" s="7"/>
      <c r="J119" s="7"/>
      <c r="K119" s="7" t="s">
        <v>389</v>
      </c>
      <c r="L119" s="7" t="str">
        <f aca="false">IFERROR(VLOOKUP(IF(ISNUMBER(SEARCH("(",F119)),LEFT(F119,SEARCH("(",F119)-1),F119),Tipos!$A:$B,2,FALSE()),"outro")</f>
        <v>texto</v>
      </c>
      <c r="M119" s="7" t="str">
        <f aca="false">IF(COUNTIF(Comparação!$H:$H,A119)&gt;0,"sim",IF(AND(G119="sim",H119=""),"FALTA (obrigatória)","não"))</f>
        <v>FALTA (obrigatória)</v>
      </c>
    </row>
    <row r="120" customFormat="false" ht="15" hidden="false" customHeight="false" outlineLevel="0" collapsed="false">
      <c r="A120" s="7" t="str">
        <f aca="false">B120&amp;"."&amp;E120</f>
        <v>campanha_etapas.unidade</v>
      </c>
      <c r="B120" s="7" t="s">
        <v>48</v>
      </c>
      <c r="C120" s="7" t="s">
        <v>31</v>
      </c>
      <c r="D120" s="7" t="n">
        <v>8</v>
      </c>
      <c r="E120" s="7" t="s">
        <v>390</v>
      </c>
      <c r="F120" s="7" t="s">
        <v>261</v>
      </c>
      <c r="G120" s="7" t="s">
        <v>262</v>
      </c>
      <c r="H120" s="7" t="s">
        <v>391</v>
      </c>
      <c r="I120" s="7"/>
      <c r="J120" s="7"/>
      <c r="K120" s="7" t="s">
        <v>392</v>
      </c>
      <c r="L120" s="7" t="str">
        <f aca="false">IFERROR(VLOOKUP(IF(ISNUMBER(SEARCH("(",F120)),LEFT(F120,SEARCH("(",F120)-1),F120),Tipos!$A:$B,2,FALSE()),"outro")</f>
        <v>texto</v>
      </c>
      <c r="M120" s="7" t="str">
        <f aca="false">IF(COUNTIF(Comparação!$H:$H,A120)&gt;0,"sim",IF(AND(G120="sim",H120=""),"FALTA (obrigatória)","não"))</f>
        <v>não</v>
      </c>
    </row>
    <row r="121" customFormat="false" ht="15" hidden="false" customHeight="false" outlineLevel="0" collapsed="false">
      <c r="A121" s="7" t="str">
        <f aca="false">B121&amp;"."&amp;E121</f>
        <v>campanha_etapas.origem</v>
      </c>
      <c r="B121" s="7" t="s">
        <v>48</v>
      </c>
      <c r="C121" s="7" t="s">
        <v>31</v>
      </c>
      <c r="D121" s="7" t="n">
        <v>9</v>
      </c>
      <c r="E121" s="7" t="s">
        <v>302</v>
      </c>
      <c r="F121" s="7" t="s">
        <v>261</v>
      </c>
      <c r="G121" s="7" t="s">
        <v>262</v>
      </c>
      <c r="H121" s="7" t="s">
        <v>381</v>
      </c>
      <c r="I121" s="7"/>
      <c r="J121" s="7"/>
      <c r="K121" s="7" t="s">
        <v>393</v>
      </c>
      <c r="L121" s="7" t="str">
        <f aca="false">IFERROR(VLOOKUP(IF(ISNUMBER(SEARCH("(",F121)),LEFT(F121,SEARCH("(",F121)-1),F121),Tipos!$A:$B,2,FALSE()),"outro")</f>
        <v>texto</v>
      </c>
      <c r="M121" s="7" t="str">
        <f aca="false">IF(COUNTIF(Comparação!$H:$H,A121)&gt;0,"sim",IF(AND(G121="sim",H121=""),"FALTA (obrigatória)","não"))</f>
        <v>não</v>
      </c>
    </row>
    <row r="122" customFormat="false" ht="15" hidden="false" customHeight="false" outlineLevel="0" collapsed="false">
      <c r="A122" s="7" t="str">
        <f aca="false">B122&amp;"."&amp;E122</f>
        <v>campanha_etapas.metrica</v>
      </c>
      <c r="B122" s="7" t="s">
        <v>48</v>
      </c>
      <c r="C122" s="7" t="s">
        <v>31</v>
      </c>
      <c r="D122" s="7" t="n">
        <v>10</v>
      </c>
      <c r="E122" s="7" t="s">
        <v>328</v>
      </c>
      <c r="F122" s="7" t="s">
        <v>261</v>
      </c>
      <c r="G122" s="7" t="s">
        <v>267</v>
      </c>
      <c r="H122" s="7"/>
      <c r="I122" s="7"/>
      <c r="J122" s="7"/>
      <c r="K122" s="7" t="s">
        <v>394</v>
      </c>
      <c r="L122" s="7" t="str">
        <f aca="false">IFERROR(VLOOKUP(IF(ISNUMBER(SEARCH("(",F122)),LEFT(F122,SEARCH("(",F122)-1),F122),Tipos!$A:$B,2,FALSE()),"outro")</f>
        <v>texto</v>
      </c>
      <c r="M122" s="7" t="str">
        <f aca="false">IF(COUNTIF(Comparação!$H:$H,A122)&gt;0,"sim",IF(AND(G122="sim",H122=""),"FALTA (obrigatória)","não"))</f>
        <v>não</v>
      </c>
    </row>
    <row r="123" customFormat="false" ht="15" hidden="false" customHeight="false" outlineLevel="0" collapsed="false">
      <c r="A123" s="7" t="str">
        <f aca="false">B123&amp;"."&amp;E123</f>
        <v>campanha_etapas.origem_ref</v>
      </c>
      <c r="B123" s="7" t="s">
        <v>48</v>
      </c>
      <c r="C123" s="7" t="s">
        <v>31</v>
      </c>
      <c r="D123" s="7" t="n">
        <v>11</v>
      </c>
      <c r="E123" s="7" t="s">
        <v>343</v>
      </c>
      <c r="F123" s="7" t="s">
        <v>272</v>
      </c>
      <c r="G123" s="7" t="s">
        <v>267</v>
      </c>
      <c r="H123" s="7"/>
      <c r="I123" s="7"/>
      <c r="J123" s="7"/>
      <c r="K123" s="7"/>
      <c r="L123" s="7" t="str">
        <f aca="false">IFERROR(VLOOKUP(IF(ISNUMBER(SEARCH("(",F123)),LEFT(F123,SEARCH("(",F123)-1),F123),Tipos!$A:$B,2,FALSE()),"outro")</f>
        <v>uuid</v>
      </c>
      <c r="M123" s="7" t="str">
        <f aca="false">IF(COUNTIF(Comparação!$H:$H,A123)&gt;0,"sim",IF(AND(G123="sim",H123=""),"FALTA (obrigatória)","não"))</f>
        <v>não</v>
      </c>
    </row>
    <row r="124" customFormat="false" ht="15" hidden="false" customHeight="false" outlineLevel="0" collapsed="false">
      <c r="A124" s="7" t="str">
        <f aca="false">B124&amp;"."&amp;E124</f>
        <v>campanha_etapas.conta_como</v>
      </c>
      <c r="B124" s="7" t="s">
        <v>48</v>
      </c>
      <c r="C124" s="7" t="s">
        <v>31</v>
      </c>
      <c r="D124" s="7" t="n">
        <v>12</v>
      </c>
      <c r="E124" s="7" t="s">
        <v>395</v>
      </c>
      <c r="F124" s="7" t="s">
        <v>261</v>
      </c>
      <c r="G124" s="7" t="s">
        <v>267</v>
      </c>
      <c r="H124" s="7"/>
      <c r="I124" s="7"/>
      <c r="J124" s="7"/>
      <c r="K124" s="7" t="s">
        <v>396</v>
      </c>
      <c r="L124" s="7" t="str">
        <f aca="false">IFERROR(VLOOKUP(IF(ISNUMBER(SEARCH("(",F124)),LEFT(F124,SEARCH("(",F124)-1),F124),Tipos!$A:$B,2,FALSE()),"outro")</f>
        <v>texto</v>
      </c>
      <c r="M124" s="7" t="str">
        <f aca="false">IF(COUNTIF(Comparação!$H:$H,A124)&gt;0,"sim",IF(AND(G124="sim",H124=""),"FALTA (obrigatória)","não"))</f>
        <v>não</v>
      </c>
    </row>
    <row r="125" customFormat="false" ht="15" hidden="false" customHeight="false" outlineLevel="0" collapsed="false">
      <c r="A125" s="7" t="str">
        <f aca="false">B125&amp;"."&amp;E125</f>
        <v>campanha_etapas.taxa_esperada</v>
      </c>
      <c r="B125" s="7" t="s">
        <v>48</v>
      </c>
      <c r="C125" s="7" t="s">
        <v>31</v>
      </c>
      <c r="D125" s="7" t="n">
        <v>13</v>
      </c>
      <c r="E125" s="7" t="s">
        <v>397</v>
      </c>
      <c r="F125" s="7" t="s">
        <v>380</v>
      </c>
      <c r="G125" s="7" t="s">
        <v>267</v>
      </c>
      <c r="H125" s="7"/>
      <c r="I125" s="7"/>
      <c r="J125" s="7"/>
      <c r="K125" s="7" t="s">
        <v>398</v>
      </c>
      <c r="L125" s="7" t="str">
        <f aca="false">IFERROR(VLOOKUP(IF(ISNUMBER(SEARCH("(",F125)),LEFT(F125,SEARCH("(",F125)-1),F125),Tipos!$A:$B,2,FALSE()),"outro")</f>
        <v>decimal</v>
      </c>
      <c r="M125" s="7" t="str">
        <f aca="false">IF(COUNTIF(Comparação!$H:$H,A125)&gt;0,"sim",IF(AND(G125="sim",H125=""),"FALTA (obrigatória)","não"))</f>
        <v>não</v>
      </c>
    </row>
    <row r="126" customFormat="false" ht="15" hidden="false" customHeight="false" outlineLevel="0" collapsed="false">
      <c r="A126" s="7" t="str">
        <f aca="false">B126&amp;"."&amp;E126</f>
        <v>campanha_etapas.ativa</v>
      </c>
      <c r="B126" s="7" t="s">
        <v>48</v>
      </c>
      <c r="C126" s="7" t="s">
        <v>31</v>
      </c>
      <c r="D126" s="7" t="n">
        <v>14</v>
      </c>
      <c r="E126" s="7" t="s">
        <v>399</v>
      </c>
      <c r="F126" s="7" t="s">
        <v>310</v>
      </c>
      <c r="G126" s="7" t="s">
        <v>262</v>
      </c>
      <c r="H126" s="7" t="s">
        <v>311</v>
      </c>
      <c r="I126" s="7"/>
      <c r="J126" s="7"/>
      <c r="K126" s="7"/>
      <c r="L126" s="7" t="str">
        <f aca="false">IFERROR(VLOOKUP(IF(ISNUMBER(SEARCH("(",F126)),LEFT(F126,SEARCH("(",F126)-1),F126),Tipos!$A:$B,2,FALSE()),"outro")</f>
        <v>booleano</v>
      </c>
      <c r="M126" s="7" t="str">
        <f aca="false">IF(COUNTIF(Comparação!$H:$H,A126)&gt;0,"sim",IF(AND(G126="sim",H126=""),"FALTA (obrigatória)","não"))</f>
        <v>não</v>
      </c>
    </row>
    <row r="127" customFormat="false" ht="15" hidden="false" customHeight="false" outlineLevel="0" collapsed="false">
      <c r="A127" s="7" t="str">
        <f aca="false">B127&amp;"."&amp;E127</f>
        <v>campanha_etapas.criado_em</v>
      </c>
      <c r="B127" s="7" t="s">
        <v>48</v>
      </c>
      <c r="C127" s="7" t="s">
        <v>31</v>
      </c>
      <c r="D127" s="7" t="n">
        <v>15</v>
      </c>
      <c r="E127" s="7" t="s">
        <v>344</v>
      </c>
      <c r="F127" s="7" t="s">
        <v>285</v>
      </c>
      <c r="G127" s="7" t="s">
        <v>262</v>
      </c>
      <c r="H127" s="7" t="s">
        <v>286</v>
      </c>
      <c r="I127" s="7"/>
      <c r="J127" s="7"/>
      <c r="K127" s="7"/>
      <c r="L127" s="7" t="str">
        <f aca="false">IFERROR(VLOOKUP(IF(ISNUMBER(SEARCH("(",F127)),LEFT(F127,SEARCH("(",F127)-1),F127),Tipos!$A:$B,2,FALSE()),"outro")</f>
        <v>data e hora</v>
      </c>
      <c r="M127" s="7" t="str">
        <f aca="false">IF(COUNTIF(Comparação!$H:$H,A127)&gt;0,"sim",IF(AND(G127="sim",H127=""),"FALTA (obrigatória)","não"))</f>
        <v>não</v>
      </c>
    </row>
    <row r="128" customFormat="false" ht="15" hidden="false" customHeight="false" outlineLevel="0" collapsed="false">
      <c r="A128" s="7" t="str">
        <f aca="false">B128&amp;"."&amp;E128</f>
        <v>campanha_etapas.bloco_id</v>
      </c>
      <c r="B128" s="7" t="s">
        <v>48</v>
      </c>
      <c r="C128" s="7" t="s">
        <v>31</v>
      </c>
      <c r="D128" s="7" t="n">
        <v>16</v>
      </c>
      <c r="E128" s="7" t="s">
        <v>400</v>
      </c>
      <c r="F128" s="7" t="s">
        <v>272</v>
      </c>
      <c r="G128" s="7" t="s">
        <v>267</v>
      </c>
      <c r="H128" s="7"/>
      <c r="I128" s="7"/>
      <c r="J128" s="7" t="s">
        <v>401</v>
      </c>
      <c r="K128" s="7"/>
      <c r="L128" s="7" t="str">
        <f aca="false">IFERROR(VLOOKUP(IF(ISNUMBER(SEARCH("(",F128)),LEFT(F128,SEARCH("(",F128)-1),F128),Tipos!$A:$B,2,FALSE()),"outro")</f>
        <v>uuid</v>
      </c>
      <c r="M128" s="7" t="str">
        <f aca="false">IF(COUNTIF(Comparação!$H:$H,A128)&gt;0,"sim",IF(AND(G128="sim",H128=""),"FALTA (obrigatória)","não"))</f>
        <v>não</v>
      </c>
    </row>
    <row r="129" customFormat="false" ht="15" hidden="false" customHeight="false" outlineLevel="0" collapsed="false">
      <c r="A129" s="7" t="str">
        <f aca="false">B129&amp;"."&amp;E129</f>
        <v>campanha_etapas.papel</v>
      </c>
      <c r="B129" s="7" t="s">
        <v>48</v>
      </c>
      <c r="C129" s="7" t="s">
        <v>31</v>
      </c>
      <c r="D129" s="7" t="n">
        <v>17</v>
      </c>
      <c r="E129" s="7" t="s">
        <v>402</v>
      </c>
      <c r="F129" s="7" t="s">
        <v>261</v>
      </c>
      <c r="G129" s="7" t="s">
        <v>267</v>
      </c>
      <c r="H129" s="7"/>
      <c r="I129" s="7"/>
      <c r="J129" s="7"/>
      <c r="K129" s="7" t="s">
        <v>403</v>
      </c>
      <c r="L129" s="7" t="str">
        <f aca="false">IFERROR(VLOOKUP(IF(ISNUMBER(SEARCH("(",F129)),LEFT(F129,SEARCH("(",F129)-1),F129),Tipos!$A:$B,2,FALSE()),"outro")</f>
        <v>texto</v>
      </c>
      <c r="M129" s="7" t="str">
        <f aca="false">IF(COUNTIF(Comparação!$H:$H,A129)&gt;0,"sim",IF(AND(G129="sim",H129=""),"FALTA (obrigatória)","não"))</f>
        <v>não</v>
      </c>
    </row>
    <row r="130" customFormat="false" ht="15" hidden="false" customHeight="false" outlineLevel="0" collapsed="false">
      <c r="A130" s="7" t="str">
        <f aca="false">B130&amp;"."&amp;E130</f>
        <v>campanha_etapas.fonte</v>
      </c>
      <c r="B130" s="7" t="s">
        <v>48</v>
      </c>
      <c r="C130" s="7" t="s">
        <v>31</v>
      </c>
      <c r="D130" s="7" t="n">
        <v>18</v>
      </c>
      <c r="E130" s="7" t="s">
        <v>333</v>
      </c>
      <c r="F130" s="7" t="s">
        <v>261</v>
      </c>
      <c r="G130" s="7" t="s">
        <v>267</v>
      </c>
      <c r="H130" s="7"/>
      <c r="I130" s="7"/>
      <c r="J130" s="7"/>
      <c r="K130" s="7"/>
      <c r="L130" s="7" t="str">
        <f aca="false">IFERROR(VLOOKUP(IF(ISNUMBER(SEARCH("(",F130)),LEFT(F130,SEARCH("(",F130)-1),F130),Tipos!$A:$B,2,FALSE()),"outro")</f>
        <v>texto</v>
      </c>
      <c r="M130" s="7" t="str">
        <f aca="false">IF(COUNTIF(Comparação!$H:$H,A130)&gt;0,"sim",IF(AND(G130="sim",H130=""),"FALTA (obrigatória)","não"))</f>
        <v>não</v>
      </c>
    </row>
    <row r="131" customFormat="false" ht="15" hidden="false" customHeight="false" outlineLevel="0" collapsed="false">
      <c r="A131" s="7" t="str">
        <f aca="false">B131&amp;"."&amp;E131</f>
        <v>campanha_fechamentos.id</v>
      </c>
      <c r="B131" s="7" t="s">
        <v>50</v>
      </c>
      <c r="C131" s="7" t="s">
        <v>31</v>
      </c>
      <c r="D131" s="7" t="n">
        <v>1</v>
      </c>
      <c r="E131" s="7" t="s">
        <v>271</v>
      </c>
      <c r="F131" s="7" t="s">
        <v>272</v>
      </c>
      <c r="G131" s="7" t="s">
        <v>262</v>
      </c>
      <c r="H131" s="7" t="s">
        <v>273</v>
      </c>
      <c r="I131" s="7" t="s">
        <v>263</v>
      </c>
      <c r="J131" s="7"/>
      <c r="K131" s="7"/>
      <c r="L131" s="7" t="str">
        <f aca="false">IFERROR(VLOOKUP(IF(ISNUMBER(SEARCH("(",F131)),LEFT(F131,SEARCH("(",F131)-1),F131),Tipos!$A:$B,2,FALSE()),"outro")</f>
        <v>uuid</v>
      </c>
      <c r="M131" s="7" t="str">
        <f aca="false">IF(COUNTIF(Comparação!$H:$H,A131)&gt;0,"sim",IF(AND(G131="sim",H131=""),"FALTA (obrigatória)","não"))</f>
        <v>não</v>
      </c>
    </row>
    <row r="132" customFormat="false" ht="15" hidden="false" customHeight="false" outlineLevel="0" collapsed="false">
      <c r="A132" s="7" t="str">
        <f aca="false">B132&amp;"."&amp;E132</f>
        <v>campanha_fechamentos.workspace_id</v>
      </c>
      <c r="B132" s="7" t="s">
        <v>50</v>
      </c>
      <c r="C132" s="7" t="s">
        <v>31</v>
      </c>
      <c r="D132" s="7" t="n">
        <v>2</v>
      </c>
      <c r="E132" s="7" t="s">
        <v>274</v>
      </c>
      <c r="F132" s="7" t="s">
        <v>272</v>
      </c>
      <c r="G132" s="7" t="s">
        <v>262</v>
      </c>
      <c r="H132" s="7"/>
      <c r="I132" s="7"/>
      <c r="J132" s="7" t="s">
        <v>275</v>
      </c>
      <c r="K132" s="7"/>
      <c r="L132" s="7" t="str">
        <f aca="false">IFERROR(VLOOKUP(IF(ISNUMBER(SEARCH("(",F132)),LEFT(F132,SEARCH("(",F132)-1),F132),Tipos!$A:$B,2,FALSE()),"outro")</f>
        <v>uuid</v>
      </c>
      <c r="M132" s="7" t="str">
        <f aca="false">IF(COUNTIF(Comparação!$H:$H,A132)&gt;0,"sim",IF(AND(G132="sim",H132=""),"FALTA (obrigatória)","não"))</f>
        <v>FALTA (obrigatória)</v>
      </c>
    </row>
    <row r="133" customFormat="false" ht="15" hidden="false" customHeight="false" outlineLevel="0" collapsed="false">
      <c r="A133" s="7" t="str">
        <f aca="false">B133&amp;"."&amp;E133</f>
        <v>campanha_fechamentos.campanha_id</v>
      </c>
      <c r="B133" s="7" t="s">
        <v>50</v>
      </c>
      <c r="C133" s="7" t="s">
        <v>31</v>
      </c>
      <c r="D133" s="7" t="n">
        <v>3</v>
      </c>
      <c r="E133" s="7" t="s">
        <v>336</v>
      </c>
      <c r="F133" s="7" t="s">
        <v>272</v>
      </c>
      <c r="G133" s="7" t="s">
        <v>262</v>
      </c>
      <c r="H133" s="7"/>
      <c r="I133" s="7"/>
      <c r="J133" s="7" t="s">
        <v>337</v>
      </c>
      <c r="K133" s="7"/>
      <c r="L133" s="7" t="str">
        <f aca="false">IFERROR(VLOOKUP(IF(ISNUMBER(SEARCH("(",F133)),LEFT(F133,SEARCH("(",F133)-1),F133),Tipos!$A:$B,2,FALSE()),"outro")</f>
        <v>uuid</v>
      </c>
      <c r="M133" s="7" t="str">
        <f aca="false">IF(COUNTIF(Comparação!$H:$H,A133)&gt;0,"sim",IF(AND(G133="sim",H133=""),"FALTA (obrigatória)","não"))</f>
        <v>FALTA (obrigatória)</v>
      </c>
    </row>
    <row r="134" customFormat="false" ht="15" hidden="false" customHeight="false" outlineLevel="0" collapsed="false">
      <c r="A134" s="7" t="str">
        <f aca="false">B134&amp;"."&amp;E134</f>
        <v>campanha_fechamentos.fechado_em</v>
      </c>
      <c r="B134" s="7" t="s">
        <v>50</v>
      </c>
      <c r="C134" s="7" t="s">
        <v>31</v>
      </c>
      <c r="D134" s="7" t="n">
        <v>4</v>
      </c>
      <c r="E134" s="7" t="s">
        <v>404</v>
      </c>
      <c r="F134" s="7" t="s">
        <v>285</v>
      </c>
      <c r="G134" s="7" t="s">
        <v>262</v>
      </c>
      <c r="H134" s="7" t="s">
        <v>286</v>
      </c>
      <c r="I134" s="7"/>
      <c r="J134" s="7"/>
      <c r="K134" s="7"/>
      <c r="L134" s="7" t="str">
        <f aca="false">IFERROR(VLOOKUP(IF(ISNUMBER(SEARCH("(",F134)),LEFT(F134,SEARCH("(",F134)-1),F134),Tipos!$A:$B,2,FALSE()),"outro")</f>
        <v>data e hora</v>
      </c>
      <c r="M134" s="7" t="str">
        <f aca="false">IF(COUNTIF(Comparação!$H:$H,A134)&gt;0,"sim",IF(AND(G134="sim",H134=""),"FALTA (obrigatória)","não"))</f>
        <v>não</v>
      </c>
    </row>
    <row r="135" customFormat="false" ht="15" hidden="false" customHeight="false" outlineLevel="0" collapsed="false">
      <c r="A135" s="7" t="str">
        <f aca="false">B135&amp;"."&amp;E135</f>
        <v>campanha_fechamentos.fechado_por</v>
      </c>
      <c r="B135" s="7" t="s">
        <v>50</v>
      </c>
      <c r="C135" s="7" t="s">
        <v>31</v>
      </c>
      <c r="D135" s="7" t="n">
        <v>5</v>
      </c>
      <c r="E135" s="7" t="s">
        <v>405</v>
      </c>
      <c r="F135" s="7" t="s">
        <v>272</v>
      </c>
      <c r="G135" s="7" t="s">
        <v>267</v>
      </c>
      <c r="H135" s="7" t="s">
        <v>406</v>
      </c>
      <c r="I135" s="7"/>
      <c r="J135" s="7"/>
      <c r="K135" s="7"/>
      <c r="L135" s="7" t="str">
        <f aca="false">IFERROR(VLOOKUP(IF(ISNUMBER(SEARCH("(",F135)),LEFT(F135,SEARCH("(",F135)-1),F135),Tipos!$A:$B,2,FALSE()),"outro")</f>
        <v>uuid</v>
      </c>
      <c r="M135" s="7" t="str">
        <f aca="false">IF(COUNTIF(Comparação!$H:$H,A135)&gt;0,"sim",IF(AND(G135="sim",H135=""),"FALTA (obrigatória)","não"))</f>
        <v>não</v>
      </c>
    </row>
    <row r="136" customFormat="false" ht="15" hidden="false" customHeight="false" outlineLevel="0" collapsed="false">
      <c r="A136" s="7" t="str">
        <f aca="false">B136&amp;"."&amp;E136</f>
        <v>campanha_fechamentos.periodo_ini</v>
      </c>
      <c r="B136" s="7" t="s">
        <v>50</v>
      </c>
      <c r="C136" s="7" t="s">
        <v>31</v>
      </c>
      <c r="D136" s="7" t="n">
        <v>6</v>
      </c>
      <c r="E136" s="7" t="s">
        <v>407</v>
      </c>
      <c r="F136" s="7" t="s">
        <v>379</v>
      </c>
      <c r="G136" s="7" t="s">
        <v>267</v>
      </c>
      <c r="H136" s="7"/>
      <c r="I136" s="7"/>
      <c r="J136" s="7"/>
      <c r="K136" s="7"/>
      <c r="L136" s="7" t="str">
        <f aca="false">IFERROR(VLOOKUP(IF(ISNUMBER(SEARCH("(",F136)),LEFT(F136,SEARCH("(",F136)-1),F136),Tipos!$A:$B,2,FALSE()),"outro")</f>
        <v>data</v>
      </c>
      <c r="M136" s="7" t="str">
        <f aca="false">IF(COUNTIF(Comparação!$H:$H,A136)&gt;0,"sim",IF(AND(G136="sim",H136=""),"FALTA (obrigatória)","não"))</f>
        <v>não</v>
      </c>
    </row>
    <row r="137" customFormat="false" ht="15" hidden="false" customHeight="false" outlineLevel="0" collapsed="false">
      <c r="A137" s="7" t="str">
        <f aca="false">B137&amp;"."&amp;E137</f>
        <v>campanha_fechamentos.periodo_fim</v>
      </c>
      <c r="B137" s="7" t="s">
        <v>50</v>
      </c>
      <c r="C137" s="7" t="s">
        <v>31</v>
      </c>
      <c r="D137" s="7" t="n">
        <v>7</v>
      </c>
      <c r="E137" s="7" t="s">
        <v>408</v>
      </c>
      <c r="F137" s="7" t="s">
        <v>379</v>
      </c>
      <c r="G137" s="7" t="s">
        <v>267</v>
      </c>
      <c r="H137" s="7"/>
      <c r="I137" s="7"/>
      <c r="J137" s="7"/>
      <c r="K137" s="7"/>
      <c r="L137" s="7" t="str">
        <f aca="false">IFERROR(VLOOKUP(IF(ISNUMBER(SEARCH("(",F137)),LEFT(F137,SEARCH("(",F137)-1),F137),Tipos!$A:$B,2,FALSE()),"outro")</f>
        <v>data</v>
      </c>
      <c r="M137" s="7" t="str">
        <f aca="false">IF(COUNTIF(Comparação!$H:$H,A137)&gt;0,"sim",IF(AND(G137="sim",H137=""),"FALTA (obrigatória)","não"))</f>
        <v>não</v>
      </c>
    </row>
    <row r="138" customFormat="false" ht="15" hidden="false" customHeight="false" outlineLevel="0" collapsed="false">
      <c r="A138" s="7" t="str">
        <f aca="false">B138&amp;"."&amp;E138</f>
        <v>campanha_fechamentos.snapshot</v>
      </c>
      <c r="B138" s="7" t="s">
        <v>50</v>
      </c>
      <c r="C138" s="7" t="s">
        <v>31</v>
      </c>
      <c r="D138" s="7" t="n">
        <v>8</v>
      </c>
      <c r="E138" s="7" t="s">
        <v>409</v>
      </c>
      <c r="F138" s="7" t="s">
        <v>324</v>
      </c>
      <c r="G138" s="7" t="s">
        <v>262</v>
      </c>
      <c r="H138" s="7" t="s">
        <v>347</v>
      </c>
      <c r="I138" s="7"/>
      <c r="J138" s="7"/>
      <c r="K138" s="7"/>
      <c r="L138" s="7" t="str">
        <f aca="false">IFERROR(VLOOKUP(IF(ISNUMBER(SEARCH("(",F138)),LEFT(F138,SEARCH("(",F138)-1),F138),Tipos!$A:$B,2,FALSE()),"outro")</f>
        <v>json</v>
      </c>
      <c r="M138" s="7" t="str">
        <f aca="false">IF(COUNTIF(Comparação!$H:$H,A138)&gt;0,"sim",IF(AND(G138="sim",H138=""),"FALTA (obrigatória)","não"))</f>
        <v>não</v>
      </c>
    </row>
    <row r="139" customFormat="false" ht="15" hidden="false" customHeight="false" outlineLevel="0" collapsed="false">
      <c r="A139" s="7" t="str">
        <f aca="false">B139&amp;"."&amp;E139</f>
        <v>campanha_fechamentos.versao</v>
      </c>
      <c r="B139" s="7" t="s">
        <v>50</v>
      </c>
      <c r="C139" s="7" t="s">
        <v>31</v>
      </c>
      <c r="D139" s="7" t="n">
        <v>9</v>
      </c>
      <c r="E139" s="7" t="s">
        <v>410</v>
      </c>
      <c r="F139" s="7" t="s">
        <v>269</v>
      </c>
      <c r="G139" s="7" t="s">
        <v>267</v>
      </c>
      <c r="H139" s="7"/>
      <c r="I139" s="7"/>
      <c r="J139" s="7"/>
      <c r="K139" s="7"/>
      <c r="L139" s="7" t="str">
        <f aca="false">IFERROR(VLOOKUP(IF(ISNUMBER(SEARCH("(",F139)),LEFT(F139,SEARCH("(",F139)-1),F139),Tipos!$A:$B,2,FALSE()),"outro")</f>
        <v>inteiro</v>
      </c>
      <c r="M139" s="7" t="str">
        <f aca="false">IF(COUNTIF(Comparação!$H:$H,A139)&gt;0,"sim",IF(AND(G139="sim",H139=""),"FALTA (obrigatória)","não"))</f>
        <v>não</v>
      </c>
    </row>
    <row r="140" customFormat="false" ht="15" hidden="false" customHeight="false" outlineLevel="0" collapsed="false">
      <c r="A140" s="7" t="str">
        <f aca="false">B140&amp;"."&amp;E140</f>
        <v>campanha_fechamentos.status</v>
      </c>
      <c r="B140" s="7" t="s">
        <v>50</v>
      </c>
      <c r="C140" s="7" t="s">
        <v>31</v>
      </c>
      <c r="D140" s="7" t="n">
        <v>10</v>
      </c>
      <c r="E140" s="7" t="s">
        <v>293</v>
      </c>
      <c r="F140" s="7" t="s">
        <v>261</v>
      </c>
      <c r="G140" s="7" t="s">
        <v>262</v>
      </c>
      <c r="H140" s="7" t="s">
        <v>411</v>
      </c>
      <c r="I140" s="7"/>
      <c r="J140" s="7"/>
      <c r="K140" s="7" t="s">
        <v>412</v>
      </c>
      <c r="L140" s="7" t="str">
        <f aca="false">IFERROR(VLOOKUP(IF(ISNUMBER(SEARCH("(",F140)),LEFT(F140,SEARCH("(",F140)-1),F140),Tipos!$A:$B,2,FALSE()),"outro")</f>
        <v>texto</v>
      </c>
      <c r="M140" s="7" t="str">
        <f aca="false">IF(COUNTIF(Comparação!$H:$H,A140)&gt;0,"sim",IF(AND(G140="sim",H140=""),"FALTA (obrigatória)","não"))</f>
        <v>não</v>
      </c>
    </row>
    <row r="141" customFormat="false" ht="15" hidden="false" customHeight="false" outlineLevel="0" collapsed="false">
      <c r="A141" s="7" t="str">
        <f aca="false">B141&amp;"."&amp;E141</f>
        <v>campanha_fechamentos.motivo</v>
      </c>
      <c r="B141" s="7" t="s">
        <v>50</v>
      </c>
      <c r="C141" s="7" t="s">
        <v>31</v>
      </c>
      <c r="D141" s="7" t="n">
        <v>11</v>
      </c>
      <c r="E141" s="7" t="s">
        <v>413</v>
      </c>
      <c r="F141" s="7" t="s">
        <v>261</v>
      </c>
      <c r="G141" s="7" t="s">
        <v>267</v>
      </c>
      <c r="H141" s="7"/>
      <c r="I141" s="7"/>
      <c r="J141" s="7"/>
      <c r="K141" s="7"/>
      <c r="L141" s="7" t="str">
        <f aca="false">IFERROR(VLOOKUP(IF(ISNUMBER(SEARCH("(",F141)),LEFT(F141,SEARCH("(",F141)-1),F141),Tipos!$A:$B,2,FALSE()),"outro")</f>
        <v>texto</v>
      </c>
      <c r="M141" s="7" t="str">
        <f aca="false">IF(COUNTIF(Comparação!$H:$H,A141)&gt;0,"sim",IF(AND(G141="sim",H141=""),"FALTA (obrigatória)","não"))</f>
        <v>não</v>
      </c>
    </row>
    <row r="142" customFormat="false" ht="15" hidden="false" customHeight="false" outlineLevel="0" collapsed="false">
      <c r="A142" s="7" t="str">
        <f aca="false">B142&amp;"."&amp;E142</f>
        <v>campanha_fechamentos.substitui_id</v>
      </c>
      <c r="B142" s="7" t="s">
        <v>50</v>
      </c>
      <c r="C142" s="7" t="s">
        <v>31</v>
      </c>
      <c r="D142" s="7" t="n">
        <v>12</v>
      </c>
      <c r="E142" s="7" t="s">
        <v>414</v>
      </c>
      <c r="F142" s="7" t="s">
        <v>272</v>
      </c>
      <c r="G142" s="7" t="s">
        <v>267</v>
      </c>
      <c r="H142" s="7"/>
      <c r="I142" s="7"/>
      <c r="J142" s="7" t="s">
        <v>415</v>
      </c>
      <c r="K142" s="7"/>
      <c r="L142" s="7" t="str">
        <f aca="false">IFERROR(VLOOKUP(IF(ISNUMBER(SEARCH("(",F142)),LEFT(F142,SEARCH("(",F142)-1),F142),Tipos!$A:$B,2,FALSE()),"outro")</f>
        <v>uuid</v>
      </c>
      <c r="M142" s="7" t="str">
        <f aca="false">IF(COUNTIF(Comparação!$H:$H,A142)&gt;0,"sim",IF(AND(G142="sim",H142=""),"FALTA (obrigatória)","não"))</f>
        <v>não</v>
      </c>
    </row>
    <row r="143" customFormat="false" ht="15" hidden="false" customHeight="false" outlineLevel="0" collapsed="false">
      <c r="A143" s="7" t="str">
        <f aca="false">B143&amp;"."&amp;E143</f>
        <v>campanha_fechamentos.corte_em</v>
      </c>
      <c r="B143" s="7" t="s">
        <v>50</v>
      </c>
      <c r="C143" s="7" t="s">
        <v>31</v>
      </c>
      <c r="D143" s="7" t="n">
        <v>13</v>
      </c>
      <c r="E143" s="7" t="s">
        <v>416</v>
      </c>
      <c r="F143" s="7" t="s">
        <v>285</v>
      </c>
      <c r="G143" s="7" t="s">
        <v>267</v>
      </c>
      <c r="H143" s="7"/>
      <c r="I143" s="7"/>
      <c r="J143" s="7"/>
      <c r="K143" s="7"/>
      <c r="L143" s="7" t="str">
        <f aca="false">IFERROR(VLOOKUP(IF(ISNUMBER(SEARCH("(",F143)),LEFT(F143,SEARCH("(",F143)-1),F143),Tipos!$A:$B,2,FALSE()),"outro")</f>
        <v>data e hora</v>
      </c>
      <c r="M143" s="7" t="str">
        <f aca="false">IF(COUNTIF(Comparação!$H:$H,A143)&gt;0,"sim",IF(AND(G143="sim",H143=""),"FALTA (obrigatória)","não"))</f>
        <v>não</v>
      </c>
    </row>
    <row r="144" customFormat="false" ht="15" hidden="false" customHeight="false" outlineLevel="0" collapsed="false">
      <c r="A144" s="7" t="str">
        <f aca="false">B144&amp;"."&amp;E144</f>
        <v>campanha_fechamentos.qualidade</v>
      </c>
      <c r="B144" s="7" t="s">
        <v>50</v>
      </c>
      <c r="C144" s="7" t="s">
        <v>31</v>
      </c>
      <c r="D144" s="7" t="n">
        <v>14</v>
      </c>
      <c r="E144" s="7" t="s">
        <v>417</v>
      </c>
      <c r="F144" s="7" t="s">
        <v>324</v>
      </c>
      <c r="G144" s="7" t="s">
        <v>267</v>
      </c>
      <c r="H144" s="7"/>
      <c r="I144" s="7"/>
      <c r="J144" s="7"/>
      <c r="K144" s="7"/>
      <c r="L144" s="7" t="str">
        <f aca="false">IFERROR(VLOOKUP(IF(ISNUMBER(SEARCH("(",F144)),LEFT(F144,SEARCH("(",F144)-1),F144),Tipos!$A:$B,2,FALSE()),"outro")</f>
        <v>json</v>
      </c>
      <c r="M144" s="7" t="str">
        <f aca="false">IF(COUNTIF(Comparação!$H:$H,A144)&gt;0,"sim",IF(AND(G144="sim",H144=""),"FALTA (obrigatória)","não"))</f>
        <v>não</v>
      </c>
    </row>
    <row r="145" customFormat="false" ht="15" hidden="false" customHeight="false" outlineLevel="0" collapsed="false">
      <c r="A145" s="7" t="str">
        <f aca="false">B145&amp;"."&amp;E145</f>
        <v>campanha_fechamentos.fase</v>
      </c>
      <c r="B145" s="7" t="s">
        <v>50</v>
      </c>
      <c r="C145" s="7" t="s">
        <v>31</v>
      </c>
      <c r="D145" s="7" t="n">
        <v>15</v>
      </c>
      <c r="E145" s="7" t="s">
        <v>340</v>
      </c>
      <c r="F145" s="7" t="s">
        <v>261</v>
      </c>
      <c r="G145" s="7" t="s">
        <v>267</v>
      </c>
      <c r="H145" s="7"/>
      <c r="I145" s="7"/>
      <c r="J145" s="7"/>
      <c r="K145" s="7"/>
      <c r="L145" s="7" t="str">
        <f aca="false">IFERROR(VLOOKUP(IF(ISNUMBER(SEARCH("(",F145)),LEFT(F145,SEARCH("(",F145)-1),F145),Tipos!$A:$B,2,FALSE()),"outro")</f>
        <v>texto</v>
      </c>
      <c r="M145" s="7" t="str">
        <f aca="false">IF(COUNTIF(Comparação!$H:$H,A145)&gt;0,"sim",IF(AND(G145="sim",H145=""),"FALTA (obrigatória)","não"))</f>
        <v>não</v>
      </c>
    </row>
    <row r="146" customFormat="false" ht="15" hidden="false" customHeight="false" outlineLevel="0" collapsed="false">
      <c r="A146" s="7" t="str">
        <f aca="false">B146&amp;"."&amp;E146</f>
        <v>campanha_links.id</v>
      </c>
      <c r="B146" s="7" t="s">
        <v>52</v>
      </c>
      <c r="C146" s="7" t="s">
        <v>31</v>
      </c>
      <c r="D146" s="7" t="n">
        <v>1</v>
      </c>
      <c r="E146" s="7" t="s">
        <v>271</v>
      </c>
      <c r="F146" s="7" t="s">
        <v>272</v>
      </c>
      <c r="G146" s="7" t="s">
        <v>262</v>
      </c>
      <c r="H146" s="7" t="s">
        <v>273</v>
      </c>
      <c r="I146" s="7" t="s">
        <v>263</v>
      </c>
      <c r="J146" s="7"/>
      <c r="K146" s="7"/>
      <c r="L146" s="7" t="str">
        <f aca="false">IFERROR(VLOOKUP(IF(ISNUMBER(SEARCH("(",F146)),LEFT(F146,SEARCH("(",F146)-1),F146),Tipos!$A:$B,2,FALSE()),"outro")</f>
        <v>uuid</v>
      </c>
      <c r="M146" s="7" t="str">
        <f aca="false">IF(COUNTIF(Comparação!$H:$H,A146)&gt;0,"sim",IF(AND(G146="sim",H146=""),"FALTA (obrigatória)","não"))</f>
        <v>não</v>
      </c>
    </row>
    <row r="147" customFormat="false" ht="15" hidden="false" customHeight="false" outlineLevel="0" collapsed="false">
      <c r="A147" s="7" t="str">
        <f aca="false">B147&amp;"."&amp;E147</f>
        <v>campanha_links.workspace_id</v>
      </c>
      <c r="B147" s="7" t="s">
        <v>52</v>
      </c>
      <c r="C147" s="7" t="s">
        <v>31</v>
      </c>
      <c r="D147" s="7" t="n">
        <v>2</v>
      </c>
      <c r="E147" s="7" t="s">
        <v>274</v>
      </c>
      <c r="F147" s="7" t="s">
        <v>272</v>
      </c>
      <c r="G147" s="7" t="s">
        <v>262</v>
      </c>
      <c r="H147" s="7"/>
      <c r="I147" s="7"/>
      <c r="J147" s="7" t="s">
        <v>275</v>
      </c>
      <c r="K147" s="7"/>
      <c r="L147" s="7" t="str">
        <f aca="false">IFERROR(VLOOKUP(IF(ISNUMBER(SEARCH("(",F147)),LEFT(F147,SEARCH("(",F147)-1),F147),Tipos!$A:$B,2,FALSE()),"outro")</f>
        <v>uuid</v>
      </c>
      <c r="M147" s="7" t="str">
        <f aca="false">IF(COUNTIF(Comparação!$H:$H,A147)&gt;0,"sim",IF(AND(G147="sim",H147=""),"FALTA (obrigatória)","não"))</f>
        <v>FALTA (obrigatória)</v>
      </c>
    </row>
    <row r="148" customFormat="false" ht="15" hidden="false" customHeight="false" outlineLevel="0" collapsed="false">
      <c r="A148" s="7" t="str">
        <f aca="false">B148&amp;"."&amp;E148</f>
        <v>campanha_links.campanha_canal_id</v>
      </c>
      <c r="B148" s="7" t="s">
        <v>52</v>
      </c>
      <c r="C148" s="7" t="s">
        <v>31</v>
      </c>
      <c r="D148" s="7" t="n">
        <v>3</v>
      </c>
      <c r="E148" s="7" t="s">
        <v>304</v>
      </c>
      <c r="F148" s="7" t="s">
        <v>272</v>
      </c>
      <c r="G148" s="7" t="s">
        <v>262</v>
      </c>
      <c r="H148" s="7"/>
      <c r="I148" s="7" t="s">
        <v>290</v>
      </c>
      <c r="J148" s="7" t="s">
        <v>305</v>
      </c>
      <c r="K148" s="7"/>
      <c r="L148" s="7" t="str">
        <f aca="false">IFERROR(VLOOKUP(IF(ISNUMBER(SEARCH("(",F148)),LEFT(F148,SEARCH("(",F148)-1),F148),Tipos!$A:$B,2,FALSE()),"outro")</f>
        <v>uuid</v>
      </c>
      <c r="M148" s="7" t="str">
        <f aca="false">IF(COUNTIF(Comparação!$H:$H,A148)&gt;0,"sim",IF(AND(G148="sim",H148=""),"FALTA (obrigatória)","não"))</f>
        <v>FALTA (obrigatória)</v>
      </c>
    </row>
    <row r="149" customFormat="false" ht="15" hidden="false" customHeight="false" outlineLevel="0" collapsed="false">
      <c r="A149" s="7" t="str">
        <f aca="false">B149&amp;"."&amp;E149</f>
        <v>campanha_links.nome</v>
      </c>
      <c r="B149" s="7" t="s">
        <v>52</v>
      </c>
      <c r="C149" s="7" t="s">
        <v>31</v>
      </c>
      <c r="D149" s="7" t="n">
        <v>4</v>
      </c>
      <c r="E149" s="7" t="s">
        <v>265</v>
      </c>
      <c r="F149" s="7" t="s">
        <v>261</v>
      </c>
      <c r="G149" s="7" t="s">
        <v>262</v>
      </c>
      <c r="H149" s="7"/>
      <c r="I149" s="7"/>
      <c r="J149" s="7"/>
      <c r="K149" s="7"/>
      <c r="L149" s="7" t="str">
        <f aca="false">IFERROR(VLOOKUP(IF(ISNUMBER(SEARCH("(",F149)),LEFT(F149,SEARCH("(",F149)-1),F149),Tipos!$A:$B,2,FALSE()),"outro")</f>
        <v>texto</v>
      </c>
      <c r="M149" s="7" t="str">
        <f aca="false">IF(COUNTIF(Comparação!$H:$H,A149)&gt;0,"sim",IF(AND(G149="sim",H149=""),"FALTA (obrigatória)","não"))</f>
        <v>FALTA (obrigatória)</v>
      </c>
    </row>
    <row r="150" customFormat="false" ht="15" hidden="false" customHeight="false" outlineLevel="0" collapsed="false">
      <c r="A150" s="7" t="str">
        <f aca="false">B150&amp;"."&amp;E150</f>
        <v>campanha_links.url_destino</v>
      </c>
      <c r="B150" s="7" t="s">
        <v>52</v>
      </c>
      <c r="C150" s="7" t="s">
        <v>31</v>
      </c>
      <c r="D150" s="7" t="n">
        <v>5</v>
      </c>
      <c r="E150" s="7" t="s">
        <v>418</v>
      </c>
      <c r="F150" s="7" t="s">
        <v>261</v>
      </c>
      <c r="G150" s="7" t="s">
        <v>262</v>
      </c>
      <c r="H150" s="7"/>
      <c r="I150" s="7"/>
      <c r="J150" s="7"/>
      <c r="K150" s="7" t="s">
        <v>419</v>
      </c>
      <c r="L150" s="7" t="str">
        <f aca="false">IFERROR(VLOOKUP(IF(ISNUMBER(SEARCH("(",F150)),LEFT(F150,SEARCH("(",F150)-1),F150),Tipos!$A:$B,2,FALSE()),"outro")</f>
        <v>texto</v>
      </c>
      <c r="M150" s="7" t="str">
        <f aca="false">IF(COUNTIF(Comparação!$H:$H,A150)&gt;0,"sim",IF(AND(G150="sim",H150=""),"FALTA (obrigatória)","não"))</f>
        <v>FALTA (obrigatória)</v>
      </c>
    </row>
    <row r="151" customFormat="false" ht="15" hidden="false" customHeight="false" outlineLevel="0" collapsed="false">
      <c r="A151" s="7" t="str">
        <f aca="false">B151&amp;"."&amp;E151</f>
        <v>campanha_links.utm_source</v>
      </c>
      <c r="B151" s="7" t="s">
        <v>52</v>
      </c>
      <c r="C151" s="7" t="s">
        <v>31</v>
      </c>
      <c r="D151" s="7" t="n">
        <v>6</v>
      </c>
      <c r="E151" s="7" t="s">
        <v>420</v>
      </c>
      <c r="F151" s="7" t="s">
        <v>261</v>
      </c>
      <c r="G151" s="7" t="s">
        <v>262</v>
      </c>
      <c r="H151" s="7"/>
      <c r="I151" s="7"/>
      <c r="J151" s="7"/>
      <c r="K151" s="7"/>
      <c r="L151" s="7" t="str">
        <f aca="false">IFERROR(VLOOKUP(IF(ISNUMBER(SEARCH("(",F151)),LEFT(F151,SEARCH("(",F151)-1),F151),Tipos!$A:$B,2,FALSE()),"outro")</f>
        <v>texto</v>
      </c>
      <c r="M151" s="7" t="str">
        <f aca="false">IF(COUNTIF(Comparação!$H:$H,A151)&gt;0,"sim",IF(AND(G151="sim",H151=""),"FALTA (obrigatória)","não"))</f>
        <v>FALTA (obrigatória)</v>
      </c>
    </row>
    <row r="152" customFormat="false" ht="15" hidden="false" customHeight="false" outlineLevel="0" collapsed="false">
      <c r="A152" s="7" t="str">
        <f aca="false">B152&amp;"."&amp;E152</f>
        <v>campanha_links.utm_medium</v>
      </c>
      <c r="B152" s="7" t="s">
        <v>52</v>
      </c>
      <c r="C152" s="7" t="s">
        <v>31</v>
      </c>
      <c r="D152" s="7" t="n">
        <v>7</v>
      </c>
      <c r="E152" s="7" t="s">
        <v>421</v>
      </c>
      <c r="F152" s="7" t="s">
        <v>261</v>
      </c>
      <c r="G152" s="7" t="s">
        <v>262</v>
      </c>
      <c r="H152" s="7"/>
      <c r="I152" s="7"/>
      <c r="J152" s="7"/>
      <c r="K152" s="7"/>
      <c r="L152" s="7" t="str">
        <f aca="false">IFERROR(VLOOKUP(IF(ISNUMBER(SEARCH("(",F152)),LEFT(F152,SEARCH("(",F152)-1),F152),Tipos!$A:$B,2,FALSE()),"outro")</f>
        <v>texto</v>
      </c>
      <c r="M152" s="7" t="str">
        <f aca="false">IF(COUNTIF(Comparação!$H:$H,A152)&gt;0,"sim",IF(AND(G152="sim",H152=""),"FALTA (obrigatória)","não"))</f>
        <v>FALTA (obrigatória)</v>
      </c>
    </row>
    <row r="153" customFormat="false" ht="15" hidden="false" customHeight="false" outlineLevel="0" collapsed="false">
      <c r="A153" s="7" t="str">
        <f aca="false">B153&amp;"."&amp;E153</f>
        <v>campanha_links.utm_content</v>
      </c>
      <c r="B153" s="7" t="s">
        <v>52</v>
      </c>
      <c r="C153" s="7" t="s">
        <v>31</v>
      </c>
      <c r="D153" s="7" t="n">
        <v>8</v>
      </c>
      <c r="E153" s="7" t="s">
        <v>306</v>
      </c>
      <c r="F153" s="7" t="s">
        <v>261</v>
      </c>
      <c r="G153" s="7" t="s">
        <v>262</v>
      </c>
      <c r="H153" s="7"/>
      <c r="I153" s="7" t="s">
        <v>290</v>
      </c>
      <c r="J153" s="7"/>
      <c r="K153" s="7"/>
      <c r="L153" s="7" t="str">
        <f aca="false">IFERROR(VLOOKUP(IF(ISNUMBER(SEARCH("(",F153)),LEFT(F153,SEARCH("(",F153)-1),F153),Tipos!$A:$B,2,FALSE()),"outro")</f>
        <v>texto</v>
      </c>
      <c r="M153" s="7" t="str">
        <f aca="false">IF(COUNTIF(Comparação!$H:$H,A153)&gt;0,"sim",IF(AND(G153="sim",H153=""),"FALTA (obrigatória)","não"))</f>
        <v>FALTA (obrigatória)</v>
      </c>
    </row>
    <row r="154" customFormat="false" ht="15" hidden="false" customHeight="false" outlineLevel="0" collapsed="false">
      <c r="A154" s="7" t="str">
        <f aca="false">B154&amp;"."&amp;E154</f>
        <v>campanha_links.utm_term</v>
      </c>
      <c r="B154" s="7" t="s">
        <v>52</v>
      </c>
      <c r="C154" s="7" t="s">
        <v>31</v>
      </c>
      <c r="D154" s="7" t="n">
        <v>9</v>
      </c>
      <c r="E154" s="7" t="s">
        <v>422</v>
      </c>
      <c r="F154" s="7" t="s">
        <v>261</v>
      </c>
      <c r="G154" s="7" t="s">
        <v>267</v>
      </c>
      <c r="H154" s="7"/>
      <c r="I154" s="7"/>
      <c r="J154" s="7"/>
      <c r="K154" s="7"/>
      <c r="L154" s="7" t="str">
        <f aca="false">IFERROR(VLOOKUP(IF(ISNUMBER(SEARCH("(",F154)),LEFT(F154,SEARCH("(",F154)-1),F154),Tipos!$A:$B,2,FALSE()),"outro")</f>
        <v>texto</v>
      </c>
      <c r="M154" s="7" t="str">
        <f aca="false">IF(COUNTIF(Comparação!$H:$H,A154)&gt;0,"sim",IF(AND(G154="sim",H154=""),"FALTA (obrigatória)","não"))</f>
        <v>não</v>
      </c>
    </row>
    <row r="155" customFormat="false" ht="15" hidden="false" customHeight="false" outlineLevel="0" collapsed="false">
      <c r="A155" s="7" t="str">
        <f aca="false">B155&amp;"."&amp;E155</f>
        <v>campanha_links.angulo</v>
      </c>
      <c r="B155" s="7" t="s">
        <v>52</v>
      </c>
      <c r="C155" s="7" t="s">
        <v>31</v>
      </c>
      <c r="D155" s="7" t="n">
        <v>10</v>
      </c>
      <c r="E155" s="7" t="s">
        <v>312</v>
      </c>
      <c r="F155" s="7" t="s">
        <v>261</v>
      </c>
      <c r="G155" s="7" t="s">
        <v>267</v>
      </c>
      <c r="H155" s="7"/>
      <c r="I155" s="7"/>
      <c r="J155" s="7"/>
      <c r="K155" s="7"/>
      <c r="L155" s="7" t="str">
        <f aca="false">IFERROR(VLOOKUP(IF(ISNUMBER(SEARCH("(",F155)),LEFT(F155,SEARCH("(",F155)-1),F155),Tipos!$A:$B,2,FALSE()),"outro")</f>
        <v>texto</v>
      </c>
      <c r="M155" s="7" t="str">
        <f aca="false">IF(COUNTIF(Comparação!$H:$H,A155)&gt;0,"sim",IF(AND(G155="sim",H155=""),"FALTA (obrigatória)","não"))</f>
        <v>não</v>
      </c>
    </row>
    <row r="156" customFormat="false" ht="15" hidden="false" customHeight="false" outlineLevel="0" collapsed="false">
      <c r="A156" s="7" t="str">
        <f aca="false">B156&amp;"."&amp;E156</f>
        <v>campanha_links.anuncio_id</v>
      </c>
      <c r="B156" s="7" t="s">
        <v>52</v>
      </c>
      <c r="C156" s="7" t="s">
        <v>31</v>
      </c>
      <c r="D156" s="7" t="n">
        <v>11</v>
      </c>
      <c r="E156" s="7" t="s">
        <v>423</v>
      </c>
      <c r="F156" s="7" t="s">
        <v>272</v>
      </c>
      <c r="G156" s="7" t="s">
        <v>267</v>
      </c>
      <c r="H156" s="7"/>
      <c r="I156" s="7"/>
      <c r="J156" s="7" t="s">
        <v>424</v>
      </c>
      <c r="K156" s="7"/>
      <c r="L156" s="7" t="str">
        <f aca="false">IFERROR(VLOOKUP(IF(ISNUMBER(SEARCH("(",F156)),LEFT(F156,SEARCH("(",F156)-1),F156),Tipos!$A:$B,2,FALSE()),"outro")</f>
        <v>uuid</v>
      </c>
      <c r="M156" s="7" t="str">
        <f aca="false">IF(COUNTIF(Comparação!$H:$H,A156)&gt;0,"sim",IF(AND(G156="sim",H156=""),"FALTA (obrigatória)","não"))</f>
        <v>não</v>
      </c>
    </row>
    <row r="157" customFormat="false" ht="15" hidden="false" customHeight="false" outlineLevel="0" collapsed="false">
      <c r="A157" s="7" t="str">
        <f aca="false">B157&amp;"."&amp;E157</f>
        <v>campanha_links.ativo</v>
      </c>
      <c r="B157" s="7" t="s">
        <v>52</v>
      </c>
      <c r="C157" s="7" t="s">
        <v>31</v>
      </c>
      <c r="D157" s="7" t="n">
        <v>12</v>
      </c>
      <c r="E157" s="7" t="s">
        <v>309</v>
      </c>
      <c r="F157" s="7" t="s">
        <v>310</v>
      </c>
      <c r="G157" s="7" t="s">
        <v>262</v>
      </c>
      <c r="H157" s="7" t="s">
        <v>311</v>
      </c>
      <c r="I157" s="7"/>
      <c r="J157" s="7"/>
      <c r="K157" s="7"/>
      <c r="L157" s="7" t="str">
        <f aca="false">IFERROR(VLOOKUP(IF(ISNUMBER(SEARCH("(",F157)),LEFT(F157,SEARCH("(",F157)-1),F157),Tipos!$A:$B,2,FALSE()),"outro")</f>
        <v>booleano</v>
      </c>
      <c r="M157" s="7" t="str">
        <f aca="false">IF(COUNTIF(Comparação!$H:$H,A157)&gt;0,"sim",IF(AND(G157="sim",H157=""),"FALTA (obrigatória)","não"))</f>
        <v>não</v>
      </c>
    </row>
    <row r="158" customFormat="false" ht="15" hidden="false" customHeight="false" outlineLevel="0" collapsed="false">
      <c r="A158" s="7" t="str">
        <f aca="false">B158&amp;"."&amp;E158</f>
        <v>campanha_links.criado_em</v>
      </c>
      <c r="B158" s="7" t="s">
        <v>52</v>
      </c>
      <c r="C158" s="7" t="s">
        <v>31</v>
      </c>
      <c r="D158" s="7" t="n">
        <v>13</v>
      </c>
      <c r="E158" s="7" t="s">
        <v>344</v>
      </c>
      <c r="F158" s="7" t="s">
        <v>285</v>
      </c>
      <c r="G158" s="7" t="s">
        <v>262</v>
      </c>
      <c r="H158" s="7" t="s">
        <v>286</v>
      </c>
      <c r="I158" s="7"/>
      <c r="J158" s="7"/>
      <c r="K158" s="7"/>
      <c r="L158" s="7" t="str">
        <f aca="false">IFERROR(VLOOKUP(IF(ISNUMBER(SEARCH("(",F158)),LEFT(F158,SEARCH("(",F158)-1),F158),Tipos!$A:$B,2,FALSE()),"outro")</f>
        <v>data e hora</v>
      </c>
      <c r="M158" s="7" t="str">
        <f aca="false">IF(COUNTIF(Comparação!$H:$H,A158)&gt;0,"sim",IF(AND(G158="sim",H158=""),"FALTA (obrigatória)","não"))</f>
        <v>não</v>
      </c>
    </row>
    <row r="159" customFormat="false" ht="15" hidden="false" customHeight="false" outlineLevel="0" collapsed="false">
      <c r="A159" s="7" t="str">
        <f aca="false">B159&amp;"."&amp;E159</f>
        <v>campanha_melhorias.id</v>
      </c>
      <c r="B159" s="7" t="s">
        <v>54</v>
      </c>
      <c r="C159" s="7" t="s">
        <v>31</v>
      </c>
      <c r="D159" s="7" t="n">
        <v>1</v>
      </c>
      <c r="E159" s="7" t="s">
        <v>271</v>
      </c>
      <c r="F159" s="7" t="s">
        <v>272</v>
      </c>
      <c r="G159" s="7" t="s">
        <v>262</v>
      </c>
      <c r="H159" s="7" t="s">
        <v>273</v>
      </c>
      <c r="I159" s="7" t="s">
        <v>263</v>
      </c>
      <c r="J159" s="7"/>
      <c r="K159" s="7"/>
      <c r="L159" s="7" t="str">
        <f aca="false">IFERROR(VLOOKUP(IF(ISNUMBER(SEARCH("(",F159)),LEFT(F159,SEARCH("(",F159)-1),F159),Tipos!$A:$B,2,FALSE()),"outro")</f>
        <v>uuid</v>
      </c>
      <c r="M159" s="7" t="str">
        <f aca="false">IF(COUNTIF(Comparação!$H:$H,A159)&gt;0,"sim",IF(AND(G159="sim",H159=""),"FALTA (obrigatória)","não"))</f>
        <v>não</v>
      </c>
    </row>
    <row r="160" customFormat="false" ht="15" hidden="false" customHeight="false" outlineLevel="0" collapsed="false">
      <c r="A160" s="7" t="str">
        <f aca="false">B160&amp;"."&amp;E160</f>
        <v>campanha_melhorias.workspace_id</v>
      </c>
      <c r="B160" s="7" t="s">
        <v>54</v>
      </c>
      <c r="C160" s="7" t="s">
        <v>31</v>
      </c>
      <c r="D160" s="7" t="n">
        <v>2</v>
      </c>
      <c r="E160" s="7" t="s">
        <v>274</v>
      </c>
      <c r="F160" s="7" t="s">
        <v>272</v>
      </c>
      <c r="G160" s="7" t="s">
        <v>262</v>
      </c>
      <c r="H160" s="7"/>
      <c r="I160" s="7"/>
      <c r="J160" s="7" t="s">
        <v>275</v>
      </c>
      <c r="K160" s="7"/>
      <c r="L160" s="7" t="str">
        <f aca="false">IFERROR(VLOOKUP(IF(ISNUMBER(SEARCH("(",F160)),LEFT(F160,SEARCH("(",F160)-1),F160),Tipos!$A:$B,2,FALSE()),"outro")</f>
        <v>uuid</v>
      </c>
      <c r="M160" s="7" t="str">
        <f aca="false">IF(COUNTIF(Comparação!$H:$H,A160)&gt;0,"sim",IF(AND(G160="sim",H160=""),"FALTA (obrigatória)","não"))</f>
        <v>FALTA (obrigatória)</v>
      </c>
    </row>
    <row r="161" customFormat="false" ht="15" hidden="false" customHeight="false" outlineLevel="0" collapsed="false">
      <c r="A161" s="7" t="str">
        <f aca="false">B161&amp;"."&amp;E161</f>
        <v>campanha_melhorias.campanha_id</v>
      </c>
      <c r="B161" s="7" t="s">
        <v>54</v>
      </c>
      <c r="C161" s="7" t="s">
        <v>31</v>
      </c>
      <c r="D161" s="7" t="n">
        <v>3</v>
      </c>
      <c r="E161" s="7" t="s">
        <v>336</v>
      </c>
      <c r="F161" s="7" t="s">
        <v>272</v>
      </c>
      <c r="G161" s="7" t="s">
        <v>262</v>
      </c>
      <c r="H161" s="7"/>
      <c r="I161" s="7"/>
      <c r="J161" s="7" t="s">
        <v>337</v>
      </c>
      <c r="K161" s="7"/>
      <c r="L161" s="7" t="str">
        <f aca="false">IFERROR(VLOOKUP(IF(ISNUMBER(SEARCH("(",F161)),LEFT(F161,SEARCH("(",F161)-1),F161),Tipos!$A:$B,2,FALSE()),"outro")</f>
        <v>uuid</v>
      </c>
      <c r="M161" s="7" t="str">
        <f aca="false">IF(COUNTIF(Comparação!$H:$H,A161)&gt;0,"sim",IF(AND(G161="sim",H161=""),"FALTA (obrigatória)","não"))</f>
        <v>FALTA (obrigatória)</v>
      </c>
    </row>
    <row r="162" customFormat="false" ht="15" hidden="false" customHeight="false" outlineLevel="0" collapsed="false">
      <c r="A162" s="7" t="str">
        <f aca="false">B162&amp;"."&amp;E162</f>
        <v>campanha_melhorias.titulo</v>
      </c>
      <c r="B162" s="7" t="s">
        <v>54</v>
      </c>
      <c r="C162" s="7" t="s">
        <v>31</v>
      </c>
      <c r="D162" s="7" t="n">
        <v>4</v>
      </c>
      <c r="E162" s="7" t="s">
        <v>425</v>
      </c>
      <c r="F162" s="7" t="s">
        <v>261</v>
      </c>
      <c r="G162" s="7" t="s">
        <v>262</v>
      </c>
      <c r="H162" s="7"/>
      <c r="I162" s="7"/>
      <c r="J162" s="7"/>
      <c r="K162" s="7" t="s">
        <v>426</v>
      </c>
      <c r="L162" s="7" t="str">
        <f aca="false">IFERROR(VLOOKUP(IF(ISNUMBER(SEARCH("(",F162)),LEFT(F162,SEARCH("(",F162)-1),F162),Tipos!$A:$B,2,FALSE()),"outro")</f>
        <v>texto</v>
      </c>
      <c r="M162" s="7" t="str">
        <f aca="false">IF(COUNTIF(Comparação!$H:$H,A162)&gt;0,"sim",IF(AND(G162="sim",H162=""),"FALTA (obrigatória)","não"))</f>
        <v>FALTA (obrigatória)</v>
      </c>
    </row>
    <row r="163" customFormat="false" ht="15" hidden="false" customHeight="false" outlineLevel="0" collapsed="false">
      <c r="A163" s="7" t="str">
        <f aca="false">B163&amp;"."&amp;E163</f>
        <v>campanha_melhorias.descricao</v>
      </c>
      <c r="B163" s="7" t="s">
        <v>54</v>
      </c>
      <c r="C163" s="7" t="s">
        <v>31</v>
      </c>
      <c r="D163" s="7" t="n">
        <v>5</v>
      </c>
      <c r="E163" s="7" t="s">
        <v>427</v>
      </c>
      <c r="F163" s="7" t="s">
        <v>261</v>
      </c>
      <c r="G163" s="7" t="s">
        <v>267</v>
      </c>
      <c r="H163" s="7"/>
      <c r="I163" s="7"/>
      <c r="J163" s="7"/>
      <c r="K163" s="7"/>
      <c r="L163" s="7" t="str">
        <f aca="false">IFERROR(VLOOKUP(IF(ISNUMBER(SEARCH("(",F163)),LEFT(F163,SEARCH("(",F163)-1),F163),Tipos!$A:$B,2,FALSE()),"outro")</f>
        <v>texto</v>
      </c>
      <c r="M163" s="7" t="str">
        <f aca="false">IF(COUNTIF(Comparação!$H:$H,A163)&gt;0,"sim",IF(AND(G163="sim",H163=""),"FALTA (obrigatória)","não"))</f>
        <v>não</v>
      </c>
    </row>
    <row r="164" customFormat="false" ht="15" hidden="false" customHeight="false" outlineLevel="0" collapsed="false">
      <c r="A164" s="7" t="str">
        <f aca="false">B164&amp;"."&amp;E164</f>
        <v>campanha_melhorias.origem</v>
      </c>
      <c r="B164" s="7" t="s">
        <v>54</v>
      </c>
      <c r="C164" s="7" t="s">
        <v>31</v>
      </c>
      <c r="D164" s="7" t="n">
        <v>6</v>
      </c>
      <c r="E164" s="7" t="s">
        <v>302</v>
      </c>
      <c r="F164" s="7" t="s">
        <v>261</v>
      </c>
      <c r="G164" s="7" t="s">
        <v>262</v>
      </c>
      <c r="H164" s="7" t="s">
        <v>381</v>
      </c>
      <c r="I164" s="7"/>
      <c r="J164" s="7"/>
      <c r="K164" s="7" t="s">
        <v>428</v>
      </c>
      <c r="L164" s="7" t="str">
        <f aca="false">IFERROR(VLOOKUP(IF(ISNUMBER(SEARCH("(",F164)),LEFT(F164,SEARCH("(",F164)-1),F164),Tipos!$A:$B,2,FALSE()),"outro")</f>
        <v>texto</v>
      </c>
      <c r="M164" s="7" t="str">
        <f aca="false">IF(COUNTIF(Comparação!$H:$H,A164)&gt;0,"sim",IF(AND(G164="sim",H164=""),"FALTA (obrigatória)","não"))</f>
        <v>não</v>
      </c>
    </row>
    <row r="165" customFormat="false" ht="15" hidden="false" customHeight="false" outlineLevel="0" collapsed="false">
      <c r="A165" s="7" t="str">
        <f aca="false">B165&amp;"."&amp;E165</f>
        <v>campanha_melhorias.sprint</v>
      </c>
      <c r="B165" s="7" t="s">
        <v>54</v>
      </c>
      <c r="C165" s="7" t="s">
        <v>31</v>
      </c>
      <c r="D165" s="7" t="n">
        <v>7</v>
      </c>
      <c r="E165" s="7" t="s">
        <v>429</v>
      </c>
      <c r="F165" s="7" t="s">
        <v>261</v>
      </c>
      <c r="G165" s="7" t="s">
        <v>267</v>
      </c>
      <c r="H165" s="7"/>
      <c r="I165" s="7"/>
      <c r="J165" s="7"/>
      <c r="K165" s="7"/>
      <c r="L165" s="7" t="str">
        <f aca="false">IFERROR(VLOOKUP(IF(ISNUMBER(SEARCH("(",F165)),LEFT(F165,SEARCH("(",F165)-1),F165),Tipos!$A:$B,2,FALSE()),"outro")</f>
        <v>texto</v>
      </c>
      <c r="M165" s="7" t="str">
        <f aca="false">IF(COUNTIF(Comparação!$H:$H,A165)&gt;0,"sim",IF(AND(G165="sim",H165=""),"FALTA (obrigatória)","não"))</f>
        <v>não</v>
      </c>
    </row>
    <row r="166" customFormat="false" ht="15" hidden="false" customHeight="false" outlineLevel="0" collapsed="false">
      <c r="A166" s="7" t="str">
        <f aca="false">B166&amp;"."&amp;E166</f>
        <v>campanha_melhorias.status</v>
      </c>
      <c r="B166" s="7" t="s">
        <v>54</v>
      </c>
      <c r="C166" s="7" t="s">
        <v>31</v>
      </c>
      <c r="D166" s="7" t="n">
        <v>8</v>
      </c>
      <c r="E166" s="7" t="s">
        <v>293</v>
      </c>
      <c r="F166" s="7" t="s">
        <v>261</v>
      </c>
      <c r="G166" s="7" t="s">
        <v>262</v>
      </c>
      <c r="H166" s="7" t="s">
        <v>430</v>
      </c>
      <c r="I166" s="7"/>
      <c r="J166" s="7"/>
      <c r="K166" s="7" t="s">
        <v>431</v>
      </c>
      <c r="L166" s="7" t="str">
        <f aca="false">IFERROR(VLOOKUP(IF(ISNUMBER(SEARCH("(",F166)),LEFT(F166,SEARCH("(",F166)-1),F166),Tipos!$A:$B,2,FALSE()),"outro")</f>
        <v>texto</v>
      </c>
      <c r="M166" s="7" t="str">
        <f aca="false">IF(COUNTIF(Comparação!$H:$H,A166)&gt;0,"sim",IF(AND(G166="sim",H166=""),"FALTA (obrigatória)","não"))</f>
        <v>não</v>
      </c>
    </row>
    <row r="167" customFormat="false" ht="15" hidden="false" customHeight="false" outlineLevel="0" collapsed="false">
      <c r="A167" s="7" t="str">
        <f aca="false">B167&amp;"."&amp;E167</f>
        <v>campanha_melhorias.prazo</v>
      </c>
      <c r="B167" s="7" t="s">
        <v>54</v>
      </c>
      <c r="C167" s="7" t="s">
        <v>31</v>
      </c>
      <c r="D167" s="7" t="n">
        <v>9</v>
      </c>
      <c r="E167" s="7" t="s">
        <v>432</v>
      </c>
      <c r="F167" s="7" t="s">
        <v>379</v>
      </c>
      <c r="G167" s="7" t="s">
        <v>267</v>
      </c>
      <c r="H167" s="7"/>
      <c r="I167" s="7"/>
      <c r="J167" s="7"/>
      <c r="K167" s="7"/>
      <c r="L167" s="7" t="str">
        <f aca="false">IFERROR(VLOOKUP(IF(ISNUMBER(SEARCH("(",F167)),LEFT(F167,SEARCH("(",F167)-1),F167),Tipos!$A:$B,2,FALSE()),"outro")</f>
        <v>data</v>
      </c>
      <c r="M167" s="7" t="str">
        <f aca="false">IF(COUNTIF(Comparação!$H:$H,A167)&gt;0,"sim",IF(AND(G167="sim",H167=""),"FALTA (obrigatória)","não"))</f>
        <v>não</v>
      </c>
    </row>
    <row r="168" customFormat="false" ht="15" hidden="false" customHeight="false" outlineLevel="0" collapsed="false">
      <c r="A168" s="7" t="str">
        <f aca="false">B168&amp;"."&amp;E168</f>
        <v>campanha_melhorias.responsavel</v>
      </c>
      <c r="B168" s="7" t="s">
        <v>54</v>
      </c>
      <c r="C168" s="7" t="s">
        <v>31</v>
      </c>
      <c r="D168" s="7" t="n">
        <v>10</v>
      </c>
      <c r="E168" s="7" t="s">
        <v>433</v>
      </c>
      <c r="F168" s="7" t="s">
        <v>261</v>
      </c>
      <c r="G168" s="7" t="s">
        <v>267</v>
      </c>
      <c r="H168" s="7"/>
      <c r="I168" s="7"/>
      <c r="J168" s="7"/>
      <c r="K168" s="7"/>
      <c r="L168" s="7" t="str">
        <f aca="false">IFERROR(VLOOKUP(IF(ISNUMBER(SEARCH("(",F168)),LEFT(F168,SEARCH("(",F168)-1),F168),Tipos!$A:$B,2,FALSE()),"outro")</f>
        <v>texto</v>
      </c>
      <c r="M168" s="7" t="str">
        <f aca="false">IF(COUNTIF(Comparação!$H:$H,A168)&gt;0,"sim",IF(AND(G168="sim",H168=""),"FALTA (obrigatória)","não"))</f>
        <v>não</v>
      </c>
    </row>
    <row r="169" customFormat="false" ht="15" hidden="false" customHeight="false" outlineLevel="0" collapsed="false">
      <c r="A169" s="7" t="str">
        <f aca="false">B169&amp;"."&amp;E169</f>
        <v>campanha_melhorias.criado_em</v>
      </c>
      <c r="B169" s="7" t="s">
        <v>54</v>
      </c>
      <c r="C169" s="7" t="s">
        <v>31</v>
      </c>
      <c r="D169" s="7" t="n">
        <v>11</v>
      </c>
      <c r="E169" s="7" t="s">
        <v>344</v>
      </c>
      <c r="F169" s="7" t="s">
        <v>285</v>
      </c>
      <c r="G169" s="7" t="s">
        <v>262</v>
      </c>
      <c r="H169" s="7" t="s">
        <v>286</v>
      </c>
      <c r="I169" s="7"/>
      <c r="J169" s="7"/>
      <c r="K169" s="7"/>
      <c r="L169" s="7" t="str">
        <f aca="false">IFERROR(VLOOKUP(IF(ISNUMBER(SEARCH("(",F169)),LEFT(F169,SEARCH("(",F169)-1),F169),Tipos!$A:$B,2,FALSE()),"outro")</f>
        <v>data e hora</v>
      </c>
      <c r="M169" s="7" t="str">
        <f aca="false">IF(COUNTIF(Comparação!$H:$H,A169)&gt;0,"sim",IF(AND(G169="sim",H169=""),"FALTA (obrigatória)","não"))</f>
        <v>não</v>
      </c>
    </row>
    <row r="170" customFormat="false" ht="15" hidden="false" customHeight="false" outlineLevel="0" collapsed="false">
      <c r="A170" s="7" t="str">
        <f aca="false">B170&amp;"."&amp;E170</f>
        <v>campanha_melhorias.atualizado_em</v>
      </c>
      <c r="B170" s="7" t="s">
        <v>54</v>
      </c>
      <c r="C170" s="7" t="s">
        <v>31</v>
      </c>
      <c r="D170" s="7" t="n">
        <v>12</v>
      </c>
      <c r="E170" s="7" t="s">
        <v>335</v>
      </c>
      <c r="F170" s="7" t="s">
        <v>285</v>
      </c>
      <c r="G170" s="7" t="s">
        <v>262</v>
      </c>
      <c r="H170" s="7" t="s">
        <v>286</v>
      </c>
      <c r="I170" s="7"/>
      <c r="J170" s="7"/>
      <c r="K170" s="7"/>
      <c r="L170" s="7" t="str">
        <f aca="false">IFERROR(VLOOKUP(IF(ISNUMBER(SEARCH("(",F170)),LEFT(F170,SEARCH("(",F170)-1),F170),Tipos!$A:$B,2,FALSE()),"outro")</f>
        <v>data e hora</v>
      </c>
      <c r="M170" s="7" t="str">
        <f aca="false">IF(COUNTIF(Comparação!$H:$H,A170)&gt;0,"sim",IF(AND(G170="sim",H170=""),"FALTA (obrigatória)","não"))</f>
        <v>não</v>
      </c>
    </row>
    <row r="171" customFormat="false" ht="15" hidden="false" customHeight="false" outlineLevel="0" collapsed="false">
      <c r="A171" s="7" t="str">
        <f aca="false">B171&amp;"."&amp;E171</f>
        <v>campanha_metas.id</v>
      </c>
      <c r="B171" s="7" t="s">
        <v>55</v>
      </c>
      <c r="C171" s="7" t="s">
        <v>31</v>
      </c>
      <c r="D171" s="7" t="n">
        <v>1</v>
      </c>
      <c r="E171" s="7" t="s">
        <v>271</v>
      </c>
      <c r="F171" s="7" t="s">
        <v>272</v>
      </c>
      <c r="G171" s="7" t="s">
        <v>262</v>
      </c>
      <c r="H171" s="7" t="s">
        <v>273</v>
      </c>
      <c r="I171" s="7" t="s">
        <v>263</v>
      </c>
      <c r="J171" s="7"/>
      <c r="K171" s="7"/>
      <c r="L171" s="7" t="str">
        <f aca="false">IFERROR(VLOOKUP(IF(ISNUMBER(SEARCH("(",F171)),LEFT(F171,SEARCH("(",F171)-1),F171),Tipos!$A:$B,2,FALSE()),"outro")</f>
        <v>uuid</v>
      </c>
      <c r="M171" s="7" t="str">
        <f aca="false">IF(COUNTIF(Comparação!$H:$H,A171)&gt;0,"sim",IF(AND(G171="sim",H171=""),"FALTA (obrigatória)","não"))</f>
        <v>não</v>
      </c>
    </row>
    <row r="172" customFormat="false" ht="15" hidden="false" customHeight="false" outlineLevel="0" collapsed="false">
      <c r="A172" s="7" t="str">
        <f aca="false">B172&amp;"."&amp;E172</f>
        <v>campanha_metas.workspace_id</v>
      </c>
      <c r="B172" s="7" t="s">
        <v>55</v>
      </c>
      <c r="C172" s="7" t="s">
        <v>31</v>
      </c>
      <c r="D172" s="7" t="n">
        <v>2</v>
      </c>
      <c r="E172" s="7" t="s">
        <v>274</v>
      </c>
      <c r="F172" s="7" t="s">
        <v>272</v>
      </c>
      <c r="G172" s="7" t="s">
        <v>262</v>
      </c>
      <c r="H172" s="7"/>
      <c r="I172" s="7"/>
      <c r="J172" s="7" t="s">
        <v>275</v>
      </c>
      <c r="K172" s="7"/>
      <c r="L172" s="7" t="str">
        <f aca="false">IFERROR(VLOOKUP(IF(ISNUMBER(SEARCH("(",F172)),LEFT(F172,SEARCH("(",F172)-1),F172),Tipos!$A:$B,2,FALSE()),"outro")</f>
        <v>uuid</v>
      </c>
      <c r="M172" s="7" t="str">
        <f aca="false">IF(COUNTIF(Comparação!$H:$H,A172)&gt;0,"sim",IF(AND(G172="sim",H172=""),"FALTA (obrigatória)","não"))</f>
        <v>FALTA (obrigatória)</v>
      </c>
    </row>
    <row r="173" customFormat="false" ht="15" hidden="false" customHeight="false" outlineLevel="0" collapsed="false">
      <c r="A173" s="7" t="str">
        <f aca="false">B173&amp;"."&amp;E173</f>
        <v>campanha_metas.campanha_id</v>
      </c>
      <c r="B173" s="7" t="s">
        <v>55</v>
      </c>
      <c r="C173" s="7" t="s">
        <v>31</v>
      </c>
      <c r="D173" s="7" t="n">
        <v>3</v>
      </c>
      <c r="E173" s="7" t="s">
        <v>336</v>
      </c>
      <c r="F173" s="7" t="s">
        <v>272</v>
      </c>
      <c r="G173" s="7" t="s">
        <v>262</v>
      </c>
      <c r="H173" s="7"/>
      <c r="I173" s="7"/>
      <c r="J173" s="7" t="s">
        <v>337</v>
      </c>
      <c r="K173" s="7"/>
      <c r="L173" s="7" t="str">
        <f aca="false">IFERROR(VLOOKUP(IF(ISNUMBER(SEARCH("(",F173)),LEFT(F173,SEARCH("(",F173)-1),F173),Tipos!$A:$B,2,FALSE()),"outro")</f>
        <v>uuid</v>
      </c>
      <c r="M173" s="7" t="str">
        <f aca="false">IF(COUNTIF(Comparação!$H:$H,A173)&gt;0,"sim",IF(AND(G173="sim",H173=""),"FALTA (obrigatória)","não"))</f>
        <v>FALTA (obrigatória)</v>
      </c>
    </row>
    <row r="174" customFormat="false" ht="15" hidden="false" customHeight="false" outlineLevel="0" collapsed="false">
      <c r="A174" s="7" t="str">
        <f aca="false">B174&amp;"."&amp;E174</f>
        <v>campanha_metas.tipo</v>
      </c>
      <c r="B174" s="7" t="s">
        <v>55</v>
      </c>
      <c r="C174" s="7" t="s">
        <v>31</v>
      </c>
      <c r="D174" s="7" t="n">
        <v>4</v>
      </c>
      <c r="E174" s="7" t="s">
        <v>280</v>
      </c>
      <c r="F174" s="7" t="s">
        <v>261</v>
      </c>
      <c r="G174" s="7" t="s">
        <v>262</v>
      </c>
      <c r="H174" s="7"/>
      <c r="I174" s="7"/>
      <c r="J174" s="7"/>
      <c r="K174" s="7" t="s">
        <v>434</v>
      </c>
      <c r="L174" s="7" t="str">
        <f aca="false">IFERROR(VLOOKUP(IF(ISNUMBER(SEARCH("(",F174)),LEFT(F174,SEARCH("(",F174)-1),F174),Tipos!$A:$B,2,FALSE()),"outro")</f>
        <v>texto</v>
      </c>
      <c r="M174" s="7" t="str">
        <f aca="false">IF(COUNTIF(Comparação!$H:$H,A174)&gt;0,"sim",IF(AND(G174="sim",H174=""),"FALTA (obrigatória)","não"))</f>
        <v>FALTA (obrigatória)</v>
      </c>
    </row>
    <row r="175" customFormat="false" ht="15" hidden="false" customHeight="false" outlineLevel="0" collapsed="false">
      <c r="A175" s="7" t="str">
        <f aca="false">B175&amp;"."&amp;E175</f>
        <v>campanha_metas.valor</v>
      </c>
      <c r="B175" s="7" t="s">
        <v>55</v>
      </c>
      <c r="C175" s="7" t="s">
        <v>31</v>
      </c>
      <c r="D175" s="7" t="n">
        <v>5</v>
      </c>
      <c r="E175" s="7" t="s">
        <v>330</v>
      </c>
      <c r="F175" s="7" t="s">
        <v>380</v>
      </c>
      <c r="G175" s="7" t="s">
        <v>262</v>
      </c>
      <c r="H175" s="7"/>
      <c r="I175" s="7"/>
      <c r="J175" s="7"/>
      <c r="K175" s="7" t="s">
        <v>332</v>
      </c>
      <c r="L175" s="7" t="str">
        <f aca="false">IFERROR(VLOOKUP(IF(ISNUMBER(SEARCH("(",F175)),LEFT(F175,SEARCH("(",F175)-1),F175),Tipos!$A:$B,2,FALSE()),"outro")</f>
        <v>decimal</v>
      </c>
      <c r="M175" s="7" t="str">
        <f aca="false">IF(COUNTIF(Comparação!$H:$H,A175)&gt;0,"sim",IF(AND(G175="sim",H175=""),"FALTA (obrigatória)","não"))</f>
        <v>FALTA (obrigatória)</v>
      </c>
    </row>
    <row r="176" customFormat="false" ht="15" hidden="false" customHeight="false" outlineLevel="0" collapsed="false">
      <c r="A176" s="7" t="str">
        <f aca="false">B176&amp;"."&amp;E176</f>
        <v>campanha_metas.fase</v>
      </c>
      <c r="B176" s="7" t="s">
        <v>55</v>
      </c>
      <c r="C176" s="7" t="s">
        <v>31</v>
      </c>
      <c r="D176" s="7" t="n">
        <v>6</v>
      </c>
      <c r="E176" s="7" t="s">
        <v>340</v>
      </c>
      <c r="F176" s="7" t="s">
        <v>261</v>
      </c>
      <c r="G176" s="7" t="s">
        <v>267</v>
      </c>
      <c r="H176" s="7"/>
      <c r="I176" s="7"/>
      <c r="J176" s="7"/>
      <c r="K176" s="7"/>
      <c r="L176" s="7" t="str">
        <f aca="false">IFERROR(VLOOKUP(IF(ISNUMBER(SEARCH("(",F176)),LEFT(F176,SEARCH("(",F176)-1),F176),Tipos!$A:$B,2,FALSE()),"outro")</f>
        <v>texto</v>
      </c>
      <c r="M176" s="7" t="str">
        <f aca="false">IF(COUNTIF(Comparação!$H:$H,A176)&gt;0,"sim",IF(AND(G176="sim",H176=""),"FALTA (obrigatória)","não"))</f>
        <v>não</v>
      </c>
    </row>
    <row r="177" customFormat="false" ht="15" hidden="false" customHeight="false" outlineLevel="0" collapsed="false">
      <c r="A177" s="7" t="str">
        <f aca="false">B177&amp;"."&amp;E177</f>
        <v>campanha_metas.canal</v>
      </c>
      <c r="B177" s="7" t="s">
        <v>55</v>
      </c>
      <c r="C177" s="7" t="s">
        <v>31</v>
      </c>
      <c r="D177" s="7" t="n">
        <v>7</v>
      </c>
      <c r="E177" s="7" t="s">
        <v>350</v>
      </c>
      <c r="F177" s="7" t="s">
        <v>261</v>
      </c>
      <c r="G177" s="7" t="s">
        <v>267</v>
      </c>
      <c r="H177" s="7"/>
      <c r="I177" s="7"/>
      <c r="J177" s="7"/>
      <c r="K177" s="7"/>
      <c r="L177" s="7" t="str">
        <f aca="false">IFERROR(VLOOKUP(IF(ISNUMBER(SEARCH("(",F177)),LEFT(F177,SEARCH("(",F177)-1),F177),Tipos!$A:$B,2,FALSE()),"outro")</f>
        <v>texto</v>
      </c>
      <c r="M177" s="7" t="str">
        <f aca="false">IF(COUNTIF(Comparação!$H:$H,A177)&gt;0,"sim",IF(AND(G177="sim",H177=""),"FALTA (obrigatória)","não"))</f>
        <v>não</v>
      </c>
    </row>
    <row r="178" customFormat="false" ht="15" hidden="false" customHeight="false" outlineLevel="0" collapsed="false">
      <c r="A178" s="7" t="str">
        <f aca="false">B178&amp;"."&amp;E178</f>
        <v>campanha_metas.temperatura</v>
      </c>
      <c r="B178" s="7" t="s">
        <v>55</v>
      </c>
      <c r="C178" s="7" t="s">
        <v>31</v>
      </c>
      <c r="D178" s="7" t="n">
        <v>8</v>
      </c>
      <c r="E178" s="7" t="s">
        <v>313</v>
      </c>
      <c r="F178" s="7" t="s">
        <v>261</v>
      </c>
      <c r="G178" s="7" t="s">
        <v>267</v>
      </c>
      <c r="H178" s="7"/>
      <c r="I178" s="7"/>
      <c r="J178" s="7"/>
      <c r="K178" s="7" t="s">
        <v>314</v>
      </c>
      <c r="L178" s="7" t="str">
        <f aca="false">IFERROR(VLOOKUP(IF(ISNUMBER(SEARCH("(",F178)),LEFT(F178,SEARCH("(",F178)-1),F178),Tipos!$A:$B,2,FALSE()),"outro")</f>
        <v>texto</v>
      </c>
      <c r="M178" s="7" t="str">
        <f aca="false">IF(COUNTIF(Comparação!$H:$H,A178)&gt;0,"sim",IF(AND(G178="sim",H178=""),"FALTA (obrigatória)","não"))</f>
        <v>não</v>
      </c>
    </row>
    <row r="179" customFormat="false" ht="15" hidden="false" customHeight="false" outlineLevel="0" collapsed="false">
      <c r="A179" s="7" t="str">
        <f aca="false">B179&amp;"."&amp;E179</f>
        <v>campanha_metas.segmento</v>
      </c>
      <c r="B179" s="7" t="s">
        <v>55</v>
      </c>
      <c r="C179" s="7" t="s">
        <v>31</v>
      </c>
      <c r="D179" s="7" t="n">
        <v>9</v>
      </c>
      <c r="E179" s="7" t="s">
        <v>435</v>
      </c>
      <c r="F179" s="7" t="s">
        <v>261</v>
      </c>
      <c r="G179" s="7" t="s">
        <v>267</v>
      </c>
      <c r="H179" s="7"/>
      <c r="I179" s="7"/>
      <c r="J179" s="7"/>
      <c r="K179" s="7" t="s">
        <v>436</v>
      </c>
      <c r="L179" s="7" t="str">
        <f aca="false">IFERROR(VLOOKUP(IF(ISNUMBER(SEARCH("(",F179)),LEFT(F179,SEARCH("(",F179)-1),F179),Tipos!$A:$B,2,FALSE()),"outro")</f>
        <v>texto</v>
      </c>
      <c r="M179" s="7" t="str">
        <f aca="false">IF(COUNTIF(Comparação!$H:$H,A179)&gt;0,"sim",IF(AND(G179="sim",H179=""),"FALTA (obrigatória)","não"))</f>
        <v>não</v>
      </c>
    </row>
    <row r="180" customFormat="false" ht="15" hidden="false" customHeight="false" outlineLevel="0" collapsed="false">
      <c r="A180" s="7" t="str">
        <f aca="false">B180&amp;"."&amp;E180</f>
        <v>campanha_metas.data_ini</v>
      </c>
      <c r="B180" s="7" t="s">
        <v>55</v>
      </c>
      <c r="C180" s="7" t="s">
        <v>31</v>
      </c>
      <c r="D180" s="7" t="n">
        <v>10</v>
      </c>
      <c r="E180" s="7" t="s">
        <v>437</v>
      </c>
      <c r="F180" s="7" t="s">
        <v>379</v>
      </c>
      <c r="G180" s="7" t="s">
        <v>267</v>
      </c>
      <c r="H180" s="7"/>
      <c r="I180" s="7"/>
      <c r="J180" s="7"/>
      <c r="K180" s="7"/>
      <c r="L180" s="7" t="str">
        <f aca="false">IFERROR(VLOOKUP(IF(ISNUMBER(SEARCH("(",F180)),LEFT(F180,SEARCH("(",F180)-1),F180),Tipos!$A:$B,2,FALSE()),"outro")</f>
        <v>data</v>
      </c>
      <c r="M180" s="7" t="str">
        <f aca="false">IF(COUNTIF(Comparação!$H:$H,A180)&gt;0,"sim",IF(AND(G180="sim",H180=""),"FALTA (obrigatória)","não"))</f>
        <v>não</v>
      </c>
    </row>
    <row r="181" customFormat="false" ht="15" hidden="false" customHeight="false" outlineLevel="0" collapsed="false">
      <c r="A181" s="7" t="str">
        <f aca="false">B181&amp;"."&amp;E181</f>
        <v>campanha_metas.data_fim</v>
      </c>
      <c r="B181" s="7" t="s">
        <v>55</v>
      </c>
      <c r="C181" s="7" t="s">
        <v>31</v>
      </c>
      <c r="D181" s="7" t="n">
        <v>11</v>
      </c>
      <c r="E181" s="7" t="s">
        <v>438</v>
      </c>
      <c r="F181" s="7" t="s">
        <v>379</v>
      </c>
      <c r="G181" s="7" t="s">
        <v>267</v>
      </c>
      <c r="H181" s="7"/>
      <c r="I181" s="7"/>
      <c r="J181" s="7"/>
      <c r="K181" s="7"/>
      <c r="L181" s="7" t="str">
        <f aca="false">IFERROR(VLOOKUP(IF(ISNUMBER(SEARCH("(",F181)),LEFT(F181,SEARCH("(",F181)-1),F181),Tipos!$A:$B,2,FALSE()),"outro")</f>
        <v>data</v>
      </c>
      <c r="M181" s="7" t="str">
        <f aca="false">IF(COUNTIF(Comparação!$H:$H,A181)&gt;0,"sim",IF(AND(G181="sim",H181=""),"FALTA (obrigatória)","não"))</f>
        <v>não</v>
      </c>
    </row>
    <row r="182" customFormat="false" ht="15" hidden="false" customHeight="false" outlineLevel="0" collapsed="false">
      <c r="A182" s="7" t="str">
        <f aca="false">B182&amp;"."&amp;E182</f>
        <v>campanha_metas.observacao</v>
      </c>
      <c r="B182" s="7" t="s">
        <v>55</v>
      </c>
      <c r="C182" s="7" t="s">
        <v>31</v>
      </c>
      <c r="D182" s="7" t="n">
        <v>12</v>
      </c>
      <c r="E182" s="7" t="s">
        <v>439</v>
      </c>
      <c r="F182" s="7" t="s">
        <v>261</v>
      </c>
      <c r="G182" s="7" t="s">
        <v>267</v>
      </c>
      <c r="H182" s="7"/>
      <c r="I182" s="7"/>
      <c r="J182" s="7"/>
      <c r="K182" s="7"/>
      <c r="L182" s="7" t="str">
        <f aca="false">IFERROR(VLOOKUP(IF(ISNUMBER(SEARCH("(",F182)),LEFT(F182,SEARCH("(",F182)-1),F182),Tipos!$A:$B,2,FALSE()),"outro")</f>
        <v>texto</v>
      </c>
      <c r="M182" s="7" t="str">
        <f aca="false">IF(COUNTIF(Comparação!$H:$H,A182)&gt;0,"sim",IF(AND(G182="sim",H182=""),"FALTA (obrigatória)","não"))</f>
        <v>não</v>
      </c>
    </row>
    <row r="183" customFormat="false" ht="15" hidden="false" customHeight="false" outlineLevel="0" collapsed="false">
      <c r="A183" s="7" t="str">
        <f aca="false">B183&amp;"."&amp;E183</f>
        <v>campanha_metas.criado_em</v>
      </c>
      <c r="B183" s="7" t="s">
        <v>55</v>
      </c>
      <c r="C183" s="7" t="s">
        <v>31</v>
      </c>
      <c r="D183" s="7" t="n">
        <v>13</v>
      </c>
      <c r="E183" s="7" t="s">
        <v>344</v>
      </c>
      <c r="F183" s="7" t="s">
        <v>285</v>
      </c>
      <c r="G183" s="7" t="s">
        <v>262</v>
      </c>
      <c r="H183" s="7" t="s">
        <v>286</v>
      </c>
      <c r="I183" s="7"/>
      <c r="J183" s="7"/>
      <c r="K183" s="7"/>
      <c r="L183" s="7" t="str">
        <f aca="false">IFERROR(VLOOKUP(IF(ISNUMBER(SEARCH("(",F183)),LEFT(F183,SEARCH("(",F183)-1),F183),Tipos!$A:$B,2,FALSE()),"outro")</f>
        <v>data e hora</v>
      </c>
      <c r="M183" s="7" t="str">
        <f aca="false">IF(COUNTIF(Comparação!$H:$H,A183)&gt;0,"sim",IF(AND(G183="sim",H183=""),"FALTA (obrigatória)","não"))</f>
        <v>não</v>
      </c>
    </row>
    <row r="184" customFormat="false" ht="15" hidden="false" customHeight="false" outlineLevel="0" collapsed="false">
      <c r="A184" s="7" t="str">
        <f aca="false">B184&amp;"."&amp;E184</f>
        <v>campanha_metas_mes.id</v>
      </c>
      <c r="B184" s="7" t="s">
        <v>56</v>
      </c>
      <c r="C184" s="7" t="s">
        <v>31</v>
      </c>
      <c r="D184" s="7" t="n">
        <v>1</v>
      </c>
      <c r="E184" s="7" t="s">
        <v>271</v>
      </c>
      <c r="F184" s="7" t="s">
        <v>272</v>
      </c>
      <c r="G184" s="7" t="s">
        <v>262</v>
      </c>
      <c r="H184" s="7" t="s">
        <v>273</v>
      </c>
      <c r="I184" s="7" t="s">
        <v>263</v>
      </c>
      <c r="J184" s="7"/>
      <c r="K184" s="7"/>
      <c r="L184" s="7" t="str">
        <f aca="false">IFERROR(VLOOKUP(IF(ISNUMBER(SEARCH("(",F184)),LEFT(F184,SEARCH("(",F184)-1),F184),Tipos!$A:$B,2,FALSE()),"outro")</f>
        <v>uuid</v>
      </c>
      <c r="M184" s="7" t="str">
        <f aca="false">IF(COUNTIF(Comparação!$H:$H,A184)&gt;0,"sim",IF(AND(G184="sim",H184=""),"FALTA (obrigatória)","não"))</f>
        <v>não</v>
      </c>
    </row>
    <row r="185" customFormat="false" ht="15" hidden="false" customHeight="false" outlineLevel="0" collapsed="false">
      <c r="A185" s="7" t="str">
        <f aca="false">B185&amp;"."&amp;E185</f>
        <v>campanha_metas_mes.workspace_id</v>
      </c>
      <c r="B185" s="7" t="s">
        <v>56</v>
      </c>
      <c r="C185" s="7" t="s">
        <v>31</v>
      </c>
      <c r="D185" s="7" t="n">
        <v>2</v>
      </c>
      <c r="E185" s="7" t="s">
        <v>274</v>
      </c>
      <c r="F185" s="7" t="s">
        <v>272</v>
      </c>
      <c r="G185" s="7" t="s">
        <v>262</v>
      </c>
      <c r="H185" s="7"/>
      <c r="I185" s="7"/>
      <c r="J185" s="7" t="s">
        <v>275</v>
      </c>
      <c r="K185" s="7"/>
      <c r="L185" s="7" t="str">
        <f aca="false">IFERROR(VLOOKUP(IF(ISNUMBER(SEARCH("(",F185)),LEFT(F185,SEARCH("(",F185)-1),F185),Tipos!$A:$B,2,FALSE()),"outro")</f>
        <v>uuid</v>
      </c>
      <c r="M185" s="7" t="str">
        <f aca="false">IF(COUNTIF(Comparação!$H:$H,A185)&gt;0,"sim",IF(AND(G185="sim",H185=""),"FALTA (obrigatória)","não"))</f>
        <v>FALTA (obrigatória)</v>
      </c>
    </row>
    <row r="186" customFormat="false" ht="15" hidden="false" customHeight="false" outlineLevel="0" collapsed="false">
      <c r="A186" s="7" t="str">
        <f aca="false">B186&amp;"."&amp;E186</f>
        <v>campanha_metas_mes.campanha_id</v>
      </c>
      <c r="B186" s="7" t="s">
        <v>56</v>
      </c>
      <c r="C186" s="7" t="s">
        <v>31</v>
      </c>
      <c r="D186" s="7" t="n">
        <v>3</v>
      </c>
      <c r="E186" s="7" t="s">
        <v>336</v>
      </c>
      <c r="F186" s="7" t="s">
        <v>272</v>
      </c>
      <c r="G186" s="7" t="s">
        <v>262</v>
      </c>
      <c r="H186" s="7"/>
      <c r="I186" s="7" t="s">
        <v>290</v>
      </c>
      <c r="J186" s="7" t="s">
        <v>337</v>
      </c>
      <c r="K186" s="7"/>
      <c r="L186" s="7" t="str">
        <f aca="false">IFERROR(VLOOKUP(IF(ISNUMBER(SEARCH("(",F186)),LEFT(F186,SEARCH("(",F186)-1),F186),Tipos!$A:$B,2,FALSE()),"outro")</f>
        <v>uuid</v>
      </c>
      <c r="M186" s="7" t="str">
        <f aca="false">IF(COUNTIF(Comparação!$H:$H,A186)&gt;0,"sim",IF(AND(G186="sim",H186=""),"FALTA (obrigatória)","não"))</f>
        <v>FALTA (obrigatória)</v>
      </c>
    </row>
    <row r="187" customFormat="false" ht="15" hidden="false" customHeight="false" outlineLevel="0" collapsed="false">
      <c r="A187" s="7" t="str">
        <f aca="false">B187&amp;"."&amp;E187</f>
        <v>campanha_metas_mes.mes</v>
      </c>
      <c r="B187" s="7" t="s">
        <v>56</v>
      </c>
      <c r="C187" s="7" t="s">
        <v>31</v>
      </c>
      <c r="D187" s="7" t="n">
        <v>4</v>
      </c>
      <c r="E187" s="7" t="s">
        <v>440</v>
      </c>
      <c r="F187" s="7" t="s">
        <v>379</v>
      </c>
      <c r="G187" s="7" t="s">
        <v>262</v>
      </c>
      <c r="H187" s="7"/>
      <c r="I187" s="7" t="s">
        <v>290</v>
      </c>
      <c r="J187" s="7"/>
      <c r="K187" s="7" t="s">
        <v>441</v>
      </c>
      <c r="L187" s="7" t="str">
        <f aca="false">IFERROR(VLOOKUP(IF(ISNUMBER(SEARCH("(",F187)),LEFT(F187,SEARCH("(",F187)-1),F187),Tipos!$A:$B,2,FALSE()),"outro")</f>
        <v>data</v>
      </c>
      <c r="M187" s="7" t="str">
        <f aca="false">IF(COUNTIF(Comparação!$H:$H,A187)&gt;0,"sim",IF(AND(G187="sim",H187=""),"FALTA (obrigatória)","não"))</f>
        <v>FALTA (obrigatória)</v>
      </c>
    </row>
    <row r="188" customFormat="false" ht="15" hidden="false" customHeight="false" outlineLevel="0" collapsed="false">
      <c r="A188" s="7" t="str">
        <f aca="false">B188&amp;"."&amp;E188</f>
        <v>campanha_metas_mes.meta_leads</v>
      </c>
      <c r="B188" s="7" t="s">
        <v>56</v>
      </c>
      <c r="C188" s="7" t="s">
        <v>31</v>
      </c>
      <c r="D188" s="7" t="n">
        <v>5</v>
      </c>
      <c r="E188" s="7" t="s">
        <v>357</v>
      </c>
      <c r="F188" s="7" t="s">
        <v>269</v>
      </c>
      <c r="G188" s="7" t="s">
        <v>267</v>
      </c>
      <c r="H188" s="7"/>
      <c r="I188" s="7"/>
      <c r="J188" s="7"/>
      <c r="K188" s="7" t="s">
        <v>442</v>
      </c>
      <c r="L188" s="7" t="str">
        <f aca="false">IFERROR(VLOOKUP(IF(ISNUMBER(SEARCH("(",F188)),LEFT(F188,SEARCH("(",F188)-1),F188),Tipos!$A:$B,2,FALSE()),"outro")</f>
        <v>inteiro</v>
      </c>
      <c r="M188" s="7" t="str">
        <f aca="false">IF(COUNTIF(Comparação!$H:$H,A188)&gt;0,"sim",IF(AND(G188="sim",H188=""),"FALTA (obrigatória)","não"))</f>
        <v>não</v>
      </c>
    </row>
    <row r="189" customFormat="false" ht="15" hidden="false" customHeight="false" outlineLevel="0" collapsed="false">
      <c r="A189" s="7" t="str">
        <f aca="false">B189&amp;"."&amp;E189</f>
        <v>campanha_metas_mes.meta_vendas</v>
      </c>
      <c r="B189" s="7" t="s">
        <v>56</v>
      </c>
      <c r="C189" s="7" t="s">
        <v>31</v>
      </c>
      <c r="D189" s="7" t="n">
        <v>6</v>
      </c>
      <c r="E189" s="7" t="s">
        <v>358</v>
      </c>
      <c r="F189" s="7" t="s">
        <v>269</v>
      </c>
      <c r="G189" s="7" t="s">
        <v>267</v>
      </c>
      <c r="H189" s="7"/>
      <c r="I189" s="7"/>
      <c r="J189" s="7"/>
      <c r="K189" s="7" t="s">
        <v>443</v>
      </c>
      <c r="L189" s="7" t="str">
        <f aca="false">IFERROR(VLOOKUP(IF(ISNUMBER(SEARCH("(",F189)),LEFT(F189,SEARCH("(",F189)-1),F189),Tipos!$A:$B,2,FALSE()),"outro")</f>
        <v>inteiro</v>
      </c>
      <c r="M189" s="7" t="str">
        <f aca="false">IF(COUNTIF(Comparação!$H:$H,A189)&gt;0,"sim",IF(AND(G189="sim",H189=""),"FALTA (obrigatória)","não"))</f>
        <v>não</v>
      </c>
    </row>
    <row r="190" customFormat="false" ht="15" hidden="false" customHeight="false" outlineLevel="0" collapsed="false">
      <c r="A190" s="7" t="str">
        <f aca="false">B190&amp;"."&amp;E190</f>
        <v>campanha_mix.id</v>
      </c>
      <c r="B190" s="7" t="s">
        <v>57</v>
      </c>
      <c r="C190" s="7" t="s">
        <v>31</v>
      </c>
      <c r="D190" s="7" t="n">
        <v>1</v>
      </c>
      <c r="E190" s="7" t="s">
        <v>271</v>
      </c>
      <c r="F190" s="7" t="s">
        <v>272</v>
      </c>
      <c r="G190" s="7" t="s">
        <v>262</v>
      </c>
      <c r="H190" s="7" t="s">
        <v>273</v>
      </c>
      <c r="I190" s="7" t="s">
        <v>263</v>
      </c>
      <c r="J190" s="7"/>
      <c r="K190" s="7"/>
      <c r="L190" s="7" t="str">
        <f aca="false">IFERROR(VLOOKUP(IF(ISNUMBER(SEARCH("(",F190)),LEFT(F190,SEARCH("(",F190)-1),F190),Tipos!$A:$B,2,FALSE()),"outro")</f>
        <v>uuid</v>
      </c>
      <c r="M190" s="7" t="str">
        <f aca="false">IF(COUNTIF(Comparação!$H:$H,A190)&gt;0,"sim",IF(AND(G190="sim",H190=""),"FALTA (obrigatória)","não"))</f>
        <v>não</v>
      </c>
    </row>
    <row r="191" customFormat="false" ht="15" hidden="false" customHeight="false" outlineLevel="0" collapsed="false">
      <c r="A191" s="7" t="str">
        <f aca="false">B191&amp;"."&amp;E191</f>
        <v>campanha_mix.workspace_id</v>
      </c>
      <c r="B191" s="7" t="s">
        <v>57</v>
      </c>
      <c r="C191" s="7" t="s">
        <v>31</v>
      </c>
      <c r="D191" s="7" t="n">
        <v>2</v>
      </c>
      <c r="E191" s="7" t="s">
        <v>274</v>
      </c>
      <c r="F191" s="7" t="s">
        <v>272</v>
      </c>
      <c r="G191" s="7" t="s">
        <v>262</v>
      </c>
      <c r="H191" s="7"/>
      <c r="I191" s="7"/>
      <c r="J191" s="7" t="s">
        <v>275</v>
      </c>
      <c r="K191" s="7"/>
      <c r="L191" s="7" t="str">
        <f aca="false">IFERROR(VLOOKUP(IF(ISNUMBER(SEARCH("(",F191)),LEFT(F191,SEARCH("(",F191)-1),F191),Tipos!$A:$B,2,FALSE()),"outro")</f>
        <v>uuid</v>
      </c>
      <c r="M191" s="7" t="str">
        <f aca="false">IF(COUNTIF(Comparação!$H:$H,A191)&gt;0,"sim",IF(AND(G191="sim",H191=""),"FALTA (obrigatória)","não"))</f>
        <v>FALTA (obrigatória)</v>
      </c>
    </row>
    <row r="192" customFormat="false" ht="15" hidden="false" customHeight="false" outlineLevel="0" collapsed="false">
      <c r="A192" s="7" t="str">
        <f aca="false">B192&amp;"."&amp;E192</f>
        <v>campanha_mix.campanha_id</v>
      </c>
      <c r="B192" s="7" t="s">
        <v>57</v>
      </c>
      <c r="C192" s="7" t="s">
        <v>31</v>
      </c>
      <c r="D192" s="7" t="n">
        <v>3</v>
      </c>
      <c r="E192" s="7" t="s">
        <v>336</v>
      </c>
      <c r="F192" s="7" t="s">
        <v>272</v>
      </c>
      <c r="G192" s="7" t="s">
        <v>262</v>
      </c>
      <c r="H192" s="7"/>
      <c r="I192" s="7" t="s">
        <v>290</v>
      </c>
      <c r="J192" s="7" t="s">
        <v>337</v>
      </c>
      <c r="K192" s="7"/>
      <c r="L192" s="7" t="str">
        <f aca="false">IFERROR(VLOOKUP(IF(ISNUMBER(SEARCH("(",F192)),LEFT(F192,SEARCH("(",F192)-1),F192),Tipos!$A:$B,2,FALSE()),"outro")</f>
        <v>uuid</v>
      </c>
      <c r="M192" s="7" t="str">
        <f aca="false">IF(COUNTIF(Comparação!$H:$H,A192)&gt;0,"sim",IF(AND(G192="sim",H192=""),"FALTA (obrigatória)","não"))</f>
        <v>FALTA (obrigatória)</v>
      </c>
    </row>
    <row r="193" customFormat="false" ht="15" hidden="false" customHeight="false" outlineLevel="0" collapsed="false">
      <c r="A193" s="7" t="str">
        <f aca="false">B193&amp;"."&amp;E193</f>
        <v>campanha_mix.produto_id</v>
      </c>
      <c r="B193" s="7" t="s">
        <v>57</v>
      </c>
      <c r="C193" s="7" t="s">
        <v>31</v>
      </c>
      <c r="D193" s="7" t="n">
        <v>4</v>
      </c>
      <c r="E193" s="7" t="s">
        <v>287</v>
      </c>
      <c r="F193" s="7" t="s">
        <v>272</v>
      </c>
      <c r="G193" s="7" t="s">
        <v>262</v>
      </c>
      <c r="H193" s="7"/>
      <c r="I193" s="7" t="s">
        <v>290</v>
      </c>
      <c r="J193" s="7" t="s">
        <v>288</v>
      </c>
      <c r="K193" s="7"/>
      <c r="L193" s="7" t="str">
        <f aca="false">IFERROR(VLOOKUP(IF(ISNUMBER(SEARCH("(",F193)),LEFT(F193,SEARCH("(",F193)-1),F193),Tipos!$A:$B,2,FALSE()),"outro")</f>
        <v>uuid</v>
      </c>
      <c r="M193" s="7" t="str">
        <f aca="false">IF(COUNTIF(Comparação!$H:$H,A193)&gt;0,"sim",IF(AND(G193="sim",H193=""),"FALTA (obrigatória)","não"))</f>
        <v>FALTA (obrigatória)</v>
      </c>
    </row>
    <row r="194" customFormat="false" ht="15" hidden="false" customHeight="false" outlineLevel="0" collapsed="false">
      <c r="A194" s="7" t="str">
        <f aca="false">B194&amp;"."&amp;E194</f>
        <v>campanha_mix.vendas_mes</v>
      </c>
      <c r="B194" s="7" t="s">
        <v>57</v>
      </c>
      <c r="C194" s="7" t="s">
        <v>31</v>
      </c>
      <c r="D194" s="7" t="n">
        <v>5</v>
      </c>
      <c r="E194" s="7" t="s">
        <v>444</v>
      </c>
      <c r="F194" s="7" t="s">
        <v>269</v>
      </c>
      <c r="G194" s="7" t="s">
        <v>262</v>
      </c>
      <c r="H194" s="7"/>
      <c r="I194" s="7"/>
      <c r="J194" s="7"/>
      <c r="K194" s="7" t="s">
        <v>445</v>
      </c>
      <c r="L194" s="7" t="str">
        <f aca="false">IFERROR(VLOOKUP(IF(ISNUMBER(SEARCH("(",F194)),LEFT(F194,SEARCH("(",F194)-1),F194),Tipos!$A:$B,2,FALSE()),"outro")</f>
        <v>inteiro</v>
      </c>
      <c r="M194" s="7" t="str">
        <f aca="false">IF(COUNTIF(Comparação!$H:$H,A194)&gt;0,"sim",IF(AND(G194="sim",H194=""),"FALTA (obrigatória)","não"))</f>
        <v>FALTA (obrigatória)</v>
      </c>
    </row>
    <row r="195" customFormat="false" ht="15" hidden="false" customHeight="false" outlineLevel="0" collapsed="false">
      <c r="A195" s="7" t="str">
        <f aca="false">B195&amp;"."&amp;E195</f>
        <v>campanha_ofertas.id</v>
      </c>
      <c r="B195" s="7" t="s">
        <v>59</v>
      </c>
      <c r="C195" s="7" t="s">
        <v>31</v>
      </c>
      <c r="D195" s="7" t="n">
        <v>1</v>
      </c>
      <c r="E195" s="7" t="s">
        <v>271</v>
      </c>
      <c r="F195" s="7" t="s">
        <v>272</v>
      </c>
      <c r="G195" s="7" t="s">
        <v>262</v>
      </c>
      <c r="H195" s="7" t="s">
        <v>273</v>
      </c>
      <c r="I195" s="7" t="s">
        <v>263</v>
      </c>
      <c r="J195" s="7"/>
      <c r="K195" s="7"/>
      <c r="L195" s="7" t="str">
        <f aca="false">IFERROR(VLOOKUP(IF(ISNUMBER(SEARCH("(",F195)),LEFT(F195,SEARCH("(",F195)-1),F195),Tipos!$A:$B,2,FALSE()),"outro")</f>
        <v>uuid</v>
      </c>
      <c r="M195" s="7" t="str">
        <f aca="false">IF(COUNTIF(Comparação!$H:$H,A195)&gt;0,"sim",IF(AND(G195="sim",H195=""),"FALTA (obrigatória)","não"))</f>
        <v>não</v>
      </c>
    </row>
    <row r="196" customFormat="false" ht="15" hidden="false" customHeight="false" outlineLevel="0" collapsed="false">
      <c r="A196" s="7" t="str">
        <f aca="false">B196&amp;"."&amp;E196</f>
        <v>campanha_ofertas.workspace_id</v>
      </c>
      <c r="B196" s="7" t="s">
        <v>59</v>
      </c>
      <c r="C196" s="7" t="s">
        <v>31</v>
      </c>
      <c r="D196" s="7" t="n">
        <v>2</v>
      </c>
      <c r="E196" s="7" t="s">
        <v>274</v>
      </c>
      <c r="F196" s="7" t="s">
        <v>272</v>
      </c>
      <c r="G196" s="7" t="s">
        <v>262</v>
      </c>
      <c r="H196" s="7"/>
      <c r="I196" s="7"/>
      <c r="J196" s="7" t="s">
        <v>275</v>
      </c>
      <c r="K196" s="7"/>
      <c r="L196" s="7" t="str">
        <f aca="false">IFERROR(VLOOKUP(IF(ISNUMBER(SEARCH("(",F196)),LEFT(F196,SEARCH("(",F196)-1),F196),Tipos!$A:$B,2,FALSE()),"outro")</f>
        <v>uuid</v>
      </c>
      <c r="M196" s="7" t="str">
        <f aca="false">IF(COUNTIF(Comparação!$H:$H,A196)&gt;0,"sim",IF(AND(G196="sim",H196=""),"FALTA (obrigatória)","não"))</f>
        <v>FALTA (obrigatória)</v>
      </c>
    </row>
    <row r="197" customFormat="false" ht="15" hidden="false" customHeight="false" outlineLevel="0" collapsed="false">
      <c r="A197" s="7" t="str">
        <f aca="false">B197&amp;"."&amp;E197</f>
        <v>campanha_ofertas.campanha_id</v>
      </c>
      <c r="B197" s="7" t="s">
        <v>59</v>
      </c>
      <c r="C197" s="7" t="s">
        <v>31</v>
      </c>
      <c r="D197" s="7" t="n">
        <v>3</v>
      </c>
      <c r="E197" s="7" t="s">
        <v>336</v>
      </c>
      <c r="F197" s="7" t="s">
        <v>272</v>
      </c>
      <c r="G197" s="7" t="s">
        <v>262</v>
      </c>
      <c r="H197" s="7"/>
      <c r="I197" s="7"/>
      <c r="J197" s="7" t="s">
        <v>337</v>
      </c>
      <c r="K197" s="7"/>
      <c r="L197" s="7" t="str">
        <f aca="false">IFERROR(VLOOKUP(IF(ISNUMBER(SEARCH("(",F197)),LEFT(F197,SEARCH("(",F197)-1),F197),Tipos!$A:$B,2,FALSE()),"outro")</f>
        <v>uuid</v>
      </c>
      <c r="M197" s="7" t="str">
        <f aca="false">IF(COUNTIF(Comparação!$H:$H,A197)&gt;0,"sim",IF(AND(G197="sim",H197=""),"FALTA (obrigatória)","não"))</f>
        <v>FALTA (obrigatória)</v>
      </c>
    </row>
    <row r="198" customFormat="false" ht="15" hidden="false" customHeight="false" outlineLevel="0" collapsed="false">
      <c r="A198" s="7" t="str">
        <f aca="false">B198&amp;"."&amp;E198</f>
        <v>campanha_ofertas.produto_id</v>
      </c>
      <c r="B198" s="7" t="s">
        <v>59</v>
      </c>
      <c r="C198" s="7" t="s">
        <v>31</v>
      </c>
      <c r="D198" s="7" t="n">
        <v>4</v>
      </c>
      <c r="E198" s="7" t="s">
        <v>287</v>
      </c>
      <c r="F198" s="7" t="s">
        <v>272</v>
      </c>
      <c r="G198" s="7" t="s">
        <v>262</v>
      </c>
      <c r="H198" s="7"/>
      <c r="I198" s="7"/>
      <c r="J198" s="7" t="s">
        <v>288</v>
      </c>
      <c r="K198" s="7"/>
      <c r="L198" s="7" t="str">
        <f aca="false">IFERROR(VLOOKUP(IF(ISNUMBER(SEARCH("(",F198)),LEFT(F198,SEARCH("(",F198)-1),F198),Tipos!$A:$B,2,FALSE()),"outro")</f>
        <v>uuid</v>
      </c>
      <c r="M198" s="7" t="str">
        <f aca="false">IF(COUNTIF(Comparação!$H:$H,A198)&gt;0,"sim",IF(AND(G198="sim",H198=""),"FALTA (obrigatória)","não"))</f>
        <v>FALTA (obrigatória)</v>
      </c>
    </row>
    <row r="199" customFormat="false" ht="15" hidden="false" customHeight="false" outlineLevel="0" collapsed="false">
      <c r="A199" s="7" t="str">
        <f aca="false">B199&amp;"."&amp;E199</f>
        <v>campanha_ofertas.oferta_id</v>
      </c>
      <c r="B199" s="7" t="s">
        <v>59</v>
      </c>
      <c r="C199" s="7" t="s">
        <v>31</v>
      </c>
      <c r="D199" s="7" t="n">
        <v>5</v>
      </c>
      <c r="E199" s="7" t="s">
        <v>446</v>
      </c>
      <c r="F199" s="7" t="s">
        <v>272</v>
      </c>
      <c r="G199" s="7" t="s">
        <v>267</v>
      </c>
      <c r="H199" s="7"/>
      <c r="I199" s="7"/>
      <c r="J199" s="7" t="s">
        <v>447</v>
      </c>
      <c r="K199" s="7"/>
      <c r="L199" s="7" t="str">
        <f aca="false">IFERROR(VLOOKUP(IF(ISNUMBER(SEARCH("(",F199)),LEFT(F199,SEARCH("(",F199)-1),F199),Tipos!$A:$B,2,FALSE()),"outro")</f>
        <v>uuid</v>
      </c>
      <c r="M199" s="7" t="str">
        <f aca="false">IF(COUNTIF(Comparação!$H:$H,A199)&gt;0,"sim",IF(AND(G199="sim",H199=""),"FALTA (obrigatória)","não"))</f>
        <v>não</v>
      </c>
    </row>
    <row r="200" customFormat="false" ht="15" hidden="false" customHeight="false" outlineLevel="0" collapsed="false">
      <c r="A200" s="7" t="str">
        <f aca="false">B200&amp;"."&amp;E200</f>
        <v>campanha_ofertas.nome</v>
      </c>
      <c r="B200" s="7" t="s">
        <v>59</v>
      </c>
      <c r="C200" s="7" t="s">
        <v>31</v>
      </c>
      <c r="D200" s="7" t="n">
        <v>6</v>
      </c>
      <c r="E200" s="7" t="s">
        <v>265</v>
      </c>
      <c r="F200" s="7" t="s">
        <v>261</v>
      </c>
      <c r="G200" s="7" t="s">
        <v>262</v>
      </c>
      <c r="H200" s="7"/>
      <c r="I200" s="7"/>
      <c r="J200" s="7"/>
      <c r="K200" s="7" t="s">
        <v>345</v>
      </c>
      <c r="L200" s="7" t="str">
        <f aca="false">IFERROR(VLOOKUP(IF(ISNUMBER(SEARCH("(",F200)),LEFT(F200,SEARCH("(",F200)-1),F200),Tipos!$A:$B,2,FALSE()),"outro")</f>
        <v>texto</v>
      </c>
      <c r="M200" s="7" t="str">
        <f aca="false">IF(COUNTIF(Comparação!$H:$H,A200)&gt;0,"sim",IF(AND(G200="sim",H200=""),"FALTA (obrigatória)","não"))</f>
        <v>FALTA (obrigatória)</v>
      </c>
    </row>
    <row r="201" customFormat="false" ht="15" hidden="false" customHeight="false" outlineLevel="0" collapsed="false">
      <c r="A201" s="7" t="str">
        <f aca="false">B201&amp;"."&amp;E201</f>
        <v>campanha_ofertas.papel</v>
      </c>
      <c r="B201" s="7" t="s">
        <v>59</v>
      </c>
      <c r="C201" s="7" t="s">
        <v>31</v>
      </c>
      <c r="D201" s="7" t="n">
        <v>7</v>
      </c>
      <c r="E201" s="7" t="s">
        <v>402</v>
      </c>
      <c r="F201" s="7" t="s">
        <v>261</v>
      </c>
      <c r="G201" s="7" t="s">
        <v>262</v>
      </c>
      <c r="H201" s="7" t="s">
        <v>448</v>
      </c>
      <c r="I201" s="7"/>
      <c r="J201" s="7"/>
      <c r="K201" s="7" t="s">
        <v>449</v>
      </c>
      <c r="L201" s="7" t="str">
        <f aca="false">IFERROR(VLOOKUP(IF(ISNUMBER(SEARCH("(",F201)),LEFT(F201,SEARCH("(",F201)-1),F201),Tipos!$A:$B,2,FALSE()),"outro")</f>
        <v>texto</v>
      </c>
      <c r="M201" s="7" t="str">
        <f aca="false">IF(COUNTIF(Comparação!$H:$H,A201)&gt;0,"sim",IF(AND(G201="sim",H201=""),"FALTA (obrigatória)","não"))</f>
        <v>não</v>
      </c>
    </row>
    <row r="202" customFormat="false" ht="15" hidden="false" customHeight="false" outlineLevel="0" collapsed="false">
      <c r="A202" s="7" t="str">
        <f aca="false">B202&amp;"."&amp;E202</f>
        <v>campanha_ofertas.preco</v>
      </c>
      <c r="B202" s="7" t="s">
        <v>59</v>
      </c>
      <c r="C202" s="7" t="s">
        <v>31</v>
      </c>
      <c r="D202" s="7" t="n">
        <v>8</v>
      </c>
      <c r="E202" s="7" t="s">
        <v>450</v>
      </c>
      <c r="F202" s="7" t="s">
        <v>360</v>
      </c>
      <c r="G202" s="7" t="s">
        <v>262</v>
      </c>
      <c r="H202" s="7"/>
      <c r="I202" s="7"/>
      <c r="J202" s="7"/>
      <c r="K202" s="7" t="s">
        <v>451</v>
      </c>
      <c r="L202" s="7" t="str">
        <f aca="false">IFERROR(VLOOKUP(IF(ISNUMBER(SEARCH("(",F202)),LEFT(F202,SEARCH("(",F202)-1),F202),Tipos!$A:$B,2,FALSE()),"outro")</f>
        <v>decimal</v>
      </c>
      <c r="M202" s="7" t="str">
        <f aca="false">IF(COUNTIF(Comparação!$H:$H,A202)&gt;0,"sim",IF(AND(G202="sim",H202=""),"FALTA (obrigatória)","não"))</f>
        <v>FALTA (obrigatória)</v>
      </c>
    </row>
    <row r="203" customFormat="false" ht="15" hidden="false" customHeight="false" outlineLevel="0" collapsed="false">
      <c r="A203" s="7" t="str">
        <f aca="false">B203&amp;"."&amp;E203</f>
        <v>campanha_ofertas.ordem</v>
      </c>
      <c r="B203" s="7" t="s">
        <v>59</v>
      </c>
      <c r="C203" s="7" t="s">
        <v>31</v>
      </c>
      <c r="D203" s="7" t="n">
        <v>9</v>
      </c>
      <c r="E203" s="7" t="s">
        <v>268</v>
      </c>
      <c r="F203" s="7" t="s">
        <v>269</v>
      </c>
      <c r="G203" s="7" t="s">
        <v>262</v>
      </c>
      <c r="H203" s="7" t="s">
        <v>270</v>
      </c>
      <c r="I203" s="7"/>
      <c r="J203" s="7"/>
      <c r="K203" s="7"/>
      <c r="L203" s="7" t="str">
        <f aca="false">IFERROR(VLOOKUP(IF(ISNUMBER(SEARCH("(",F203)),LEFT(F203,SEARCH("(",F203)-1),F203),Tipos!$A:$B,2,FALSE()),"outro")</f>
        <v>inteiro</v>
      </c>
      <c r="M203" s="7" t="str">
        <f aca="false">IF(COUNTIF(Comparação!$H:$H,A203)&gt;0,"sim",IF(AND(G203="sim",H203=""),"FALTA (obrigatória)","não"))</f>
        <v>não</v>
      </c>
    </row>
    <row r="204" customFormat="false" ht="15" hidden="false" customHeight="false" outlineLevel="0" collapsed="false">
      <c r="A204" s="7" t="str">
        <f aca="false">B204&amp;"."&amp;E204</f>
        <v>campanha_ofertas.criado_em</v>
      </c>
      <c r="B204" s="7" t="s">
        <v>59</v>
      </c>
      <c r="C204" s="7" t="s">
        <v>31</v>
      </c>
      <c r="D204" s="7" t="n">
        <v>10</v>
      </c>
      <c r="E204" s="7" t="s">
        <v>344</v>
      </c>
      <c r="F204" s="7" t="s">
        <v>285</v>
      </c>
      <c r="G204" s="7" t="s">
        <v>262</v>
      </c>
      <c r="H204" s="7" t="s">
        <v>286</v>
      </c>
      <c r="I204" s="7"/>
      <c r="J204" s="7"/>
      <c r="K204" s="7"/>
      <c r="L204" s="7" t="str">
        <f aca="false">IFERROR(VLOOKUP(IF(ISNUMBER(SEARCH("(",F204)),LEFT(F204,SEARCH("(",F204)-1),F204),Tipos!$A:$B,2,FALSE()),"outro")</f>
        <v>data e hora</v>
      </c>
      <c r="M204" s="7" t="str">
        <f aca="false">IF(COUNTIF(Comparação!$H:$H,A204)&gt;0,"sim",IF(AND(G204="sim",H204=""),"FALTA (obrigatória)","não"))</f>
        <v>não</v>
      </c>
    </row>
    <row r="205" customFormat="false" ht="15" hidden="false" customHeight="false" outlineLevel="0" collapsed="false">
      <c r="A205" s="7" t="str">
        <f aca="false">B205&amp;"."&amp;E205</f>
        <v>campanha_ofertas.oferta_versao</v>
      </c>
      <c r="B205" s="7" t="s">
        <v>59</v>
      </c>
      <c r="C205" s="7" t="s">
        <v>31</v>
      </c>
      <c r="D205" s="7" t="n">
        <v>11</v>
      </c>
      <c r="E205" s="7" t="s">
        <v>452</v>
      </c>
      <c r="F205" s="7" t="s">
        <v>269</v>
      </c>
      <c r="G205" s="7" t="s">
        <v>267</v>
      </c>
      <c r="H205" s="7"/>
      <c r="I205" s="7"/>
      <c r="J205" s="7"/>
      <c r="K205" s="7"/>
      <c r="L205" s="7" t="str">
        <f aca="false">IFERROR(VLOOKUP(IF(ISNUMBER(SEARCH("(",F205)),LEFT(F205,SEARCH("(",F205)-1),F205),Tipos!$A:$B,2,FALSE()),"outro")</f>
        <v>inteiro</v>
      </c>
      <c r="M205" s="7" t="str">
        <f aca="false">IF(COUNTIF(Comparação!$H:$H,A205)&gt;0,"sim",IF(AND(G205="sim",H205=""),"FALTA (obrigatória)","não"))</f>
        <v>não</v>
      </c>
    </row>
    <row r="206" customFormat="false" ht="15" hidden="false" customHeight="false" outlineLevel="0" collapsed="false">
      <c r="A206" s="7" t="str">
        <f aca="false">B206&amp;"."&amp;E206</f>
        <v>campanha_ofertas.pai_id</v>
      </c>
      <c r="B206" s="7" t="s">
        <v>59</v>
      </c>
      <c r="C206" s="7" t="s">
        <v>31</v>
      </c>
      <c r="D206" s="7" t="n">
        <v>12</v>
      </c>
      <c r="E206" s="7" t="s">
        <v>453</v>
      </c>
      <c r="F206" s="7" t="s">
        <v>272</v>
      </c>
      <c r="G206" s="7" t="s">
        <v>267</v>
      </c>
      <c r="H206" s="7"/>
      <c r="I206" s="7"/>
      <c r="J206" s="7" t="s">
        <v>454</v>
      </c>
      <c r="K206" s="7"/>
      <c r="L206" s="7" t="str">
        <f aca="false">IFERROR(VLOOKUP(IF(ISNUMBER(SEARCH("(",F206)),LEFT(F206,SEARCH("(",F206)-1),F206),Tipos!$A:$B,2,FALSE()),"outro")</f>
        <v>uuid</v>
      </c>
      <c r="M206" s="7" t="str">
        <f aca="false">IF(COUNTIF(Comparação!$H:$H,A206)&gt;0,"sim",IF(AND(G206="sim",H206=""),"FALTA (obrigatória)","não"))</f>
        <v>não</v>
      </c>
    </row>
    <row r="207" customFormat="false" ht="15" hidden="false" customHeight="false" outlineLevel="0" collapsed="false">
      <c r="A207" s="7" t="str">
        <f aca="false">B207&amp;"."&amp;E207</f>
        <v>campanha_ofertas.condicao</v>
      </c>
      <c r="B207" s="7" t="s">
        <v>59</v>
      </c>
      <c r="C207" s="7" t="s">
        <v>31</v>
      </c>
      <c r="D207" s="7" t="n">
        <v>13</v>
      </c>
      <c r="E207" s="7" t="s">
        <v>455</v>
      </c>
      <c r="F207" s="7" t="s">
        <v>261</v>
      </c>
      <c r="G207" s="7" t="s">
        <v>262</v>
      </c>
      <c r="H207" s="7" t="s">
        <v>456</v>
      </c>
      <c r="I207" s="7"/>
      <c r="J207" s="7"/>
      <c r="K207" s="7" t="s">
        <v>457</v>
      </c>
      <c r="L207" s="7" t="str">
        <f aca="false">IFERROR(VLOOKUP(IF(ISNUMBER(SEARCH("(",F207)),LEFT(F207,SEARCH("(",F207)-1),F207),Tipos!$A:$B,2,FALSE()),"outro")</f>
        <v>texto</v>
      </c>
      <c r="M207" s="7" t="str">
        <f aca="false">IF(COUNTIF(Comparação!$H:$H,A207)&gt;0,"sim",IF(AND(G207="sim",H207=""),"FALTA (obrigatória)","não"))</f>
        <v>não</v>
      </c>
    </row>
    <row r="208" customFormat="false" ht="15" hidden="false" customHeight="false" outlineLevel="0" collapsed="false">
      <c r="A208" s="7" t="str">
        <f aca="false">B208&amp;"."&amp;E208</f>
        <v>campanha_ofertas.etapa_exibicao</v>
      </c>
      <c r="B208" s="7" t="s">
        <v>59</v>
      </c>
      <c r="C208" s="7" t="s">
        <v>31</v>
      </c>
      <c r="D208" s="7" t="n">
        <v>14</v>
      </c>
      <c r="E208" s="7" t="s">
        <v>458</v>
      </c>
      <c r="F208" s="7" t="s">
        <v>261</v>
      </c>
      <c r="G208" s="7" t="s">
        <v>267</v>
      </c>
      <c r="H208" s="7"/>
      <c r="I208" s="7"/>
      <c r="J208" s="7"/>
      <c r="K208" s="7"/>
      <c r="L208" s="7" t="str">
        <f aca="false">IFERROR(VLOOKUP(IF(ISNUMBER(SEARCH("(",F208)),LEFT(F208,SEARCH("(",F208)-1),F208),Tipos!$A:$B,2,FALSE()),"outro")</f>
        <v>texto</v>
      </c>
      <c r="M208" s="7" t="str">
        <f aca="false">IF(COUNTIF(Comparação!$H:$H,A208)&gt;0,"sim",IF(AND(G208="sim",H208=""),"FALTA (obrigatória)","não"))</f>
        <v>não</v>
      </c>
    </row>
    <row r="209" customFormat="false" ht="15" hidden="false" customHeight="false" outlineLevel="0" collapsed="false">
      <c r="A209" s="7" t="str">
        <f aca="false">B209&amp;"."&amp;E209</f>
        <v>campanha_ofertas.elegibilidade</v>
      </c>
      <c r="B209" s="7" t="s">
        <v>59</v>
      </c>
      <c r="C209" s="7" t="s">
        <v>31</v>
      </c>
      <c r="D209" s="7" t="n">
        <v>15</v>
      </c>
      <c r="E209" s="7" t="s">
        <v>459</v>
      </c>
      <c r="F209" s="7" t="s">
        <v>261</v>
      </c>
      <c r="G209" s="7" t="s">
        <v>267</v>
      </c>
      <c r="H209" s="7"/>
      <c r="I209" s="7"/>
      <c r="J209" s="7"/>
      <c r="K209" s="7"/>
      <c r="L209" s="7" t="str">
        <f aca="false">IFERROR(VLOOKUP(IF(ISNUMBER(SEARCH("(",F209)),LEFT(F209,SEARCH("(",F209)-1),F209),Tipos!$A:$B,2,FALSE()),"outro")</f>
        <v>texto</v>
      </c>
      <c r="M209" s="7" t="str">
        <f aca="false">IF(COUNTIF(Comparação!$H:$H,A209)&gt;0,"sim",IF(AND(G209="sim",H209=""),"FALTA (obrigatória)","não"))</f>
        <v>não</v>
      </c>
    </row>
    <row r="210" customFormat="false" ht="15" hidden="false" customHeight="false" outlineLevel="0" collapsed="false">
      <c r="A210" s="7" t="str">
        <f aca="false">B210&amp;"."&amp;E210</f>
        <v>campanha_ofertas.gatilho</v>
      </c>
      <c r="B210" s="7" t="s">
        <v>59</v>
      </c>
      <c r="C210" s="7" t="s">
        <v>31</v>
      </c>
      <c r="D210" s="7" t="n">
        <v>16</v>
      </c>
      <c r="E210" s="7" t="s">
        <v>460</v>
      </c>
      <c r="F210" s="7" t="s">
        <v>261</v>
      </c>
      <c r="G210" s="7" t="s">
        <v>267</v>
      </c>
      <c r="H210" s="7"/>
      <c r="I210" s="7"/>
      <c r="J210" s="7"/>
      <c r="K210" s="7"/>
      <c r="L210" s="7" t="str">
        <f aca="false">IFERROR(VLOOKUP(IF(ISNUMBER(SEARCH("(",F210)),LEFT(F210,SEARCH("(",F210)-1),F210),Tipos!$A:$B,2,FALSE()),"outro")</f>
        <v>texto</v>
      </c>
      <c r="M210" s="7" t="str">
        <f aca="false">IF(COUNTIF(Comparação!$H:$H,A210)&gt;0,"sim",IF(AND(G210="sim",H210=""),"FALTA (obrigatória)","não"))</f>
        <v>não</v>
      </c>
    </row>
    <row r="211" customFormat="false" ht="15" hidden="false" customHeight="false" outlineLevel="0" collapsed="false">
      <c r="A211" s="7" t="str">
        <f aca="false">B211&amp;"."&amp;E211</f>
        <v>campanha_ofertas.taxa_exposicao</v>
      </c>
      <c r="B211" s="7" t="s">
        <v>59</v>
      </c>
      <c r="C211" s="7" t="s">
        <v>31</v>
      </c>
      <c r="D211" s="7" t="n">
        <v>17</v>
      </c>
      <c r="E211" s="7" t="s">
        <v>461</v>
      </c>
      <c r="F211" s="7" t="s">
        <v>380</v>
      </c>
      <c r="G211" s="7" t="s">
        <v>267</v>
      </c>
      <c r="H211" s="7"/>
      <c r="I211" s="7"/>
      <c r="J211" s="7"/>
      <c r="K211" s="7" t="s">
        <v>462</v>
      </c>
      <c r="L211" s="7" t="str">
        <f aca="false">IFERROR(VLOOKUP(IF(ISNUMBER(SEARCH("(",F211)),LEFT(F211,SEARCH("(",F211)-1),F211),Tipos!$A:$B,2,FALSE()),"outro")</f>
        <v>decimal</v>
      </c>
      <c r="M211" s="7" t="str">
        <f aca="false">IF(COUNTIF(Comparação!$H:$H,A211)&gt;0,"sim",IF(AND(G211="sim",H211=""),"FALTA (obrigatória)","não"))</f>
        <v>não</v>
      </c>
    </row>
    <row r="212" customFormat="false" ht="15" hidden="false" customHeight="false" outlineLevel="0" collapsed="false">
      <c r="A212" s="7" t="str">
        <f aca="false">B212&amp;"."&amp;E212</f>
        <v>campanha_ofertas.taxa_aceite</v>
      </c>
      <c r="B212" s="7" t="s">
        <v>59</v>
      </c>
      <c r="C212" s="7" t="s">
        <v>31</v>
      </c>
      <c r="D212" s="7" t="n">
        <v>18</v>
      </c>
      <c r="E212" s="7" t="s">
        <v>463</v>
      </c>
      <c r="F212" s="7" t="s">
        <v>380</v>
      </c>
      <c r="G212" s="7" t="s">
        <v>267</v>
      </c>
      <c r="H212" s="7"/>
      <c r="I212" s="7"/>
      <c r="J212" s="7"/>
      <c r="K212" s="7" t="s">
        <v>464</v>
      </c>
      <c r="L212" s="7" t="str">
        <f aca="false">IFERROR(VLOOKUP(IF(ISNUMBER(SEARCH("(",F212)),LEFT(F212,SEARCH("(",F212)-1),F212),Tipos!$A:$B,2,FALSE()),"outro")</f>
        <v>decimal</v>
      </c>
      <c r="M212" s="7" t="str">
        <f aca="false">IF(COUNTIF(Comparação!$H:$H,A212)&gt;0,"sim",IF(AND(G212="sim",H212=""),"FALTA (obrigatória)","não"))</f>
        <v>não</v>
      </c>
    </row>
    <row r="213" customFormat="false" ht="15" hidden="false" customHeight="false" outlineLevel="0" collapsed="false">
      <c r="A213" s="7" t="str">
        <f aca="false">B213&amp;"."&amp;E213</f>
        <v>campanha_participacoes.id</v>
      </c>
      <c r="B213" s="7" t="s">
        <v>61</v>
      </c>
      <c r="C213" s="7" t="s">
        <v>31</v>
      </c>
      <c r="D213" s="7" t="n">
        <v>1</v>
      </c>
      <c r="E213" s="7" t="s">
        <v>271</v>
      </c>
      <c r="F213" s="7" t="s">
        <v>272</v>
      </c>
      <c r="G213" s="7" t="s">
        <v>262</v>
      </c>
      <c r="H213" s="7" t="s">
        <v>273</v>
      </c>
      <c r="I213" s="7" t="s">
        <v>263</v>
      </c>
      <c r="J213" s="7"/>
      <c r="K213" s="7"/>
      <c r="L213" s="7" t="str">
        <f aca="false">IFERROR(VLOOKUP(IF(ISNUMBER(SEARCH("(",F213)),LEFT(F213,SEARCH("(",F213)-1),F213),Tipos!$A:$B,2,FALSE()),"outro")</f>
        <v>uuid</v>
      </c>
      <c r="M213" s="7" t="str">
        <f aca="false">IF(COUNTIF(Comparação!$H:$H,A213)&gt;0,"sim",IF(AND(G213="sim",H213=""),"FALTA (obrigatória)","não"))</f>
        <v>não</v>
      </c>
    </row>
    <row r="214" customFormat="false" ht="15" hidden="false" customHeight="false" outlineLevel="0" collapsed="false">
      <c r="A214" s="7" t="str">
        <f aca="false">B214&amp;"."&amp;E214</f>
        <v>campanha_participacoes.workspace_id</v>
      </c>
      <c r="B214" s="7" t="s">
        <v>61</v>
      </c>
      <c r="C214" s="7" t="s">
        <v>31</v>
      </c>
      <c r="D214" s="7" t="n">
        <v>2</v>
      </c>
      <c r="E214" s="7" t="s">
        <v>274</v>
      </c>
      <c r="F214" s="7" t="s">
        <v>272</v>
      </c>
      <c r="G214" s="7" t="s">
        <v>262</v>
      </c>
      <c r="H214" s="7"/>
      <c r="I214" s="7"/>
      <c r="J214" s="7" t="s">
        <v>275</v>
      </c>
      <c r="K214" s="7"/>
      <c r="L214" s="7" t="str">
        <f aca="false">IFERROR(VLOOKUP(IF(ISNUMBER(SEARCH("(",F214)),LEFT(F214,SEARCH("(",F214)-1),F214),Tipos!$A:$B,2,FALSE()),"outro")</f>
        <v>uuid</v>
      </c>
      <c r="M214" s="7" t="str">
        <f aca="false">IF(COUNTIF(Comparação!$H:$H,A214)&gt;0,"sim",IF(AND(G214="sim",H214=""),"FALTA (obrigatória)","não"))</f>
        <v>FALTA (obrigatória)</v>
      </c>
    </row>
    <row r="215" customFormat="false" ht="15" hidden="false" customHeight="false" outlineLevel="0" collapsed="false">
      <c r="A215" s="7" t="str">
        <f aca="false">B215&amp;"."&amp;E215</f>
        <v>campanha_participacoes.campanha_id</v>
      </c>
      <c r="B215" s="7" t="s">
        <v>61</v>
      </c>
      <c r="C215" s="7" t="s">
        <v>31</v>
      </c>
      <c r="D215" s="7" t="n">
        <v>3</v>
      </c>
      <c r="E215" s="7" t="s">
        <v>336</v>
      </c>
      <c r="F215" s="7" t="s">
        <v>272</v>
      </c>
      <c r="G215" s="7" t="s">
        <v>262</v>
      </c>
      <c r="H215" s="7"/>
      <c r="I215" s="7" t="s">
        <v>290</v>
      </c>
      <c r="J215" s="7" t="s">
        <v>337</v>
      </c>
      <c r="K215" s="7"/>
      <c r="L215" s="7" t="str">
        <f aca="false">IFERROR(VLOOKUP(IF(ISNUMBER(SEARCH("(",F215)),LEFT(F215,SEARCH("(",F215)-1),F215),Tipos!$A:$B,2,FALSE()),"outro")</f>
        <v>uuid</v>
      </c>
      <c r="M215" s="7" t="str">
        <f aca="false">IF(COUNTIF(Comparação!$H:$H,A215)&gt;0,"sim",IF(AND(G215="sim",H215=""),"FALTA (obrigatória)","não"))</f>
        <v>FALTA (obrigatória)</v>
      </c>
    </row>
    <row r="216" customFormat="false" ht="15" hidden="false" customHeight="false" outlineLevel="0" collapsed="false">
      <c r="A216" s="7" t="str">
        <f aca="false">B216&amp;"."&amp;E216</f>
        <v>campanha_participacoes.pessoa_id</v>
      </c>
      <c r="B216" s="7" t="s">
        <v>61</v>
      </c>
      <c r="C216" s="7" t="s">
        <v>31</v>
      </c>
      <c r="D216" s="7" t="n">
        <v>4</v>
      </c>
      <c r="E216" s="7" t="s">
        <v>278</v>
      </c>
      <c r="F216" s="7" t="s">
        <v>272</v>
      </c>
      <c r="G216" s="7" t="s">
        <v>262</v>
      </c>
      <c r="H216" s="7"/>
      <c r="I216" s="7" t="s">
        <v>290</v>
      </c>
      <c r="J216" s="7" t="s">
        <v>279</v>
      </c>
      <c r="K216" s="7"/>
      <c r="L216" s="7" t="str">
        <f aca="false">IFERROR(VLOOKUP(IF(ISNUMBER(SEARCH("(",F216)),LEFT(F216,SEARCH("(",F216)-1),F216),Tipos!$A:$B,2,FALSE()),"outro")</f>
        <v>uuid</v>
      </c>
      <c r="M216" s="7" t="str">
        <f aca="false">IF(COUNTIF(Comparação!$H:$H,A216)&gt;0,"sim",IF(AND(G216="sim",H216=""),"FALTA (obrigatória)","não"))</f>
        <v>FALTA (obrigatória)</v>
      </c>
    </row>
    <row r="217" customFormat="false" ht="15" hidden="false" customHeight="false" outlineLevel="0" collapsed="false">
      <c r="A217" s="7" t="str">
        <f aca="false">B217&amp;"."&amp;E217</f>
        <v>campanha_participacoes.entrou_em</v>
      </c>
      <c r="B217" s="7" t="s">
        <v>61</v>
      </c>
      <c r="C217" s="7" t="s">
        <v>31</v>
      </c>
      <c r="D217" s="7" t="n">
        <v>5</v>
      </c>
      <c r="E217" s="7" t="s">
        <v>296</v>
      </c>
      <c r="F217" s="7" t="s">
        <v>285</v>
      </c>
      <c r="G217" s="7" t="s">
        <v>262</v>
      </c>
      <c r="H217" s="7"/>
      <c r="I217" s="7"/>
      <c r="J217" s="7"/>
      <c r="K217" s="7"/>
      <c r="L217" s="7" t="str">
        <f aca="false">IFERROR(VLOOKUP(IF(ISNUMBER(SEARCH("(",F217)),LEFT(F217,SEARCH("(",F217)-1),F217),Tipos!$A:$B,2,FALSE()),"outro")</f>
        <v>data e hora</v>
      </c>
      <c r="M217" s="7" t="str">
        <f aca="false">IF(COUNTIF(Comparação!$H:$H,A217)&gt;0,"sim",IF(AND(G217="sim",H217=""),"FALTA (obrigatória)","não"))</f>
        <v>FALTA (obrigatória)</v>
      </c>
    </row>
    <row r="218" customFormat="false" ht="15" hidden="false" customHeight="false" outlineLevel="0" collapsed="false">
      <c r="A218" s="7" t="str">
        <f aca="false">B218&amp;"."&amp;E218</f>
        <v>campanha_participacoes.era_aluno</v>
      </c>
      <c r="B218" s="7" t="s">
        <v>61</v>
      </c>
      <c r="C218" s="7" t="s">
        <v>31</v>
      </c>
      <c r="D218" s="7" t="n">
        <v>6</v>
      </c>
      <c r="E218" s="7" t="s">
        <v>465</v>
      </c>
      <c r="F218" s="7" t="s">
        <v>310</v>
      </c>
      <c r="G218" s="7" t="s">
        <v>262</v>
      </c>
      <c r="H218" s="7" t="s">
        <v>375</v>
      </c>
      <c r="I218" s="7"/>
      <c r="J218" s="7"/>
      <c r="K218" s="7"/>
      <c r="L218" s="7" t="str">
        <f aca="false">IFERROR(VLOOKUP(IF(ISNUMBER(SEARCH("(",F218)),LEFT(F218,SEARCH("(",F218)-1),F218),Tipos!$A:$B,2,FALSE()),"outro")</f>
        <v>booleano</v>
      </c>
      <c r="M218" s="7" t="str">
        <f aca="false">IF(COUNTIF(Comparação!$H:$H,A218)&gt;0,"sim",IF(AND(G218="sim",H218=""),"FALTA (obrigatória)","não"))</f>
        <v>não</v>
      </c>
    </row>
    <row r="219" customFormat="false" ht="15" hidden="false" customHeight="false" outlineLevel="0" collapsed="false">
      <c r="A219" s="7" t="str">
        <f aca="false">B219&amp;"."&amp;E219</f>
        <v>campanha_participacoes.era_cliente</v>
      </c>
      <c r="B219" s="7" t="s">
        <v>61</v>
      </c>
      <c r="C219" s="7" t="s">
        <v>31</v>
      </c>
      <c r="D219" s="7" t="n">
        <v>7</v>
      </c>
      <c r="E219" s="7" t="s">
        <v>466</v>
      </c>
      <c r="F219" s="7" t="s">
        <v>310</v>
      </c>
      <c r="G219" s="7" t="s">
        <v>262</v>
      </c>
      <c r="H219" s="7" t="s">
        <v>375</v>
      </c>
      <c r="I219" s="7"/>
      <c r="J219" s="7"/>
      <c r="K219" s="7"/>
      <c r="L219" s="7" t="str">
        <f aca="false">IFERROR(VLOOKUP(IF(ISNUMBER(SEARCH("(",F219)),LEFT(F219,SEARCH("(",F219)-1),F219),Tipos!$A:$B,2,FALSE()),"outro")</f>
        <v>booleano</v>
      </c>
      <c r="M219" s="7" t="str">
        <f aca="false">IF(COUNTIF(Comparação!$H:$H,A219)&gt;0,"sim",IF(AND(G219="sim",H219=""),"FALTA (obrigatória)","não"))</f>
        <v>não</v>
      </c>
    </row>
    <row r="220" customFormat="false" ht="15" hidden="false" customHeight="false" outlineLevel="0" collapsed="false">
      <c r="A220" s="7" t="str">
        <f aca="false">B220&amp;"."&amp;E220</f>
        <v>campanha_participacoes.canal</v>
      </c>
      <c r="B220" s="7" t="s">
        <v>61</v>
      </c>
      <c r="C220" s="7" t="s">
        <v>31</v>
      </c>
      <c r="D220" s="7" t="n">
        <v>8</v>
      </c>
      <c r="E220" s="7" t="s">
        <v>350</v>
      </c>
      <c r="F220" s="7" t="s">
        <v>261</v>
      </c>
      <c r="G220" s="7" t="s">
        <v>267</v>
      </c>
      <c r="H220" s="7"/>
      <c r="I220" s="7"/>
      <c r="J220" s="7"/>
      <c r="K220" s="7"/>
      <c r="L220" s="7" t="str">
        <f aca="false">IFERROR(VLOOKUP(IF(ISNUMBER(SEARCH("(",F220)),LEFT(F220,SEARCH("(",F220)-1),F220),Tipos!$A:$B,2,FALSE()),"outro")</f>
        <v>texto</v>
      </c>
      <c r="M220" s="7" t="str">
        <f aca="false">IF(COUNTIF(Comparação!$H:$H,A220)&gt;0,"sim",IF(AND(G220="sim",H220=""),"FALTA (obrigatória)","não"))</f>
        <v>não</v>
      </c>
    </row>
    <row r="221" customFormat="false" ht="15" hidden="false" customHeight="false" outlineLevel="0" collapsed="false">
      <c r="A221" s="7" t="str">
        <f aca="false">B221&amp;"."&amp;E221</f>
        <v>campanha_participacoes.campanha_canal_id</v>
      </c>
      <c r="B221" s="7" t="s">
        <v>61</v>
      </c>
      <c r="C221" s="7" t="s">
        <v>31</v>
      </c>
      <c r="D221" s="7" t="n">
        <v>9</v>
      </c>
      <c r="E221" s="7" t="s">
        <v>304</v>
      </c>
      <c r="F221" s="7" t="s">
        <v>272</v>
      </c>
      <c r="G221" s="7" t="s">
        <v>267</v>
      </c>
      <c r="H221" s="7"/>
      <c r="I221" s="7"/>
      <c r="J221" s="7" t="s">
        <v>305</v>
      </c>
      <c r="K221" s="7"/>
      <c r="L221" s="7" t="str">
        <f aca="false">IFERROR(VLOOKUP(IF(ISNUMBER(SEARCH("(",F221)),LEFT(F221,SEARCH("(",F221)-1),F221),Tipos!$A:$B,2,FALSE()),"outro")</f>
        <v>uuid</v>
      </c>
      <c r="M221" s="7" t="str">
        <f aca="false">IF(COUNTIF(Comparação!$H:$H,A221)&gt;0,"sim",IF(AND(G221="sim",H221=""),"FALTA (obrigatória)","não"))</f>
        <v>não</v>
      </c>
    </row>
    <row r="222" customFormat="false" ht="15" hidden="false" customHeight="false" outlineLevel="0" collapsed="false">
      <c r="A222" s="7" t="str">
        <f aca="false">B222&amp;"."&amp;E222</f>
        <v>campanha_participacoes.temperatura</v>
      </c>
      <c r="B222" s="7" t="s">
        <v>61</v>
      </c>
      <c r="C222" s="7" t="s">
        <v>31</v>
      </c>
      <c r="D222" s="7" t="n">
        <v>10</v>
      </c>
      <c r="E222" s="7" t="s">
        <v>313</v>
      </c>
      <c r="F222" s="7" t="s">
        <v>261</v>
      </c>
      <c r="G222" s="7" t="s">
        <v>267</v>
      </c>
      <c r="H222" s="7"/>
      <c r="I222" s="7"/>
      <c r="J222" s="7"/>
      <c r="K222" s="7"/>
      <c r="L222" s="7" t="str">
        <f aca="false">IFERROR(VLOOKUP(IF(ISNUMBER(SEARCH("(",F222)),LEFT(F222,SEARCH("(",F222)-1),F222),Tipos!$A:$B,2,FALSE()),"outro")</f>
        <v>texto</v>
      </c>
      <c r="M222" s="7" t="str">
        <f aca="false">IF(COUNTIF(Comparação!$H:$H,A222)&gt;0,"sim",IF(AND(G222="sim",H222=""),"FALTA (obrigatória)","não"))</f>
        <v>não</v>
      </c>
    </row>
    <row r="223" customFormat="false" ht="15" hidden="false" customHeight="false" outlineLevel="0" collapsed="false">
      <c r="A223" s="7" t="str">
        <f aca="false">B223&amp;"."&amp;E223</f>
        <v>campanha_participacoes.utm_source</v>
      </c>
      <c r="B223" s="7" t="s">
        <v>61</v>
      </c>
      <c r="C223" s="7" t="s">
        <v>31</v>
      </c>
      <c r="D223" s="7" t="n">
        <v>11</v>
      </c>
      <c r="E223" s="7" t="s">
        <v>420</v>
      </c>
      <c r="F223" s="7" t="s">
        <v>261</v>
      </c>
      <c r="G223" s="7" t="s">
        <v>267</v>
      </c>
      <c r="H223" s="7"/>
      <c r="I223" s="7"/>
      <c r="J223" s="7"/>
      <c r="K223" s="7"/>
      <c r="L223" s="7" t="str">
        <f aca="false">IFERROR(VLOOKUP(IF(ISNUMBER(SEARCH("(",F223)),LEFT(F223,SEARCH("(",F223)-1),F223),Tipos!$A:$B,2,FALSE()),"outro")</f>
        <v>texto</v>
      </c>
      <c r="M223" s="7" t="str">
        <f aca="false">IF(COUNTIF(Comparação!$H:$H,A223)&gt;0,"sim",IF(AND(G223="sim",H223=""),"FALTA (obrigatória)","não"))</f>
        <v>não</v>
      </c>
    </row>
    <row r="224" customFormat="false" ht="15" hidden="false" customHeight="false" outlineLevel="0" collapsed="false">
      <c r="A224" s="7" t="str">
        <f aca="false">B224&amp;"."&amp;E224</f>
        <v>campanha_participacoes.utm_medium</v>
      </c>
      <c r="B224" s="7" t="s">
        <v>61</v>
      </c>
      <c r="C224" s="7" t="s">
        <v>31</v>
      </c>
      <c r="D224" s="7" t="n">
        <v>12</v>
      </c>
      <c r="E224" s="7" t="s">
        <v>421</v>
      </c>
      <c r="F224" s="7" t="s">
        <v>261</v>
      </c>
      <c r="G224" s="7" t="s">
        <v>267</v>
      </c>
      <c r="H224" s="7"/>
      <c r="I224" s="7"/>
      <c r="J224" s="7"/>
      <c r="K224" s="7"/>
      <c r="L224" s="7" t="str">
        <f aca="false">IFERROR(VLOOKUP(IF(ISNUMBER(SEARCH("(",F224)),LEFT(F224,SEARCH("(",F224)-1),F224),Tipos!$A:$B,2,FALSE()),"outro")</f>
        <v>texto</v>
      </c>
      <c r="M224" s="7" t="str">
        <f aca="false">IF(COUNTIF(Comparação!$H:$H,A224)&gt;0,"sim",IF(AND(G224="sim",H224=""),"FALTA (obrigatória)","não"))</f>
        <v>não</v>
      </c>
    </row>
    <row r="225" customFormat="false" ht="15" hidden="false" customHeight="false" outlineLevel="0" collapsed="false">
      <c r="A225" s="7" t="str">
        <f aca="false">B225&amp;"."&amp;E225</f>
        <v>campanha_participacoes.utm_campaign</v>
      </c>
      <c r="B225" s="7" t="s">
        <v>61</v>
      </c>
      <c r="C225" s="7" t="s">
        <v>31</v>
      </c>
      <c r="D225" s="7" t="n">
        <v>13</v>
      </c>
      <c r="E225" s="7" t="s">
        <v>352</v>
      </c>
      <c r="F225" s="7" t="s">
        <v>261</v>
      </c>
      <c r="G225" s="7" t="s">
        <v>267</v>
      </c>
      <c r="H225" s="7"/>
      <c r="I225" s="7"/>
      <c r="J225" s="7"/>
      <c r="K225" s="7"/>
      <c r="L225" s="7" t="str">
        <f aca="false">IFERROR(VLOOKUP(IF(ISNUMBER(SEARCH("(",F225)),LEFT(F225,SEARCH("(",F225)-1),F225),Tipos!$A:$B,2,FALSE()),"outro")</f>
        <v>texto</v>
      </c>
      <c r="M225" s="7" t="str">
        <f aca="false">IF(COUNTIF(Comparação!$H:$H,A225)&gt;0,"sim",IF(AND(G225="sim",H225=""),"FALTA (obrigatória)","não"))</f>
        <v>não</v>
      </c>
    </row>
    <row r="226" customFormat="false" ht="15" hidden="false" customHeight="false" outlineLevel="0" collapsed="false">
      <c r="A226" s="7" t="str">
        <f aca="false">B226&amp;"."&amp;E226</f>
        <v>campanha_participacoes.utm_content</v>
      </c>
      <c r="B226" s="7" t="s">
        <v>61</v>
      </c>
      <c r="C226" s="7" t="s">
        <v>31</v>
      </c>
      <c r="D226" s="7" t="n">
        <v>14</v>
      </c>
      <c r="E226" s="7" t="s">
        <v>306</v>
      </c>
      <c r="F226" s="7" t="s">
        <v>261</v>
      </c>
      <c r="G226" s="7" t="s">
        <v>267</v>
      </c>
      <c r="H226" s="7"/>
      <c r="I226" s="7"/>
      <c r="J226" s="7"/>
      <c r="K226" s="7"/>
      <c r="L226" s="7" t="str">
        <f aca="false">IFERROR(VLOOKUP(IF(ISNUMBER(SEARCH("(",F226)),LEFT(F226,SEARCH("(",F226)-1),F226),Tipos!$A:$B,2,FALSE()),"outro")</f>
        <v>texto</v>
      </c>
      <c r="M226" s="7" t="str">
        <f aca="false">IF(COUNTIF(Comparação!$H:$H,A226)&gt;0,"sim",IF(AND(G226="sim",H226=""),"FALTA (obrigatória)","não"))</f>
        <v>não</v>
      </c>
    </row>
    <row r="227" customFormat="false" ht="15" hidden="false" customHeight="false" outlineLevel="0" collapsed="false">
      <c r="A227" s="7" t="str">
        <f aca="false">B227&amp;"."&amp;E227</f>
        <v>campanha_participacoes.tentativas</v>
      </c>
      <c r="B227" s="7" t="s">
        <v>61</v>
      </c>
      <c r="C227" s="7" t="s">
        <v>31</v>
      </c>
      <c r="D227" s="7" t="n">
        <v>15</v>
      </c>
      <c r="E227" s="7" t="s">
        <v>467</v>
      </c>
      <c r="F227" s="7" t="s">
        <v>269</v>
      </c>
      <c r="G227" s="7" t="s">
        <v>262</v>
      </c>
      <c r="H227" s="7" t="s">
        <v>468</v>
      </c>
      <c r="I227" s="7"/>
      <c r="J227" s="7"/>
      <c r="K227" s="7"/>
      <c r="L227" s="7" t="str">
        <f aca="false">IFERROR(VLOOKUP(IF(ISNUMBER(SEARCH("(",F227)),LEFT(F227,SEARCH("(",F227)-1),F227),Tipos!$A:$B,2,FALSE()),"outro")</f>
        <v>inteiro</v>
      </c>
      <c r="M227" s="7" t="str">
        <f aca="false">IF(COUNTIF(Comparação!$H:$H,A227)&gt;0,"sim",IF(AND(G227="sim",H227=""),"FALTA (obrigatória)","não"))</f>
        <v>não</v>
      </c>
    </row>
    <row r="228" customFormat="false" ht="15" hidden="false" customHeight="false" outlineLevel="0" collapsed="false">
      <c r="A228" s="7" t="str">
        <f aca="false">B228&amp;"."&amp;E228</f>
        <v>campanha_participacoes.ultima_tentativa_em</v>
      </c>
      <c r="B228" s="7" t="s">
        <v>61</v>
      </c>
      <c r="C228" s="7" t="s">
        <v>31</v>
      </c>
      <c r="D228" s="7" t="n">
        <v>16</v>
      </c>
      <c r="E228" s="7" t="s">
        <v>469</v>
      </c>
      <c r="F228" s="7" t="s">
        <v>285</v>
      </c>
      <c r="G228" s="7" t="s">
        <v>267</v>
      </c>
      <c r="H228" s="7"/>
      <c r="I228" s="7"/>
      <c r="J228" s="7"/>
      <c r="K228" s="7"/>
      <c r="L228" s="7" t="str">
        <f aca="false">IFERROR(VLOOKUP(IF(ISNUMBER(SEARCH("(",F228)),LEFT(F228,SEARCH("(",F228)-1),F228),Tipos!$A:$B,2,FALSE()),"outro")</f>
        <v>data e hora</v>
      </c>
      <c r="M228" s="7" t="str">
        <f aca="false">IF(COUNTIF(Comparação!$H:$H,A228)&gt;0,"sim",IF(AND(G228="sim",H228=""),"FALTA (obrigatória)","não"))</f>
        <v>não</v>
      </c>
    </row>
    <row r="229" customFormat="false" ht="15" hidden="false" customHeight="false" outlineLevel="0" collapsed="false">
      <c r="A229" s="7" t="str">
        <f aca="false">B229&amp;"."&amp;E229</f>
        <v>campanhas.id</v>
      </c>
      <c r="B229" s="7" t="s">
        <v>63</v>
      </c>
      <c r="C229" s="7" t="s">
        <v>31</v>
      </c>
      <c r="D229" s="7" t="n">
        <v>1</v>
      </c>
      <c r="E229" s="7" t="s">
        <v>271</v>
      </c>
      <c r="F229" s="7" t="s">
        <v>272</v>
      </c>
      <c r="G229" s="7" t="s">
        <v>262</v>
      </c>
      <c r="H229" s="7" t="s">
        <v>273</v>
      </c>
      <c r="I229" s="7" t="s">
        <v>263</v>
      </c>
      <c r="J229" s="7"/>
      <c r="K229" s="7"/>
      <c r="L229" s="7" t="str">
        <f aca="false">IFERROR(VLOOKUP(IF(ISNUMBER(SEARCH("(",F229)),LEFT(F229,SEARCH("(",F229)-1),F229),Tipos!$A:$B,2,FALSE()),"outro")</f>
        <v>uuid</v>
      </c>
      <c r="M229" s="7" t="str">
        <f aca="false">IF(COUNTIF(Comparação!$H:$H,A229)&gt;0,"sim",IF(AND(G229="sim",H229=""),"FALTA (obrigatória)","não"))</f>
        <v>não</v>
      </c>
    </row>
    <row r="230" customFormat="false" ht="15" hidden="false" customHeight="false" outlineLevel="0" collapsed="false">
      <c r="A230" s="7" t="str">
        <f aca="false">B230&amp;"."&amp;E230</f>
        <v>campanhas.workspace_id</v>
      </c>
      <c r="B230" s="7" t="s">
        <v>63</v>
      </c>
      <c r="C230" s="7" t="s">
        <v>31</v>
      </c>
      <c r="D230" s="7" t="n">
        <v>2</v>
      </c>
      <c r="E230" s="7" t="s">
        <v>274</v>
      </c>
      <c r="F230" s="7" t="s">
        <v>272</v>
      </c>
      <c r="G230" s="7" t="s">
        <v>262</v>
      </c>
      <c r="H230" s="7"/>
      <c r="I230" s="7"/>
      <c r="J230" s="7" t="s">
        <v>275</v>
      </c>
      <c r="K230" s="7"/>
      <c r="L230" s="7" t="str">
        <f aca="false">IFERROR(VLOOKUP(IF(ISNUMBER(SEARCH("(",F230)),LEFT(F230,SEARCH("(",F230)-1),F230),Tipos!$A:$B,2,FALSE()),"outro")</f>
        <v>uuid</v>
      </c>
      <c r="M230" s="7" t="str">
        <f aca="false">IF(COUNTIF(Comparação!$H:$H,A230)&gt;0,"sim",IF(AND(G230="sim",H230=""),"FALTA (obrigatória)","não"))</f>
        <v>FALTA (obrigatória)</v>
      </c>
    </row>
    <row r="231" customFormat="false" ht="15" hidden="false" customHeight="false" outlineLevel="0" collapsed="false">
      <c r="A231" s="7" t="str">
        <f aca="false">B231&amp;"."&amp;E231</f>
        <v>campanhas.nome</v>
      </c>
      <c r="B231" s="7" t="s">
        <v>63</v>
      </c>
      <c r="C231" s="7" t="s">
        <v>31</v>
      </c>
      <c r="D231" s="7" t="n">
        <v>3</v>
      </c>
      <c r="E231" s="7" t="s">
        <v>265</v>
      </c>
      <c r="F231" s="7" t="s">
        <v>261</v>
      </c>
      <c r="G231" s="7" t="s">
        <v>262</v>
      </c>
      <c r="H231" s="7"/>
      <c r="I231" s="7"/>
      <c r="J231" s="7"/>
      <c r="K231" s="7"/>
      <c r="L231" s="7" t="str">
        <f aca="false">IFERROR(VLOOKUP(IF(ISNUMBER(SEARCH("(",F231)),LEFT(F231,SEARCH("(",F231)-1),F231),Tipos!$A:$B,2,FALSE()),"outro")</f>
        <v>texto</v>
      </c>
      <c r="M231" s="7" t="str">
        <f aca="false">IF(COUNTIF(Comparação!$H:$H,A231)&gt;0,"sim",IF(AND(G231="sim",H231=""),"FALTA (obrigatória)","não"))</f>
        <v>FALTA (obrigatória)</v>
      </c>
    </row>
    <row r="232" customFormat="false" ht="15" hidden="false" customHeight="false" outlineLevel="0" collapsed="false">
      <c r="A232" s="7" t="str">
        <f aca="false">B232&amp;"."&amp;E232</f>
        <v>campanhas.status</v>
      </c>
      <c r="B232" s="7" t="s">
        <v>63</v>
      </c>
      <c r="C232" s="7" t="s">
        <v>31</v>
      </c>
      <c r="D232" s="7" t="n">
        <v>4</v>
      </c>
      <c r="E232" s="7" t="s">
        <v>293</v>
      </c>
      <c r="F232" s="7" t="s">
        <v>261</v>
      </c>
      <c r="G232" s="7" t="s">
        <v>262</v>
      </c>
      <c r="H232" s="7" t="s">
        <v>470</v>
      </c>
      <c r="I232" s="7"/>
      <c r="J232" s="7"/>
      <c r="K232" s="7" t="s">
        <v>471</v>
      </c>
      <c r="L232" s="7" t="str">
        <f aca="false">IFERROR(VLOOKUP(IF(ISNUMBER(SEARCH("(",F232)),LEFT(F232,SEARCH("(",F232)-1),F232),Tipos!$A:$B,2,FALSE()),"outro")</f>
        <v>texto</v>
      </c>
      <c r="M232" s="7" t="str">
        <f aca="false">IF(COUNTIF(Comparação!$H:$H,A232)&gt;0,"sim",IF(AND(G232="sim",H232=""),"FALTA (obrigatória)","não"))</f>
        <v>não</v>
      </c>
    </row>
    <row r="233" customFormat="false" ht="15" hidden="false" customHeight="false" outlineLevel="0" collapsed="false">
      <c r="A233" s="7" t="str">
        <f aca="false">B233&amp;"."&amp;E233</f>
        <v>campanhas.data_inicio</v>
      </c>
      <c r="B233" s="7" t="s">
        <v>63</v>
      </c>
      <c r="C233" s="7" t="s">
        <v>31</v>
      </c>
      <c r="D233" s="7" t="n">
        <v>5</v>
      </c>
      <c r="E233" s="7" t="s">
        <v>472</v>
      </c>
      <c r="F233" s="7" t="s">
        <v>379</v>
      </c>
      <c r="G233" s="7" t="s">
        <v>267</v>
      </c>
      <c r="H233" s="7"/>
      <c r="I233" s="7"/>
      <c r="J233" s="7"/>
      <c r="K233" s="7"/>
      <c r="L233" s="7" t="str">
        <f aca="false">IFERROR(VLOOKUP(IF(ISNUMBER(SEARCH("(",F233)),LEFT(F233,SEARCH("(",F233)-1),F233),Tipos!$A:$B,2,FALSE()),"outro")</f>
        <v>data</v>
      </c>
      <c r="M233" s="7" t="str">
        <f aca="false">IF(COUNTIF(Comparação!$H:$H,A233)&gt;0,"sim",IF(AND(G233="sim",H233=""),"FALTA (obrigatória)","não"))</f>
        <v>não</v>
      </c>
    </row>
    <row r="234" customFormat="false" ht="15" hidden="false" customHeight="false" outlineLevel="0" collapsed="false">
      <c r="A234" s="7" t="str">
        <f aca="false">B234&amp;"."&amp;E234</f>
        <v>campanhas.data_fim</v>
      </c>
      <c r="B234" s="7" t="s">
        <v>63</v>
      </c>
      <c r="C234" s="7" t="s">
        <v>31</v>
      </c>
      <c r="D234" s="7" t="n">
        <v>6</v>
      </c>
      <c r="E234" s="7" t="s">
        <v>438</v>
      </c>
      <c r="F234" s="7" t="s">
        <v>379</v>
      </c>
      <c r="G234" s="7" t="s">
        <v>267</v>
      </c>
      <c r="H234" s="7"/>
      <c r="I234" s="7"/>
      <c r="J234" s="7"/>
      <c r="K234" s="7"/>
      <c r="L234" s="7" t="str">
        <f aca="false">IFERROR(VLOOKUP(IF(ISNUMBER(SEARCH("(",F234)),LEFT(F234,SEARCH("(",F234)-1),F234),Tipos!$A:$B,2,FALSE()),"outro")</f>
        <v>data</v>
      </c>
      <c r="M234" s="7" t="str">
        <f aca="false">IF(COUNTIF(Comparação!$H:$H,A234)&gt;0,"sim",IF(AND(G234="sim",H234=""),"FALTA (obrigatória)","não"))</f>
        <v>não</v>
      </c>
    </row>
    <row r="235" customFormat="false" ht="15" hidden="false" customHeight="false" outlineLevel="0" collapsed="false">
      <c r="A235" s="7" t="str">
        <f aca="false">B235&amp;"."&amp;E235</f>
        <v>campanhas.produto_id</v>
      </c>
      <c r="B235" s="7" t="s">
        <v>63</v>
      </c>
      <c r="C235" s="7" t="s">
        <v>31</v>
      </c>
      <c r="D235" s="7" t="n">
        <v>7</v>
      </c>
      <c r="E235" s="7" t="s">
        <v>287</v>
      </c>
      <c r="F235" s="7" t="s">
        <v>272</v>
      </c>
      <c r="G235" s="7" t="s">
        <v>267</v>
      </c>
      <c r="H235" s="7"/>
      <c r="I235" s="7"/>
      <c r="J235" s="7" t="s">
        <v>288</v>
      </c>
      <c r="K235" s="7"/>
      <c r="L235" s="7" t="str">
        <f aca="false">IFERROR(VLOOKUP(IF(ISNUMBER(SEARCH("(",F235)),LEFT(F235,SEARCH("(",F235)-1),F235),Tipos!$A:$B,2,FALSE()),"outro")</f>
        <v>uuid</v>
      </c>
      <c r="M235" s="7" t="str">
        <f aca="false">IF(COUNTIF(Comparação!$H:$H,A235)&gt;0,"sim",IF(AND(G235="sim",H235=""),"FALTA (obrigatória)","não"))</f>
        <v>não</v>
      </c>
    </row>
    <row r="236" customFormat="false" ht="15" hidden="false" customHeight="false" outlineLevel="0" collapsed="false">
      <c r="A236" s="7" t="str">
        <f aca="false">B236&amp;"."&amp;E236</f>
        <v>campanhas.orcamento_total</v>
      </c>
      <c r="B236" s="7" t="s">
        <v>63</v>
      </c>
      <c r="C236" s="7" t="s">
        <v>31</v>
      </c>
      <c r="D236" s="7" t="n">
        <v>8</v>
      </c>
      <c r="E236" s="7" t="s">
        <v>473</v>
      </c>
      <c r="F236" s="7" t="s">
        <v>354</v>
      </c>
      <c r="G236" s="7" t="s">
        <v>267</v>
      </c>
      <c r="H236" s="7"/>
      <c r="I236" s="7"/>
      <c r="J236" s="7"/>
      <c r="K236" s="7"/>
      <c r="L236" s="7" t="str">
        <f aca="false">IFERROR(VLOOKUP(IF(ISNUMBER(SEARCH("(",F236)),LEFT(F236,SEARCH("(",F236)-1),F236),Tipos!$A:$B,2,FALSE()),"outro")</f>
        <v>decimal</v>
      </c>
      <c r="M236" s="7" t="str">
        <f aca="false">IF(COUNTIF(Comparação!$H:$H,A236)&gt;0,"sim",IF(AND(G236="sim",H236=""),"FALTA (obrigatória)","não"))</f>
        <v>não</v>
      </c>
    </row>
    <row r="237" customFormat="false" ht="15" hidden="false" customHeight="false" outlineLevel="0" collapsed="false">
      <c r="A237" s="7" t="str">
        <f aca="false">B237&amp;"."&amp;E237</f>
        <v>campanhas.meta_leads</v>
      </c>
      <c r="B237" s="7" t="s">
        <v>63</v>
      </c>
      <c r="C237" s="7" t="s">
        <v>31</v>
      </c>
      <c r="D237" s="7" t="n">
        <v>9</v>
      </c>
      <c r="E237" s="7" t="s">
        <v>357</v>
      </c>
      <c r="F237" s="7" t="s">
        <v>269</v>
      </c>
      <c r="G237" s="7" t="s">
        <v>267</v>
      </c>
      <c r="H237" s="7"/>
      <c r="I237" s="7"/>
      <c r="J237" s="7"/>
      <c r="K237" s="7"/>
      <c r="L237" s="7" t="str">
        <f aca="false">IFERROR(VLOOKUP(IF(ISNUMBER(SEARCH("(",F237)),LEFT(F237,SEARCH("(",F237)-1),F237),Tipos!$A:$B,2,FALSE()),"outro")</f>
        <v>inteiro</v>
      </c>
      <c r="M237" s="7" t="str">
        <f aca="false">IF(COUNTIF(Comparação!$H:$H,A237)&gt;0,"sim",IF(AND(G237="sim",H237=""),"FALTA (obrigatória)","não"))</f>
        <v>não</v>
      </c>
    </row>
    <row r="238" customFormat="false" ht="15" hidden="false" customHeight="false" outlineLevel="0" collapsed="false">
      <c r="A238" s="7" t="str">
        <f aca="false">B238&amp;"."&amp;E238</f>
        <v>campanhas.meta_vendas</v>
      </c>
      <c r="B238" s="7" t="s">
        <v>63</v>
      </c>
      <c r="C238" s="7" t="s">
        <v>31</v>
      </c>
      <c r="D238" s="7" t="n">
        <v>10</v>
      </c>
      <c r="E238" s="7" t="s">
        <v>358</v>
      </c>
      <c r="F238" s="7" t="s">
        <v>269</v>
      </c>
      <c r="G238" s="7" t="s">
        <v>267</v>
      </c>
      <c r="H238" s="7"/>
      <c r="I238" s="7"/>
      <c r="J238" s="7"/>
      <c r="K238" s="7"/>
      <c r="L238" s="7" t="str">
        <f aca="false">IFERROR(VLOOKUP(IF(ISNUMBER(SEARCH("(",F238)),LEFT(F238,SEARCH("(",F238)-1),F238),Tipos!$A:$B,2,FALSE()),"outro")</f>
        <v>inteiro</v>
      </c>
      <c r="M238" s="7" t="str">
        <f aca="false">IF(COUNTIF(Comparação!$H:$H,A238)&gt;0,"sim",IF(AND(G238="sim",H238=""),"FALTA (obrigatória)","não"))</f>
        <v>não</v>
      </c>
    </row>
    <row r="239" customFormat="false" ht="15" hidden="false" customHeight="false" outlineLevel="0" collapsed="false">
      <c r="A239" s="7" t="str">
        <f aca="false">B239&amp;"."&amp;E239</f>
        <v>campanhas.meta_taxa_lead_venda</v>
      </c>
      <c r="B239" s="7" t="s">
        <v>63</v>
      </c>
      <c r="C239" s="7" t="s">
        <v>31</v>
      </c>
      <c r="D239" s="7" t="n">
        <v>11</v>
      </c>
      <c r="E239" s="7" t="s">
        <v>474</v>
      </c>
      <c r="F239" s="7" t="s">
        <v>356</v>
      </c>
      <c r="G239" s="7" t="s">
        <v>267</v>
      </c>
      <c r="H239" s="7"/>
      <c r="I239" s="7"/>
      <c r="J239" s="7"/>
      <c r="K239" s="7"/>
      <c r="L239" s="7" t="str">
        <f aca="false">IFERROR(VLOOKUP(IF(ISNUMBER(SEARCH("(",F239)),LEFT(F239,SEARCH("(",F239)-1),F239),Tipos!$A:$B,2,FALSE()),"outro")</f>
        <v>decimal</v>
      </c>
      <c r="M239" s="7" t="str">
        <f aca="false">IF(COUNTIF(Comparação!$H:$H,A239)&gt;0,"sim",IF(AND(G239="sim",H239=""),"FALTA (obrigatória)","não"))</f>
        <v>não</v>
      </c>
    </row>
    <row r="240" customFormat="false" ht="15" hidden="false" customHeight="false" outlineLevel="0" collapsed="false">
      <c r="A240" s="7" t="str">
        <f aca="false">B240&amp;"."&amp;E240</f>
        <v>campanhas.meta_receita</v>
      </c>
      <c r="B240" s="7" t="s">
        <v>63</v>
      </c>
      <c r="C240" s="7" t="s">
        <v>31</v>
      </c>
      <c r="D240" s="7" t="n">
        <v>12</v>
      </c>
      <c r="E240" s="7" t="s">
        <v>475</v>
      </c>
      <c r="F240" s="7" t="s">
        <v>354</v>
      </c>
      <c r="G240" s="7" t="s">
        <v>267</v>
      </c>
      <c r="H240" s="7"/>
      <c r="I240" s="7"/>
      <c r="J240" s="7"/>
      <c r="K240" s="7"/>
      <c r="L240" s="7" t="str">
        <f aca="false">IFERROR(VLOOKUP(IF(ISNUMBER(SEARCH("(",F240)),LEFT(F240,SEARCH("(",F240)-1),F240),Tipos!$A:$B,2,FALSE()),"outro")</f>
        <v>decimal</v>
      </c>
      <c r="M240" s="7" t="str">
        <f aca="false">IF(COUNTIF(Comparação!$H:$H,A240)&gt;0,"sim",IF(AND(G240="sim",H240=""),"FALTA (obrigatória)","não"))</f>
        <v>não</v>
      </c>
    </row>
    <row r="241" customFormat="false" ht="15" hidden="false" customHeight="false" outlineLevel="0" collapsed="false">
      <c r="A241" s="7" t="str">
        <f aca="false">B241&amp;"."&amp;E241</f>
        <v>campanhas.meta_cac</v>
      </c>
      <c r="B241" s="7" t="s">
        <v>63</v>
      </c>
      <c r="C241" s="7" t="s">
        <v>31</v>
      </c>
      <c r="D241" s="7" t="n">
        <v>13</v>
      </c>
      <c r="E241" s="7" t="s">
        <v>359</v>
      </c>
      <c r="F241" s="7" t="s">
        <v>360</v>
      </c>
      <c r="G241" s="7" t="s">
        <v>267</v>
      </c>
      <c r="H241" s="7"/>
      <c r="I241" s="7"/>
      <c r="J241" s="7"/>
      <c r="K241" s="7"/>
      <c r="L241" s="7" t="str">
        <f aca="false">IFERROR(VLOOKUP(IF(ISNUMBER(SEARCH("(",F241)),LEFT(F241,SEARCH("(",F241)-1),F241),Tipos!$A:$B,2,FALSE()),"outro")</f>
        <v>decimal</v>
      </c>
      <c r="M241" s="7" t="str">
        <f aca="false">IF(COUNTIF(Comparação!$H:$H,A241)&gt;0,"sim",IF(AND(G241="sim",H241=""),"FALTA (obrigatória)","não"))</f>
        <v>não</v>
      </c>
    </row>
    <row r="242" customFormat="false" ht="15" hidden="false" customHeight="false" outlineLevel="0" collapsed="false">
      <c r="A242" s="7" t="str">
        <f aca="false">B242&amp;"."&amp;E242</f>
        <v>campanhas.observacoes</v>
      </c>
      <c r="B242" s="7" t="s">
        <v>63</v>
      </c>
      <c r="C242" s="7" t="s">
        <v>31</v>
      </c>
      <c r="D242" s="7" t="n">
        <v>14</v>
      </c>
      <c r="E242" s="7" t="s">
        <v>368</v>
      </c>
      <c r="F242" s="7" t="s">
        <v>261</v>
      </c>
      <c r="G242" s="7" t="s">
        <v>267</v>
      </c>
      <c r="H242" s="7"/>
      <c r="I242" s="7"/>
      <c r="J242" s="7"/>
      <c r="K242" s="7"/>
      <c r="L242" s="7" t="str">
        <f aca="false">IFERROR(VLOOKUP(IF(ISNUMBER(SEARCH("(",F242)),LEFT(F242,SEARCH("(",F242)-1),F242),Tipos!$A:$B,2,FALSE()),"outro")</f>
        <v>texto</v>
      </c>
      <c r="M242" s="7" t="str">
        <f aca="false">IF(COUNTIF(Comparação!$H:$H,A242)&gt;0,"sim",IF(AND(G242="sim",H242=""),"FALTA (obrigatória)","não"))</f>
        <v>não</v>
      </c>
    </row>
    <row r="243" customFormat="false" ht="15" hidden="false" customHeight="false" outlineLevel="0" collapsed="false">
      <c r="A243" s="7" t="str">
        <f aca="false">B243&amp;"."&amp;E243</f>
        <v>campanhas.funil_id</v>
      </c>
      <c r="B243" s="7" t="s">
        <v>63</v>
      </c>
      <c r="C243" s="7" t="s">
        <v>31</v>
      </c>
      <c r="D243" s="7" t="n">
        <v>15</v>
      </c>
      <c r="E243" s="7" t="s">
        <v>364</v>
      </c>
      <c r="F243" s="7" t="s">
        <v>272</v>
      </c>
      <c r="G243" s="7" t="s">
        <v>267</v>
      </c>
      <c r="H243" s="7"/>
      <c r="I243" s="7"/>
      <c r="J243" s="7" t="s">
        <v>365</v>
      </c>
      <c r="K243" s="7"/>
      <c r="L243" s="7" t="str">
        <f aca="false">IFERROR(VLOOKUP(IF(ISNUMBER(SEARCH("(",F243)),LEFT(F243,SEARCH("(",F243)-1),F243),Tipos!$A:$B,2,FALSE()),"outro")</f>
        <v>uuid</v>
      </c>
      <c r="M243" s="7" t="str">
        <f aca="false">IF(COUNTIF(Comparação!$H:$H,A243)&gt;0,"sim",IF(AND(G243="sim",H243=""),"FALTA (obrigatória)","não"))</f>
        <v>não</v>
      </c>
    </row>
    <row r="244" customFormat="false" ht="15" hidden="false" customHeight="false" outlineLevel="0" collapsed="false">
      <c r="A244" s="7" t="str">
        <f aca="false">B244&amp;"."&amp;E244</f>
        <v>campanhas.modelo</v>
      </c>
      <c r="B244" s="7" t="s">
        <v>63</v>
      </c>
      <c r="C244" s="7" t="s">
        <v>31</v>
      </c>
      <c r="D244" s="7" t="n">
        <v>16</v>
      </c>
      <c r="E244" s="7" t="s">
        <v>476</v>
      </c>
      <c r="F244" s="7" t="s">
        <v>261</v>
      </c>
      <c r="G244" s="7" t="s">
        <v>262</v>
      </c>
      <c r="H244" s="7" t="s">
        <v>477</v>
      </c>
      <c r="I244" s="7"/>
      <c r="J244" s="7"/>
      <c r="K244" s="7" t="s">
        <v>478</v>
      </c>
      <c r="L244" s="7" t="str">
        <f aca="false">IFERROR(VLOOKUP(IF(ISNUMBER(SEARCH("(",F244)),LEFT(F244,SEARCH("(",F244)-1),F244),Tipos!$A:$B,2,FALSE()),"outro")</f>
        <v>texto</v>
      </c>
      <c r="M244" s="7" t="str">
        <f aca="false">IF(COUNTIF(Comparação!$H:$H,A244)&gt;0,"sim",IF(AND(G244="sim",H244=""),"FALTA (obrigatória)","não"))</f>
        <v>não</v>
      </c>
    </row>
    <row r="245" customFormat="false" ht="15" hidden="false" customHeight="false" outlineLevel="0" collapsed="false">
      <c r="A245" s="7" t="str">
        <f aca="false">B245&amp;"."&amp;E245</f>
        <v>campanhas.data_carrinho_abre</v>
      </c>
      <c r="B245" s="7" t="s">
        <v>63</v>
      </c>
      <c r="C245" s="7" t="s">
        <v>31</v>
      </c>
      <c r="D245" s="7" t="n">
        <v>17</v>
      </c>
      <c r="E245" s="7" t="s">
        <v>479</v>
      </c>
      <c r="F245" s="7" t="s">
        <v>379</v>
      </c>
      <c r="G245" s="7" t="s">
        <v>267</v>
      </c>
      <c r="H245" s="7"/>
      <c r="I245" s="7"/>
      <c r="J245" s="7"/>
      <c r="K245" s="7"/>
      <c r="L245" s="7" t="str">
        <f aca="false">IFERROR(VLOOKUP(IF(ISNUMBER(SEARCH("(",F245)),LEFT(F245,SEARCH("(",F245)-1),F245),Tipos!$A:$B,2,FALSE()),"outro")</f>
        <v>data</v>
      </c>
      <c r="M245" s="7" t="str">
        <f aca="false">IF(COUNTIF(Comparação!$H:$H,A245)&gt;0,"sim",IF(AND(G245="sim",H245=""),"FALTA (obrigatória)","não"))</f>
        <v>não</v>
      </c>
    </row>
    <row r="246" customFormat="false" ht="15" hidden="false" customHeight="false" outlineLevel="0" collapsed="false">
      <c r="A246" s="7" t="str">
        <f aca="false">B246&amp;"."&amp;E246</f>
        <v>campanhas.data_carrinho_fecha</v>
      </c>
      <c r="B246" s="7" t="s">
        <v>63</v>
      </c>
      <c r="C246" s="7" t="s">
        <v>31</v>
      </c>
      <c r="D246" s="7" t="n">
        <v>18</v>
      </c>
      <c r="E246" s="7" t="s">
        <v>480</v>
      </c>
      <c r="F246" s="7" t="s">
        <v>379</v>
      </c>
      <c r="G246" s="7" t="s">
        <v>267</v>
      </c>
      <c r="H246" s="7"/>
      <c r="I246" s="7"/>
      <c r="J246" s="7"/>
      <c r="K246" s="7"/>
      <c r="L246" s="7" t="str">
        <f aca="false">IFERROR(VLOOKUP(IF(ISNUMBER(SEARCH("(",F246)),LEFT(F246,SEARCH("(",F246)-1),F246),Tipos!$A:$B,2,FALSE()),"outro")</f>
        <v>data</v>
      </c>
      <c r="M246" s="7" t="str">
        <f aca="false">IF(COUNTIF(Comparação!$H:$H,A246)&gt;0,"sim",IF(AND(G246="sim",H246=""),"FALTA (obrigatória)","não"))</f>
        <v>não</v>
      </c>
    </row>
    <row r="247" customFormat="false" ht="15" hidden="false" customHeight="false" outlineLevel="0" collapsed="false">
      <c r="A247" s="7" t="str">
        <f aca="false">B247&amp;"."&amp;E247</f>
        <v>campanhas.meta_id</v>
      </c>
      <c r="B247" s="7" t="s">
        <v>63</v>
      </c>
      <c r="C247" s="7" t="s">
        <v>31</v>
      </c>
      <c r="D247" s="7" t="n">
        <v>19</v>
      </c>
      <c r="E247" s="7" t="s">
        <v>481</v>
      </c>
      <c r="F247" s="7" t="s">
        <v>272</v>
      </c>
      <c r="G247" s="7" t="s">
        <v>267</v>
      </c>
      <c r="H247" s="7"/>
      <c r="I247" s="7"/>
      <c r="J247" s="7" t="s">
        <v>482</v>
      </c>
      <c r="K247" s="7"/>
      <c r="L247" s="7" t="str">
        <f aca="false">IFERROR(VLOOKUP(IF(ISNUMBER(SEARCH("(",F247)),LEFT(F247,SEARCH("(",F247)-1),F247),Tipos!$A:$B,2,FALSE()),"outro")</f>
        <v>uuid</v>
      </c>
      <c r="M247" s="7" t="str">
        <f aca="false">IF(COUNTIF(Comparação!$H:$H,A247)&gt;0,"sim",IF(AND(G247="sim",H247=""),"FALTA (obrigatória)","não"))</f>
        <v>não</v>
      </c>
    </row>
    <row r="248" customFormat="false" ht="15" hidden="false" customHeight="false" outlineLevel="0" collapsed="false">
      <c r="A248" s="7" t="str">
        <f aca="false">B248&amp;"."&amp;E248</f>
        <v>campanhas.meta_leads_mes</v>
      </c>
      <c r="B248" s="7" t="s">
        <v>63</v>
      </c>
      <c r="C248" s="7" t="s">
        <v>31</v>
      </c>
      <c r="D248" s="7" t="n">
        <v>20</v>
      </c>
      <c r="E248" s="7" t="s">
        <v>483</v>
      </c>
      <c r="F248" s="7" t="s">
        <v>269</v>
      </c>
      <c r="G248" s="7" t="s">
        <v>267</v>
      </c>
      <c r="H248" s="7"/>
      <c r="I248" s="7"/>
      <c r="J248" s="7"/>
      <c r="K248" s="7" t="s">
        <v>484</v>
      </c>
      <c r="L248" s="7" t="str">
        <f aca="false">IFERROR(VLOOKUP(IF(ISNUMBER(SEARCH("(",F248)),LEFT(F248,SEARCH("(",F248)-1),F248),Tipos!$A:$B,2,FALSE()),"outro")</f>
        <v>inteiro</v>
      </c>
      <c r="M248" s="7" t="str">
        <f aca="false">IF(COUNTIF(Comparação!$H:$H,A248)&gt;0,"sim",IF(AND(G248="sim",H248=""),"FALTA (obrigatória)","não"))</f>
        <v>não</v>
      </c>
    </row>
    <row r="249" customFormat="false" ht="15" hidden="false" customHeight="false" outlineLevel="0" collapsed="false">
      <c r="A249" s="7" t="str">
        <f aca="false">B249&amp;"."&amp;E249</f>
        <v>campanhas.extras</v>
      </c>
      <c r="B249" s="7" t="s">
        <v>63</v>
      </c>
      <c r="C249" s="7" t="s">
        <v>31</v>
      </c>
      <c r="D249" s="7" t="n">
        <v>21</v>
      </c>
      <c r="E249" s="7" t="s">
        <v>485</v>
      </c>
      <c r="F249" s="7" t="s">
        <v>324</v>
      </c>
      <c r="G249" s="7" t="s">
        <v>262</v>
      </c>
      <c r="H249" s="7" t="s">
        <v>347</v>
      </c>
      <c r="I249" s="7"/>
      <c r="J249" s="7"/>
      <c r="K249" s="7" t="s">
        <v>486</v>
      </c>
      <c r="L249" s="7" t="str">
        <f aca="false">IFERROR(VLOOKUP(IF(ISNUMBER(SEARCH("(",F249)),LEFT(F249,SEARCH("(",F249)-1),F249),Tipos!$A:$B,2,FALSE()),"outro")</f>
        <v>json</v>
      </c>
      <c r="M249" s="7" t="str">
        <f aca="false">IF(COUNTIF(Comparação!$H:$H,A249)&gt;0,"sim",IF(AND(G249="sim",H249=""),"FALTA (obrigatória)","não"))</f>
        <v>não</v>
      </c>
    </row>
    <row r="250" customFormat="false" ht="15" hidden="false" customHeight="false" outlineLevel="0" collapsed="false">
      <c r="A250" s="7" t="str">
        <f aca="false">B250&amp;"."&amp;E250</f>
        <v>campanhas.meta_cpl</v>
      </c>
      <c r="B250" s="7" t="s">
        <v>63</v>
      </c>
      <c r="C250" s="7" t="s">
        <v>31</v>
      </c>
      <c r="D250" s="7" t="n">
        <v>22</v>
      </c>
      <c r="E250" s="7" t="s">
        <v>361</v>
      </c>
      <c r="F250" s="7" t="s">
        <v>360</v>
      </c>
      <c r="G250" s="7" t="s">
        <v>267</v>
      </c>
      <c r="H250" s="7"/>
      <c r="I250" s="7"/>
      <c r="J250" s="7"/>
      <c r="K250" s="7" t="s">
        <v>362</v>
      </c>
      <c r="L250" s="7" t="str">
        <f aca="false">IFERROR(VLOOKUP(IF(ISNUMBER(SEARCH("(",F250)),LEFT(F250,SEARCH("(",F250)-1),F250),Tipos!$A:$B,2,FALSE()),"outro")</f>
        <v>decimal</v>
      </c>
      <c r="M250" s="7" t="str">
        <f aca="false">IF(COUNTIF(Comparação!$H:$H,A250)&gt;0,"sim",IF(AND(G250="sim",H250=""),"FALTA (obrigatória)","não"))</f>
        <v>não</v>
      </c>
    </row>
    <row r="251" customFormat="false" ht="15" hidden="false" customHeight="false" outlineLevel="0" collapsed="false">
      <c r="A251" s="7" t="str">
        <f aca="false">B251&amp;"."&amp;E251</f>
        <v>campanhas.fases</v>
      </c>
      <c r="B251" s="7" t="s">
        <v>63</v>
      </c>
      <c r="C251" s="7" t="s">
        <v>31</v>
      </c>
      <c r="D251" s="7" t="n">
        <v>23</v>
      </c>
      <c r="E251" s="7" t="s">
        <v>487</v>
      </c>
      <c r="F251" s="7" t="s">
        <v>324</v>
      </c>
      <c r="G251" s="7" t="s">
        <v>262</v>
      </c>
      <c r="H251" s="7" t="s">
        <v>347</v>
      </c>
      <c r="I251" s="7"/>
      <c r="J251" s="7"/>
      <c r="K251" s="7" t="s">
        <v>488</v>
      </c>
      <c r="L251" s="7" t="str">
        <f aca="false">IFERROR(VLOOKUP(IF(ISNUMBER(SEARCH("(",F251)),LEFT(F251,SEARCH("(",F251)-1),F251),Tipos!$A:$B,2,FALSE()),"outro")</f>
        <v>json</v>
      </c>
      <c r="M251" s="7" t="str">
        <f aca="false">IF(COUNTIF(Comparação!$H:$H,A251)&gt;0,"sim",IF(AND(G251="sim",H251=""),"FALTA (obrigatória)","não"))</f>
        <v>não</v>
      </c>
    </row>
    <row r="252" customFormat="false" ht="15" hidden="false" customHeight="false" outlineLevel="0" collapsed="false">
      <c r="A252" s="7" t="str">
        <f aca="false">B252&amp;"."&amp;E252</f>
        <v>campanhas.projeto_auto</v>
      </c>
      <c r="B252" s="7" t="s">
        <v>63</v>
      </c>
      <c r="C252" s="7" t="s">
        <v>31</v>
      </c>
      <c r="D252" s="7" t="n">
        <v>24</v>
      </c>
      <c r="E252" s="7" t="s">
        <v>489</v>
      </c>
      <c r="F252" s="7" t="s">
        <v>310</v>
      </c>
      <c r="G252" s="7" t="s">
        <v>262</v>
      </c>
      <c r="H252" s="7" t="s">
        <v>311</v>
      </c>
      <c r="I252" s="7"/>
      <c r="J252" s="7"/>
      <c r="K252" s="7"/>
      <c r="L252" s="7" t="str">
        <f aca="false">IFERROR(VLOOKUP(IF(ISNUMBER(SEARCH("(",F252)),LEFT(F252,SEARCH("(",F252)-1),F252),Tipos!$A:$B,2,FALSE()),"outro")</f>
        <v>booleano</v>
      </c>
      <c r="M252" s="7" t="str">
        <f aca="false">IF(COUNTIF(Comparação!$H:$H,A252)&gt;0,"sim",IF(AND(G252="sim",H252=""),"FALTA (obrigatória)","não"))</f>
        <v>não</v>
      </c>
    </row>
    <row r="253" customFormat="false" ht="15" hidden="false" customHeight="false" outlineLevel="0" collapsed="false">
      <c r="A253" s="7" t="str">
        <f aca="false">B253&amp;"."&amp;E253</f>
        <v>campanhas.projeto_modelo_id</v>
      </c>
      <c r="B253" s="7" t="s">
        <v>63</v>
      </c>
      <c r="C253" s="7" t="s">
        <v>31</v>
      </c>
      <c r="D253" s="7" t="n">
        <v>25</v>
      </c>
      <c r="E253" s="7" t="s">
        <v>490</v>
      </c>
      <c r="F253" s="7" t="s">
        <v>272</v>
      </c>
      <c r="G253" s="7" t="s">
        <v>267</v>
      </c>
      <c r="H253" s="7"/>
      <c r="I253" s="7"/>
      <c r="J253" s="7" t="s">
        <v>491</v>
      </c>
      <c r="K253" s="7"/>
      <c r="L253" s="7" t="str">
        <f aca="false">IFERROR(VLOOKUP(IF(ISNUMBER(SEARCH("(",F253)),LEFT(F253,SEARCH("(",F253)-1),F253),Tipos!$A:$B,2,FALSE()),"outro")</f>
        <v>uuid</v>
      </c>
      <c r="M253" s="7" t="str">
        <f aca="false">IF(COUNTIF(Comparação!$H:$H,A253)&gt;0,"sim",IF(AND(G253="sim",H253=""),"FALTA (obrigatória)","não"))</f>
        <v>não</v>
      </c>
    </row>
    <row r="254" customFormat="false" ht="15" hidden="false" customHeight="false" outlineLevel="0" collapsed="false">
      <c r="A254" s="7" t="str">
        <f aca="false">B254&amp;"."&amp;E254</f>
        <v>campanhas.tipo_midia</v>
      </c>
      <c r="B254" s="7" t="s">
        <v>63</v>
      </c>
      <c r="C254" s="7" t="s">
        <v>31</v>
      </c>
      <c r="D254" s="7" t="n">
        <v>26</v>
      </c>
      <c r="E254" s="7" t="s">
        <v>492</v>
      </c>
      <c r="F254" s="7" t="s">
        <v>261</v>
      </c>
      <c r="G254" s="7" t="s">
        <v>262</v>
      </c>
      <c r="H254" s="7" t="s">
        <v>493</v>
      </c>
      <c r="I254" s="7"/>
      <c r="J254" s="7"/>
      <c r="K254" s="7" t="s">
        <v>494</v>
      </c>
      <c r="L254" s="7" t="str">
        <f aca="false">IFERROR(VLOOKUP(IF(ISNUMBER(SEARCH("(",F254)),LEFT(F254,SEARCH("(",F254)-1),F254),Tipos!$A:$B,2,FALSE()),"outro")</f>
        <v>texto</v>
      </c>
      <c r="M254" s="7" t="str">
        <f aca="false">IF(COUNTIF(Comparação!$H:$H,A254)&gt;0,"sim",IF(AND(G254="sim",H254=""),"FALTA (obrigatória)","não"))</f>
        <v>não</v>
      </c>
    </row>
    <row r="255" customFormat="false" ht="15" hidden="false" customHeight="false" outlineLevel="0" collapsed="false">
      <c r="A255" s="7" t="str">
        <f aca="false">B255&amp;"."&amp;E255</f>
        <v>campos_personalizados.id</v>
      </c>
      <c r="B255" s="7" t="s">
        <v>65</v>
      </c>
      <c r="C255" s="7" t="s">
        <v>66</v>
      </c>
      <c r="D255" s="7" t="n">
        <v>1</v>
      </c>
      <c r="E255" s="7" t="s">
        <v>271</v>
      </c>
      <c r="F255" s="7" t="s">
        <v>272</v>
      </c>
      <c r="G255" s="7" t="s">
        <v>262</v>
      </c>
      <c r="H255" s="7" t="s">
        <v>273</v>
      </c>
      <c r="I255" s="7" t="s">
        <v>263</v>
      </c>
      <c r="J255" s="7"/>
      <c r="K255" s="7"/>
      <c r="L255" s="7" t="str">
        <f aca="false">IFERROR(VLOOKUP(IF(ISNUMBER(SEARCH("(",F255)),LEFT(F255,SEARCH("(",F255)-1),F255),Tipos!$A:$B,2,FALSE()),"outro")</f>
        <v>uuid</v>
      </c>
      <c r="M255" s="7" t="str">
        <f aca="false">IF(COUNTIF(Comparação!$H:$H,A255)&gt;0,"sim",IF(AND(G255="sim",H255=""),"FALTA (obrigatória)","não"))</f>
        <v>não</v>
      </c>
    </row>
    <row r="256" customFormat="false" ht="15" hidden="false" customHeight="false" outlineLevel="0" collapsed="false">
      <c r="A256" s="7" t="str">
        <f aca="false">B256&amp;"."&amp;E256</f>
        <v>campos_personalizados.workspace_id</v>
      </c>
      <c r="B256" s="7" t="s">
        <v>65</v>
      </c>
      <c r="C256" s="7" t="s">
        <v>66</v>
      </c>
      <c r="D256" s="7" t="n">
        <v>2</v>
      </c>
      <c r="E256" s="7" t="s">
        <v>274</v>
      </c>
      <c r="F256" s="7" t="s">
        <v>272</v>
      </c>
      <c r="G256" s="7" t="s">
        <v>262</v>
      </c>
      <c r="H256" s="7"/>
      <c r="I256" s="7" t="s">
        <v>290</v>
      </c>
      <c r="J256" s="7" t="s">
        <v>275</v>
      </c>
      <c r="K256" s="7"/>
      <c r="L256" s="7" t="str">
        <f aca="false">IFERROR(VLOOKUP(IF(ISNUMBER(SEARCH("(",F256)),LEFT(F256,SEARCH("(",F256)-1),F256),Tipos!$A:$B,2,FALSE()),"outro")</f>
        <v>uuid</v>
      </c>
      <c r="M256" s="7" t="str">
        <f aca="false">IF(COUNTIF(Comparação!$H:$H,A256)&gt;0,"sim",IF(AND(G256="sim",H256=""),"FALTA (obrigatória)","não"))</f>
        <v>FALTA (obrigatória)</v>
      </c>
    </row>
    <row r="257" customFormat="false" ht="15" hidden="false" customHeight="false" outlineLevel="0" collapsed="false">
      <c r="A257" s="7" t="str">
        <f aca="false">B257&amp;"."&amp;E257</f>
        <v>campos_personalizados.entidade</v>
      </c>
      <c r="B257" s="7" t="s">
        <v>65</v>
      </c>
      <c r="C257" s="7" t="s">
        <v>66</v>
      </c>
      <c r="D257" s="7" t="n">
        <v>3</v>
      </c>
      <c r="E257" s="7" t="s">
        <v>495</v>
      </c>
      <c r="F257" s="7" t="s">
        <v>261</v>
      </c>
      <c r="G257" s="7" t="s">
        <v>262</v>
      </c>
      <c r="H257" s="7"/>
      <c r="I257" s="7" t="s">
        <v>290</v>
      </c>
      <c r="J257" s="7"/>
      <c r="K257" s="7" t="s">
        <v>496</v>
      </c>
      <c r="L257" s="7" t="str">
        <f aca="false">IFERROR(VLOOKUP(IF(ISNUMBER(SEARCH("(",F257)),LEFT(F257,SEARCH("(",F257)-1),F257),Tipos!$A:$B,2,FALSE()),"outro")</f>
        <v>texto</v>
      </c>
      <c r="M257" s="7" t="str">
        <f aca="false">IF(COUNTIF(Comparação!$H:$H,A257)&gt;0,"sim",IF(AND(G257="sim",H257=""),"FALTA (obrigatória)","não"))</f>
        <v>FALTA (obrigatória)</v>
      </c>
    </row>
    <row r="258" customFormat="false" ht="15" hidden="false" customHeight="false" outlineLevel="0" collapsed="false">
      <c r="A258" s="7" t="str">
        <f aca="false">B258&amp;"."&amp;E258</f>
        <v>campos_personalizados.chave</v>
      </c>
      <c r="B258" s="7" t="s">
        <v>65</v>
      </c>
      <c r="C258" s="7" t="s">
        <v>66</v>
      </c>
      <c r="D258" s="7" t="n">
        <v>4</v>
      </c>
      <c r="E258" s="7" t="s">
        <v>387</v>
      </c>
      <c r="F258" s="7" t="s">
        <v>261</v>
      </c>
      <c r="G258" s="7" t="s">
        <v>262</v>
      </c>
      <c r="H258" s="7"/>
      <c r="I258" s="7" t="s">
        <v>290</v>
      </c>
      <c r="J258" s="7"/>
      <c r="K258" s="7" t="s">
        <v>497</v>
      </c>
      <c r="L258" s="7" t="str">
        <f aca="false">IFERROR(VLOOKUP(IF(ISNUMBER(SEARCH("(",F258)),LEFT(F258,SEARCH("(",F258)-1),F258),Tipos!$A:$B,2,FALSE()),"outro")</f>
        <v>texto</v>
      </c>
      <c r="M258" s="7" t="str">
        <f aca="false">IF(COUNTIF(Comparação!$H:$H,A258)&gt;0,"sim",IF(AND(G258="sim",H258=""),"FALTA (obrigatória)","não"))</f>
        <v>FALTA (obrigatória)</v>
      </c>
    </row>
    <row r="259" customFormat="false" ht="15" hidden="false" customHeight="false" outlineLevel="0" collapsed="false">
      <c r="A259" s="7" t="str">
        <f aca="false">B259&amp;"."&amp;E259</f>
        <v>campos_personalizados.rotulo</v>
      </c>
      <c r="B259" s="7" t="s">
        <v>65</v>
      </c>
      <c r="C259" s="7" t="s">
        <v>66</v>
      </c>
      <c r="D259" s="7" t="n">
        <v>5</v>
      </c>
      <c r="E259" s="7" t="s">
        <v>498</v>
      </c>
      <c r="F259" s="7" t="s">
        <v>261</v>
      </c>
      <c r="G259" s="7" t="s">
        <v>262</v>
      </c>
      <c r="H259" s="7"/>
      <c r="I259" s="7"/>
      <c r="J259" s="7"/>
      <c r="K259" s="7" t="s">
        <v>499</v>
      </c>
      <c r="L259" s="7" t="str">
        <f aca="false">IFERROR(VLOOKUP(IF(ISNUMBER(SEARCH("(",F259)),LEFT(F259,SEARCH("(",F259)-1),F259),Tipos!$A:$B,2,FALSE()),"outro")</f>
        <v>texto</v>
      </c>
      <c r="M259" s="7" t="str">
        <f aca="false">IF(COUNTIF(Comparação!$H:$H,A259)&gt;0,"sim",IF(AND(G259="sim",H259=""),"FALTA (obrigatória)","não"))</f>
        <v>FALTA (obrigatória)</v>
      </c>
    </row>
    <row r="260" customFormat="false" ht="15" hidden="false" customHeight="false" outlineLevel="0" collapsed="false">
      <c r="A260" s="7" t="str">
        <f aca="false">B260&amp;"."&amp;E260</f>
        <v>campos_personalizados.tipo</v>
      </c>
      <c r="B260" s="7" t="s">
        <v>65</v>
      </c>
      <c r="C260" s="7" t="s">
        <v>66</v>
      </c>
      <c r="D260" s="7" t="n">
        <v>6</v>
      </c>
      <c r="E260" s="7" t="s">
        <v>280</v>
      </c>
      <c r="F260" s="7" t="s">
        <v>261</v>
      </c>
      <c r="G260" s="7" t="s">
        <v>262</v>
      </c>
      <c r="H260" s="7" t="s">
        <v>500</v>
      </c>
      <c r="I260" s="7"/>
      <c r="J260" s="7"/>
      <c r="K260" s="7" t="s">
        <v>501</v>
      </c>
      <c r="L260" s="7" t="str">
        <f aca="false">IFERROR(VLOOKUP(IF(ISNUMBER(SEARCH("(",F260)),LEFT(F260,SEARCH("(",F260)-1),F260),Tipos!$A:$B,2,FALSE()),"outro")</f>
        <v>texto</v>
      </c>
      <c r="M260" s="7" t="str">
        <f aca="false">IF(COUNTIF(Comparação!$H:$H,A260)&gt;0,"sim",IF(AND(G260="sim",H260=""),"FALTA (obrigatória)","não"))</f>
        <v>não</v>
      </c>
    </row>
    <row r="261" customFormat="false" ht="15" hidden="false" customHeight="false" outlineLevel="0" collapsed="false">
      <c r="A261" s="7" t="str">
        <f aca="false">B261&amp;"."&amp;E261</f>
        <v>campos_personalizados.criado_em</v>
      </c>
      <c r="B261" s="7" t="s">
        <v>65</v>
      </c>
      <c r="C261" s="7" t="s">
        <v>66</v>
      </c>
      <c r="D261" s="7" t="n">
        <v>7</v>
      </c>
      <c r="E261" s="7" t="s">
        <v>344</v>
      </c>
      <c r="F261" s="7" t="s">
        <v>285</v>
      </c>
      <c r="G261" s="7" t="s">
        <v>262</v>
      </c>
      <c r="H261" s="7" t="s">
        <v>286</v>
      </c>
      <c r="I261" s="7"/>
      <c r="J261" s="7"/>
      <c r="K261" s="7"/>
      <c r="L261" s="7" t="str">
        <f aca="false">IFERROR(VLOOKUP(IF(ISNUMBER(SEARCH("(",F261)),LEFT(F261,SEARCH("(",F261)-1),F261),Tipos!$A:$B,2,FALSE()),"outro")</f>
        <v>data e hora</v>
      </c>
      <c r="M261" s="7" t="str">
        <f aca="false">IF(COUNTIF(Comparação!$H:$H,A261)&gt;0,"sim",IF(AND(G261="sim",H261=""),"FALTA (obrigatória)","não"))</f>
        <v>não</v>
      </c>
    </row>
    <row r="262" customFormat="false" ht="15" hidden="false" customHeight="false" outlineLevel="0" collapsed="false">
      <c r="A262" s="7" t="str">
        <f aca="false">B262&amp;"."&amp;E262</f>
        <v>canais.id</v>
      </c>
      <c r="B262" s="7" t="s">
        <v>67</v>
      </c>
      <c r="C262" s="7" t="s">
        <v>31</v>
      </c>
      <c r="D262" s="7" t="n">
        <v>1</v>
      </c>
      <c r="E262" s="7" t="s">
        <v>271</v>
      </c>
      <c r="F262" s="7" t="s">
        <v>272</v>
      </c>
      <c r="G262" s="7" t="s">
        <v>262</v>
      </c>
      <c r="H262" s="7" t="s">
        <v>273</v>
      </c>
      <c r="I262" s="7" t="s">
        <v>263</v>
      </c>
      <c r="J262" s="7"/>
      <c r="K262" s="7"/>
      <c r="L262" s="7" t="str">
        <f aca="false">IFERROR(VLOOKUP(IF(ISNUMBER(SEARCH("(",F262)),LEFT(F262,SEARCH("(",F262)-1),F262),Tipos!$A:$B,2,FALSE()),"outro")</f>
        <v>uuid</v>
      </c>
      <c r="M262" s="7" t="str">
        <f aca="false">IF(COUNTIF(Comparação!$H:$H,A262)&gt;0,"sim",IF(AND(G262="sim",H262=""),"FALTA (obrigatória)","não"))</f>
        <v>não</v>
      </c>
    </row>
    <row r="263" customFormat="false" ht="15" hidden="false" customHeight="false" outlineLevel="0" collapsed="false">
      <c r="A263" s="7" t="str">
        <f aca="false">B263&amp;"."&amp;E263</f>
        <v>canais.workspace_id</v>
      </c>
      <c r="B263" s="7" t="s">
        <v>67</v>
      </c>
      <c r="C263" s="7" t="s">
        <v>31</v>
      </c>
      <c r="D263" s="7" t="n">
        <v>2</v>
      </c>
      <c r="E263" s="7" t="s">
        <v>274</v>
      </c>
      <c r="F263" s="7" t="s">
        <v>272</v>
      </c>
      <c r="G263" s="7" t="s">
        <v>262</v>
      </c>
      <c r="H263" s="7"/>
      <c r="I263" s="7" t="s">
        <v>290</v>
      </c>
      <c r="J263" s="7" t="s">
        <v>275</v>
      </c>
      <c r="K263" s="7"/>
      <c r="L263" s="7" t="str">
        <f aca="false">IFERROR(VLOOKUP(IF(ISNUMBER(SEARCH("(",F263)),LEFT(F263,SEARCH("(",F263)-1),F263),Tipos!$A:$B,2,FALSE()),"outro")</f>
        <v>uuid</v>
      </c>
      <c r="M263" s="7" t="str">
        <f aca="false">IF(COUNTIF(Comparação!$H:$H,A263)&gt;0,"sim",IF(AND(G263="sim",H263=""),"FALTA (obrigatória)","não"))</f>
        <v>FALTA (obrigatória)</v>
      </c>
    </row>
    <row r="264" customFormat="false" ht="15" hidden="false" customHeight="false" outlineLevel="0" collapsed="false">
      <c r="A264" s="7" t="str">
        <f aca="false">B264&amp;"."&amp;E264</f>
        <v>canais.codigo</v>
      </c>
      <c r="B264" s="7" t="s">
        <v>67</v>
      </c>
      <c r="C264" s="7" t="s">
        <v>31</v>
      </c>
      <c r="D264" s="7" t="n">
        <v>3</v>
      </c>
      <c r="E264" s="7" t="s">
        <v>502</v>
      </c>
      <c r="F264" s="7" t="s">
        <v>261</v>
      </c>
      <c r="G264" s="7" t="s">
        <v>262</v>
      </c>
      <c r="H264" s="7"/>
      <c r="I264" s="7" t="s">
        <v>290</v>
      </c>
      <c r="J264" s="7"/>
      <c r="K264" s="7"/>
      <c r="L264" s="7" t="str">
        <f aca="false">IFERROR(VLOOKUP(IF(ISNUMBER(SEARCH("(",F264)),LEFT(F264,SEARCH("(",F264)-1),F264),Tipos!$A:$B,2,FALSE()),"outro")</f>
        <v>texto</v>
      </c>
      <c r="M264" s="7" t="str">
        <f aca="false">IF(COUNTIF(Comparação!$H:$H,A264)&gt;0,"sim",IF(AND(G264="sim",H264=""),"FALTA (obrigatória)","não"))</f>
        <v>FALTA (obrigatória)</v>
      </c>
    </row>
    <row r="265" customFormat="false" ht="15" hidden="false" customHeight="false" outlineLevel="0" collapsed="false">
      <c r="A265" s="7" t="str">
        <f aca="false">B265&amp;"."&amp;E265</f>
        <v>canais.nome</v>
      </c>
      <c r="B265" s="7" t="s">
        <v>67</v>
      </c>
      <c r="C265" s="7" t="s">
        <v>31</v>
      </c>
      <c r="D265" s="7" t="n">
        <v>4</v>
      </c>
      <c r="E265" s="7" t="s">
        <v>265</v>
      </c>
      <c r="F265" s="7" t="s">
        <v>261</v>
      </c>
      <c r="G265" s="7" t="s">
        <v>262</v>
      </c>
      <c r="H265" s="7"/>
      <c r="I265" s="7"/>
      <c r="J265" s="7"/>
      <c r="K265" s="7"/>
      <c r="L265" s="7" t="str">
        <f aca="false">IFERROR(VLOOKUP(IF(ISNUMBER(SEARCH("(",F265)),LEFT(F265,SEARCH("(",F265)-1),F265),Tipos!$A:$B,2,FALSE()),"outro")</f>
        <v>texto</v>
      </c>
      <c r="M265" s="7" t="str">
        <f aca="false">IF(COUNTIF(Comparação!$H:$H,A265)&gt;0,"sim",IF(AND(G265="sim",H265=""),"FALTA (obrigatória)","não"))</f>
        <v>FALTA (obrigatória)</v>
      </c>
    </row>
    <row r="266" customFormat="false" ht="15" hidden="false" customHeight="false" outlineLevel="0" collapsed="false">
      <c r="A266" s="7" t="str">
        <f aca="false">B266&amp;"."&amp;E266</f>
        <v>canais.utm_source</v>
      </c>
      <c r="B266" s="7" t="s">
        <v>67</v>
      </c>
      <c r="C266" s="7" t="s">
        <v>31</v>
      </c>
      <c r="D266" s="7" t="n">
        <v>5</v>
      </c>
      <c r="E266" s="7" t="s">
        <v>420</v>
      </c>
      <c r="F266" s="7" t="s">
        <v>261</v>
      </c>
      <c r="G266" s="7" t="s">
        <v>267</v>
      </c>
      <c r="H266" s="7"/>
      <c r="I266" s="7"/>
      <c r="J266" s="7"/>
      <c r="K266" s="7"/>
      <c r="L266" s="7" t="str">
        <f aca="false">IFERROR(VLOOKUP(IF(ISNUMBER(SEARCH("(",F266)),LEFT(F266,SEARCH("(",F266)-1),F266),Tipos!$A:$B,2,FALSE()),"outro")</f>
        <v>texto</v>
      </c>
      <c r="M266" s="7" t="str">
        <f aca="false">IF(COUNTIF(Comparação!$H:$H,A266)&gt;0,"sim",IF(AND(G266="sim",H266=""),"FALTA (obrigatória)","não"))</f>
        <v>não</v>
      </c>
    </row>
    <row r="267" customFormat="false" ht="15" hidden="false" customHeight="false" outlineLevel="0" collapsed="false">
      <c r="A267" s="7" t="str">
        <f aca="false">B267&amp;"."&amp;E267</f>
        <v>canais.utm_medium</v>
      </c>
      <c r="B267" s="7" t="s">
        <v>67</v>
      </c>
      <c r="C267" s="7" t="s">
        <v>31</v>
      </c>
      <c r="D267" s="7" t="n">
        <v>6</v>
      </c>
      <c r="E267" s="7" t="s">
        <v>421</v>
      </c>
      <c r="F267" s="7" t="s">
        <v>261</v>
      </c>
      <c r="G267" s="7" t="s">
        <v>267</v>
      </c>
      <c r="H267" s="7"/>
      <c r="I267" s="7"/>
      <c r="J267" s="7"/>
      <c r="K267" s="7"/>
      <c r="L267" s="7" t="str">
        <f aca="false">IFERROR(VLOOKUP(IF(ISNUMBER(SEARCH("(",F267)),LEFT(F267,SEARCH("(",F267)-1),F267),Tipos!$A:$B,2,FALSE()),"outro")</f>
        <v>texto</v>
      </c>
      <c r="M267" s="7" t="str">
        <f aca="false">IF(COUNTIF(Comparação!$H:$H,A267)&gt;0,"sim",IF(AND(G267="sim",H267=""),"FALTA (obrigatória)","não"))</f>
        <v>não</v>
      </c>
    </row>
    <row r="268" customFormat="false" ht="15" hidden="false" customHeight="false" outlineLevel="0" collapsed="false">
      <c r="A268" s="7" t="str">
        <f aca="false">B268&amp;"."&amp;E268</f>
        <v>canais.ativo</v>
      </c>
      <c r="B268" s="7" t="s">
        <v>67</v>
      </c>
      <c r="C268" s="7" t="s">
        <v>31</v>
      </c>
      <c r="D268" s="7" t="n">
        <v>7</v>
      </c>
      <c r="E268" s="7" t="s">
        <v>309</v>
      </c>
      <c r="F268" s="7" t="s">
        <v>310</v>
      </c>
      <c r="G268" s="7" t="s">
        <v>262</v>
      </c>
      <c r="H268" s="7" t="s">
        <v>311</v>
      </c>
      <c r="I268" s="7"/>
      <c r="J268" s="7"/>
      <c r="K268" s="7"/>
      <c r="L268" s="7" t="str">
        <f aca="false">IFERROR(VLOOKUP(IF(ISNUMBER(SEARCH("(",F268)),LEFT(F268,SEARCH("(",F268)-1),F268),Tipos!$A:$B,2,FALSE()),"outro")</f>
        <v>booleano</v>
      </c>
      <c r="M268" s="7" t="str">
        <f aca="false">IF(COUNTIF(Comparação!$H:$H,A268)&gt;0,"sim",IF(AND(G268="sim",H268=""),"FALTA (obrigatória)","não"))</f>
        <v>não</v>
      </c>
    </row>
    <row r="269" customFormat="false" ht="15" hidden="false" customHeight="false" outlineLevel="0" collapsed="false">
      <c r="A269" s="7" t="str">
        <f aca="false">B269&amp;"."&amp;E269</f>
        <v>canais.tipo</v>
      </c>
      <c r="B269" s="7" t="s">
        <v>67</v>
      </c>
      <c r="C269" s="7" t="s">
        <v>31</v>
      </c>
      <c r="D269" s="7" t="n">
        <v>8</v>
      </c>
      <c r="E269" s="7" t="s">
        <v>280</v>
      </c>
      <c r="F269" s="7" t="s">
        <v>261</v>
      </c>
      <c r="G269" s="7" t="s">
        <v>267</v>
      </c>
      <c r="H269" s="7" t="s">
        <v>503</v>
      </c>
      <c r="I269" s="7"/>
      <c r="J269" s="7"/>
      <c r="K269" s="7" t="s">
        <v>504</v>
      </c>
      <c r="L269" s="7" t="str">
        <f aca="false">IFERROR(VLOOKUP(IF(ISNUMBER(SEARCH("(",F269)),LEFT(F269,SEARCH("(",F269)-1),F269),Tipos!$A:$B,2,FALSE()),"outro")</f>
        <v>texto</v>
      </c>
      <c r="M269" s="7" t="str">
        <f aca="false">IF(COUNTIF(Comparação!$H:$H,A269)&gt;0,"sim",IF(AND(G269="sim",H269=""),"FALTA (obrigatória)","não"))</f>
        <v>não</v>
      </c>
    </row>
    <row r="270" customFormat="false" ht="15" hidden="false" customHeight="false" outlineLevel="0" collapsed="false">
      <c r="A270" s="7" t="str">
        <f aca="false">B270&amp;"."&amp;E270</f>
        <v>centros_custo.id</v>
      </c>
      <c r="B270" s="7" t="s">
        <v>68</v>
      </c>
      <c r="C270" s="7" t="s">
        <v>69</v>
      </c>
      <c r="D270" s="7" t="n">
        <v>1</v>
      </c>
      <c r="E270" s="7" t="s">
        <v>271</v>
      </c>
      <c r="F270" s="7" t="s">
        <v>272</v>
      </c>
      <c r="G270" s="7" t="s">
        <v>262</v>
      </c>
      <c r="H270" s="7" t="s">
        <v>273</v>
      </c>
      <c r="I270" s="7" t="s">
        <v>263</v>
      </c>
      <c r="J270" s="7"/>
      <c r="K270" s="7"/>
      <c r="L270" s="7" t="str">
        <f aca="false">IFERROR(VLOOKUP(IF(ISNUMBER(SEARCH("(",F270)),LEFT(F270,SEARCH("(",F270)-1),F270),Tipos!$A:$B,2,FALSE()),"outro")</f>
        <v>uuid</v>
      </c>
      <c r="M270" s="7" t="str">
        <f aca="false">IF(COUNTIF(Comparação!$H:$H,A270)&gt;0,"sim",IF(AND(G270="sim",H270=""),"FALTA (obrigatória)","não"))</f>
        <v>não</v>
      </c>
    </row>
    <row r="271" customFormat="false" ht="15" hidden="false" customHeight="false" outlineLevel="0" collapsed="false">
      <c r="A271" s="7" t="str">
        <f aca="false">B271&amp;"."&amp;E271</f>
        <v>centros_custo.workspace_id</v>
      </c>
      <c r="B271" s="7" t="s">
        <v>68</v>
      </c>
      <c r="C271" s="7" t="s">
        <v>69</v>
      </c>
      <c r="D271" s="7" t="n">
        <v>2</v>
      </c>
      <c r="E271" s="7" t="s">
        <v>274</v>
      </c>
      <c r="F271" s="7" t="s">
        <v>272</v>
      </c>
      <c r="G271" s="7" t="s">
        <v>262</v>
      </c>
      <c r="H271" s="7"/>
      <c r="I271" s="7" t="s">
        <v>290</v>
      </c>
      <c r="J271" s="7" t="s">
        <v>275</v>
      </c>
      <c r="K271" s="7"/>
      <c r="L271" s="7" t="str">
        <f aca="false">IFERROR(VLOOKUP(IF(ISNUMBER(SEARCH("(",F271)),LEFT(F271,SEARCH("(",F271)-1),F271),Tipos!$A:$B,2,FALSE()),"outro")</f>
        <v>uuid</v>
      </c>
      <c r="M271" s="7" t="str">
        <f aca="false">IF(COUNTIF(Comparação!$H:$H,A271)&gt;0,"sim",IF(AND(G271="sim",H271=""),"FALTA (obrigatória)","não"))</f>
        <v>FALTA (obrigatória)</v>
      </c>
    </row>
    <row r="272" customFormat="false" ht="15" hidden="false" customHeight="false" outlineLevel="0" collapsed="false">
      <c r="A272" s="7" t="str">
        <f aca="false">B272&amp;"."&amp;E272</f>
        <v>centros_custo.codigo</v>
      </c>
      <c r="B272" s="7" t="s">
        <v>68</v>
      </c>
      <c r="C272" s="7" t="s">
        <v>69</v>
      </c>
      <c r="D272" s="7" t="n">
        <v>3</v>
      </c>
      <c r="E272" s="7" t="s">
        <v>502</v>
      </c>
      <c r="F272" s="7" t="s">
        <v>261</v>
      </c>
      <c r="G272" s="7" t="s">
        <v>262</v>
      </c>
      <c r="H272" s="7"/>
      <c r="I272" s="7" t="s">
        <v>290</v>
      </c>
      <c r="J272" s="7"/>
      <c r="K272" s="7"/>
      <c r="L272" s="7" t="str">
        <f aca="false">IFERROR(VLOOKUP(IF(ISNUMBER(SEARCH("(",F272)),LEFT(F272,SEARCH("(",F272)-1),F272),Tipos!$A:$B,2,FALSE()),"outro")</f>
        <v>texto</v>
      </c>
      <c r="M272" s="7" t="str">
        <f aca="false">IF(COUNTIF(Comparação!$H:$H,A272)&gt;0,"sim",IF(AND(G272="sim",H272=""),"FALTA (obrigatória)","não"))</f>
        <v>FALTA (obrigatória)</v>
      </c>
    </row>
    <row r="273" customFormat="false" ht="15" hidden="false" customHeight="false" outlineLevel="0" collapsed="false">
      <c r="A273" s="7" t="str">
        <f aca="false">B273&amp;"."&amp;E273</f>
        <v>centros_custo.nome</v>
      </c>
      <c r="B273" s="7" t="s">
        <v>68</v>
      </c>
      <c r="C273" s="7" t="s">
        <v>69</v>
      </c>
      <c r="D273" s="7" t="n">
        <v>4</v>
      </c>
      <c r="E273" s="7" t="s">
        <v>265</v>
      </c>
      <c r="F273" s="7" t="s">
        <v>261</v>
      </c>
      <c r="G273" s="7" t="s">
        <v>262</v>
      </c>
      <c r="H273" s="7"/>
      <c r="I273" s="7"/>
      <c r="J273" s="7"/>
      <c r="K273" s="7"/>
      <c r="L273" s="7" t="str">
        <f aca="false">IFERROR(VLOOKUP(IF(ISNUMBER(SEARCH("(",F273)),LEFT(F273,SEARCH("(",F273)-1),F273),Tipos!$A:$B,2,FALSE()),"outro")</f>
        <v>texto</v>
      </c>
      <c r="M273" s="7" t="str">
        <f aca="false">IF(COUNTIF(Comparação!$H:$H,A273)&gt;0,"sim",IF(AND(G273="sim",H273=""),"FALTA (obrigatória)","não"))</f>
        <v>FALTA (obrigatória)</v>
      </c>
    </row>
    <row r="274" customFormat="false" ht="15" hidden="false" customHeight="false" outlineLevel="0" collapsed="false">
      <c r="A274" s="7" t="str">
        <f aca="false">B274&amp;"."&amp;E274</f>
        <v>centros_custo.ativo</v>
      </c>
      <c r="B274" s="7" t="s">
        <v>68</v>
      </c>
      <c r="C274" s="7" t="s">
        <v>69</v>
      </c>
      <c r="D274" s="7" t="n">
        <v>5</v>
      </c>
      <c r="E274" s="7" t="s">
        <v>309</v>
      </c>
      <c r="F274" s="7" t="s">
        <v>310</v>
      </c>
      <c r="G274" s="7" t="s">
        <v>262</v>
      </c>
      <c r="H274" s="7" t="s">
        <v>311</v>
      </c>
      <c r="I274" s="7"/>
      <c r="J274" s="7"/>
      <c r="K274" s="7"/>
      <c r="L274" s="7" t="str">
        <f aca="false">IFERROR(VLOOKUP(IF(ISNUMBER(SEARCH("(",F274)),LEFT(F274,SEARCH("(",F274)-1),F274),Tipos!$A:$B,2,FALSE()),"outro")</f>
        <v>booleano</v>
      </c>
      <c r="M274" s="7" t="str">
        <f aca="false">IF(COUNTIF(Comparação!$H:$H,A274)&gt;0,"sim",IF(AND(G274="sim",H274=""),"FALTA (obrigatória)","não"))</f>
        <v>não</v>
      </c>
    </row>
    <row r="275" customFormat="false" ht="15" hidden="false" customHeight="false" outlineLevel="0" collapsed="false">
      <c r="A275" s="7" t="str">
        <f aca="false">B275&amp;"."&amp;E275</f>
        <v>centros_custo.entra_no_cac</v>
      </c>
      <c r="B275" s="7" t="s">
        <v>68</v>
      </c>
      <c r="C275" s="7" t="s">
        <v>69</v>
      </c>
      <c r="D275" s="7" t="n">
        <v>6</v>
      </c>
      <c r="E275" s="7" t="s">
        <v>505</v>
      </c>
      <c r="F275" s="7" t="s">
        <v>310</v>
      </c>
      <c r="G275" s="7" t="s">
        <v>262</v>
      </c>
      <c r="H275" s="7" t="s">
        <v>311</v>
      </c>
      <c r="I275" s="7"/>
      <c r="J275" s="7"/>
      <c r="K275" s="7"/>
      <c r="L275" s="7" t="str">
        <f aca="false">IFERROR(VLOOKUP(IF(ISNUMBER(SEARCH("(",F275)),LEFT(F275,SEARCH("(",F275)-1),F275),Tipos!$A:$B,2,FALSE()),"outro")</f>
        <v>booleano</v>
      </c>
      <c r="M275" s="7" t="str">
        <f aca="false">IF(COUNTIF(Comparação!$H:$H,A275)&gt;0,"sim",IF(AND(G275="sim",H275=""),"FALTA (obrigatória)","não"))</f>
        <v>não</v>
      </c>
    </row>
    <row r="276" customFormat="false" ht="15" hidden="false" customHeight="false" outlineLevel="0" collapsed="false">
      <c r="A276" s="7" t="str">
        <f aca="false">B276&amp;"."&amp;E276</f>
        <v>chaves_api.id</v>
      </c>
      <c r="B276" s="7" t="s">
        <v>70</v>
      </c>
      <c r="C276" s="7" t="s">
        <v>24</v>
      </c>
      <c r="D276" s="7" t="n">
        <v>1</v>
      </c>
      <c r="E276" s="7" t="s">
        <v>271</v>
      </c>
      <c r="F276" s="7" t="s">
        <v>272</v>
      </c>
      <c r="G276" s="7" t="s">
        <v>262</v>
      </c>
      <c r="H276" s="7" t="s">
        <v>273</v>
      </c>
      <c r="I276" s="7" t="s">
        <v>263</v>
      </c>
      <c r="J276" s="7"/>
      <c r="K276" s="7"/>
      <c r="L276" s="7" t="str">
        <f aca="false">IFERROR(VLOOKUP(IF(ISNUMBER(SEARCH("(",F276)),LEFT(F276,SEARCH("(",F276)-1),F276),Tipos!$A:$B,2,FALSE()),"outro")</f>
        <v>uuid</v>
      </c>
      <c r="M276" s="7" t="str">
        <f aca="false">IF(COUNTIF(Comparação!$H:$H,A276)&gt;0,"sim",IF(AND(G276="sim",H276=""),"FALTA (obrigatória)","não"))</f>
        <v>não</v>
      </c>
    </row>
    <row r="277" customFormat="false" ht="15" hidden="false" customHeight="false" outlineLevel="0" collapsed="false">
      <c r="A277" s="7" t="str">
        <f aca="false">B277&amp;"."&amp;E277</f>
        <v>chaves_api.workspace_id</v>
      </c>
      <c r="B277" s="7" t="s">
        <v>70</v>
      </c>
      <c r="C277" s="7" t="s">
        <v>24</v>
      </c>
      <c r="D277" s="7" t="n">
        <v>2</v>
      </c>
      <c r="E277" s="7" t="s">
        <v>274</v>
      </c>
      <c r="F277" s="7" t="s">
        <v>272</v>
      </c>
      <c r="G277" s="7" t="s">
        <v>262</v>
      </c>
      <c r="H277" s="7"/>
      <c r="I277" s="7"/>
      <c r="J277" s="7" t="s">
        <v>275</v>
      </c>
      <c r="K277" s="7"/>
      <c r="L277" s="7" t="str">
        <f aca="false">IFERROR(VLOOKUP(IF(ISNUMBER(SEARCH("(",F277)),LEFT(F277,SEARCH("(",F277)-1),F277),Tipos!$A:$B,2,FALSE()),"outro")</f>
        <v>uuid</v>
      </c>
      <c r="M277" s="7" t="str">
        <f aca="false">IF(COUNTIF(Comparação!$H:$H,A277)&gt;0,"sim",IF(AND(G277="sim",H277=""),"FALTA (obrigatória)","não"))</f>
        <v>FALTA (obrigatória)</v>
      </c>
    </row>
    <row r="278" customFormat="false" ht="15" hidden="false" customHeight="false" outlineLevel="0" collapsed="false">
      <c r="A278" s="7" t="str">
        <f aca="false">B278&amp;"."&amp;E278</f>
        <v>chaves_api.nome</v>
      </c>
      <c r="B278" s="7" t="s">
        <v>70</v>
      </c>
      <c r="C278" s="7" t="s">
        <v>24</v>
      </c>
      <c r="D278" s="7" t="n">
        <v>3</v>
      </c>
      <c r="E278" s="7" t="s">
        <v>265</v>
      </c>
      <c r="F278" s="7" t="s">
        <v>261</v>
      </c>
      <c r="G278" s="7" t="s">
        <v>262</v>
      </c>
      <c r="H278" s="7"/>
      <c r="I278" s="7"/>
      <c r="J278" s="7"/>
      <c r="K278" s="7" t="s">
        <v>389</v>
      </c>
      <c r="L278" s="7" t="str">
        <f aca="false">IFERROR(VLOOKUP(IF(ISNUMBER(SEARCH("(",F278)),LEFT(F278,SEARCH("(",F278)-1),F278),Tipos!$A:$B,2,FALSE()),"outro")</f>
        <v>texto</v>
      </c>
      <c r="M278" s="7" t="str">
        <f aca="false">IF(COUNTIF(Comparação!$H:$H,A278)&gt;0,"sim",IF(AND(G278="sim",H278=""),"FALTA (obrigatória)","não"))</f>
        <v>FALTA (obrigatória)</v>
      </c>
    </row>
    <row r="279" customFormat="false" ht="15" hidden="false" customHeight="false" outlineLevel="0" collapsed="false">
      <c r="A279" s="7" t="str">
        <f aca="false">B279&amp;"."&amp;E279</f>
        <v>chaves_api.escopo</v>
      </c>
      <c r="B279" s="7" t="s">
        <v>70</v>
      </c>
      <c r="C279" s="7" t="s">
        <v>24</v>
      </c>
      <c r="D279" s="7" t="n">
        <v>4</v>
      </c>
      <c r="E279" s="7" t="s">
        <v>506</v>
      </c>
      <c r="F279" s="7" t="s">
        <v>261</v>
      </c>
      <c r="G279" s="7" t="s">
        <v>262</v>
      </c>
      <c r="H279" s="7" t="s">
        <v>507</v>
      </c>
      <c r="I279" s="7"/>
      <c r="J279" s="7"/>
      <c r="K279" s="7" t="s">
        <v>508</v>
      </c>
      <c r="L279" s="7" t="str">
        <f aca="false">IFERROR(VLOOKUP(IF(ISNUMBER(SEARCH("(",F279)),LEFT(F279,SEARCH("(",F279)-1),F279),Tipos!$A:$B,2,FALSE()),"outro")</f>
        <v>texto</v>
      </c>
      <c r="M279" s="7" t="str">
        <f aca="false">IF(COUNTIF(Comparação!$H:$H,A279)&gt;0,"sim",IF(AND(G279="sim",H279=""),"FALTA (obrigatória)","não"))</f>
        <v>não</v>
      </c>
    </row>
    <row r="280" customFormat="false" ht="15" hidden="false" customHeight="false" outlineLevel="0" collapsed="false">
      <c r="A280" s="7" t="str">
        <f aca="false">B280&amp;"."&amp;E280</f>
        <v>chaves_api.prefixo</v>
      </c>
      <c r="B280" s="7" t="s">
        <v>70</v>
      </c>
      <c r="C280" s="7" t="s">
        <v>24</v>
      </c>
      <c r="D280" s="7" t="n">
        <v>5</v>
      </c>
      <c r="E280" s="7" t="s">
        <v>509</v>
      </c>
      <c r="F280" s="7" t="s">
        <v>261</v>
      </c>
      <c r="G280" s="7" t="s">
        <v>262</v>
      </c>
      <c r="H280" s="7"/>
      <c r="I280" s="7"/>
      <c r="J280" s="7"/>
      <c r="K280" s="7"/>
      <c r="L280" s="7" t="str">
        <f aca="false">IFERROR(VLOOKUP(IF(ISNUMBER(SEARCH("(",F280)),LEFT(F280,SEARCH("(",F280)-1),F280),Tipos!$A:$B,2,FALSE()),"outro")</f>
        <v>texto</v>
      </c>
      <c r="M280" s="7" t="str">
        <f aca="false">IF(COUNTIF(Comparação!$H:$H,A280)&gt;0,"sim",IF(AND(G280="sim",H280=""),"FALTA (obrigatória)","não"))</f>
        <v>FALTA (obrigatória)</v>
      </c>
    </row>
    <row r="281" customFormat="false" ht="15" hidden="false" customHeight="false" outlineLevel="0" collapsed="false">
      <c r="A281" s="7" t="str">
        <f aca="false">B281&amp;"."&amp;E281</f>
        <v>chaves_api.hash</v>
      </c>
      <c r="B281" s="7" t="s">
        <v>70</v>
      </c>
      <c r="C281" s="7" t="s">
        <v>24</v>
      </c>
      <c r="D281" s="7" t="n">
        <v>6</v>
      </c>
      <c r="E281" s="7" t="s">
        <v>510</v>
      </c>
      <c r="F281" s="7" t="s">
        <v>261</v>
      </c>
      <c r="G281" s="7" t="s">
        <v>262</v>
      </c>
      <c r="H281" s="7"/>
      <c r="I281" s="7" t="s">
        <v>290</v>
      </c>
      <c r="J281" s="7"/>
      <c r="K281" s="7"/>
      <c r="L281" s="7" t="str">
        <f aca="false">IFERROR(VLOOKUP(IF(ISNUMBER(SEARCH("(",F281)),LEFT(F281,SEARCH("(",F281)-1),F281),Tipos!$A:$B,2,FALSE()),"outro")</f>
        <v>texto</v>
      </c>
      <c r="M281" s="7" t="str">
        <f aca="false">IF(COUNTIF(Comparação!$H:$H,A281)&gt;0,"sim",IF(AND(G281="sim",H281=""),"FALTA (obrigatória)","não"))</f>
        <v>FALTA (obrigatória)</v>
      </c>
    </row>
    <row r="282" customFormat="false" ht="15" hidden="false" customHeight="false" outlineLevel="0" collapsed="false">
      <c r="A282" s="7" t="str">
        <f aca="false">B282&amp;"."&amp;E282</f>
        <v>chaves_api.criado_por</v>
      </c>
      <c r="B282" s="7" t="s">
        <v>70</v>
      </c>
      <c r="C282" s="7" t="s">
        <v>24</v>
      </c>
      <c r="D282" s="7" t="n">
        <v>7</v>
      </c>
      <c r="E282" s="7" t="s">
        <v>511</v>
      </c>
      <c r="F282" s="7" t="s">
        <v>272</v>
      </c>
      <c r="G282" s="7" t="s">
        <v>267</v>
      </c>
      <c r="H282" s="7" t="s">
        <v>406</v>
      </c>
      <c r="I282" s="7"/>
      <c r="J282" s="7"/>
      <c r="K282" s="7"/>
      <c r="L282" s="7" t="str">
        <f aca="false">IFERROR(VLOOKUP(IF(ISNUMBER(SEARCH("(",F282)),LEFT(F282,SEARCH("(",F282)-1),F282),Tipos!$A:$B,2,FALSE()),"outro")</f>
        <v>uuid</v>
      </c>
      <c r="M282" s="7" t="str">
        <f aca="false">IF(COUNTIF(Comparação!$H:$H,A282)&gt;0,"sim",IF(AND(G282="sim",H282=""),"FALTA (obrigatória)","não"))</f>
        <v>não</v>
      </c>
    </row>
    <row r="283" customFormat="false" ht="15" hidden="false" customHeight="false" outlineLevel="0" collapsed="false">
      <c r="A283" s="7" t="str">
        <f aca="false">B283&amp;"."&amp;E283</f>
        <v>chaves_api.criado_em</v>
      </c>
      <c r="B283" s="7" t="s">
        <v>70</v>
      </c>
      <c r="C283" s="7" t="s">
        <v>24</v>
      </c>
      <c r="D283" s="7" t="n">
        <v>8</v>
      </c>
      <c r="E283" s="7" t="s">
        <v>344</v>
      </c>
      <c r="F283" s="7" t="s">
        <v>285</v>
      </c>
      <c r="G283" s="7" t="s">
        <v>262</v>
      </c>
      <c r="H283" s="7" t="s">
        <v>286</v>
      </c>
      <c r="I283" s="7"/>
      <c r="J283" s="7"/>
      <c r="K283" s="7"/>
      <c r="L283" s="7" t="str">
        <f aca="false">IFERROR(VLOOKUP(IF(ISNUMBER(SEARCH("(",F283)),LEFT(F283,SEARCH("(",F283)-1),F283),Tipos!$A:$B,2,FALSE()),"outro")</f>
        <v>data e hora</v>
      </c>
      <c r="M283" s="7" t="str">
        <f aca="false">IF(COUNTIF(Comparação!$H:$H,A283)&gt;0,"sim",IF(AND(G283="sim",H283=""),"FALTA (obrigatória)","não"))</f>
        <v>não</v>
      </c>
    </row>
    <row r="284" customFormat="false" ht="15" hidden="false" customHeight="false" outlineLevel="0" collapsed="false">
      <c r="A284" s="7" t="str">
        <f aca="false">B284&amp;"."&amp;E284</f>
        <v>chaves_api.ultimo_uso</v>
      </c>
      <c r="B284" s="7" t="s">
        <v>70</v>
      </c>
      <c r="C284" s="7" t="s">
        <v>24</v>
      </c>
      <c r="D284" s="7" t="n">
        <v>9</v>
      </c>
      <c r="E284" s="7" t="s">
        <v>512</v>
      </c>
      <c r="F284" s="7" t="s">
        <v>285</v>
      </c>
      <c r="G284" s="7" t="s">
        <v>267</v>
      </c>
      <c r="H284" s="7"/>
      <c r="I284" s="7"/>
      <c r="J284" s="7"/>
      <c r="K284" s="7"/>
      <c r="L284" s="7" t="str">
        <f aca="false">IFERROR(VLOOKUP(IF(ISNUMBER(SEARCH("(",F284)),LEFT(F284,SEARCH("(",F284)-1),F284),Tipos!$A:$B,2,FALSE()),"outro")</f>
        <v>data e hora</v>
      </c>
      <c r="M284" s="7" t="str">
        <f aca="false">IF(COUNTIF(Comparação!$H:$H,A284)&gt;0,"sim",IF(AND(G284="sim",H284=""),"FALTA (obrigatória)","não"))</f>
        <v>não</v>
      </c>
    </row>
    <row r="285" customFormat="false" ht="15" hidden="false" customHeight="false" outlineLevel="0" collapsed="false">
      <c r="A285" s="7" t="str">
        <f aca="false">B285&amp;"."&amp;E285</f>
        <v>chaves_api.usos</v>
      </c>
      <c r="B285" s="7" t="s">
        <v>70</v>
      </c>
      <c r="C285" s="7" t="s">
        <v>24</v>
      </c>
      <c r="D285" s="7" t="n">
        <v>10</v>
      </c>
      <c r="E285" s="7" t="s">
        <v>513</v>
      </c>
      <c r="F285" s="7" t="s">
        <v>269</v>
      </c>
      <c r="G285" s="7" t="s">
        <v>262</v>
      </c>
      <c r="H285" s="7" t="s">
        <v>270</v>
      </c>
      <c r="I285" s="7"/>
      <c r="J285" s="7"/>
      <c r="K285" s="7"/>
      <c r="L285" s="7" t="str">
        <f aca="false">IFERROR(VLOOKUP(IF(ISNUMBER(SEARCH("(",F285)),LEFT(F285,SEARCH("(",F285)-1),F285),Tipos!$A:$B,2,FALSE()),"outro")</f>
        <v>inteiro</v>
      </c>
      <c r="M285" s="7" t="str">
        <f aca="false">IF(COUNTIF(Comparação!$H:$H,A285)&gt;0,"sim",IF(AND(G285="sim",H285=""),"FALTA (obrigatória)","não"))</f>
        <v>não</v>
      </c>
    </row>
    <row r="286" customFormat="false" ht="15" hidden="false" customHeight="false" outlineLevel="0" collapsed="false">
      <c r="A286" s="7" t="str">
        <f aca="false">B286&amp;"."&amp;E286</f>
        <v>chaves_api.revogada_em</v>
      </c>
      <c r="B286" s="7" t="s">
        <v>70</v>
      </c>
      <c r="C286" s="7" t="s">
        <v>24</v>
      </c>
      <c r="D286" s="7" t="n">
        <v>11</v>
      </c>
      <c r="E286" s="7" t="s">
        <v>514</v>
      </c>
      <c r="F286" s="7" t="s">
        <v>285</v>
      </c>
      <c r="G286" s="7" t="s">
        <v>267</v>
      </c>
      <c r="H286" s="7"/>
      <c r="I286" s="7"/>
      <c r="J286" s="7"/>
      <c r="K286" s="7"/>
      <c r="L286" s="7" t="str">
        <f aca="false">IFERROR(VLOOKUP(IF(ISNUMBER(SEARCH("(",F286)),LEFT(F286,SEARCH("(",F286)-1),F286),Tipos!$A:$B,2,FALSE()),"outro")</f>
        <v>data e hora</v>
      </c>
      <c r="M286" s="7" t="str">
        <f aca="false">IF(COUNTIF(Comparação!$H:$H,A286)&gt;0,"sim",IF(AND(G286="sim",H286=""),"FALTA (obrigatória)","não"))</f>
        <v>não</v>
      </c>
    </row>
    <row r="287" customFormat="false" ht="15" hidden="false" customHeight="false" outlineLevel="0" collapsed="false">
      <c r="A287" s="7" t="str">
        <f aca="false">B287&amp;"."&amp;E287</f>
        <v>checkout_abandonos.id</v>
      </c>
      <c r="B287" s="7" t="s">
        <v>71</v>
      </c>
      <c r="C287" s="7" t="s">
        <v>72</v>
      </c>
      <c r="D287" s="7" t="n">
        <v>1</v>
      </c>
      <c r="E287" s="7" t="s">
        <v>271</v>
      </c>
      <c r="F287" s="7" t="s">
        <v>272</v>
      </c>
      <c r="G287" s="7" t="s">
        <v>262</v>
      </c>
      <c r="H287" s="7" t="s">
        <v>273</v>
      </c>
      <c r="I287" s="7" t="s">
        <v>263</v>
      </c>
      <c r="J287" s="7"/>
      <c r="K287" s="7"/>
      <c r="L287" s="7" t="str">
        <f aca="false">IFERROR(VLOOKUP(IF(ISNUMBER(SEARCH("(",F287)),LEFT(F287,SEARCH("(",F287)-1),F287),Tipos!$A:$B,2,FALSE()),"outro")</f>
        <v>uuid</v>
      </c>
      <c r="M287" s="7" t="str">
        <f aca="false">IF(COUNTIF(Comparação!$H:$H,A287)&gt;0,"sim",IF(AND(G287="sim",H287=""),"FALTA (obrigatória)","não"))</f>
        <v>não</v>
      </c>
    </row>
    <row r="288" customFormat="false" ht="15" hidden="false" customHeight="false" outlineLevel="0" collapsed="false">
      <c r="A288" s="7" t="str">
        <f aca="false">B288&amp;"."&amp;E288</f>
        <v>checkout_abandonos.workspace_id</v>
      </c>
      <c r="B288" s="7" t="s">
        <v>71</v>
      </c>
      <c r="C288" s="7" t="s">
        <v>72</v>
      </c>
      <c r="D288" s="7" t="n">
        <v>2</v>
      </c>
      <c r="E288" s="7" t="s">
        <v>274</v>
      </c>
      <c r="F288" s="7" t="s">
        <v>272</v>
      </c>
      <c r="G288" s="7" t="s">
        <v>262</v>
      </c>
      <c r="H288" s="7"/>
      <c r="I288" s="7"/>
      <c r="J288" s="7" t="s">
        <v>275</v>
      </c>
      <c r="K288" s="7"/>
      <c r="L288" s="7" t="str">
        <f aca="false">IFERROR(VLOOKUP(IF(ISNUMBER(SEARCH("(",F288)),LEFT(F288,SEARCH("(",F288)-1),F288),Tipos!$A:$B,2,FALSE()),"outro")</f>
        <v>uuid</v>
      </c>
      <c r="M288" s="7" t="str">
        <f aca="false">IF(COUNTIF(Comparação!$H:$H,A288)&gt;0,"sim",IF(AND(G288="sim",H288=""),"FALTA (obrigatória)","não"))</f>
        <v>FALTA (obrigatória)</v>
      </c>
    </row>
    <row r="289" customFormat="false" ht="15" hidden="false" customHeight="false" outlineLevel="0" collapsed="false">
      <c r="A289" s="7" t="str">
        <f aca="false">B289&amp;"."&amp;E289</f>
        <v>checkout_abandonos.campanha_id</v>
      </c>
      <c r="B289" s="7" t="s">
        <v>71</v>
      </c>
      <c r="C289" s="7" t="s">
        <v>72</v>
      </c>
      <c r="D289" s="7" t="n">
        <v>3</v>
      </c>
      <c r="E289" s="7" t="s">
        <v>336</v>
      </c>
      <c r="F289" s="7" t="s">
        <v>272</v>
      </c>
      <c r="G289" s="7" t="s">
        <v>267</v>
      </c>
      <c r="H289" s="7"/>
      <c r="I289" s="7"/>
      <c r="J289" s="7" t="s">
        <v>337</v>
      </c>
      <c r="K289" s="7"/>
      <c r="L289" s="7" t="str">
        <f aca="false">IFERROR(VLOOKUP(IF(ISNUMBER(SEARCH("(",F289)),LEFT(F289,SEARCH("(",F289)-1),F289),Tipos!$A:$B,2,FALSE()),"outro")</f>
        <v>uuid</v>
      </c>
      <c r="M289" s="7" t="str">
        <f aca="false">IF(COUNTIF(Comparação!$H:$H,A289)&gt;0,"sim",IF(AND(G289="sim",H289=""),"FALTA (obrigatória)","não"))</f>
        <v>não</v>
      </c>
    </row>
    <row r="290" customFormat="false" ht="15" hidden="false" customHeight="false" outlineLevel="0" collapsed="false">
      <c r="A290" s="7" t="str">
        <f aca="false">B290&amp;"."&amp;E290</f>
        <v>checkout_abandonos.pessoa_id</v>
      </c>
      <c r="B290" s="7" t="s">
        <v>71</v>
      </c>
      <c r="C290" s="7" t="s">
        <v>72</v>
      </c>
      <c r="D290" s="7" t="n">
        <v>4</v>
      </c>
      <c r="E290" s="7" t="s">
        <v>278</v>
      </c>
      <c r="F290" s="7" t="s">
        <v>272</v>
      </c>
      <c r="G290" s="7" t="s">
        <v>267</v>
      </c>
      <c r="H290" s="7"/>
      <c r="I290" s="7"/>
      <c r="J290" s="7" t="s">
        <v>279</v>
      </c>
      <c r="K290" s="7"/>
      <c r="L290" s="7" t="str">
        <f aca="false">IFERROR(VLOOKUP(IF(ISNUMBER(SEARCH("(",F290)),LEFT(F290,SEARCH("(",F290)-1),F290),Tipos!$A:$B,2,FALSE()),"outro")</f>
        <v>uuid</v>
      </c>
      <c r="M290" s="7" t="str">
        <f aca="false">IF(COUNTIF(Comparação!$H:$H,A290)&gt;0,"sim",IF(AND(G290="sim",H290=""),"FALTA (obrigatória)","não"))</f>
        <v>não</v>
      </c>
    </row>
    <row r="291" customFormat="false" ht="15" hidden="false" customHeight="false" outlineLevel="0" collapsed="false">
      <c r="A291" s="7" t="str">
        <f aca="false">B291&amp;"."&amp;E291</f>
        <v>checkout_abandonos.produto_id</v>
      </c>
      <c r="B291" s="7" t="s">
        <v>71</v>
      </c>
      <c r="C291" s="7" t="s">
        <v>72</v>
      </c>
      <c r="D291" s="7" t="n">
        <v>5</v>
      </c>
      <c r="E291" s="7" t="s">
        <v>287</v>
      </c>
      <c r="F291" s="7" t="s">
        <v>272</v>
      </c>
      <c r="G291" s="7" t="s">
        <v>267</v>
      </c>
      <c r="H291" s="7"/>
      <c r="I291" s="7"/>
      <c r="J291" s="7" t="s">
        <v>288</v>
      </c>
      <c r="K291" s="7"/>
      <c r="L291" s="7" t="str">
        <f aca="false">IFERROR(VLOOKUP(IF(ISNUMBER(SEARCH("(",F291)),LEFT(F291,SEARCH("(",F291)-1),F291),Tipos!$A:$B,2,FALSE()),"outro")</f>
        <v>uuid</v>
      </c>
      <c r="M291" s="7" t="str">
        <f aca="false">IF(COUNTIF(Comparação!$H:$H,A291)&gt;0,"sim",IF(AND(G291="sim",H291=""),"FALTA (obrigatória)","não"))</f>
        <v>não</v>
      </c>
    </row>
    <row r="292" customFormat="false" ht="15" hidden="false" customHeight="false" outlineLevel="0" collapsed="false">
      <c r="A292" s="7" t="str">
        <f aca="false">B292&amp;"."&amp;E292</f>
        <v>checkout_abandonos.valor</v>
      </c>
      <c r="B292" s="7" t="s">
        <v>71</v>
      </c>
      <c r="C292" s="7" t="s">
        <v>72</v>
      </c>
      <c r="D292" s="7" t="n">
        <v>6</v>
      </c>
      <c r="E292" s="7" t="s">
        <v>330</v>
      </c>
      <c r="F292" s="7" t="s">
        <v>380</v>
      </c>
      <c r="G292" s="7" t="s">
        <v>267</v>
      </c>
      <c r="H292" s="7"/>
      <c r="I292" s="7"/>
      <c r="J292" s="7"/>
      <c r="K292" s="7"/>
      <c r="L292" s="7" t="str">
        <f aca="false">IFERROR(VLOOKUP(IF(ISNUMBER(SEARCH("(",F292)),LEFT(F292,SEARCH("(",F292)-1),F292),Tipos!$A:$B,2,FALSE()),"outro")</f>
        <v>decimal</v>
      </c>
      <c r="M292" s="7" t="str">
        <f aca="false">IF(COUNTIF(Comparação!$H:$H,A292)&gt;0,"sim",IF(AND(G292="sim",H292=""),"FALTA (obrigatória)","não"))</f>
        <v>não</v>
      </c>
    </row>
    <row r="293" customFormat="false" ht="15" hidden="false" customHeight="false" outlineLevel="0" collapsed="false">
      <c r="A293" s="7" t="str">
        <f aca="false">B293&amp;"."&amp;E293</f>
        <v>checkout_abandonos.abandonado_em</v>
      </c>
      <c r="B293" s="7" t="s">
        <v>71</v>
      </c>
      <c r="C293" s="7" t="s">
        <v>72</v>
      </c>
      <c r="D293" s="7" t="n">
        <v>7</v>
      </c>
      <c r="E293" s="7" t="s">
        <v>515</v>
      </c>
      <c r="F293" s="7" t="s">
        <v>285</v>
      </c>
      <c r="G293" s="7" t="s">
        <v>262</v>
      </c>
      <c r="H293" s="7"/>
      <c r="I293" s="7"/>
      <c r="J293" s="7"/>
      <c r="K293" s="7"/>
      <c r="L293" s="7" t="str">
        <f aca="false">IFERROR(VLOOKUP(IF(ISNUMBER(SEARCH("(",F293)),LEFT(F293,SEARCH("(",F293)-1),F293),Tipos!$A:$B,2,FALSE()),"outro")</f>
        <v>data e hora</v>
      </c>
      <c r="M293" s="7" t="str">
        <f aca="false">IF(COUNTIF(Comparação!$H:$H,A293)&gt;0,"sim",IF(AND(G293="sim",H293=""),"FALTA (obrigatória)","não"))</f>
        <v>FALTA (obrigatória)</v>
      </c>
    </row>
    <row r="294" customFormat="false" ht="15" hidden="false" customHeight="false" outlineLevel="0" collapsed="false">
      <c r="A294" s="7" t="str">
        <f aca="false">B294&amp;"."&amp;E294</f>
        <v>checkout_abandonos.origem</v>
      </c>
      <c r="B294" s="7" t="s">
        <v>71</v>
      </c>
      <c r="C294" s="7" t="s">
        <v>72</v>
      </c>
      <c r="D294" s="7" t="n">
        <v>8</v>
      </c>
      <c r="E294" s="7" t="s">
        <v>302</v>
      </c>
      <c r="F294" s="7" t="s">
        <v>261</v>
      </c>
      <c r="G294" s="7" t="s">
        <v>262</v>
      </c>
      <c r="H294" s="7" t="s">
        <v>381</v>
      </c>
      <c r="I294" s="7"/>
      <c r="J294" s="7"/>
      <c r="K294" s="7"/>
      <c r="L294" s="7" t="str">
        <f aca="false">IFERROR(VLOOKUP(IF(ISNUMBER(SEARCH("(",F294)),LEFT(F294,SEARCH("(",F294)-1),F294),Tipos!$A:$B,2,FALSE()),"outro")</f>
        <v>texto</v>
      </c>
      <c r="M294" s="7" t="str">
        <f aca="false">IF(COUNTIF(Comparação!$H:$H,A294)&gt;0,"sim",IF(AND(G294="sim",H294=""),"FALTA (obrigatória)","não"))</f>
        <v>não</v>
      </c>
    </row>
    <row r="295" customFormat="false" ht="15" hidden="false" customHeight="false" outlineLevel="0" collapsed="false">
      <c r="A295" s="7" t="str">
        <f aca="false">B295&amp;"."&amp;E295</f>
        <v>checkout_abandonos.id_externo</v>
      </c>
      <c r="B295" s="7" t="s">
        <v>71</v>
      </c>
      <c r="C295" s="7" t="s">
        <v>72</v>
      </c>
      <c r="D295" s="7" t="n">
        <v>9</v>
      </c>
      <c r="E295" s="7" t="s">
        <v>308</v>
      </c>
      <c r="F295" s="7" t="s">
        <v>261</v>
      </c>
      <c r="G295" s="7" t="s">
        <v>267</v>
      </c>
      <c r="H295" s="7"/>
      <c r="I295" s="7"/>
      <c r="J295" s="7"/>
      <c r="K295" s="7"/>
      <c r="L295" s="7" t="str">
        <f aca="false">IFERROR(VLOOKUP(IF(ISNUMBER(SEARCH("(",F295)),LEFT(F295,SEARCH("(",F295)-1),F295),Tipos!$A:$B,2,FALSE()),"outro")</f>
        <v>texto</v>
      </c>
      <c r="M295" s="7" t="str">
        <f aca="false">IF(COUNTIF(Comparação!$H:$H,A295)&gt;0,"sim",IF(AND(G295="sim",H295=""),"FALTA (obrigatória)","não"))</f>
        <v>não</v>
      </c>
    </row>
    <row r="296" customFormat="false" ht="15" hidden="false" customHeight="false" outlineLevel="0" collapsed="false">
      <c r="A296" s="7" t="str">
        <f aca="false">B296&amp;"."&amp;E296</f>
        <v>checkout_abandonos.recuperado_venda_id</v>
      </c>
      <c r="B296" s="7" t="s">
        <v>71</v>
      </c>
      <c r="C296" s="7" t="s">
        <v>72</v>
      </c>
      <c r="D296" s="7" t="n">
        <v>10</v>
      </c>
      <c r="E296" s="7" t="s">
        <v>516</v>
      </c>
      <c r="F296" s="7" t="s">
        <v>272</v>
      </c>
      <c r="G296" s="7" t="s">
        <v>267</v>
      </c>
      <c r="H296" s="7"/>
      <c r="I296" s="7"/>
      <c r="J296" s="7" t="s">
        <v>291</v>
      </c>
      <c r="K296" s="7"/>
      <c r="L296" s="7" t="str">
        <f aca="false">IFERROR(VLOOKUP(IF(ISNUMBER(SEARCH("(",F296)),LEFT(F296,SEARCH("(",F296)-1),F296),Tipos!$A:$B,2,FALSE()),"outro")</f>
        <v>uuid</v>
      </c>
      <c r="M296" s="7" t="str">
        <f aca="false">IF(COUNTIF(Comparação!$H:$H,A296)&gt;0,"sim",IF(AND(G296="sim",H296=""),"FALTA (obrigatória)","não"))</f>
        <v>não</v>
      </c>
    </row>
    <row r="297" customFormat="false" ht="15" hidden="false" customHeight="false" outlineLevel="0" collapsed="false">
      <c r="A297" s="7" t="str">
        <f aca="false">B297&amp;"."&amp;E297</f>
        <v>checkout_abandonos.recuperado_em</v>
      </c>
      <c r="B297" s="7" t="s">
        <v>71</v>
      </c>
      <c r="C297" s="7" t="s">
        <v>72</v>
      </c>
      <c r="D297" s="7" t="n">
        <v>11</v>
      </c>
      <c r="E297" s="7" t="s">
        <v>517</v>
      </c>
      <c r="F297" s="7" t="s">
        <v>285</v>
      </c>
      <c r="G297" s="7" t="s">
        <v>267</v>
      </c>
      <c r="H297" s="7"/>
      <c r="I297" s="7"/>
      <c r="J297" s="7"/>
      <c r="K297" s="7"/>
      <c r="L297" s="7" t="str">
        <f aca="false">IFERROR(VLOOKUP(IF(ISNUMBER(SEARCH("(",F297)),LEFT(F297,SEARCH("(",F297)-1),F297),Tipos!$A:$B,2,FALSE()),"outro")</f>
        <v>data e hora</v>
      </c>
      <c r="M297" s="7" t="str">
        <f aca="false">IF(COUNTIF(Comparação!$H:$H,A297)&gt;0,"sim",IF(AND(G297="sim",H297=""),"FALTA (obrigatória)","não"))</f>
        <v>não</v>
      </c>
    </row>
    <row r="298" customFormat="false" ht="15" hidden="false" customHeight="false" outlineLevel="0" collapsed="false">
      <c r="A298" s="7" t="str">
        <f aca="false">B298&amp;"."&amp;E298</f>
        <v>checkout_abandonos.criado_em</v>
      </c>
      <c r="B298" s="7" t="s">
        <v>71</v>
      </c>
      <c r="C298" s="7" t="s">
        <v>72</v>
      </c>
      <c r="D298" s="7" t="n">
        <v>12</v>
      </c>
      <c r="E298" s="7" t="s">
        <v>344</v>
      </c>
      <c r="F298" s="7" t="s">
        <v>285</v>
      </c>
      <c r="G298" s="7" t="s">
        <v>262</v>
      </c>
      <c r="H298" s="7" t="s">
        <v>286</v>
      </c>
      <c r="I298" s="7"/>
      <c r="J298" s="7"/>
      <c r="K298" s="7"/>
      <c r="L298" s="7" t="str">
        <f aca="false">IFERROR(VLOOKUP(IF(ISNUMBER(SEARCH("(",F298)),LEFT(F298,SEARCH("(",F298)-1),F298),Tipos!$A:$B,2,FALSE()),"outro")</f>
        <v>data e hora</v>
      </c>
      <c r="M298" s="7" t="str">
        <f aca="false">IF(COUNTIF(Comparação!$H:$H,A298)&gt;0,"sim",IF(AND(G298="sim",H298=""),"FALTA (obrigatória)","não"))</f>
        <v>não</v>
      </c>
    </row>
    <row r="299" customFormat="false" ht="15" hidden="false" customHeight="false" outlineLevel="0" collapsed="false">
      <c r="A299" s="7" t="str">
        <f aca="false">B299&amp;"."&amp;E299</f>
        <v>contas_bancarias.id</v>
      </c>
      <c r="B299" s="7" t="s">
        <v>74</v>
      </c>
      <c r="C299" s="7" t="s">
        <v>69</v>
      </c>
      <c r="D299" s="7" t="n">
        <v>1</v>
      </c>
      <c r="E299" s="7" t="s">
        <v>271</v>
      </c>
      <c r="F299" s="7" t="s">
        <v>272</v>
      </c>
      <c r="G299" s="7" t="s">
        <v>262</v>
      </c>
      <c r="H299" s="7" t="s">
        <v>273</v>
      </c>
      <c r="I299" s="7" t="s">
        <v>263</v>
      </c>
      <c r="J299" s="7"/>
      <c r="K299" s="7"/>
      <c r="L299" s="7" t="str">
        <f aca="false">IFERROR(VLOOKUP(IF(ISNUMBER(SEARCH("(",F299)),LEFT(F299,SEARCH("(",F299)-1),F299),Tipos!$A:$B,2,FALSE()),"outro")</f>
        <v>uuid</v>
      </c>
      <c r="M299" s="7" t="str">
        <f aca="false">IF(COUNTIF(Comparação!$H:$H,A299)&gt;0,"sim",IF(AND(G299="sim",H299=""),"FALTA (obrigatória)","não"))</f>
        <v>não</v>
      </c>
    </row>
    <row r="300" customFormat="false" ht="15" hidden="false" customHeight="false" outlineLevel="0" collapsed="false">
      <c r="A300" s="7" t="str">
        <f aca="false">B300&amp;"."&amp;E300</f>
        <v>contas_bancarias.workspace_id</v>
      </c>
      <c r="B300" s="7" t="s">
        <v>74</v>
      </c>
      <c r="C300" s="7" t="s">
        <v>69</v>
      </c>
      <c r="D300" s="7" t="n">
        <v>2</v>
      </c>
      <c r="E300" s="7" t="s">
        <v>274</v>
      </c>
      <c r="F300" s="7" t="s">
        <v>272</v>
      </c>
      <c r="G300" s="7" t="s">
        <v>262</v>
      </c>
      <c r="H300" s="7"/>
      <c r="I300" s="7"/>
      <c r="J300" s="7" t="s">
        <v>275</v>
      </c>
      <c r="K300" s="7"/>
      <c r="L300" s="7" t="str">
        <f aca="false">IFERROR(VLOOKUP(IF(ISNUMBER(SEARCH("(",F300)),LEFT(F300,SEARCH("(",F300)-1),F300),Tipos!$A:$B,2,FALSE()),"outro")</f>
        <v>uuid</v>
      </c>
      <c r="M300" s="7" t="str">
        <f aca="false">IF(COUNTIF(Comparação!$H:$H,A300)&gt;0,"sim",IF(AND(G300="sim",H300=""),"FALTA (obrigatória)","não"))</f>
        <v>FALTA (obrigatória)</v>
      </c>
    </row>
    <row r="301" customFormat="false" ht="15" hidden="false" customHeight="false" outlineLevel="0" collapsed="false">
      <c r="A301" s="7" t="str">
        <f aca="false">B301&amp;"."&amp;E301</f>
        <v>contas_bancarias.nome</v>
      </c>
      <c r="B301" s="7" t="s">
        <v>74</v>
      </c>
      <c r="C301" s="7" t="s">
        <v>69</v>
      </c>
      <c r="D301" s="7" t="n">
        <v>3</v>
      </c>
      <c r="E301" s="7" t="s">
        <v>265</v>
      </c>
      <c r="F301" s="7" t="s">
        <v>261</v>
      </c>
      <c r="G301" s="7" t="s">
        <v>262</v>
      </c>
      <c r="H301" s="7"/>
      <c r="I301" s="7"/>
      <c r="J301" s="7"/>
      <c r="K301" s="7"/>
      <c r="L301" s="7" t="str">
        <f aca="false">IFERROR(VLOOKUP(IF(ISNUMBER(SEARCH("(",F301)),LEFT(F301,SEARCH("(",F301)-1),F301),Tipos!$A:$B,2,FALSE()),"outro")</f>
        <v>texto</v>
      </c>
      <c r="M301" s="7" t="str">
        <f aca="false">IF(COUNTIF(Comparação!$H:$H,A301)&gt;0,"sim",IF(AND(G301="sim",H301=""),"FALTA (obrigatória)","não"))</f>
        <v>FALTA (obrigatória)</v>
      </c>
    </row>
    <row r="302" customFormat="false" ht="15" hidden="false" customHeight="false" outlineLevel="0" collapsed="false">
      <c r="A302" s="7" t="str">
        <f aca="false">B302&amp;"."&amp;E302</f>
        <v>contas_bancarias.banco</v>
      </c>
      <c r="B302" s="7" t="s">
        <v>74</v>
      </c>
      <c r="C302" s="7" t="s">
        <v>69</v>
      </c>
      <c r="D302" s="7" t="n">
        <v>4</v>
      </c>
      <c r="E302" s="7" t="s">
        <v>518</v>
      </c>
      <c r="F302" s="7" t="s">
        <v>261</v>
      </c>
      <c r="G302" s="7" t="s">
        <v>267</v>
      </c>
      <c r="H302" s="7"/>
      <c r="I302" s="7"/>
      <c r="J302" s="7"/>
      <c r="K302" s="7"/>
      <c r="L302" s="7" t="str">
        <f aca="false">IFERROR(VLOOKUP(IF(ISNUMBER(SEARCH("(",F302)),LEFT(F302,SEARCH("(",F302)-1),F302),Tipos!$A:$B,2,FALSE()),"outro")</f>
        <v>texto</v>
      </c>
      <c r="M302" s="7" t="str">
        <f aca="false">IF(COUNTIF(Comparação!$H:$H,A302)&gt;0,"sim",IF(AND(G302="sim",H302=""),"FALTA (obrigatória)","não"))</f>
        <v>não</v>
      </c>
    </row>
    <row r="303" customFormat="false" ht="15" hidden="false" customHeight="false" outlineLevel="0" collapsed="false">
      <c r="A303" s="7" t="str">
        <f aca="false">B303&amp;"."&amp;E303</f>
        <v>contas_bancarias.saldo_inicial</v>
      </c>
      <c r="B303" s="7" t="s">
        <v>74</v>
      </c>
      <c r="C303" s="7" t="s">
        <v>69</v>
      </c>
      <c r="D303" s="7" t="n">
        <v>5</v>
      </c>
      <c r="E303" s="7" t="s">
        <v>519</v>
      </c>
      <c r="F303" s="7" t="s">
        <v>354</v>
      </c>
      <c r="G303" s="7" t="s">
        <v>262</v>
      </c>
      <c r="H303" s="7" t="s">
        <v>270</v>
      </c>
      <c r="I303" s="7"/>
      <c r="J303" s="7"/>
      <c r="K303" s="7"/>
      <c r="L303" s="7" t="str">
        <f aca="false">IFERROR(VLOOKUP(IF(ISNUMBER(SEARCH("(",F303)),LEFT(F303,SEARCH("(",F303)-1),F303),Tipos!$A:$B,2,FALSE()),"outro")</f>
        <v>decimal</v>
      </c>
      <c r="M303" s="7" t="str">
        <f aca="false">IF(COUNTIF(Comparação!$H:$H,A303)&gt;0,"sim",IF(AND(G303="sim",H303=""),"FALTA (obrigatória)","não"))</f>
        <v>não</v>
      </c>
    </row>
    <row r="304" customFormat="false" ht="15" hidden="false" customHeight="false" outlineLevel="0" collapsed="false">
      <c r="A304" s="7" t="str">
        <f aca="false">B304&amp;"."&amp;E304</f>
        <v>contas_bancarias.conta_contabil_id</v>
      </c>
      <c r="B304" s="7" t="s">
        <v>74</v>
      </c>
      <c r="C304" s="7" t="s">
        <v>69</v>
      </c>
      <c r="D304" s="7" t="n">
        <v>6</v>
      </c>
      <c r="E304" s="7" t="s">
        <v>520</v>
      </c>
      <c r="F304" s="7" t="s">
        <v>272</v>
      </c>
      <c r="G304" s="7" t="s">
        <v>262</v>
      </c>
      <c r="H304" s="7"/>
      <c r="I304" s="7"/>
      <c r="J304" s="7" t="s">
        <v>521</v>
      </c>
      <c r="K304" s="7"/>
      <c r="L304" s="7" t="str">
        <f aca="false">IFERROR(VLOOKUP(IF(ISNUMBER(SEARCH("(",F304)),LEFT(F304,SEARCH("(",F304)-1),F304),Tipos!$A:$B,2,FALSE()),"outro")</f>
        <v>uuid</v>
      </c>
      <c r="M304" s="7" t="str">
        <f aca="false">IF(COUNTIF(Comparação!$H:$H,A304)&gt;0,"sim",IF(AND(G304="sim",H304=""),"FALTA (obrigatória)","não"))</f>
        <v>FALTA (obrigatória)</v>
      </c>
    </row>
    <row r="305" customFormat="false" ht="15" hidden="false" customHeight="false" outlineLevel="0" collapsed="false">
      <c r="A305" s="7" t="str">
        <f aca="false">B305&amp;"."&amp;E305</f>
        <v>contas_bancarias.padrao</v>
      </c>
      <c r="B305" s="7" t="s">
        <v>74</v>
      </c>
      <c r="C305" s="7" t="s">
        <v>69</v>
      </c>
      <c r="D305" s="7" t="n">
        <v>7</v>
      </c>
      <c r="E305" s="7" t="s">
        <v>522</v>
      </c>
      <c r="F305" s="7" t="s">
        <v>310</v>
      </c>
      <c r="G305" s="7" t="s">
        <v>262</v>
      </c>
      <c r="H305" s="7" t="s">
        <v>375</v>
      </c>
      <c r="I305" s="7"/>
      <c r="J305" s="7"/>
      <c r="K305" s="7"/>
      <c r="L305" s="7" t="str">
        <f aca="false">IFERROR(VLOOKUP(IF(ISNUMBER(SEARCH("(",F305)),LEFT(F305,SEARCH("(",F305)-1),F305),Tipos!$A:$B,2,FALSE()),"outro")</f>
        <v>booleano</v>
      </c>
      <c r="M305" s="7" t="str">
        <f aca="false">IF(COUNTIF(Comparação!$H:$H,A305)&gt;0,"sim",IF(AND(G305="sim",H305=""),"FALTA (obrigatória)","não"))</f>
        <v>não</v>
      </c>
    </row>
    <row r="306" customFormat="false" ht="15" hidden="false" customHeight="false" outlineLevel="0" collapsed="false">
      <c r="A306" s="7" t="str">
        <f aca="false">B306&amp;"."&amp;E306</f>
        <v>contas_bancarias.ativa</v>
      </c>
      <c r="B306" s="7" t="s">
        <v>74</v>
      </c>
      <c r="C306" s="7" t="s">
        <v>69</v>
      </c>
      <c r="D306" s="7" t="n">
        <v>8</v>
      </c>
      <c r="E306" s="7" t="s">
        <v>399</v>
      </c>
      <c r="F306" s="7" t="s">
        <v>310</v>
      </c>
      <c r="G306" s="7" t="s">
        <v>262</v>
      </c>
      <c r="H306" s="7" t="s">
        <v>311</v>
      </c>
      <c r="I306" s="7"/>
      <c r="J306" s="7"/>
      <c r="K306" s="7"/>
      <c r="L306" s="7" t="str">
        <f aca="false">IFERROR(VLOOKUP(IF(ISNUMBER(SEARCH("(",F306)),LEFT(F306,SEARCH("(",F306)-1),F306),Tipos!$A:$B,2,FALSE()),"outro")</f>
        <v>booleano</v>
      </c>
      <c r="M306" s="7" t="str">
        <f aca="false">IF(COUNTIF(Comparação!$H:$H,A306)&gt;0,"sim",IF(AND(G306="sim",H306=""),"FALTA (obrigatória)","não"))</f>
        <v>não</v>
      </c>
    </row>
    <row r="307" customFormat="false" ht="15" hidden="false" customHeight="false" outlineLevel="0" collapsed="false">
      <c r="A307" s="7" t="str">
        <f aca="false">B307&amp;"."&amp;E307</f>
        <v>contas_bancarias.tipo</v>
      </c>
      <c r="B307" s="7" t="s">
        <v>74</v>
      </c>
      <c r="C307" s="7" t="s">
        <v>69</v>
      </c>
      <c r="D307" s="7" t="n">
        <v>9</v>
      </c>
      <c r="E307" s="7" t="s">
        <v>280</v>
      </c>
      <c r="F307" s="7" t="s">
        <v>261</v>
      </c>
      <c r="G307" s="7" t="s">
        <v>262</v>
      </c>
      <c r="H307" s="7" t="s">
        <v>523</v>
      </c>
      <c r="I307" s="7"/>
      <c r="J307" s="7"/>
      <c r="K307" s="7" t="s">
        <v>524</v>
      </c>
      <c r="L307" s="7" t="str">
        <f aca="false">IFERROR(VLOOKUP(IF(ISNUMBER(SEARCH("(",F307)),LEFT(F307,SEARCH("(",F307)-1),F307),Tipos!$A:$B,2,FALSE()),"outro")</f>
        <v>texto</v>
      </c>
      <c r="M307" s="7" t="str">
        <f aca="false">IF(COUNTIF(Comparação!$H:$H,A307)&gt;0,"sim",IF(AND(G307="sim",H307=""),"FALTA (obrigatória)","não"))</f>
        <v>não</v>
      </c>
    </row>
    <row r="308" customFormat="false" ht="15" hidden="false" customHeight="false" outlineLevel="0" collapsed="false">
      <c r="A308" s="7" t="str">
        <f aca="false">B308&amp;"."&amp;E308</f>
        <v>contas_bancarias.dia_vencimento</v>
      </c>
      <c r="B308" s="7" t="s">
        <v>74</v>
      </c>
      <c r="C308" s="7" t="s">
        <v>69</v>
      </c>
      <c r="D308" s="7" t="n">
        <v>10</v>
      </c>
      <c r="E308" s="7" t="s">
        <v>525</v>
      </c>
      <c r="F308" s="7" t="s">
        <v>269</v>
      </c>
      <c r="G308" s="7" t="s">
        <v>267</v>
      </c>
      <c r="H308" s="7"/>
      <c r="I308" s="7"/>
      <c r="J308" s="7"/>
      <c r="K308" s="7" t="s">
        <v>526</v>
      </c>
      <c r="L308" s="7" t="str">
        <f aca="false">IFERROR(VLOOKUP(IF(ISNUMBER(SEARCH("(",F308)),LEFT(F308,SEARCH("(",F308)-1),F308),Tipos!$A:$B,2,FALSE()),"outro")</f>
        <v>inteiro</v>
      </c>
      <c r="M308" s="7" t="str">
        <f aca="false">IF(COUNTIF(Comparação!$H:$H,A308)&gt;0,"sim",IF(AND(G308="sim",H308=""),"FALTA (obrigatória)","não"))</f>
        <v>não</v>
      </c>
    </row>
    <row r="309" customFormat="false" ht="15" hidden="false" customHeight="false" outlineLevel="0" collapsed="false">
      <c r="A309" s="7" t="str">
        <f aca="false">B309&amp;"."&amp;E309</f>
        <v>contas_pagar.id</v>
      </c>
      <c r="B309" s="7" t="s">
        <v>76</v>
      </c>
      <c r="C309" s="7" t="s">
        <v>69</v>
      </c>
      <c r="D309" s="7" t="n">
        <v>1</v>
      </c>
      <c r="E309" s="7" t="s">
        <v>271</v>
      </c>
      <c r="F309" s="7" t="s">
        <v>272</v>
      </c>
      <c r="G309" s="7" t="s">
        <v>262</v>
      </c>
      <c r="H309" s="7" t="s">
        <v>273</v>
      </c>
      <c r="I309" s="7" t="s">
        <v>263</v>
      </c>
      <c r="J309" s="7"/>
      <c r="K309" s="7"/>
      <c r="L309" s="7" t="str">
        <f aca="false">IFERROR(VLOOKUP(IF(ISNUMBER(SEARCH("(",F309)),LEFT(F309,SEARCH("(",F309)-1),F309),Tipos!$A:$B,2,FALSE()),"outro")</f>
        <v>uuid</v>
      </c>
      <c r="M309" s="7" t="str">
        <f aca="false">IF(COUNTIF(Comparação!$H:$H,A309)&gt;0,"sim",IF(AND(G309="sim",H309=""),"FALTA (obrigatória)","não"))</f>
        <v>não</v>
      </c>
    </row>
    <row r="310" customFormat="false" ht="15" hidden="false" customHeight="false" outlineLevel="0" collapsed="false">
      <c r="A310" s="7" t="str">
        <f aca="false">B310&amp;"."&amp;E310</f>
        <v>contas_pagar.workspace_id</v>
      </c>
      <c r="B310" s="7" t="s">
        <v>76</v>
      </c>
      <c r="C310" s="7" t="s">
        <v>69</v>
      </c>
      <c r="D310" s="7" t="n">
        <v>2</v>
      </c>
      <c r="E310" s="7" t="s">
        <v>274</v>
      </c>
      <c r="F310" s="7" t="s">
        <v>272</v>
      </c>
      <c r="G310" s="7" t="s">
        <v>262</v>
      </c>
      <c r="H310" s="7"/>
      <c r="I310" s="7"/>
      <c r="J310" s="7" t="s">
        <v>275</v>
      </c>
      <c r="K310" s="7"/>
      <c r="L310" s="7" t="str">
        <f aca="false">IFERROR(VLOOKUP(IF(ISNUMBER(SEARCH("(",F310)),LEFT(F310,SEARCH("(",F310)-1),F310),Tipos!$A:$B,2,FALSE()),"outro")</f>
        <v>uuid</v>
      </c>
      <c r="M310" s="7" t="str">
        <f aca="false">IF(COUNTIF(Comparação!$H:$H,A310)&gt;0,"sim",IF(AND(G310="sim",H310=""),"FALTA (obrigatória)","não"))</f>
        <v>FALTA (obrigatória)</v>
      </c>
    </row>
    <row r="311" customFormat="false" ht="15" hidden="false" customHeight="false" outlineLevel="0" collapsed="false">
      <c r="A311" s="7" t="str">
        <f aca="false">B311&amp;"."&amp;E311</f>
        <v>contas_pagar.fornecedor_id</v>
      </c>
      <c r="B311" s="7" t="s">
        <v>76</v>
      </c>
      <c r="C311" s="7" t="s">
        <v>69</v>
      </c>
      <c r="D311" s="7" t="n">
        <v>3</v>
      </c>
      <c r="E311" s="7" t="s">
        <v>527</v>
      </c>
      <c r="F311" s="7" t="s">
        <v>272</v>
      </c>
      <c r="G311" s="7" t="s">
        <v>267</v>
      </c>
      <c r="H311" s="7"/>
      <c r="I311" s="7"/>
      <c r="J311" s="7" t="s">
        <v>528</v>
      </c>
      <c r="K311" s="7"/>
      <c r="L311" s="7" t="str">
        <f aca="false">IFERROR(VLOOKUP(IF(ISNUMBER(SEARCH("(",F311)),LEFT(F311,SEARCH("(",F311)-1),F311),Tipos!$A:$B,2,FALSE()),"outro")</f>
        <v>uuid</v>
      </c>
      <c r="M311" s="7" t="str">
        <f aca="false">IF(COUNTIF(Comparação!$H:$H,A311)&gt;0,"sim",IF(AND(G311="sim",H311=""),"FALTA (obrigatória)","não"))</f>
        <v>não</v>
      </c>
    </row>
    <row r="312" customFormat="false" ht="15" hidden="false" customHeight="false" outlineLevel="0" collapsed="false">
      <c r="A312" s="7" t="str">
        <f aca="false">B312&amp;"."&amp;E312</f>
        <v>contas_pagar.descricao</v>
      </c>
      <c r="B312" s="7" t="s">
        <v>76</v>
      </c>
      <c r="C312" s="7" t="s">
        <v>69</v>
      </c>
      <c r="D312" s="7" t="n">
        <v>4</v>
      </c>
      <c r="E312" s="7" t="s">
        <v>427</v>
      </c>
      <c r="F312" s="7" t="s">
        <v>261</v>
      </c>
      <c r="G312" s="7" t="s">
        <v>262</v>
      </c>
      <c r="H312" s="7"/>
      <c r="I312" s="7"/>
      <c r="J312" s="7"/>
      <c r="K312" s="7"/>
      <c r="L312" s="7" t="str">
        <f aca="false">IFERROR(VLOOKUP(IF(ISNUMBER(SEARCH("(",F312)),LEFT(F312,SEARCH("(",F312)-1),F312),Tipos!$A:$B,2,FALSE()),"outro")</f>
        <v>texto</v>
      </c>
      <c r="M312" s="7" t="str">
        <f aca="false">IF(COUNTIF(Comparação!$H:$H,A312)&gt;0,"sim",IF(AND(G312="sim",H312=""),"FALTA (obrigatória)","não"))</f>
        <v>FALTA (obrigatória)</v>
      </c>
    </row>
    <row r="313" customFormat="false" ht="15" hidden="false" customHeight="false" outlineLevel="0" collapsed="false">
      <c r="A313" s="7" t="str">
        <f aca="false">B313&amp;"."&amp;E313</f>
        <v>contas_pagar.valor</v>
      </c>
      <c r="B313" s="7" t="s">
        <v>76</v>
      </c>
      <c r="C313" s="7" t="s">
        <v>69</v>
      </c>
      <c r="D313" s="7" t="n">
        <v>5</v>
      </c>
      <c r="E313" s="7" t="s">
        <v>330</v>
      </c>
      <c r="F313" s="7" t="s">
        <v>354</v>
      </c>
      <c r="G313" s="7" t="s">
        <v>262</v>
      </c>
      <c r="H313" s="7"/>
      <c r="I313" s="7"/>
      <c r="J313" s="7"/>
      <c r="K313" s="7" t="s">
        <v>529</v>
      </c>
      <c r="L313" s="7" t="str">
        <f aca="false">IFERROR(VLOOKUP(IF(ISNUMBER(SEARCH("(",F313)),LEFT(F313,SEARCH("(",F313)-1),F313),Tipos!$A:$B,2,FALSE()),"outro")</f>
        <v>decimal</v>
      </c>
      <c r="M313" s="7" t="str">
        <f aca="false">IF(COUNTIF(Comparação!$H:$H,A313)&gt;0,"sim",IF(AND(G313="sim",H313=""),"FALTA (obrigatória)","não"))</f>
        <v>FALTA (obrigatória)</v>
      </c>
    </row>
    <row r="314" customFormat="false" ht="15" hidden="false" customHeight="false" outlineLevel="0" collapsed="false">
      <c r="A314" s="7" t="str">
        <f aca="false">B314&amp;"."&amp;E314</f>
        <v>contas_pagar.competencia</v>
      </c>
      <c r="B314" s="7" t="s">
        <v>76</v>
      </c>
      <c r="C314" s="7" t="s">
        <v>69</v>
      </c>
      <c r="D314" s="7" t="n">
        <v>6</v>
      </c>
      <c r="E314" s="7" t="s">
        <v>530</v>
      </c>
      <c r="F314" s="7" t="s">
        <v>379</v>
      </c>
      <c r="G314" s="7" t="s">
        <v>267</v>
      </c>
      <c r="H314" s="7"/>
      <c r="I314" s="7"/>
      <c r="J314" s="7"/>
      <c r="K314" s="7"/>
      <c r="L314" s="7" t="str">
        <f aca="false">IFERROR(VLOOKUP(IF(ISNUMBER(SEARCH("(",F314)),LEFT(F314,SEARCH("(",F314)-1),F314),Tipos!$A:$B,2,FALSE()),"outro")</f>
        <v>data</v>
      </c>
      <c r="M314" s="7" t="str">
        <f aca="false">IF(COUNTIF(Comparação!$H:$H,A314)&gt;0,"sim",IF(AND(G314="sim",H314=""),"FALTA (obrigatória)","não"))</f>
        <v>não</v>
      </c>
    </row>
    <row r="315" customFormat="false" ht="15" hidden="false" customHeight="false" outlineLevel="0" collapsed="false">
      <c r="A315" s="7" t="str">
        <f aca="false">B315&amp;"."&amp;E315</f>
        <v>contas_pagar.vencimento</v>
      </c>
      <c r="B315" s="7" t="s">
        <v>76</v>
      </c>
      <c r="C315" s="7" t="s">
        <v>69</v>
      </c>
      <c r="D315" s="7" t="n">
        <v>7</v>
      </c>
      <c r="E315" s="7" t="s">
        <v>531</v>
      </c>
      <c r="F315" s="7" t="s">
        <v>379</v>
      </c>
      <c r="G315" s="7" t="s">
        <v>262</v>
      </c>
      <c r="H315" s="7"/>
      <c r="I315" s="7"/>
      <c r="J315" s="7"/>
      <c r="K315" s="7"/>
      <c r="L315" s="7" t="str">
        <f aca="false">IFERROR(VLOOKUP(IF(ISNUMBER(SEARCH("(",F315)),LEFT(F315,SEARCH("(",F315)-1),F315),Tipos!$A:$B,2,FALSE()),"outro")</f>
        <v>data</v>
      </c>
      <c r="M315" s="7" t="str">
        <f aca="false">IF(COUNTIF(Comparação!$H:$H,A315)&gt;0,"sim",IF(AND(G315="sim",H315=""),"FALTA (obrigatória)","não"))</f>
        <v>FALTA (obrigatória)</v>
      </c>
    </row>
    <row r="316" customFormat="false" ht="15" hidden="false" customHeight="false" outlineLevel="0" collapsed="false">
      <c r="A316" s="7" t="str">
        <f aca="false">B316&amp;"."&amp;E316</f>
        <v>contas_pagar.conta_despesa_id</v>
      </c>
      <c r="B316" s="7" t="s">
        <v>76</v>
      </c>
      <c r="C316" s="7" t="s">
        <v>69</v>
      </c>
      <c r="D316" s="7" t="n">
        <v>8</v>
      </c>
      <c r="E316" s="7" t="s">
        <v>532</v>
      </c>
      <c r="F316" s="7" t="s">
        <v>272</v>
      </c>
      <c r="G316" s="7" t="s">
        <v>262</v>
      </c>
      <c r="H316" s="7"/>
      <c r="I316" s="7"/>
      <c r="J316" s="7" t="s">
        <v>521</v>
      </c>
      <c r="K316" s="7"/>
      <c r="L316" s="7" t="str">
        <f aca="false">IFERROR(VLOOKUP(IF(ISNUMBER(SEARCH("(",F316)),LEFT(F316,SEARCH("(",F316)-1),F316),Tipos!$A:$B,2,FALSE()),"outro")</f>
        <v>uuid</v>
      </c>
      <c r="M316" s="7" t="str">
        <f aca="false">IF(COUNTIF(Comparação!$H:$H,A316)&gt;0,"sim",IF(AND(G316="sim",H316=""),"FALTA (obrigatória)","não"))</f>
        <v>FALTA (obrigatória)</v>
      </c>
    </row>
    <row r="317" customFormat="false" ht="15" hidden="false" customHeight="false" outlineLevel="0" collapsed="false">
      <c r="A317" s="7" t="str">
        <f aca="false">B317&amp;"."&amp;E317</f>
        <v>contas_pagar.centro_custo_id</v>
      </c>
      <c r="B317" s="7" t="s">
        <v>76</v>
      </c>
      <c r="C317" s="7" t="s">
        <v>69</v>
      </c>
      <c r="D317" s="7" t="n">
        <v>9</v>
      </c>
      <c r="E317" s="7" t="s">
        <v>533</v>
      </c>
      <c r="F317" s="7" t="s">
        <v>272</v>
      </c>
      <c r="G317" s="7" t="s">
        <v>267</v>
      </c>
      <c r="H317" s="7"/>
      <c r="I317" s="7"/>
      <c r="J317" s="7" t="s">
        <v>534</v>
      </c>
      <c r="K317" s="7"/>
      <c r="L317" s="7" t="str">
        <f aca="false">IFERROR(VLOOKUP(IF(ISNUMBER(SEARCH("(",F317)),LEFT(F317,SEARCH("(",F317)-1),F317),Tipos!$A:$B,2,FALSE()),"outro")</f>
        <v>uuid</v>
      </c>
      <c r="M317" s="7" t="str">
        <f aca="false">IF(COUNTIF(Comparação!$H:$H,A317)&gt;0,"sim",IF(AND(G317="sim",H317=""),"FALTA (obrigatória)","não"))</f>
        <v>não</v>
      </c>
    </row>
    <row r="318" customFormat="false" ht="15" hidden="false" customHeight="false" outlineLevel="0" collapsed="false">
      <c r="A318" s="7" t="str">
        <f aca="false">B318&amp;"."&amp;E318</f>
        <v>contas_pagar.campanha_id</v>
      </c>
      <c r="B318" s="7" t="s">
        <v>76</v>
      </c>
      <c r="C318" s="7" t="s">
        <v>69</v>
      </c>
      <c r="D318" s="7" t="n">
        <v>10</v>
      </c>
      <c r="E318" s="7" t="s">
        <v>336</v>
      </c>
      <c r="F318" s="7" t="s">
        <v>272</v>
      </c>
      <c r="G318" s="7" t="s">
        <v>267</v>
      </c>
      <c r="H318" s="7"/>
      <c r="I318" s="7"/>
      <c r="J318" s="7" t="s">
        <v>337</v>
      </c>
      <c r="K318" s="7"/>
      <c r="L318" s="7" t="str">
        <f aca="false">IFERROR(VLOOKUP(IF(ISNUMBER(SEARCH("(",F318)),LEFT(F318,SEARCH("(",F318)-1),F318),Tipos!$A:$B,2,FALSE()),"outro")</f>
        <v>uuid</v>
      </c>
      <c r="M318" s="7" t="str">
        <f aca="false">IF(COUNTIF(Comparação!$H:$H,A318)&gt;0,"sim",IF(AND(G318="sim",H318=""),"FALTA (obrigatória)","não"))</f>
        <v>não</v>
      </c>
    </row>
    <row r="319" customFormat="false" ht="15" hidden="false" customHeight="false" outlineLevel="0" collapsed="false">
      <c r="A319" s="7" t="str">
        <f aca="false">B319&amp;"."&amp;E319</f>
        <v>contas_pagar.campanha_canal_id</v>
      </c>
      <c r="B319" s="7" t="s">
        <v>76</v>
      </c>
      <c r="C319" s="7" t="s">
        <v>69</v>
      </c>
      <c r="D319" s="7" t="n">
        <v>11</v>
      </c>
      <c r="E319" s="7" t="s">
        <v>304</v>
      </c>
      <c r="F319" s="7" t="s">
        <v>272</v>
      </c>
      <c r="G319" s="7" t="s">
        <v>267</v>
      </c>
      <c r="H319" s="7"/>
      <c r="I319" s="7"/>
      <c r="J319" s="7" t="s">
        <v>305</v>
      </c>
      <c r="K319" s="7"/>
      <c r="L319" s="7" t="str">
        <f aca="false">IFERROR(VLOOKUP(IF(ISNUMBER(SEARCH("(",F319)),LEFT(F319,SEARCH("(",F319)-1),F319),Tipos!$A:$B,2,FALSE()),"outro")</f>
        <v>uuid</v>
      </c>
      <c r="M319" s="7" t="str">
        <f aca="false">IF(COUNTIF(Comparação!$H:$H,A319)&gt;0,"sim",IF(AND(G319="sim",H319=""),"FALTA (obrigatória)","não"))</f>
        <v>não</v>
      </c>
    </row>
    <row r="320" customFormat="false" ht="15" hidden="false" customHeight="false" outlineLevel="0" collapsed="false">
      <c r="A320" s="7" t="str">
        <f aca="false">B320&amp;"."&amp;E320</f>
        <v>contas_pagar.status</v>
      </c>
      <c r="B320" s="7" t="s">
        <v>76</v>
      </c>
      <c r="C320" s="7" t="s">
        <v>69</v>
      </c>
      <c r="D320" s="7" t="n">
        <v>12</v>
      </c>
      <c r="E320" s="7" t="s">
        <v>293</v>
      </c>
      <c r="F320" s="7" t="s">
        <v>261</v>
      </c>
      <c r="G320" s="7" t="s">
        <v>262</v>
      </c>
      <c r="H320" s="7" t="s">
        <v>535</v>
      </c>
      <c r="I320" s="7"/>
      <c r="J320" s="7"/>
      <c r="K320" s="7" t="s">
        <v>536</v>
      </c>
      <c r="L320" s="7" t="str">
        <f aca="false">IFERROR(VLOOKUP(IF(ISNUMBER(SEARCH("(",F320)),LEFT(F320,SEARCH("(",F320)-1),F320),Tipos!$A:$B,2,FALSE()),"outro")</f>
        <v>texto</v>
      </c>
      <c r="M320" s="7" t="str">
        <f aca="false">IF(COUNTIF(Comparação!$H:$H,A320)&gt;0,"sim",IF(AND(G320="sim",H320=""),"FALTA (obrigatória)","não"))</f>
        <v>não</v>
      </c>
    </row>
    <row r="321" customFormat="false" ht="15" hidden="false" customHeight="false" outlineLevel="0" collapsed="false">
      <c r="A321" s="7" t="str">
        <f aca="false">B321&amp;"."&amp;E321</f>
        <v>contas_pagar.data_pagamento</v>
      </c>
      <c r="B321" s="7" t="s">
        <v>76</v>
      </c>
      <c r="C321" s="7" t="s">
        <v>69</v>
      </c>
      <c r="D321" s="7" t="n">
        <v>13</v>
      </c>
      <c r="E321" s="7" t="s">
        <v>537</v>
      </c>
      <c r="F321" s="7" t="s">
        <v>379</v>
      </c>
      <c r="G321" s="7" t="s">
        <v>267</v>
      </c>
      <c r="H321" s="7"/>
      <c r="I321" s="7"/>
      <c r="J321" s="7"/>
      <c r="K321" s="7"/>
      <c r="L321" s="7" t="str">
        <f aca="false">IFERROR(VLOOKUP(IF(ISNUMBER(SEARCH("(",F321)),LEFT(F321,SEARCH("(",F321)-1),F321),Tipos!$A:$B,2,FALSE()),"outro")</f>
        <v>data</v>
      </c>
      <c r="M321" s="7" t="str">
        <f aca="false">IF(COUNTIF(Comparação!$H:$H,A321)&gt;0,"sim",IF(AND(G321="sim",H321=""),"FALTA (obrigatória)","não"))</f>
        <v>não</v>
      </c>
    </row>
    <row r="322" customFormat="false" ht="15" hidden="false" customHeight="false" outlineLevel="0" collapsed="false">
      <c r="A322" s="7" t="str">
        <f aca="false">B322&amp;"."&amp;E322</f>
        <v>contas_pagar.conta_bancaria_id</v>
      </c>
      <c r="B322" s="7" t="s">
        <v>76</v>
      </c>
      <c r="C322" s="7" t="s">
        <v>69</v>
      </c>
      <c r="D322" s="7" t="n">
        <v>14</v>
      </c>
      <c r="E322" s="7" t="s">
        <v>538</v>
      </c>
      <c r="F322" s="7" t="s">
        <v>272</v>
      </c>
      <c r="G322" s="7" t="s">
        <v>267</v>
      </c>
      <c r="H322" s="7"/>
      <c r="I322" s="7"/>
      <c r="J322" s="7" t="s">
        <v>539</v>
      </c>
      <c r="K322" s="7"/>
      <c r="L322" s="7" t="str">
        <f aca="false">IFERROR(VLOOKUP(IF(ISNUMBER(SEARCH("(",F322)),LEFT(F322,SEARCH("(",F322)-1),F322),Tipos!$A:$B,2,FALSE()),"outro")</f>
        <v>uuid</v>
      </c>
      <c r="M322" s="7" t="str">
        <f aca="false">IF(COUNTIF(Comparação!$H:$H,A322)&gt;0,"sim",IF(AND(G322="sim",H322=""),"FALTA (obrigatória)","não"))</f>
        <v>não</v>
      </c>
    </row>
    <row r="323" customFormat="false" ht="15" hidden="false" customHeight="false" outlineLevel="0" collapsed="false">
      <c r="A323" s="7" t="str">
        <f aca="false">B323&amp;"."&amp;E323</f>
        <v>contas_pagar.criado_em</v>
      </c>
      <c r="B323" s="7" t="s">
        <v>76</v>
      </c>
      <c r="C323" s="7" t="s">
        <v>69</v>
      </c>
      <c r="D323" s="7" t="n">
        <v>15</v>
      </c>
      <c r="E323" s="7" t="s">
        <v>344</v>
      </c>
      <c r="F323" s="7" t="s">
        <v>285</v>
      </c>
      <c r="G323" s="7" t="s">
        <v>262</v>
      </c>
      <c r="H323" s="7" t="s">
        <v>286</v>
      </c>
      <c r="I323" s="7"/>
      <c r="J323" s="7"/>
      <c r="K323" s="7"/>
      <c r="L323" s="7" t="str">
        <f aca="false">IFERROR(VLOOKUP(IF(ISNUMBER(SEARCH("(",F323)),LEFT(F323,SEARCH("(",F323)-1),F323),Tipos!$A:$B,2,FALSE()),"outro")</f>
        <v>data e hora</v>
      </c>
      <c r="M323" s="7" t="str">
        <f aca="false">IF(COUNTIF(Comparação!$H:$H,A323)&gt;0,"sim",IF(AND(G323="sim",H323=""),"FALTA (obrigatória)","não"))</f>
        <v>não</v>
      </c>
    </row>
    <row r="324" customFormat="false" ht="15" hidden="false" customHeight="false" outlineLevel="0" collapsed="false">
      <c r="A324" s="7" t="str">
        <f aca="false">B324&amp;"."&amp;E324</f>
        <v>contas_pagar.rateio_regra_id</v>
      </c>
      <c r="B324" s="7" t="s">
        <v>76</v>
      </c>
      <c r="C324" s="7" t="s">
        <v>69</v>
      </c>
      <c r="D324" s="7" t="n">
        <v>16</v>
      </c>
      <c r="E324" s="7" t="s">
        <v>540</v>
      </c>
      <c r="F324" s="7" t="s">
        <v>272</v>
      </c>
      <c r="G324" s="7" t="s">
        <v>267</v>
      </c>
      <c r="H324" s="7"/>
      <c r="I324" s="7"/>
      <c r="J324" s="7" t="s">
        <v>541</v>
      </c>
      <c r="K324" s="7"/>
      <c r="L324" s="7" t="str">
        <f aca="false">IFERROR(VLOOKUP(IF(ISNUMBER(SEARCH("(",F324)),LEFT(F324,SEARCH("(",F324)-1),F324),Tipos!$A:$B,2,FALSE()),"outro")</f>
        <v>uuid</v>
      </c>
      <c r="M324" s="7" t="str">
        <f aca="false">IF(COUNTIF(Comparação!$H:$H,A324)&gt;0,"sim",IF(AND(G324="sim",H324=""),"FALTA (obrigatória)","não"))</f>
        <v>não</v>
      </c>
    </row>
    <row r="325" customFormat="false" ht="15" hidden="false" customHeight="false" outlineLevel="0" collapsed="false">
      <c r="A325" s="7" t="str">
        <f aca="false">B325&amp;"."&amp;E325</f>
        <v>contas_pagar.forma_pagamento_id</v>
      </c>
      <c r="B325" s="7" t="s">
        <v>76</v>
      </c>
      <c r="C325" s="7" t="s">
        <v>69</v>
      </c>
      <c r="D325" s="7" t="n">
        <v>17</v>
      </c>
      <c r="E325" s="7" t="s">
        <v>542</v>
      </c>
      <c r="F325" s="7" t="s">
        <v>272</v>
      </c>
      <c r="G325" s="7" t="s">
        <v>267</v>
      </c>
      <c r="H325" s="7"/>
      <c r="I325" s="7"/>
      <c r="J325" s="7" t="s">
        <v>543</v>
      </c>
      <c r="K325" s="7"/>
      <c r="L325" s="7" t="str">
        <f aca="false">IFERROR(VLOOKUP(IF(ISNUMBER(SEARCH("(",F325)),LEFT(F325,SEARCH("(",F325)-1),F325),Tipos!$A:$B,2,FALSE()),"outro")</f>
        <v>uuid</v>
      </c>
      <c r="M325" s="7" t="str">
        <f aca="false">IF(COUNTIF(Comparação!$H:$H,A325)&gt;0,"sim",IF(AND(G325="sim",H325=""),"FALTA (obrigatória)","não"))</f>
        <v>não</v>
      </c>
    </row>
    <row r="326" customFormat="false" ht="15" hidden="false" customHeight="false" outlineLevel="0" collapsed="false">
      <c r="A326" s="7" t="str">
        <f aca="false">B326&amp;"."&amp;E326</f>
        <v>contas_pagar.estimativa</v>
      </c>
      <c r="B326" s="7" t="s">
        <v>76</v>
      </c>
      <c r="C326" s="7" t="s">
        <v>69</v>
      </c>
      <c r="D326" s="7" t="n">
        <v>18</v>
      </c>
      <c r="E326" s="7" t="s">
        <v>544</v>
      </c>
      <c r="F326" s="7" t="s">
        <v>310</v>
      </c>
      <c r="G326" s="7" t="s">
        <v>262</v>
      </c>
      <c r="H326" s="7" t="s">
        <v>375</v>
      </c>
      <c r="I326" s="7"/>
      <c r="J326" s="7"/>
      <c r="K326" s="7"/>
      <c r="L326" s="7" t="str">
        <f aca="false">IFERROR(VLOOKUP(IF(ISNUMBER(SEARCH("(",F326)),LEFT(F326,SEARCH("(",F326)-1),F326),Tipos!$A:$B,2,FALSE()),"outro")</f>
        <v>booleano</v>
      </c>
      <c r="M326" s="7" t="str">
        <f aca="false">IF(COUNTIF(Comparação!$H:$H,A326)&gt;0,"sim",IF(AND(G326="sim",H326=""),"FALTA (obrigatória)","não"))</f>
        <v>não</v>
      </c>
    </row>
    <row r="327" customFormat="false" ht="15" hidden="false" customHeight="false" outlineLevel="0" collapsed="false">
      <c r="A327" s="7" t="str">
        <f aca="false">B327&amp;"."&amp;E327</f>
        <v>contas_pagar.provisionada</v>
      </c>
      <c r="B327" s="7" t="s">
        <v>76</v>
      </c>
      <c r="C327" s="7" t="s">
        <v>69</v>
      </c>
      <c r="D327" s="7" t="n">
        <v>19</v>
      </c>
      <c r="E327" s="7" t="s">
        <v>545</v>
      </c>
      <c r="F327" s="7" t="s">
        <v>310</v>
      </c>
      <c r="G327" s="7" t="s">
        <v>262</v>
      </c>
      <c r="H327" s="7" t="s">
        <v>375</v>
      </c>
      <c r="I327" s="7"/>
      <c r="J327" s="7"/>
      <c r="K327" s="7"/>
      <c r="L327" s="7" t="str">
        <f aca="false">IFERROR(VLOOKUP(IF(ISNUMBER(SEARCH("(",F327)),LEFT(F327,SEARCH("(",F327)-1),F327),Tipos!$A:$B,2,FALSE()),"outro")</f>
        <v>booleano</v>
      </c>
      <c r="M327" s="7" t="str">
        <f aca="false">IF(COUNTIF(Comparação!$H:$H,A327)&gt;0,"sim",IF(AND(G327="sim",H327=""),"FALTA (obrigatória)","não"))</f>
        <v>não</v>
      </c>
    </row>
    <row r="328" customFormat="false" ht="15" hidden="false" customHeight="false" outlineLevel="0" collapsed="false">
      <c r="A328" s="7" t="str">
        <f aca="false">B328&amp;"."&amp;E328</f>
        <v>contas_pagar.substituida_por</v>
      </c>
      <c r="B328" s="7" t="s">
        <v>76</v>
      </c>
      <c r="C328" s="7" t="s">
        <v>69</v>
      </c>
      <c r="D328" s="7" t="n">
        <v>20</v>
      </c>
      <c r="E328" s="7" t="s">
        <v>546</v>
      </c>
      <c r="F328" s="7" t="s">
        <v>272</v>
      </c>
      <c r="G328" s="7" t="s">
        <v>267</v>
      </c>
      <c r="H328" s="7"/>
      <c r="I328" s="7"/>
      <c r="J328" s="7" t="s">
        <v>547</v>
      </c>
      <c r="K328" s="7"/>
      <c r="L328" s="7" t="str">
        <f aca="false">IFERROR(VLOOKUP(IF(ISNUMBER(SEARCH("(",F328)),LEFT(F328,SEARCH("(",F328)-1),F328),Tipos!$A:$B,2,FALSE()),"outro")</f>
        <v>uuid</v>
      </c>
      <c r="M328" s="7" t="str">
        <f aca="false">IF(COUNTIF(Comparação!$H:$H,A328)&gt;0,"sim",IF(AND(G328="sim",H328=""),"FALTA (obrigatória)","não"))</f>
        <v>não</v>
      </c>
    </row>
    <row r="329" customFormat="false" ht="15" hidden="false" customHeight="false" outlineLevel="0" collapsed="false">
      <c r="A329" s="7" t="str">
        <f aca="false">B329&amp;"."&amp;E329</f>
        <v>contas_pagar.recorrencia_id</v>
      </c>
      <c r="B329" s="7" t="s">
        <v>76</v>
      </c>
      <c r="C329" s="7" t="s">
        <v>69</v>
      </c>
      <c r="D329" s="7" t="n">
        <v>21</v>
      </c>
      <c r="E329" s="7" t="s">
        <v>548</v>
      </c>
      <c r="F329" s="7" t="s">
        <v>272</v>
      </c>
      <c r="G329" s="7" t="s">
        <v>267</v>
      </c>
      <c r="H329" s="7"/>
      <c r="I329" s="7"/>
      <c r="J329" s="7" t="s">
        <v>549</v>
      </c>
      <c r="K329" s="7"/>
      <c r="L329" s="7" t="str">
        <f aca="false">IFERROR(VLOOKUP(IF(ISNUMBER(SEARCH("(",F329)),LEFT(F329,SEARCH("(",F329)-1),F329),Tipos!$A:$B,2,FALSE()),"outro")</f>
        <v>uuid</v>
      </c>
      <c r="M329" s="7" t="str">
        <f aca="false">IF(COUNTIF(Comparação!$H:$H,A329)&gt;0,"sim",IF(AND(G329="sim",H329=""),"FALTA (obrigatória)","não"))</f>
        <v>não</v>
      </c>
    </row>
    <row r="330" customFormat="false" ht="15" hidden="false" customHeight="false" outlineLevel="0" collapsed="false">
      <c r="A330" s="7" t="str">
        <f aca="false">B330&amp;"."&amp;E330</f>
        <v>contas_pagar.saldo_de</v>
      </c>
      <c r="B330" s="7" t="s">
        <v>76</v>
      </c>
      <c r="C330" s="7" t="s">
        <v>69</v>
      </c>
      <c r="D330" s="7" t="n">
        <v>22</v>
      </c>
      <c r="E330" s="7" t="s">
        <v>550</v>
      </c>
      <c r="F330" s="7" t="s">
        <v>272</v>
      </c>
      <c r="G330" s="7" t="s">
        <v>267</v>
      </c>
      <c r="H330" s="7"/>
      <c r="I330" s="7"/>
      <c r="J330" s="7" t="s">
        <v>547</v>
      </c>
      <c r="K330" s="7"/>
      <c r="L330" s="7" t="str">
        <f aca="false">IFERROR(VLOOKUP(IF(ISNUMBER(SEARCH("(",F330)),LEFT(F330,SEARCH("(",F330)-1),F330),Tipos!$A:$B,2,FALSE()),"outro")</f>
        <v>uuid</v>
      </c>
      <c r="M330" s="7" t="str">
        <f aca="false">IF(COUNTIF(Comparação!$H:$H,A330)&gt;0,"sim",IF(AND(G330="sim",H330=""),"FALTA (obrigatória)","não"))</f>
        <v>não</v>
      </c>
    </row>
    <row r="331" customFormat="false" ht="15" hidden="false" customHeight="false" outlineLevel="0" collapsed="false">
      <c r="A331" s="7" t="str">
        <f aca="false">B331&amp;"."&amp;E331</f>
        <v>contas_receber.id</v>
      </c>
      <c r="B331" s="7" t="s">
        <v>78</v>
      </c>
      <c r="C331" s="7" t="s">
        <v>69</v>
      </c>
      <c r="D331" s="7" t="n">
        <v>1</v>
      </c>
      <c r="E331" s="7" t="s">
        <v>271</v>
      </c>
      <c r="F331" s="7" t="s">
        <v>272</v>
      </c>
      <c r="G331" s="7" t="s">
        <v>262</v>
      </c>
      <c r="H331" s="7" t="s">
        <v>273</v>
      </c>
      <c r="I331" s="7" t="s">
        <v>263</v>
      </c>
      <c r="J331" s="7"/>
      <c r="K331" s="7"/>
      <c r="L331" s="7" t="str">
        <f aca="false">IFERROR(VLOOKUP(IF(ISNUMBER(SEARCH("(",F331)),LEFT(F331,SEARCH("(",F331)-1),F331),Tipos!$A:$B,2,FALSE()),"outro")</f>
        <v>uuid</v>
      </c>
      <c r="M331" s="7" t="str">
        <f aca="false">IF(COUNTIF(Comparação!$H:$H,A331)&gt;0,"sim",IF(AND(G331="sim",H331=""),"FALTA (obrigatória)","não"))</f>
        <v>não</v>
      </c>
    </row>
    <row r="332" customFormat="false" ht="15" hidden="false" customHeight="false" outlineLevel="0" collapsed="false">
      <c r="A332" s="7" t="str">
        <f aca="false">B332&amp;"."&amp;E332</f>
        <v>contas_receber.workspace_id</v>
      </c>
      <c r="B332" s="7" t="s">
        <v>78</v>
      </c>
      <c r="C332" s="7" t="s">
        <v>69</v>
      </c>
      <c r="D332" s="7" t="n">
        <v>2</v>
      </c>
      <c r="E332" s="7" t="s">
        <v>274</v>
      </c>
      <c r="F332" s="7" t="s">
        <v>272</v>
      </c>
      <c r="G332" s="7" t="s">
        <v>262</v>
      </c>
      <c r="H332" s="7"/>
      <c r="I332" s="7"/>
      <c r="J332" s="7" t="s">
        <v>275</v>
      </c>
      <c r="K332" s="7"/>
      <c r="L332" s="7" t="str">
        <f aca="false">IFERROR(VLOOKUP(IF(ISNUMBER(SEARCH("(",F332)),LEFT(F332,SEARCH("(",F332)-1),F332),Tipos!$A:$B,2,FALSE()),"outro")</f>
        <v>uuid</v>
      </c>
      <c r="M332" s="7" t="str">
        <f aca="false">IF(COUNTIF(Comparação!$H:$H,A332)&gt;0,"sim",IF(AND(G332="sim",H332=""),"FALTA (obrigatória)","não"))</f>
        <v>FALTA (obrigatória)</v>
      </c>
    </row>
    <row r="333" customFormat="false" ht="15" hidden="false" customHeight="false" outlineLevel="0" collapsed="false">
      <c r="A333" s="7" t="str">
        <f aca="false">B333&amp;"."&amp;E333</f>
        <v>contas_receber.venda_id</v>
      </c>
      <c r="B333" s="7" t="s">
        <v>78</v>
      </c>
      <c r="C333" s="7" t="s">
        <v>69</v>
      </c>
      <c r="D333" s="7" t="n">
        <v>3</v>
      </c>
      <c r="E333" s="7" t="s">
        <v>289</v>
      </c>
      <c r="F333" s="7" t="s">
        <v>272</v>
      </c>
      <c r="G333" s="7" t="s">
        <v>267</v>
      </c>
      <c r="H333" s="7"/>
      <c r="I333" s="7" t="s">
        <v>290</v>
      </c>
      <c r="J333" s="7" t="s">
        <v>291</v>
      </c>
      <c r="K333" s="7"/>
      <c r="L333" s="7" t="str">
        <f aca="false">IFERROR(VLOOKUP(IF(ISNUMBER(SEARCH("(",F333)),LEFT(F333,SEARCH("(",F333)-1),F333),Tipos!$A:$B,2,FALSE()),"outro")</f>
        <v>uuid</v>
      </c>
      <c r="M333" s="7" t="str">
        <f aca="false">IF(COUNTIF(Comparação!$H:$H,A333)&gt;0,"sim",IF(AND(G333="sim",H333=""),"FALTA (obrigatória)","não"))</f>
        <v>não</v>
      </c>
    </row>
    <row r="334" customFormat="false" ht="15" hidden="false" customHeight="false" outlineLevel="0" collapsed="false">
      <c r="A334" s="7" t="str">
        <f aca="false">B334&amp;"."&amp;E334</f>
        <v>contas_receber.valor</v>
      </c>
      <c r="B334" s="7" t="s">
        <v>78</v>
      </c>
      <c r="C334" s="7" t="s">
        <v>69</v>
      </c>
      <c r="D334" s="7" t="n">
        <v>4</v>
      </c>
      <c r="E334" s="7" t="s">
        <v>330</v>
      </c>
      <c r="F334" s="7" t="s">
        <v>354</v>
      </c>
      <c r="G334" s="7" t="s">
        <v>262</v>
      </c>
      <c r="H334" s="7"/>
      <c r="I334" s="7"/>
      <c r="J334" s="7"/>
      <c r="K334" s="7"/>
      <c r="L334" s="7" t="str">
        <f aca="false">IFERROR(VLOOKUP(IF(ISNUMBER(SEARCH("(",F334)),LEFT(F334,SEARCH("(",F334)-1),F334),Tipos!$A:$B,2,FALSE()),"outro")</f>
        <v>decimal</v>
      </c>
      <c r="M334" s="7" t="str">
        <f aca="false">IF(COUNTIF(Comparação!$H:$H,A334)&gt;0,"sim",IF(AND(G334="sim",H334=""),"FALTA (obrigatória)","não"))</f>
        <v>FALTA (obrigatória)</v>
      </c>
    </row>
    <row r="335" customFormat="false" ht="15" hidden="false" customHeight="false" outlineLevel="0" collapsed="false">
      <c r="A335" s="7" t="str">
        <f aca="false">B335&amp;"."&amp;E335</f>
        <v>contas_receber.vencimento</v>
      </c>
      <c r="B335" s="7" t="s">
        <v>78</v>
      </c>
      <c r="C335" s="7" t="s">
        <v>69</v>
      </c>
      <c r="D335" s="7" t="n">
        <v>5</v>
      </c>
      <c r="E335" s="7" t="s">
        <v>531</v>
      </c>
      <c r="F335" s="7" t="s">
        <v>379</v>
      </c>
      <c r="G335" s="7" t="s">
        <v>262</v>
      </c>
      <c r="H335" s="7"/>
      <c r="I335" s="7"/>
      <c r="J335" s="7"/>
      <c r="K335" s="7"/>
      <c r="L335" s="7" t="str">
        <f aca="false">IFERROR(VLOOKUP(IF(ISNUMBER(SEARCH("(",F335)),LEFT(F335,SEARCH("(",F335)-1),F335),Tipos!$A:$B,2,FALSE()),"outro")</f>
        <v>data</v>
      </c>
      <c r="M335" s="7" t="str">
        <f aca="false">IF(COUNTIF(Comparação!$H:$H,A335)&gt;0,"sim",IF(AND(G335="sim",H335=""),"FALTA (obrigatória)","não"))</f>
        <v>FALTA (obrigatória)</v>
      </c>
    </row>
    <row r="336" customFormat="false" ht="15" hidden="false" customHeight="false" outlineLevel="0" collapsed="false">
      <c r="A336" s="7" t="str">
        <f aca="false">B336&amp;"."&amp;E336</f>
        <v>contas_receber.status</v>
      </c>
      <c r="B336" s="7" t="s">
        <v>78</v>
      </c>
      <c r="C336" s="7" t="s">
        <v>69</v>
      </c>
      <c r="D336" s="7" t="n">
        <v>6</v>
      </c>
      <c r="E336" s="7" t="s">
        <v>293</v>
      </c>
      <c r="F336" s="7" t="s">
        <v>261</v>
      </c>
      <c r="G336" s="7" t="s">
        <v>262</v>
      </c>
      <c r="H336" s="7" t="s">
        <v>535</v>
      </c>
      <c r="I336" s="7"/>
      <c r="J336" s="7"/>
      <c r="K336" s="7" t="s">
        <v>551</v>
      </c>
      <c r="L336" s="7" t="str">
        <f aca="false">IFERROR(VLOOKUP(IF(ISNUMBER(SEARCH("(",F336)),LEFT(F336,SEARCH("(",F336)-1),F336),Tipos!$A:$B,2,FALSE()),"outro")</f>
        <v>texto</v>
      </c>
      <c r="M336" s="7" t="str">
        <f aca="false">IF(COUNTIF(Comparação!$H:$H,A336)&gt;0,"sim",IF(AND(G336="sim",H336=""),"FALTA (obrigatória)","não"))</f>
        <v>não</v>
      </c>
    </row>
    <row r="337" customFormat="false" ht="15" hidden="false" customHeight="false" outlineLevel="0" collapsed="false">
      <c r="A337" s="7" t="str">
        <f aca="false">B337&amp;"."&amp;E337</f>
        <v>contas_receber.data_recebimento</v>
      </c>
      <c r="B337" s="7" t="s">
        <v>78</v>
      </c>
      <c r="C337" s="7" t="s">
        <v>69</v>
      </c>
      <c r="D337" s="7" t="n">
        <v>7</v>
      </c>
      <c r="E337" s="7" t="s">
        <v>552</v>
      </c>
      <c r="F337" s="7" t="s">
        <v>379</v>
      </c>
      <c r="G337" s="7" t="s">
        <v>267</v>
      </c>
      <c r="H337" s="7"/>
      <c r="I337" s="7"/>
      <c r="J337" s="7"/>
      <c r="K337" s="7"/>
      <c r="L337" s="7" t="str">
        <f aca="false">IFERROR(VLOOKUP(IF(ISNUMBER(SEARCH("(",F337)),LEFT(F337,SEARCH("(",F337)-1),F337),Tipos!$A:$B,2,FALSE()),"outro")</f>
        <v>data</v>
      </c>
      <c r="M337" s="7" t="str">
        <f aca="false">IF(COUNTIF(Comparação!$H:$H,A337)&gt;0,"sim",IF(AND(G337="sim",H337=""),"FALTA (obrigatória)","não"))</f>
        <v>não</v>
      </c>
    </row>
    <row r="338" customFormat="false" ht="15" hidden="false" customHeight="false" outlineLevel="0" collapsed="false">
      <c r="A338" s="7" t="str">
        <f aca="false">B338&amp;"."&amp;E338</f>
        <v>contas_receber.conta_bancaria_id</v>
      </c>
      <c r="B338" s="7" t="s">
        <v>78</v>
      </c>
      <c r="C338" s="7" t="s">
        <v>69</v>
      </c>
      <c r="D338" s="7" t="n">
        <v>8</v>
      </c>
      <c r="E338" s="7" t="s">
        <v>538</v>
      </c>
      <c r="F338" s="7" t="s">
        <v>272</v>
      </c>
      <c r="G338" s="7" t="s">
        <v>267</v>
      </c>
      <c r="H338" s="7"/>
      <c r="I338" s="7"/>
      <c r="J338" s="7" t="s">
        <v>539</v>
      </c>
      <c r="K338" s="7"/>
      <c r="L338" s="7" t="str">
        <f aca="false">IFERROR(VLOOKUP(IF(ISNUMBER(SEARCH("(",F338)),LEFT(F338,SEARCH("(",F338)-1),F338),Tipos!$A:$B,2,FALSE()),"outro")</f>
        <v>uuid</v>
      </c>
      <c r="M338" s="7" t="str">
        <f aca="false">IF(COUNTIF(Comparação!$H:$H,A338)&gt;0,"sim",IF(AND(G338="sim",H338=""),"FALTA (obrigatória)","não"))</f>
        <v>não</v>
      </c>
    </row>
    <row r="339" customFormat="false" ht="15" hidden="false" customHeight="false" outlineLevel="0" collapsed="false">
      <c r="A339" s="7" t="str">
        <f aca="false">B339&amp;"."&amp;E339</f>
        <v>contas_receber.contrato_id</v>
      </c>
      <c r="B339" s="7" t="s">
        <v>78</v>
      </c>
      <c r="C339" s="7" t="s">
        <v>69</v>
      </c>
      <c r="D339" s="7" t="n">
        <v>9</v>
      </c>
      <c r="E339" s="7" t="s">
        <v>300</v>
      </c>
      <c r="F339" s="7" t="s">
        <v>272</v>
      </c>
      <c r="G339" s="7" t="s">
        <v>267</v>
      </c>
      <c r="H339" s="7"/>
      <c r="I339" s="7"/>
      <c r="J339" s="7" t="s">
        <v>301</v>
      </c>
      <c r="K339" s="7"/>
      <c r="L339" s="7" t="str">
        <f aca="false">IFERROR(VLOOKUP(IF(ISNUMBER(SEARCH("(",F339)),LEFT(F339,SEARCH("(",F339)-1),F339),Tipos!$A:$B,2,FALSE()),"outro")</f>
        <v>uuid</v>
      </c>
      <c r="M339" s="7" t="str">
        <f aca="false">IF(COUNTIF(Comparação!$H:$H,A339)&gt;0,"sim",IF(AND(G339="sim",H339=""),"FALTA (obrigatória)","não"))</f>
        <v>não</v>
      </c>
    </row>
    <row r="340" customFormat="false" ht="15" hidden="false" customHeight="false" outlineLevel="0" collapsed="false">
      <c r="A340" s="7" t="str">
        <f aca="false">B340&amp;"."&amp;E340</f>
        <v>contas_receber.parcela</v>
      </c>
      <c r="B340" s="7" t="s">
        <v>78</v>
      </c>
      <c r="C340" s="7" t="s">
        <v>69</v>
      </c>
      <c r="D340" s="7" t="n">
        <v>10</v>
      </c>
      <c r="E340" s="7" t="s">
        <v>553</v>
      </c>
      <c r="F340" s="7" t="s">
        <v>269</v>
      </c>
      <c r="G340" s="7" t="s">
        <v>267</v>
      </c>
      <c r="H340" s="7"/>
      <c r="I340" s="7"/>
      <c r="J340" s="7"/>
      <c r="K340" s="7"/>
      <c r="L340" s="7" t="str">
        <f aca="false">IFERROR(VLOOKUP(IF(ISNUMBER(SEARCH("(",F340)),LEFT(F340,SEARCH("(",F340)-1),F340),Tipos!$A:$B,2,FALSE()),"outro")</f>
        <v>inteiro</v>
      </c>
      <c r="M340" s="7" t="str">
        <f aca="false">IF(COUNTIF(Comparação!$H:$H,A340)&gt;0,"sim",IF(AND(G340="sim",H340=""),"FALTA (obrigatória)","não"))</f>
        <v>não</v>
      </c>
    </row>
    <row r="341" customFormat="false" ht="15" hidden="false" customHeight="false" outlineLevel="0" collapsed="false">
      <c r="A341" s="7" t="str">
        <f aca="false">B341&amp;"."&amp;E341</f>
        <v>contas_receber.descricao</v>
      </c>
      <c r="B341" s="7" t="s">
        <v>78</v>
      </c>
      <c r="C341" s="7" t="s">
        <v>69</v>
      </c>
      <c r="D341" s="7" t="n">
        <v>11</v>
      </c>
      <c r="E341" s="7" t="s">
        <v>427</v>
      </c>
      <c r="F341" s="7" t="s">
        <v>261</v>
      </c>
      <c r="G341" s="7" t="s">
        <v>267</v>
      </c>
      <c r="H341" s="7"/>
      <c r="I341" s="7"/>
      <c r="J341" s="7"/>
      <c r="K341" s="7"/>
      <c r="L341" s="7" t="str">
        <f aca="false">IFERROR(VLOOKUP(IF(ISNUMBER(SEARCH("(",F341)),LEFT(F341,SEARCH("(",F341)-1),F341),Tipos!$A:$B,2,FALSE()),"outro")</f>
        <v>texto</v>
      </c>
      <c r="M341" s="7" t="str">
        <f aca="false">IF(COUNTIF(Comparação!$H:$H,A341)&gt;0,"sim",IF(AND(G341="sim",H341=""),"FALTA (obrigatória)","não"))</f>
        <v>não</v>
      </c>
    </row>
    <row r="342" customFormat="false" ht="15" hidden="false" customHeight="false" outlineLevel="0" collapsed="false">
      <c r="A342" s="7" t="str">
        <f aca="false">B342&amp;"."&amp;E342</f>
        <v>contas_receber.substituida_por</v>
      </c>
      <c r="B342" s="7" t="s">
        <v>78</v>
      </c>
      <c r="C342" s="7" t="s">
        <v>69</v>
      </c>
      <c r="D342" s="7" t="n">
        <v>12</v>
      </c>
      <c r="E342" s="7" t="s">
        <v>546</v>
      </c>
      <c r="F342" s="7" t="s">
        <v>272</v>
      </c>
      <c r="G342" s="7" t="s">
        <v>267</v>
      </c>
      <c r="H342" s="7"/>
      <c r="I342" s="7"/>
      <c r="J342" s="7" t="s">
        <v>554</v>
      </c>
      <c r="K342" s="7"/>
      <c r="L342" s="7" t="str">
        <f aca="false">IFERROR(VLOOKUP(IF(ISNUMBER(SEARCH("(",F342)),LEFT(F342,SEARCH("(",F342)-1),F342),Tipos!$A:$B,2,FALSE()),"outro")</f>
        <v>uuid</v>
      </c>
      <c r="M342" s="7" t="str">
        <f aca="false">IF(COUNTIF(Comparação!$H:$H,A342)&gt;0,"sim",IF(AND(G342="sim",H342=""),"FALTA (obrigatória)","não"))</f>
        <v>não</v>
      </c>
    </row>
    <row r="343" customFormat="false" ht="15" hidden="false" customHeight="false" outlineLevel="0" collapsed="false">
      <c r="A343" s="7" t="str">
        <f aca="false">B343&amp;"."&amp;E343</f>
        <v>contas_receber.desconto</v>
      </c>
      <c r="B343" s="7" t="s">
        <v>78</v>
      </c>
      <c r="C343" s="7" t="s">
        <v>69</v>
      </c>
      <c r="D343" s="7" t="n">
        <v>13</v>
      </c>
      <c r="E343" s="7" t="s">
        <v>555</v>
      </c>
      <c r="F343" s="7" t="s">
        <v>354</v>
      </c>
      <c r="G343" s="7" t="s">
        <v>262</v>
      </c>
      <c r="H343" s="7" t="s">
        <v>270</v>
      </c>
      <c r="I343" s="7"/>
      <c r="J343" s="7"/>
      <c r="K343" s="7" t="s">
        <v>556</v>
      </c>
      <c r="L343" s="7" t="str">
        <f aca="false">IFERROR(VLOOKUP(IF(ISNUMBER(SEARCH("(",F343)),LEFT(F343,SEARCH("(",F343)-1),F343),Tipos!$A:$B,2,FALSE()),"outro")</f>
        <v>decimal</v>
      </c>
      <c r="M343" s="7" t="str">
        <f aca="false">IF(COUNTIF(Comparação!$H:$H,A343)&gt;0,"sim",IF(AND(G343="sim",H343=""),"FALTA (obrigatória)","não"))</f>
        <v>não</v>
      </c>
    </row>
    <row r="344" customFormat="false" ht="15" hidden="false" customHeight="false" outlineLevel="0" collapsed="false">
      <c r="A344" s="7" t="str">
        <f aca="false">B344&amp;"."&amp;E344</f>
        <v>contas_receber.desconto_motivo</v>
      </c>
      <c r="B344" s="7" t="s">
        <v>78</v>
      </c>
      <c r="C344" s="7" t="s">
        <v>69</v>
      </c>
      <c r="D344" s="7" t="n">
        <v>14</v>
      </c>
      <c r="E344" s="7" t="s">
        <v>557</v>
      </c>
      <c r="F344" s="7" t="s">
        <v>261</v>
      </c>
      <c r="G344" s="7" t="s">
        <v>267</v>
      </c>
      <c r="H344" s="7"/>
      <c r="I344" s="7"/>
      <c r="J344" s="7"/>
      <c r="K344" s="7"/>
      <c r="L344" s="7" t="str">
        <f aca="false">IFERROR(VLOOKUP(IF(ISNUMBER(SEARCH("(",F344)),LEFT(F344,SEARCH("(",F344)-1),F344),Tipos!$A:$B,2,FALSE()),"outro")</f>
        <v>texto</v>
      </c>
      <c r="M344" s="7" t="str">
        <f aca="false">IF(COUNTIF(Comparação!$H:$H,A344)&gt;0,"sim",IF(AND(G344="sim",H344=""),"FALTA (obrigatória)","não"))</f>
        <v>não</v>
      </c>
    </row>
    <row r="345" customFormat="false" ht="15" hidden="false" customHeight="false" outlineLevel="0" collapsed="false">
      <c r="A345" s="7" t="str">
        <f aca="false">B345&amp;"."&amp;E345</f>
        <v>contas_receber.desconto_em</v>
      </c>
      <c r="B345" s="7" t="s">
        <v>78</v>
      </c>
      <c r="C345" s="7" t="s">
        <v>69</v>
      </c>
      <c r="D345" s="7" t="n">
        <v>15</v>
      </c>
      <c r="E345" s="7" t="s">
        <v>558</v>
      </c>
      <c r="F345" s="7" t="s">
        <v>379</v>
      </c>
      <c r="G345" s="7" t="s">
        <v>267</v>
      </c>
      <c r="H345" s="7"/>
      <c r="I345" s="7"/>
      <c r="J345" s="7"/>
      <c r="K345" s="7"/>
      <c r="L345" s="7" t="str">
        <f aca="false">IFERROR(VLOOKUP(IF(ISNUMBER(SEARCH("(",F345)),LEFT(F345,SEARCH("(",F345)-1),F345),Tipos!$A:$B,2,FALSE()),"outro")</f>
        <v>data</v>
      </c>
      <c r="M345" s="7" t="str">
        <f aca="false">IF(COUNTIF(Comparação!$H:$H,A345)&gt;0,"sim",IF(AND(G345="sim",H345=""),"FALTA (obrigatória)","não"))</f>
        <v>não</v>
      </c>
    </row>
    <row r="346" customFormat="false" ht="15" hidden="false" customHeight="false" outlineLevel="0" collapsed="false">
      <c r="A346" s="7" t="str">
        <f aca="false">B346&amp;"."&amp;E346</f>
        <v>contas_receber.conta_receita_id</v>
      </c>
      <c r="B346" s="7" t="s">
        <v>78</v>
      </c>
      <c r="C346" s="7" t="s">
        <v>69</v>
      </c>
      <c r="D346" s="7" t="n">
        <v>16</v>
      </c>
      <c r="E346" s="7" t="s">
        <v>559</v>
      </c>
      <c r="F346" s="7" t="s">
        <v>272</v>
      </c>
      <c r="G346" s="7" t="s">
        <v>267</v>
      </c>
      <c r="H346" s="7"/>
      <c r="I346" s="7"/>
      <c r="J346" s="7" t="s">
        <v>521</v>
      </c>
      <c r="K346" s="7"/>
      <c r="L346" s="7" t="str">
        <f aca="false">IFERROR(VLOOKUP(IF(ISNUMBER(SEARCH("(",F346)),LEFT(F346,SEARCH("(",F346)-1),F346),Tipos!$A:$B,2,FALSE()),"outro")</f>
        <v>uuid</v>
      </c>
      <c r="M346" s="7" t="str">
        <f aca="false">IF(COUNTIF(Comparação!$H:$H,A346)&gt;0,"sim",IF(AND(G346="sim",H346=""),"FALTA (obrigatória)","não"))</f>
        <v>não</v>
      </c>
    </row>
    <row r="347" customFormat="false" ht="15" hidden="false" customHeight="false" outlineLevel="0" collapsed="false">
      <c r="A347" s="7" t="str">
        <f aca="false">B347&amp;"."&amp;E347</f>
        <v>conteudo_config.workspace_id</v>
      </c>
      <c r="B347" s="7" t="s">
        <v>80</v>
      </c>
      <c r="C347" s="7" t="s">
        <v>81</v>
      </c>
      <c r="D347" s="7" t="n">
        <v>1</v>
      </c>
      <c r="E347" s="7" t="s">
        <v>274</v>
      </c>
      <c r="F347" s="7" t="s">
        <v>272</v>
      </c>
      <c r="G347" s="7" t="s">
        <v>262</v>
      </c>
      <c r="H347" s="7"/>
      <c r="I347" s="7" t="s">
        <v>263</v>
      </c>
      <c r="J347" s="7" t="s">
        <v>275</v>
      </c>
      <c r="K347" s="7"/>
      <c r="L347" s="7" t="str">
        <f aca="false">IFERROR(VLOOKUP(IF(ISNUMBER(SEARCH("(",F347)),LEFT(F347,SEARCH("(",F347)-1),F347),Tipos!$A:$B,2,FALSE()),"outro")</f>
        <v>uuid</v>
      </c>
      <c r="M347" s="7" t="str">
        <f aca="false">IF(COUNTIF(Comparação!$H:$H,A347)&gt;0,"sim",IF(AND(G347="sim",H347=""),"FALTA (obrigatória)","não"))</f>
        <v>FALTA (obrigatória)</v>
      </c>
    </row>
    <row r="348" customFormat="false" ht="15" hidden="false" customHeight="false" outlineLevel="0" collapsed="false">
      <c r="A348" s="7" t="str">
        <f aca="false">B348&amp;"."&amp;E348</f>
        <v>conteudo_config.criterios</v>
      </c>
      <c r="B348" s="7" t="s">
        <v>80</v>
      </c>
      <c r="C348" s="7" t="s">
        <v>81</v>
      </c>
      <c r="D348" s="7" t="n">
        <v>2</v>
      </c>
      <c r="E348" s="7" t="s">
        <v>560</v>
      </c>
      <c r="F348" s="7" t="s">
        <v>322</v>
      </c>
      <c r="G348" s="7" t="s">
        <v>262</v>
      </c>
      <c r="H348" s="7" t="s">
        <v>561</v>
      </c>
      <c r="I348" s="7"/>
      <c r="J348" s="7"/>
      <c r="K348" s="7" t="s">
        <v>562</v>
      </c>
      <c r="L348" s="7" t="str">
        <f aca="false">IFERROR(VLOOKUP(IF(ISNUMBER(SEARCH("(",F348)),LEFT(F348,SEARCH("(",F348)-1),F348),Tipos!$A:$B,2,FALSE()),"outro")</f>
        <v>lista</v>
      </c>
      <c r="M348" s="7" t="str">
        <f aca="false">IF(COUNTIF(Comparação!$H:$H,A348)&gt;0,"sim",IF(AND(G348="sim",H348=""),"FALTA (obrigatória)","não"))</f>
        <v>não</v>
      </c>
    </row>
    <row r="349" customFormat="false" ht="15" hidden="false" customHeight="false" outlineLevel="0" collapsed="false">
      <c r="A349" s="7" t="str">
        <f aca="false">B349&amp;"."&amp;E349</f>
        <v>conteudo_conta_dia.id</v>
      </c>
      <c r="B349" s="7" t="s">
        <v>82</v>
      </c>
      <c r="C349" s="7" t="s">
        <v>81</v>
      </c>
      <c r="D349" s="7" t="n">
        <v>1</v>
      </c>
      <c r="E349" s="7" t="s">
        <v>271</v>
      </c>
      <c r="F349" s="7" t="s">
        <v>272</v>
      </c>
      <c r="G349" s="7" t="s">
        <v>262</v>
      </c>
      <c r="H349" s="7" t="s">
        <v>273</v>
      </c>
      <c r="I349" s="7" t="s">
        <v>263</v>
      </c>
      <c r="J349" s="7"/>
      <c r="K349" s="7"/>
      <c r="L349" s="7" t="str">
        <f aca="false">IFERROR(VLOOKUP(IF(ISNUMBER(SEARCH("(",F349)),LEFT(F349,SEARCH("(",F349)-1),F349),Tipos!$A:$B,2,FALSE()),"outro")</f>
        <v>uuid</v>
      </c>
      <c r="M349" s="7" t="str">
        <f aca="false">IF(COUNTIF(Comparação!$H:$H,A349)&gt;0,"sim",IF(AND(G349="sim",H349=""),"FALTA (obrigatória)","não"))</f>
        <v>não</v>
      </c>
    </row>
    <row r="350" customFormat="false" ht="15" hidden="false" customHeight="false" outlineLevel="0" collapsed="false">
      <c r="A350" s="7" t="str">
        <f aca="false">B350&amp;"."&amp;E350</f>
        <v>conteudo_conta_dia.workspace_id</v>
      </c>
      <c r="B350" s="7" t="s">
        <v>82</v>
      </c>
      <c r="C350" s="7" t="s">
        <v>81</v>
      </c>
      <c r="D350" s="7" t="n">
        <v>2</v>
      </c>
      <c r="E350" s="7" t="s">
        <v>274</v>
      </c>
      <c r="F350" s="7" t="s">
        <v>272</v>
      </c>
      <c r="G350" s="7" t="s">
        <v>262</v>
      </c>
      <c r="H350" s="7"/>
      <c r="I350" s="7" t="s">
        <v>290</v>
      </c>
      <c r="J350" s="7" t="s">
        <v>275</v>
      </c>
      <c r="K350" s="7"/>
      <c r="L350" s="7" t="str">
        <f aca="false">IFERROR(VLOOKUP(IF(ISNUMBER(SEARCH("(",F350)),LEFT(F350,SEARCH("(",F350)-1),F350),Tipos!$A:$B,2,FALSE()),"outro")</f>
        <v>uuid</v>
      </c>
      <c r="M350" s="7" t="str">
        <f aca="false">IF(COUNTIF(Comparação!$H:$H,A350)&gt;0,"sim",IF(AND(G350="sim",H350=""),"FALTA (obrigatória)","não"))</f>
        <v>FALTA (obrigatória)</v>
      </c>
    </row>
    <row r="351" customFormat="false" ht="15" hidden="false" customHeight="false" outlineLevel="0" collapsed="false">
      <c r="A351" s="7" t="str">
        <f aca="false">B351&amp;"."&amp;E351</f>
        <v>conteudo_conta_dia.canal</v>
      </c>
      <c r="B351" s="7" t="s">
        <v>82</v>
      </c>
      <c r="C351" s="7" t="s">
        <v>81</v>
      </c>
      <c r="D351" s="7" t="n">
        <v>3</v>
      </c>
      <c r="E351" s="7" t="s">
        <v>350</v>
      </c>
      <c r="F351" s="7" t="s">
        <v>261</v>
      </c>
      <c r="G351" s="7" t="s">
        <v>262</v>
      </c>
      <c r="H351" s="7"/>
      <c r="I351" s="7" t="s">
        <v>290</v>
      </c>
      <c r="J351" s="7"/>
      <c r="K351" s="7" t="s">
        <v>563</v>
      </c>
      <c r="L351" s="7" t="str">
        <f aca="false">IFERROR(VLOOKUP(IF(ISNUMBER(SEARCH("(",F351)),LEFT(F351,SEARCH("(",F351)-1),F351),Tipos!$A:$B,2,FALSE()),"outro")</f>
        <v>texto</v>
      </c>
      <c r="M351" s="7" t="str">
        <f aca="false">IF(COUNTIF(Comparação!$H:$H,A351)&gt;0,"sim",IF(AND(G351="sim",H351=""),"FALTA (obrigatória)","não"))</f>
        <v>FALTA (obrigatória)</v>
      </c>
    </row>
    <row r="352" customFormat="false" ht="15" hidden="false" customHeight="false" outlineLevel="0" collapsed="false">
      <c r="A352" s="7" t="str">
        <f aca="false">B352&amp;"."&amp;E352</f>
        <v>conteudo_conta_dia.data</v>
      </c>
      <c r="B352" s="7" t="s">
        <v>82</v>
      </c>
      <c r="C352" s="7" t="s">
        <v>81</v>
      </c>
      <c r="D352" s="7" t="n">
        <v>4</v>
      </c>
      <c r="E352" s="7" t="s">
        <v>378</v>
      </c>
      <c r="F352" s="7" t="s">
        <v>379</v>
      </c>
      <c r="G352" s="7" t="s">
        <v>262</v>
      </c>
      <c r="H352" s="7"/>
      <c r="I352" s="7" t="s">
        <v>290</v>
      </c>
      <c r="J352" s="7"/>
      <c r="K352" s="7"/>
      <c r="L352" s="7" t="str">
        <f aca="false">IFERROR(VLOOKUP(IF(ISNUMBER(SEARCH("(",F352)),LEFT(F352,SEARCH("(",F352)-1),F352),Tipos!$A:$B,2,FALSE()),"outro")</f>
        <v>data</v>
      </c>
      <c r="M352" s="7" t="str">
        <f aca="false">IF(COUNTIF(Comparação!$H:$H,A352)&gt;0,"sim",IF(AND(G352="sim",H352=""),"FALTA (obrigatória)","não"))</f>
        <v>FALTA (obrigatória)</v>
      </c>
    </row>
    <row r="353" customFormat="false" ht="15" hidden="false" customHeight="false" outlineLevel="0" collapsed="false">
      <c r="A353" s="7" t="str">
        <f aca="false">B353&amp;"."&amp;E353</f>
        <v>conteudo_conta_dia.seguidores</v>
      </c>
      <c r="B353" s="7" t="s">
        <v>82</v>
      </c>
      <c r="C353" s="7" t="s">
        <v>81</v>
      </c>
      <c r="D353" s="7" t="n">
        <v>5</v>
      </c>
      <c r="E353" s="7" t="s">
        <v>564</v>
      </c>
      <c r="F353" s="7" t="s">
        <v>269</v>
      </c>
      <c r="G353" s="7" t="s">
        <v>267</v>
      </c>
      <c r="H353" s="7"/>
      <c r="I353" s="7"/>
      <c r="J353" s="7"/>
      <c r="K353" s="7" t="s">
        <v>565</v>
      </c>
      <c r="L353" s="7" t="str">
        <f aca="false">IFERROR(VLOOKUP(IF(ISNUMBER(SEARCH("(",F353)),LEFT(F353,SEARCH("(",F353)-1),F353),Tipos!$A:$B,2,FALSE()),"outro")</f>
        <v>inteiro</v>
      </c>
      <c r="M353" s="7" t="str">
        <f aca="false">IF(COUNTIF(Comparação!$H:$H,A353)&gt;0,"sim",IF(AND(G353="sim",H353=""),"FALTA (obrigatória)","não"))</f>
        <v>não</v>
      </c>
    </row>
    <row r="354" customFormat="false" ht="15" hidden="false" customHeight="false" outlineLevel="0" collapsed="false">
      <c r="A354" s="7" t="str">
        <f aca="false">B354&amp;"."&amp;E354</f>
        <v>conteudo_conta_dia.alcance</v>
      </c>
      <c r="B354" s="7" t="s">
        <v>82</v>
      </c>
      <c r="C354" s="7" t="s">
        <v>81</v>
      </c>
      <c r="D354" s="7" t="n">
        <v>6</v>
      </c>
      <c r="E354" s="7" t="s">
        <v>566</v>
      </c>
      <c r="F354" s="7" t="s">
        <v>269</v>
      </c>
      <c r="G354" s="7" t="s">
        <v>267</v>
      </c>
      <c r="H354" s="7"/>
      <c r="I354" s="7"/>
      <c r="J354" s="7"/>
      <c r="K354" s="7" t="s">
        <v>567</v>
      </c>
      <c r="L354" s="7" t="str">
        <f aca="false">IFERROR(VLOOKUP(IF(ISNUMBER(SEARCH("(",F354)),LEFT(F354,SEARCH("(",F354)-1),F354),Tipos!$A:$B,2,FALSE()),"outro")</f>
        <v>inteiro</v>
      </c>
      <c r="M354" s="7" t="str">
        <f aca="false">IF(COUNTIF(Comparação!$H:$H,A354)&gt;0,"sim",IF(AND(G354="sim",H354=""),"FALTA (obrigatória)","não"))</f>
        <v>não</v>
      </c>
    </row>
    <row r="355" customFormat="false" ht="15" hidden="false" customHeight="false" outlineLevel="0" collapsed="false">
      <c r="A355" s="7" t="str">
        <f aca="false">B355&amp;"."&amp;E355</f>
        <v>conteudo_conta_dia.impressoes</v>
      </c>
      <c r="B355" s="7" t="s">
        <v>82</v>
      </c>
      <c r="C355" s="7" t="s">
        <v>81</v>
      </c>
      <c r="D355" s="7" t="n">
        <v>7</v>
      </c>
      <c r="E355" s="7" t="s">
        <v>568</v>
      </c>
      <c r="F355" s="7" t="s">
        <v>269</v>
      </c>
      <c r="G355" s="7" t="s">
        <v>267</v>
      </c>
      <c r="H355" s="7"/>
      <c r="I355" s="7"/>
      <c r="J355" s="7"/>
      <c r="K355" s="7" t="s">
        <v>569</v>
      </c>
      <c r="L355" s="7" t="str">
        <f aca="false">IFERROR(VLOOKUP(IF(ISNUMBER(SEARCH("(",F355)),LEFT(F355,SEARCH("(",F355)-1),F355),Tipos!$A:$B,2,FALSE()),"outro")</f>
        <v>inteiro</v>
      </c>
      <c r="M355" s="7" t="str">
        <f aca="false">IF(COUNTIF(Comparação!$H:$H,A355)&gt;0,"sim",IF(AND(G355="sim",H355=""),"FALTA (obrigatória)","não"))</f>
        <v>não</v>
      </c>
    </row>
    <row r="356" customFormat="false" ht="15" hidden="false" customHeight="false" outlineLevel="0" collapsed="false">
      <c r="A356" s="7" t="str">
        <f aca="false">B356&amp;"."&amp;E356</f>
        <v>conteudo_conta_dia.visitas_perfil</v>
      </c>
      <c r="B356" s="7" t="s">
        <v>82</v>
      </c>
      <c r="C356" s="7" t="s">
        <v>81</v>
      </c>
      <c r="D356" s="7" t="n">
        <v>8</v>
      </c>
      <c r="E356" s="7" t="s">
        <v>570</v>
      </c>
      <c r="F356" s="7" t="s">
        <v>269</v>
      </c>
      <c r="G356" s="7" t="s">
        <v>267</v>
      </c>
      <c r="H356" s="7"/>
      <c r="I356" s="7"/>
      <c r="J356" s="7"/>
      <c r="K356" s="7" t="s">
        <v>571</v>
      </c>
      <c r="L356" s="7" t="str">
        <f aca="false">IFERROR(VLOOKUP(IF(ISNUMBER(SEARCH("(",F356)),LEFT(F356,SEARCH("(",F356)-1),F356),Tipos!$A:$B,2,FALSE()),"outro")</f>
        <v>inteiro</v>
      </c>
      <c r="M356" s="7" t="str">
        <f aca="false">IF(COUNTIF(Comparação!$H:$H,A356)&gt;0,"sim",IF(AND(G356="sim",H356=""),"FALTA (obrigatória)","não"))</f>
        <v>não</v>
      </c>
    </row>
    <row r="357" customFormat="false" ht="15" hidden="false" customHeight="false" outlineLevel="0" collapsed="false">
      <c r="A357" s="7" t="str">
        <f aca="false">B357&amp;"."&amp;E357</f>
        <v>conteudo_conta_dia.cliques_link</v>
      </c>
      <c r="B357" s="7" t="s">
        <v>82</v>
      </c>
      <c r="C357" s="7" t="s">
        <v>81</v>
      </c>
      <c r="D357" s="7" t="n">
        <v>9</v>
      </c>
      <c r="E357" s="7" t="s">
        <v>572</v>
      </c>
      <c r="F357" s="7" t="s">
        <v>269</v>
      </c>
      <c r="G357" s="7" t="s">
        <v>267</v>
      </c>
      <c r="H357" s="7"/>
      <c r="I357" s="7"/>
      <c r="J357" s="7"/>
      <c r="K357" s="7" t="s">
        <v>573</v>
      </c>
      <c r="L357" s="7" t="str">
        <f aca="false">IFERROR(VLOOKUP(IF(ISNUMBER(SEARCH("(",F357)),LEFT(F357,SEARCH("(",F357)-1),F357),Tipos!$A:$B,2,FALSE()),"outro")</f>
        <v>inteiro</v>
      </c>
      <c r="M357" s="7" t="str">
        <f aca="false">IF(COUNTIF(Comparação!$H:$H,A357)&gt;0,"sim",IF(AND(G357="sim",H357=""),"FALTA (obrigatória)","não"))</f>
        <v>não</v>
      </c>
    </row>
    <row r="358" customFormat="false" ht="15" hidden="false" customHeight="false" outlineLevel="0" collapsed="false">
      <c r="A358" s="7" t="str">
        <f aca="false">B358&amp;"."&amp;E358</f>
        <v>conteudo_conta_dia.disponibilidade</v>
      </c>
      <c r="B358" s="7" t="s">
        <v>82</v>
      </c>
      <c r="C358" s="7" t="s">
        <v>81</v>
      </c>
      <c r="D358" s="7" t="n">
        <v>10</v>
      </c>
      <c r="E358" s="7" t="s">
        <v>383</v>
      </c>
      <c r="F358" s="7" t="s">
        <v>261</v>
      </c>
      <c r="G358" s="7" t="s">
        <v>262</v>
      </c>
      <c r="H358" s="7" t="s">
        <v>384</v>
      </c>
      <c r="I358" s="7"/>
      <c r="J358" s="7"/>
      <c r="K358" s="7" t="s">
        <v>385</v>
      </c>
      <c r="L358" s="7" t="str">
        <f aca="false">IFERROR(VLOOKUP(IF(ISNUMBER(SEARCH("(",F358)),LEFT(F358,SEARCH("(",F358)-1),F358),Tipos!$A:$B,2,FALSE()),"outro")</f>
        <v>texto</v>
      </c>
      <c r="M358" s="7" t="str">
        <f aca="false">IF(COUNTIF(Comparação!$H:$H,A358)&gt;0,"sim",IF(AND(G358="sim",H358=""),"FALTA (obrigatória)","não"))</f>
        <v>não</v>
      </c>
    </row>
    <row r="359" customFormat="false" ht="15" hidden="false" customHeight="false" outlineLevel="0" collapsed="false">
      <c r="A359" s="7" t="str">
        <f aca="false">B359&amp;"."&amp;E359</f>
        <v>conteudo_conta_dia.atualizado_na_origem</v>
      </c>
      <c r="B359" s="7" t="s">
        <v>82</v>
      </c>
      <c r="C359" s="7" t="s">
        <v>81</v>
      </c>
      <c r="D359" s="7" t="n">
        <v>11</v>
      </c>
      <c r="E359" s="7" t="s">
        <v>386</v>
      </c>
      <c r="F359" s="7" t="s">
        <v>285</v>
      </c>
      <c r="G359" s="7" t="s">
        <v>267</v>
      </c>
      <c r="H359" s="7"/>
      <c r="I359" s="7"/>
      <c r="J359" s="7"/>
      <c r="K359" s="7"/>
      <c r="L359" s="7" t="str">
        <f aca="false">IFERROR(VLOOKUP(IF(ISNUMBER(SEARCH("(",F359)),LEFT(F359,SEARCH("(",F359)-1),F359),Tipos!$A:$B,2,FALSE()),"outro")</f>
        <v>data e hora</v>
      </c>
      <c r="M359" s="7" t="str">
        <f aca="false">IF(COUNTIF(Comparação!$H:$H,A359)&gt;0,"sim",IF(AND(G359="sim",H359=""),"FALTA (obrigatória)","não"))</f>
        <v>não</v>
      </c>
    </row>
    <row r="360" customFormat="false" ht="15" hidden="false" customHeight="false" outlineLevel="0" collapsed="false">
      <c r="A360" s="7" t="str">
        <f aca="false">B360&amp;"."&amp;E360</f>
        <v>conteudo_linhas.id</v>
      </c>
      <c r="B360" s="7" t="s">
        <v>83</v>
      </c>
      <c r="C360" s="7" t="s">
        <v>81</v>
      </c>
      <c r="D360" s="7" t="n">
        <v>1</v>
      </c>
      <c r="E360" s="7" t="s">
        <v>271</v>
      </c>
      <c r="F360" s="7" t="s">
        <v>272</v>
      </c>
      <c r="G360" s="7" t="s">
        <v>262</v>
      </c>
      <c r="H360" s="7" t="s">
        <v>273</v>
      </c>
      <c r="I360" s="7" t="s">
        <v>263</v>
      </c>
      <c r="J360" s="7"/>
      <c r="K360" s="7"/>
      <c r="L360" s="7" t="str">
        <f aca="false">IFERROR(VLOOKUP(IF(ISNUMBER(SEARCH("(",F360)),LEFT(F360,SEARCH("(",F360)-1),F360),Tipos!$A:$B,2,FALSE()),"outro")</f>
        <v>uuid</v>
      </c>
      <c r="M360" s="7" t="str">
        <f aca="false">IF(COUNTIF(Comparação!$H:$H,A360)&gt;0,"sim",IF(AND(G360="sim",H360=""),"FALTA (obrigatória)","não"))</f>
        <v>não</v>
      </c>
    </row>
    <row r="361" customFormat="false" ht="15" hidden="false" customHeight="false" outlineLevel="0" collapsed="false">
      <c r="A361" s="7" t="str">
        <f aca="false">B361&amp;"."&amp;E361</f>
        <v>conteudo_linhas.workspace_id</v>
      </c>
      <c r="B361" s="7" t="s">
        <v>83</v>
      </c>
      <c r="C361" s="7" t="s">
        <v>81</v>
      </c>
      <c r="D361" s="7" t="n">
        <v>2</v>
      </c>
      <c r="E361" s="7" t="s">
        <v>274</v>
      </c>
      <c r="F361" s="7" t="s">
        <v>272</v>
      </c>
      <c r="G361" s="7" t="s">
        <v>262</v>
      </c>
      <c r="H361" s="7"/>
      <c r="I361" s="7"/>
      <c r="J361" s="7" t="s">
        <v>275</v>
      </c>
      <c r="K361" s="7"/>
      <c r="L361" s="7" t="str">
        <f aca="false">IFERROR(VLOOKUP(IF(ISNUMBER(SEARCH("(",F361)),LEFT(F361,SEARCH("(",F361)-1),F361),Tipos!$A:$B,2,FALSE()),"outro")</f>
        <v>uuid</v>
      </c>
      <c r="M361" s="7" t="str">
        <f aca="false">IF(COUNTIF(Comparação!$H:$H,A361)&gt;0,"sim",IF(AND(G361="sim",H361=""),"FALTA (obrigatória)","não"))</f>
        <v>FALTA (obrigatória)</v>
      </c>
    </row>
    <row r="362" customFormat="false" ht="15" hidden="false" customHeight="false" outlineLevel="0" collapsed="false">
      <c r="A362" s="7" t="str">
        <f aca="false">B362&amp;"."&amp;E362</f>
        <v>conteudo_linhas.nome</v>
      </c>
      <c r="B362" s="7" t="s">
        <v>83</v>
      </c>
      <c r="C362" s="7" t="s">
        <v>81</v>
      </c>
      <c r="D362" s="7" t="n">
        <v>3</v>
      </c>
      <c r="E362" s="7" t="s">
        <v>265</v>
      </c>
      <c r="F362" s="7" t="s">
        <v>261</v>
      </c>
      <c r="G362" s="7" t="s">
        <v>262</v>
      </c>
      <c r="H362" s="7"/>
      <c r="I362" s="7"/>
      <c r="J362" s="7"/>
      <c r="K362" s="7"/>
      <c r="L362" s="7" t="str">
        <f aca="false">IFERROR(VLOOKUP(IF(ISNUMBER(SEARCH("(",F362)),LEFT(F362,SEARCH("(",F362)-1),F362),Tipos!$A:$B,2,FALSE()),"outro")</f>
        <v>texto</v>
      </c>
      <c r="M362" s="7" t="str">
        <f aca="false">IF(COUNTIF(Comparação!$H:$H,A362)&gt;0,"sim",IF(AND(G362="sim",H362=""),"FALTA (obrigatória)","não"))</f>
        <v>FALTA (obrigatória)</v>
      </c>
    </row>
    <row r="363" customFormat="false" ht="15" hidden="false" customHeight="false" outlineLevel="0" collapsed="false">
      <c r="A363" s="7" t="str">
        <f aca="false">B363&amp;"."&amp;E363</f>
        <v>conteudo_linhas.descricao</v>
      </c>
      <c r="B363" s="7" t="s">
        <v>83</v>
      </c>
      <c r="C363" s="7" t="s">
        <v>81</v>
      </c>
      <c r="D363" s="7" t="n">
        <v>4</v>
      </c>
      <c r="E363" s="7" t="s">
        <v>427</v>
      </c>
      <c r="F363" s="7" t="s">
        <v>261</v>
      </c>
      <c r="G363" s="7" t="s">
        <v>267</v>
      </c>
      <c r="H363" s="7"/>
      <c r="I363" s="7"/>
      <c r="J363" s="7"/>
      <c r="K363" s="7"/>
      <c r="L363" s="7" t="str">
        <f aca="false">IFERROR(VLOOKUP(IF(ISNUMBER(SEARCH("(",F363)),LEFT(F363,SEARCH("(",F363)-1),F363),Tipos!$A:$B,2,FALSE()),"outro")</f>
        <v>texto</v>
      </c>
      <c r="M363" s="7" t="str">
        <f aca="false">IF(COUNTIF(Comparação!$H:$H,A363)&gt;0,"sim",IF(AND(G363="sim",H363=""),"FALTA (obrigatória)","não"))</f>
        <v>não</v>
      </c>
    </row>
    <row r="364" customFormat="false" ht="15" hidden="false" customHeight="false" outlineLevel="0" collapsed="false">
      <c r="A364" s="7" t="str">
        <f aca="false">B364&amp;"."&amp;E364</f>
        <v>conteudo_linhas.ordem</v>
      </c>
      <c r="B364" s="7" t="s">
        <v>83</v>
      </c>
      <c r="C364" s="7" t="s">
        <v>81</v>
      </c>
      <c r="D364" s="7" t="n">
        <v>5</v>
      </c>
      <c r="E364" s="7" t="s">
        <v>268</v>
      </c>
      <c r="F364" s="7" t="s">
        <v>269</v>
      </c>
      <c r="G364" s="7" t="s">
        <v>262</v>
      </c>
      <c r="H364" s="7" t="s">
        <v>270</v>
      </c>
      <c r="I364" s="7"/>
      <c r="J364" s="7"/>
      <c r="K364" s="7"/>
      <c r="L364" s="7" t="str">
        <f aca="false">IFERROR(VLOOKUP(IF(ISNUMBER(SEARCH("(",F364)),LEFT(F364,SEARCH("(",F364)-1),F364),Tipos!$A:$B,2,FALSE()),"outro")</f>
        <v>inteiro</v>
      </c>
      <c r="M364" s="7" t="str">
        <f aca="false">IF(COUNTIF(Comparação!$H:$H,A364)&gt;0,"sim",IF(AND(G364="sim",H364=""),"FALTA (obrigatória)","não"))</f>
        <v>não</v>
      </c>
    </row>
    <row r="365" customFormat="false" ht="15" hidden="false" customHeight="false" outlineLevel="0" collapsed="false">
      <c r="A365" s="7" t="str">
        <f aca="false">B365&amp;"."&amp;E365</f>
        <v>conteudo_linhas.ativo</v>
      </c>
      <c r="B365" s="7" t="s">
        <v>83</v>
      </c>
      <c r="C365" s="7" t="s">
        <v>81</v>
      </c>
      <c r="D365" s="7" t="n">
        <v>6</v>
      </c>
      <c r="E365" s="7" t="s">
        <v>309</v>
      </c>
      <c r="F365" s="7" t="s">
        <v>310</v>
      </c>
      <c r="G365" s="7" t="s">
        <v>262</v>
      </c>
      <c r="H365" s="7" t="s">
        <v>311</v>
      </c>
      <c r="I365" s="7"/>
      <c r="J365" s="7"/>
      <c r="K365" s="7"/>
      <c r="L365" s="7" t="str">
        <f aca="false">IFERROR(VLOOKUP(IF(ISNUMBER(SEARCH("(",F365)),LEFT(F365,SEARCH("(",F365)-1),F365),Tipos!$A:$B,2,FALSE()),"outro")</f>
        <v>booleano</v>
      </c>
      <c r="M365" s="7" t="str">
        <f aca="false">IF(COUNTIF(Comparação!$H:$H,A365)&gt;0,"sim",IF(AND(G365="sim",H365=""),"FALTA (obrigatória)","não"))</f>
        <v>não</v>
      </c>
    </row>
    <row r="366" customFormat="false" ht="15" hidden="false" customHeight="false" outlineLevel="0" collapsed="false">
      <c r="A366" s="7" t="str">
        <f aca="false">B366&amp;"."&amp;E366</f>
        <v>conteudo_linhas.criado_em</v>
      </c>
      <c r="B366" s="7" t="s">
        <v>83</v>
      </c>
      <c r="C366" s="7" t="s">
        <v>81</v>
      </c>
      <c r="D366" s="7" t="n">
        <v>7</v>
      </c>
      <c r="E366" s="7" t="s">
        <v>344</v>
      </c>
      <c r="F366" s="7" t="s">
        <v>285</v>
      </c>
      <c r="G366" s="7" t="s">
        <v>262</v>
      </c>
      <c r="H366" s="7" t="s">
        <v>286</v>
      </c>
      <c r="I366" s="7"/>
      <c r="J366" s="7"/>
      <c r="K366" s="7"/>
      <c r="L366" s="7" t="str">
        <f aca="false">IFERROR(VLOOKUP(IF(ISNUMBER(SEARCH("(",F366)),LEFT(F366,SEARCH("(",F366)-1),F366),Tipos!$A:$B,2,FALSE()),"outro")</f>
        <v>data e hora</v>
      </c>
      <c r="M366" s="7" t="str">
        <f aca="false">IF(COUNTIF(Comparação!$H:$H,A366)&gt;0,"sim",IF(AND(G366="sim",H366=""),"FALTA (obrigatória)","não"))</f>
        <v>não</v>
      </c>
    </row>
    <row r="367" customFormat="false" ht="15" hidden="false" customHeight="false" outlineLevel="0" collapsed="false">
      <c r="A367" s="7" t="str">
        <f aca="false">B367&amp;"."&amp;E367</f>
        <v>conteudo_metas_semanais.id</v>
      </c>
      <c r="B367" s="7" t="s">
        <v>84</v>
      </c>
      <c r="C367" s="7" t="s">
        <v>81</v>
      </c>
      <c r="D367" s="7" t="n">
        <v>1</v>
      </c>
      <c r="E367" s="7" t="s">
        <v>271</v>
      </c>
      <c r="F367" s="7" t="s">
        <v>272</v>
      </c>
      <c r="G367" s="7" t="s">
        <v>262</v>
      </c>
      <c r="H367" s="7" t="s">
        <v>273</v>
      </c>
      <c r="I367" s="7" t="s">
        <v>263</v>
      </c>
      <c r="J367" s="7"/>
      <c r="K367" s="7"/>
      <c r="L367" s="7" t="str">
        <f aca="false">IFERROR(VLOOKUP(IF(ISNUMBER(SEARCH("(",F367)),LEFT(F367,SEARCH("(",F367)-1),F367),Tipos!$A:$B,2,FALSE()),"outro")</f>
        <v>uuid</v>
      </c>
      <c r="M367" s="7" t="str">
        <f aca="false">IF(COUNTIF(Comparação!$H:$H,A367)&gt;0,"sim",IF(AND(G367="sim",H367=""),"FALTA (obrigatória)","não"))</f>
        <v>não</v>
      </c>
    </row>
    <row r="368" customFormat="false" ht="15" hidden="false" customHeight="false" outlineLevel="0" collapsed="false">
      <c r="A368" s="7" t="str">
        <f aca="false">B368&amp;"."&amp;E368</f>
        <v>conteudo_metas_semanais.workspace_id</v>
      </c>
      <c r="B368" s="7" t="s">
        <v>84</v>
      </c>
      <c r="C368" s="7" t="s">
        <v>81</v>
      </c>
      <c r="D368" s="7" t="n">
        <v>2</v>
      </c>
      <c r="E368" s="7" t="s">
        <v>274</v>
      </c>
      <c r="F368" s="7" t="s">
        <v>272</v>
      </c>
      <c r="G368" s="7" t="s">
        <v>262</v>
      </c>
      <c r="H368" s="7"/>
      <c r="I368" s="7" t="s">
        <v>290</v>
      </c>
      <c r="J368" s="7" t="s">
        <v>275</v>
      </c>
      <c r="K368" s="7"/>
      <c r="L368" s="7" t="str">
        <f aca="false">IFERROR(VLOOKUP(IF(ISNUMBER(SEARCH("(",F368)),LEFT(F368,SEARCH("(",F368)-1),F368),Tipos!$A:$B,2,FALSE()),"outro")</f>
        <v>uuid</v>
      </c>
      <c r="M368" s="7" t="str">
        <f aca="false">IF(COUNTIF(Comparação!$H:$H,A368)&gt;0,"sim",IF(AND(G368="sim",H368=""),"FALTA (obrigatória)","não"))</f>
        <v>FALTA (obrigatória)</v>
      </c>
    </row>
    <row r="369" customFormat="false" ht="15" hidden="false" customHeight="false" outlineLevel="0" collapsed="false">
      <c r="A369" s="7" t="str">
        <f aca="false">B369&amp;"."&amp;E369</f>
        <v>conteudo_metas_semanais.formato</v>
      </c>
      <c r="B369" s="7" t="s">
        <v>84</v>
      </c>
      <c r="C369" s="7" t="s">
        <v>81</v>
      </c>
      <c r="D369" s="7" t="n">
        <v>3</v>
      </c>
      <c r="E369" s="7" t="s">
        <v>574</v>
      </c>
      <c r="F369" s="7" t="s">
        <v>261</v>
      </c>
      <c r="G369" s="7" t="s">
        <v>262</v>
      </c>
      <c r="H369" s="7"/>
      <c r="I369" s="7" t="s">
        <v>290</v>
      </c>
      <c r="J369" s="7"/>
      <c r="K369" s="7" t="s">
        <v>575</v>
      </c>
      <c r="L369" s="7" t="str">
        <f aca="false">IFERROR(VLOOKUP(IF(ISNUMBER(SEARCH("(",F369)),LEFT(F369,SEARCH("(",F369)-1),F369),Tipos!$A:$B,2,FALSE()),"outro")</f>
        <v>texto</v>
      </c>
      <c r="M369" s="7" t="str">
        <f aca="false">IF(COUNTIF(Comparação!$H:$H,A369)&gt;0,"sim",IF(AND(G369="sim",H369=""),"FALTA (obrigatória)","não"))</f>
        <v>FALTA (obrigatória)</v>
      </c>
    </row>
    <row r="370" customFormat="false" ht="15" hidden="false" customHeight="false" outlineLevel="0" collapsed="false">
      <c r="A370" s="7" t="str">
        <f aca="false">B370&amp;"."&amp;E370</f>
        <v>conteudo_metas_semanais.quantidade</v>
      </c>
      <c r="B370" s="7" t="s">
        <v>84</v>
      </c>
      <c r="C370" s="7" t="s">
        <v>81</v>
      </c>
      <c r="D370" s="7" t="n">
        <v>4</v>
      </c>
      <c r="E370" s="7" t="s">
        <v>576</v>
      </c>
      <c r="F370" s="7" t="s">
        <v>269</v>
      </c>
      <c r="G370" s="7" t="s">
        <v>262</v>
      </c>
      <c r="H370" s="7"/>
      <c r="I370" s="7"/>
      <c r="J370" s="7"/>
      <c r="K370" s="7" t="s">
        <v>577</v>
      </c>
      <c r="L370" s="7" t="str">
        <f aca="false">IFERROR(VLOOKUP(IF(ISNUMBER(SEARCH("(",F370)),LEFT(F370,SEARCH("(",F370)-1),F370),Tipos!$A:$B,2,FALSE()),"outro")</f>
        <v>inteiro</v>
      </c>
      <c r="M370" s="7" t="str">
        <f aca="false">IF(COUNTIF(Comparação!$H:$H,A370)&gt;0,"sim",IF(AND(G370="sim",H370=""),"FALTA (obrigatória)","não"))</f>
        <v>FALTA (obrigatória)</v>
      </c>
    </row>
    <row r="371" customFormat="false" ht="15" hidden="false" customHeight="false" outlineLevel="0" collapsed="false">
      <c r="A371" s="7" t="str">
        <f aca="false">B371&amp;"."&amp;E371</f>
        <v>conteudo_publicacoes.id</v>
      </c>
      <c r="B371" s="7" t="s">
        <v>85</v>
      </c>
      <c r="C371" s="7" t="s">
        <v>81</v>
      </c>
      <c r="D371" s="7" t="n">
        <v>1</v>
      </c>
      <c r="E371" s="7" t="s">
        <v>271</v>
      </c>
      <c r="F371" s="7" t="s">
        <v>272</v>
      </c>
      <c r="G371" s="7" t="s">
        <v>262</v>
      </c>
      <c r="H371" s="7" t="s">
        <v>273</v>
      </c>
      <c r="I371" s="7" t="s">
        <v>263</v>
      </c>
      <c r="J371" s="7"/>
      <c r="K371" s="7"/>
      <c r="L371" s="7" t="str">
        <f aca="false">IFERROR(VLOOKUP(IF(ISNUMBER(SEARCH("(",F371)),LEFT(F371,SEARCH("(",F371)-1),F371),Tipos!$A:$B,2,FALSE()),"outro")</f>
        <v>uuid</v>
      </c>
      <c r="M371" s="7" t="str">
        <f aca="false">IF(COUNTIF(Comparação!$H:$H,A371)&gt;0,"sim",IF(AND(G371="sim",H371=""),"FALTA (obrigatória)","não"))</f>
        <v>não</v>
      </c>
    </row>
    <row r="372" customFormat="false" ht="15" hidden="false" customHeight="false" outlineLevel="0" collapsed="false">
      <c r="A372" s="7" t="str">
        <f aca="false">B372&amp;"."&amp;E372</f>
        <v>conteudo_publicacoes.workspace_id</v>
      </c>
      <c r="B372" s="7" t="s">
        <v>85</v>
      </c>
      <c r="C372" s="7" t="s">
        <v>81</v>
      </c>
      <c r="D372" s="7" t="n">
        <v>2</v>
      </c>
      <c r="E372" s="7" t="s">
        <v>274</v>
      </c>
      <c r="F372" s="7" t="s">
        <v>272</v>
      </c>
      <c r="G372" s="7" t="s">
        <v>262</v>
      </c>
      <c r="H372" s="7"/>
      <c r="I372" s="7"/>
      <c r="J372" s="7" t="s">
        <v>275</v>
      </c>
      <c r="K372" s="7"/>
      <c r="L372" s="7" t="str">
        <f aca="false">IFERROR(VLOOKUP(IF(ISNUMBER(SEARCH("(",F372)),LEFT(F372,SEARCH("(",F372)-1),F372),Tipos!$A:$B,2,FALSE()),"outro")</f>
        <v>uuid</v>
      </c>
      <c r="M372" s="7" t="str">
        <f aca="false">IF(COUNTIF(Comparação!$H:$H,A372)&gt;0,"sim",IF(AND(G372="sim",H372=""),"FALTA (obrigatória)","não"))</f>
        <v>FALTA (obrigatória)</v>
      </c>
    </row>
    <row r="373" customFormat="false" ht="15" hidden="false" customHeight="false" outlineLevel="0" collapsed="false">
      <c r="A373" s="7" t="str">
        <f aca="false">B373&amp;"."&amp;E373</f>
        <v>conteudo_publicacoes.conteudo_id</v>
      </c>
      <c r="B373" s="7" t="s">
        <v>85</v>
      </c>
      <c r="C373" s="7" t="s">
        <v>81</v>
      </c>
      <c r="D373" s="7" t="n">
        <v>3</v>
      </c>
      <c r="E373" s="7" t="s">
        <v>578</v>
      </c>
      <c r="F373" s="7" t="s">
        <v>272</v>
      </c>
      <c r="G373" s="7" t="s">
        <v>262</v>
      </c>
      <c r="H373" s="7"/>
      <c r="I373" s="7" t="s">
        <v>290</v>
      </c>
      <c r="J373" s="7" t="s">
        <v>579</v>
      </c>
      <c r="K373" s="7"/>
      <c r="L373" s="7" t="str">
        <f aca="false">IFERROR(VLOOKUP(IF(ISNUMBER(SEARCH("(",F373)),LEFT(F373,SEARCH("(",F373)-1),F373),Tipos!$A:$B,2,FALSE()),"outro")</f>
        <v>uuid</v>
      </c>
      <c r="M373" s="7" t="str">
        <f aca="false">IF(COUNTIF(Comparação!$H:$H,A373)&gt;0,"sim",IF(AND(G373="sim",H373=""),"FALTA (obrigatória)","não"))</f>
        <v>FALTA (obrigatória)</v>
      </c>
    </row>
    <row r="374" customFormat="false" ht="15" hidden="false" customHeight="false" outlineLevel="0" collapsed="false">
      <c r="A374" s="7" t="str">
        <f aca="false">B374&amp;"."&amp;E374</f>
        <v>conteudo_publicacoes.canal</v>
      </c>
      <c r="B374" s="7" t="s">
        <v>85</v>
      </c>
      <c r="C374" s="7" t="s">
        <v>81</v>
      </c>
      <c r="D374" s="7" t="n">
        <v>4</v>
      </c>
      <c r="E374" s="7" t="s">
        <v>350</v>
      </c>
      <c r="F374" s="7" t="s">
        <v>261</v>
      </c>
      <c r="G374" s="7" t="s">
        <v>262</v>
      </c>
      <c r="H374" s="7"/>
      <c r="I374" s="7" t="s">
        <v>290</v>
      </c>
      <c r="J374" s="7"/>
      <c r="K374" s="7" t="s">
        <v>563</v>
      </c>
      <c r="L374" s="7" t="str">
        <f aca="false">IFERROR(VLOOKUP(IF(ISNUMBER(SEARCH("(",F374)),LEFT(F374,SEARCH("(",F374)-1),F374),Tipos!$A:$B,2,FALSE()),"outro")</f>
        <v>texto</v>
      </c>
      <c r="M374" s="7" t="str">
        <f aca="false">IF(COUNTIF(Comparação!$H:$H,A374)&gt;0,"sim",IF(AND(G374="sim",H374=""),"FALTA (obrigatória)","não"))</f>
        <v>FALTA (obrigatória)</v>
      </c>
    </row>
    <row r="375" customFormat="false" ht="15" hidden="false" customHeight="false" outlineLevel="0" collapsed="false">
      <c r="A375" s="7" t="str">
        <f aca="false">B375&amp;"."&amp;E375</f>
        <v>conteudo_publicacoes.data_publicacao</v>
      </c>
      <c r="B375" s="7" t="s">
        <v>85</v>
      </c>
      <c r="C375" s="7" t="s">
        <v>81</v>
      </c>
      <c r="D375" s="7" t="n">
        <v>5</v>
      </c>
      <c r="E375" s="7" t="s">
        <v>580</v>
      </c>
      <c r="F375" s="7" t="s">
        <v>379</v>
      </c>
      <c r="G375" s="7" t="s">
        <v>267</v>
      </c>
      <c r="H375" s="7"/>
      <c r="I375" s="7"/>
      <c r="J375" s="7"/>
      <c r="K375" s="7"/>
      <c r="L375" s="7" t="str">
        <f aca="false">IFERROR(VLOOKUP(IF(ISNUMBER(SEARCH("(",F375)),LEFT(F375,SEARCH("(",F375)-1),F375),Tipos!$A:$B,2,FALSE()),"outro")</f>
        <v>data</v>
      </c>
      <c r="M375" s="7" t="str">
        <f aca="false">IF(COUNTIF(Comparação!$H:$H,A375)&gt;0,"sim",IF(AND(G375="sim",H375=""),"FALTA (obrigatória)","não"))</f>
        <v>não</v>
      </c>
    </row>
    <row r="376" customFormat="false" ht="15" hidden="false" customHeight="false" outlineLevel="0" collapsed="false">
      <c r="A376" s="7" t="str">
        <f aca="false">B376&amp;"."&amp;E376</f>
        <v>conteudo_publicacoes.url</v>
      </c>
      <c r="B376" s="7" t="s">
        <v>85</v>
      </c>
      <c r="C376" s="7" t="s">
        <v>81</v>
      </c>
      <c r="D376" s="7" t="n">
        <v>6</v>
      </c>
      <c r="E376" s="7" t="s">
        <v>581</v>
      </c>
      <c r="F376" s="7" t="s">
        <v>261</v>
      </c>
      <c r="G376" s="7" t="s">
        <v>267</v>
      </c>
      <c r="H376" s="7"/>
      <c r="I376" s="7"/>
      <c r="J376" s="7"/>
      <c r="K376" s="7" t="s">
        <v>582</v>
      </c>
      <c r="L376" s="7" t="str">
        <f aca="false">IFERROR(VLOOKUP(IF(ISNUMBER(SEARCH("(",F376)),LEFT(F376,SEARCH("(",F376)-1),F376),Tipos!$A:$B,2,FALSE()),"outro")</f>
        <v>texto</v>
      </c>
      <c r="M376" s="7" t="str">
        <f aca="false">IF(COUNTIF(Comparação!$H:$H,A376)&gt;0,"sim",IF(AND(G376="sim",H376=""),"FALTA (obrigatória)","não"))</f>
        <v>não</v>
      </c>
    </row>
    <row r="377" customFormat="false" ht="15" hidden="false" customHeight="false" outlineLevel="0" collapsed="false">
      <c r="A377" s="7" t="str">
        <f aca="false">B377&amp;"."&amp;E377</f>
        <v>conteudo_publicacoes.status</v>
      </c>
      <c r="B377" s="7" t="s">
        <v>85</v>
      </c>
      <c r="C377" s="7" t="s">
        <v>81</v>
      </c>
      <c r="D377" s="7" t="n">
        <v>7</v>
      </c>
      <c r="E377" s="7" t="s">
        <v>293</v>
      </c>
      <c r="F377" s="7" t="s">
        <v>261</v>
      </c>
      <c r="G377" s="7" t="s">
        <v>262</v>
      </c>
      <c r="H377" s="7" t="s">
        <v>583</v>
      </c>
      <c r="I377" s="7"/>
      <c r="J377" s="7"/>
      <c r="K377" s="7" t="s">
        <v>584</v>
      </c>
      <c r="L377" s="7" t="str">
        <f aca="false">IFERROR(VLOOKUP(IF(ISNUMBER(SEARCH("(",F377)),LEFT(F377,SEARCH("(",F377)-1),F377),Tipos!$A:$B,2,FALSE()),"outro")</f>
        <v>texto</v>
      </c>
      <c r="M377" s="7" t="str">
        <f aca="false">IF(COUNTIF(Comparação!$H:$H,A377)&gt;0,"sim",IF(AND(G377="sim",H377=""),"FALTA (obrigatória)","não"))</f>
        <v>não</v>
      </c>
    </row>
    <row r="378" customFormat="false" ht="15" hidden="false" customHeight="false" outlineLevel="0" collapsed="false">
      <c r="A378" s="7" t="str">
        <f aca="false">B378&amp;"."&amp;E378</f>
        <v>conteudo_publicacoes.impressoes</v>
      </c>
      <c r="B378" s="7" t="s">
        <v>85</v>
      </c>
      <c r="C378" s="7" t="s">
        <v>81</v>
      </c>
      <c r="D378" s="7" t="n">
        <v>8</v>
      </c>
      <c r="E378" s="7" t="s">
        <v>568</v>
      </c>
      <c r="F378" s="7" t="s">
        <v>269</v>
      </c>
      <c r="G378" s="7" t="s">
        <v>267</v>
      </c>
      <c r="H378" s="7"/>
      <c r="I378" s="7"/>
      <c r="J378" s="7"/>
      <c r="K378" s="7" t="s">
        <v>569</v>
      </c>
      <c r="L378" s="7" t="str">
        <f aca="false">IFERROR(VLOOKUP(IF(ISNUMBER(SEARCH("(",F378)),LEFT(F378,SEARCH("(",F378)-1),F378),Tipos!$A:$B,2,FALSE()),"outro")</f>
        <v>inteiro</v>
      </c>
      <c r="M378" s="7" t="str">
        <f aca="false">IF(COUNTIF(Comparação!$H:$H,A378)&gt;0,"sim",IF(AND(G378="sim",H378=""),"FALTA (obrigatória)","não"))</f>
        <v>não</v>
      </c>
    </row>
    <row r="379" customFormat="false" ht="15" hidden="false" customHeight="false" outlineLevel="0" collapsed="false">
      <c r="A379" s="7" t="str">
        <f aca="false">B379&amp;"."&amp;E379</f>
        <v>conteudo_publicacoes.alcance</v>
      </c>
      <c r="B379" s="7" t="s">
        <v>85</v>
      </c>
      <c r="C379" s="7" t="s">
        <v>81</v>
      </c>
      <c r="D379" s="7" t="n">
        <v>9</v>
      </c>
      <c r="E379" s="7" t="s">
        <v>566</v>
      </c>
      <c r="F379" s="7" t="s">
        <v>269</v>
      </c>
      <c r="G379" s="7" t="s">
        <v>267</v>
      </c>
      <c r="H379" s="7"/>
      <c r="I379" s="7"/>
      <c r="J379" s="7"/>
      <c r="K379" s="7" t="s">
        <v>567</v>
      </c>
      <c r="L379" s="7" t="str">
        <f aca="false">IFERROR(VLOOKUP(IF(ISNUMBER(SEARCH("(",F379)),LEFT(F379,SEARCH("(",F379)-1),F379),Tipos!$A:$B,2,FALSE()),"outro")</f>
        <v>inteiro</v>
      </c>
      <c r="M379" s="7" t="str">
        <f aca="false">IF(COUNTIF(Comparação!$H:$H,A379)&gt;0,"sim",IF(AND(G379="sim",H379=""),"FALTA (obrigatória)","não"))</f>
        <v>não</v>
      </c>
    </row>
    <row r="380" customFormat="false" ht="15" hidden="false" customHeight="false" outlineLevel="0" collapsed="false">
      <c r="A380" s="7" t="str">
        <f aca="false">B380&amp;"."&amp;E380</f>
        <v>conteudo_publicacoes.visualizacoes</v>
      </c>
      <c r="B380" s="7" t="s">
        <v>85</v>
      </c>
      <c r="C380" s="7" t="s">
        <v>81</v>
      </c>
      <c r="D380" s="7" t="n">
        <v>10</v>
      </c>
      <c r="E380" s="7" t="s">
        <v>585</v>
      </c>
      <c r="F380" s="7" t="s">
        <v>269</v>
      </c>
      <c r="G380" s="7" t="s">
        <v>267</v>
      </c>
      <c r="H380" s="7"/>
      <c r="I380" s="7"/>
      <c r="J380" s="7"/>
      <c r="K380" s="7" t="s">
        <v>586</v>
      </c>
      <c r="L380" s="7" t="str">
        <f aca="false">IFERROR(VLOOKUP(IF(ISNUMBER(SEARCH("(",F380)),LEFT(F380,SEARCH("(",F380)-1),F380),Tipos!$A:$B,2,FALSE()),"outro")</f>
        <v>inteiro</v>
      </c>
      <c r="M380" s="7" t="str">
        <f aca="false">IF(COUNTIF(Comparação!$H:$H,A380)&gt;0,"sim",IF(AND(G380="sim",H380=""),"FALTA (obrigatória)","não"))</f>
        <v>não</v>
      </c>
    </row>
    <row r="381" customFormat="false" ht="15" hidden="false" customHeight="false" outlineLevel="0" collapsed="false">
      <c r="A381" s="7" t="str">
        <f aca="false">B381&amp;"."&amp;E381</f>
        <v>conteudo_publicacoes.curtidas</v>
      </c>
      <c r="B381" s="7" t="s">
        <v>85</v>
      </c>
      <c r="C381" s="7" t="s">
        <v>81</v>
      </c>
      <c r="D381" s="7" t="n">
        <v>11</v>
      </c>
      <c r="E381" s="7" t="s">
        <v>587</v>
      </c>
      <c r="F381" s="7" t="s">
        <v>269</v>
      </c>
      <c r="G381" s="7" t="s">
        <v>267</v>
      </c>
      <c r="H381" s="7"/>
      <c r="I381" s="7"/>
      <c r="J381" s="7"/>
      <c r="K381" s="7" t="s">
        <v>588</v>
      </c>
      <c r="L381" s="7" t="str">
        <f aca="false">IFERROR(VLOOKUP(IF(ISNUMBER(SEARCH("(",F381)),LEFT(F381,SEARCH("(",F381)-1),F381),Tipos!$A:$B,2,FALSE()),"outro")</f>
        <v>inteiro</v>
      </c>
      <c r="M381" s="7" t="str">
        <f aca="false">IF(COUNTIF(Comparação!$H:$H,A381)&gt;0,"sim",IF(AND(G381="sim",H381=""),"FALTA (obrigatória)","não"))</f>
        <v>não</v>
      </c>
    </row>
    <row r="382" customFormat="false" ht="15" hidden="false" customHeight="false" outlineLevel="0" collapsed="false">
      <c r="A382" s="7" t="str">
        <f aca="false">B382&amp;"."&amp;E382</f>
        <v>conteudo_publicacoes.comentarios</v>
      </c>
      <c r="B382" s="7" t="s">
        <v>85</v>
      </c>
      <c r="C382" s="7" t="s">
        <v>81</v>
      </c>
      <c r="D382" s="7" t="n">
        <v>12</v>
      </c>
      <c r="E382" s="7" t="s">
        <v>589</v>
      </c>
      <c r="F382" s="7" t="s">
        <v>269</v>
      </c>
      <c r="G382" s="7" t="s">
        <v>267</v>
      </c>
      <c r="H382" s="7"/>
      <c r="I382" s="7"/>
      <c r="J382" s="7"/>
      <c r="K382" s="7" t="s">
        <v>590</v>
      </c>
      <c r="L382" s="7" t="str">
        <f aca="false">IFERROR(VLOOKUP(IF(ISNUMBER(SEARCH("(",F382)),LEFT(F382,SEARCH("(",F382)-1),F382),Tipos!$A:$B,2,FALSE()),"outro")</f>
        <v>inteiro</v>
      </c>
      <c r="M382" s="7" t="str">
        <f aca="false">IF(COUNTIF(Comparação!$H:$H,A382)&gt;0,"sim",IF(AND(G382="sim",H382=""),"FALTA (obrigatória)","não"))</f>
        <v>não</v>
      </c>
    </row>
    <row r="383" customFormat="false" ht="15" hidden="false" customHeight="false" outlineLevel="0" collapsed="false">
      <c r="A383" s="7" t="str">
        <f aca="false">B383&amp;"."&amp;E383</f>
        <v>conteudo_publicacoes.compartilhamentos</v>
      </c>
      <c r="B383" s="7" t="s">
        <v>85</v>
      </c>
      <c r="C383" s="7" t="s">
        <v>81</v>
      </c>
      <c r="D383" s="7" t="n">
        <v>13</v>
      </c>
      <c r="E383" s="7" t="s">
        <v>591</v>
      </c>
      <c r="F383" s="7" t="s">
        <v>269</v>
      </c>
      <c r="G383" s="7" t="s">
        <v>267</v>
      </c>
      <c r="H383" s="7"/>
      <c r="I383" s="7"/>
      <c r="J383" s="7"/>
      <c r="K383" s="7" t="s">
        <v>592</v>
      </c>
      <c r="L383" s="7" t="str">
        <f aca="false">IFERROR(VLOOKUP(IF(ISNUMBER(SEARCH("(",F383)),LEFT(F383,SEARCH("(",F383)-1),F383),Tipos!$A:$B,2,FALSE()),"outro")</f>
        <v>inteiro</v>
      </c>
      <c r="M383" s="7" t="str">
        <f aca="false">IF(COUNTIF(Comparação!$H:$H,A383)&gt;0,"sim",IF(AND(G383="sim",H383=""),"FALTA (obrigatória)","não"))</f>
        <v>não</v>
      </c>
    </row>
    <row r="384" customFormat="false" ht="15" hidden="false" customHeight="false" outlineLevel="0" collapsed="false">
      <c r="A384" s="7" t="str">
        <f aca="false">B384&amp;"."&amp;E384</f>
        <v>conteudo_publicacoes.salvamentos</v>
      </c>
      <c r="B384" s="7" t="s">
        <v>85</v>
      </c>
      <c r="C384" s="7" t="s">
        <v>81</v>
      </c>
      <c r="D384" s="7" t="n">
        <v>14</v>
      </c>
      <c r="E384" s="7" t="s">
        <v>593</v>
      </c>
      <c r="F384" s="7" t="s">
        <v>269</v>
      </c>
      <c r="G384" s="7" t="s">
        <v>267</v>
      </c>
      <c r="H384" s="7"/>
      <c r="I384" s="7"/>
      <c r="J384" s="7"/>
      <c r="K384" s="7" t="s">
        <v>594</v>
      </c>
      <c r="L384" s="7" t="str">
        <f aca="false">IFERROR(VLOOKUP(IF(ISNUMBER(SEARCH("(",F384)),LEFT(F384,SEARCH("(",F384)-1),F384),Tipos!$A:$B,2,FALSE()),"outro")</f>
        <v>inteiro</v>
      </c>
      <c r="M384" s="7" t="str">
        <f aca="false">IF(COUNTIF(Comparação!$H:$H,A384)&gt;0,"sim",IF(AND(G384="sim",H384=""),"FALTA (obrigatória)","não"))</f>
        <v>não</v>
      </c>
    </row>
    <row r="385" customFormat="false" ht="15" hidden="false" customHeight="false" outlineLevel="0" collapsed="false">
      <c r="A385" s="7" t="str">
        <f aca="false">B385&amp;"."&amp;E385</f>
        <v>conteudo_publicacoes.cliques</v>
      </c>
      <c r="B385" s="7" t="s">
        <v>85</v>
      </c>
      <c r="C385" s="7" t="s">
        <v>81</v>
      </c>
      <c r="D385" s="7" t="n">
        <v>15</v>
      </c>
      <c r="E385" s="7" t="s">
        <v>595</v>
      </c>
      <c r="F385" s="7" t="s">
        <v>269</v>
      </c>
      <c r="G385" s="7" t="s">
        <v>267</v>
      </c>
      <c r="H385" s="7"/>
      <c r="I385" s="7"/>
      <c r="J385" s="7"/>
      <c r="K385" s="7" t="s">
        <v>596</v>
      </c>
      <c r="L385" s="7" t="str">
        <f aca="false">IFERROR(VLOOKUP(IF(ISNUMBER(SEARCH("(",F385)),LEFT(F385,SEARCH("(",F385)-1),F385),Tipos!$A:$B,2,FALSE()),"outro")</f>
        <v>inteiro</v>
      </c>
      <c r="M385" s="7" t="str">
        <f aca="false">IF(COUNTIF(Comparação!$H:$H,A385)&gt;0,"sim",IF(AND(G385="sim",H385=""),"FALTA (obrigatória)","não"))</f>
        <v>não</v>
      </c>
    </row>
    <row r="386" customFormat="false" ht="15" hidden="false" customHeight="false" outlineLevel="0" collapsed="false">
      <c r="A386" s="7" t="str">
        <f aca="false">B386&amp;"."&amp;E386</f>
        <v>conteudo_publicacoes.seguidores_ganhos</v>
      </c>
      <c r="B386" s="7" t="s">
        <v>85</v>
      </c>
      <c r="C386" s="7" t="s">
        <v>81</v>
      </c>
      <c r="D386" s="7" t="n">
        <v>16</v>
      </c>
      <c r="E386" s="7" t="s">
        <v>597</v>
      </c>
      <c r="F386" s="7" t="s">
        <v>269</v>
      </c>
      <c r="G386" s="7" t="s">
        <v>267</v>
      </c>
      <c r="H386" s="7"/>
      <c r="I386" s="7"/>
      <c r="J386" s="7"/>
      <c r="K386" s="7"/>
      <c r="L386" s="7" t="str">
        <f aca="false">IFERROR(VLOOKUP(IF(ISNUMBER(SEARCH("(",F386)),LEFT(F386,SEARCH("(",F386)-1),F386),Tipos!$A:$B,2,FALSE()),"outro")</f>
        <v>inteiro</v>
      </c>
      <c r="M386" s="7" t="str">
        <f aca="false">IF(COUNTIF(Comparação!$H:$H,A386)&gt;0,"sim",IF(AND(G386="sim",H386=""),"FALTA (obrigatória)","não"))</f>
        <v>não</v>
      </c>
    </row>
    <row r="387" customFormat="false" ht="15" hidden="false" customHeight="false" outlineLevel="0" collapsed="false">
      <c r="A387" s="7" t="str">
        <f aca="false">B387&amp;"."&amp;E387</f>
        <v>conteudo_publicacoes.metricas_em</v>
      </c>
      <c r="B387" s="7" t="s">
        <v>85</v>
      </c>
      <c r="C387" s="7" t="s">
        <v>81</v>
      </c>
      <c r="D387" s="7" t="n">
        <v>17</v>
      </c>
      <c r="E387" s="7" t="s">
        <v>598</v>
      </c>
      <c r="F387" s="7" t="s">
        <v>379</v>
      </c>
      <c r="G387" s="7" t="s">
        <v>267</v>
      </c>
      <c r="H387" s="7"/>
      <c r="I387" s="7"/>
      <c r="J387" s="7"/>
      <c r="K387" s="7"/>
      <c r="L387" s="7" t="str">
        <f aca="false">IFERROR(VLOOKUP(IF(ISNUMBER(SEARCH("(",F387)),LEFT(F387,SEARCH("(",F387)-1),F387),Tipos!$A:$B,2,FALSE()),"outro")</f>
        <v>data</v>
      </c>
      <c r="M387" s="7" t="str">
        <f aca="false">IF(COUNTIF(Comparação!$H:$H,A387)&gt;0,"sim",IF(AND(G387="sim",H387=""),"FALTA (obrigatória)","não"))</f>
        <v>não</v>
      </c>
    </row>
    <row r="388" customFormat="false" ht="15" hidden="false" customHeight="false" outlineLevel="0" collapsed="false">
      <c r="A388" s="7" t="str">
        <f aca="false">B388&amp;"."&amp;E388</f>
        <v>conteudo_publicacoes.criado_em</v>
      </c>
      <c r="B388" s="7" t="s">
        <v>85</v>
      </c>
      <c r="C388" s="7" t="s">
        <v>81</v>
      </c>
      <c r="D388" s="7" t="n">
        <v>18</v>
      </c>
      <c r="E388" s="7" t="s">
        <v>344</v>
      </c>
      <c r="F388" s="7" t="s">
        <v>285</v>
      </c>
      <c r="G388" s="7" t="s">
        <v>262</v>
      </c>
      <c r="H388" s="7" t="s">
        <v>286</v>
      </c>
      <c r="I388" s="7"/>
      <c r="J388" s="7"/>
      <c r="K388" s="7"/>
      <c r="L388" s="7" t="str">
        <f aca="false">IFERROR(VLOOKUP(IF(ISNUMBER(SEARCH("(",F388)),LEFT(F388,SEARCH("(",F388)-1),F388),Tipos!$A:$B,2,FALSE()),"outro")</f>
        <v>data e hora</v>
      </c>
      <c r="M388" s="7" t="str">
        <f aca="false">IF(COUNTIF(Comparação!$H:$H,A388)&gt;0,"sim",IF(AND(G388="sim",H388=""),"FALTA (obrigatória)","não"))</f>
        <v>não</v>
      </c>
    </row>
    <row r="389" customFormat="false" ht="15" hidden="false" customHeight="false" outlineLevel="0" collapsed="false">
      <c r="A389" s="7" t="str">
        <f aca="false">B389&amp;"."&amp;E389</f>
        <v>conteudo_temas.id</v>
      </c>
      <c r="B389" s="7" t="s">
        <v>87</v>
      </c>
      <c r="C389" s="7" t="s">
        <v>81</v>
      </c>
      <c r="D389" s="7" t="n">
        <v>1</v>
      </c>
      <c r="E389" s="7" t="s">
        <v>271</v>
      </c>
      <c r="F389" s="7" t="s">
        <v>272</v>
      </c>
      <c r="G389" s="7" t="s">
        <v>262</v>
      </c>
      <c r="H389" s="7" t="s">
        <v>273</v>
      </c>
      <c r="I389" s="7" t="s">
        <v>263</v>
      </c>
      <c r="J389" s="7"/>
      <c r="K389" s="7"/>
      <c r="L389" s="7" t="str">
        <f aca="false">IFERROR(VLOOKUP(IF(ISNUMBER(SEARCH("(",F389)),LEFT(F389,SEARCH("(",F389)-1),F389),Tipos!$A:$B,2,FALSE()),"outro")</f>
        <v>uuid</v>
      </c>
      <c r="M389" s="7" t="str">
        <f aca="false">IF(COUNTIF(Comparação!$H:$H,A389)&gt;0,"sim",IF(AND(G389="sim",H389=""),"FALTA (obrigatória)","não"))</f>
        <v>não</v>
      </c>
    </row>
    <row r="390" customFormat="false" ht="15" hidden="false" customHeight="false" outlineLevel="0" collapsed="false">
      <c r="A390" s="7" t="str">
        <f aca="false">B390&amp;"."&amp;E390</f>
        <v>conteudo_temas.workspace_id</v>
      </c>
      <c r="B390" s="7" t="s">
        <v>87</v>
      </c>
      <c r="C390" s="7" t="s">
        <v>81</v>
      </c>
      <c r="D390" s="7" t="n">
        <v>2</v>
      </c>
      <c r="E390" s="7" t="s">
        <v>274</v>
      </c>
      <c r="F390" s="7" t="s">
        <v>272</v>
      </c>
      <c r="G390" s="7" t="s">
        <v>262</v>
      </c>
      <c r="H390" s="7"/>
      <c r="I390" s="7"/>
      <c r="J390" s="7" t="s">
        <v>275</v>
      </c>
      <c r="K390" s="7"/>
      <c r="L390" s="7" t="str">
        <f aca="false">IFERROR(VLOOKUP(IF(ISNUMBER(SEARCH("(",F390)),LEFT(F390,SEARCH("(",F390)-1),F390),Tipos!$A:$B,2,FALSE()),"outro")</f>
        <v>uuid</v>
      </c>
      <c r="M390" s="7" t="str">
        <f aca="false">IF(COUNTIF(Comparação!$H:$H,A390)&gt;0,"sim",IF(AND(G390="sim",H390=""),"FALTA (obrigatória)","não"))</f>
        <v>FALTA (obrigatória)</v>
      </c>
    </row>
    <row r="391" customFormat="false" ht="15" hidden="false" customHeight="false" outlineLevel="0" collapsed="false">
      <c r="A391" s="7" t="str">
        <f aca="false">B391&amp;"."&amp;E391</f>
        <v>conteudo_temas.linha_id</v>
      </c>
      <c r="B391" s="7" t="s">
        <v>87</v>
      </c>
      <c r="C391" s="7" t="s">
        <v>81</v>
      </c>
      <c r="D391" s="7" t="n">
        <v>3</v>
      </c>
      <c r="E391" s="7" t="s">
        <v>599</v>
      </c>
      <c r="F391" s="7" t="s">
        <v>272</v>
      </c>
      <c r="G391" s="7" t="s">
        <v>267</v>
      </c>
      <c r="H391" s="7"/>
      <c r="I391" s="7"/>
      <c r="J391" s="7" t="s">
        <v>600</v>
      </c>
      <c r="K391" s="7"/>
      <c r="L391" s="7" t="str">
        <f aca="false">IFERROR(VLOOKUP(IF(ISNUMBER(SEARCH("(",F391)),LEFT(F391,SEARCH("(",F391)-1),F391),Tipos!$A:$B,2,FALSE()),"outro")</f>
        <v>uuid</v>
      </c>
      <c r="M391" s="7" t="str">
        <f aca="false">IF(COUNTIF(Comparação!$H:$H,A391)&gt;0,"sim",IF(AND(G391="sim",H391=""),"FALTA (obrigatória)","não"))</f>
        <v>não</v>
      </c>
    </row>
    <row r="392" customFormat="false" ht="15" hidden="false" customHeight="false" outlineLevel="0" collapsed="false">
      <c r="A392" s="7" t="str">
        <f aca="false">B392&amp;"."&amp;E392</f>
        <v>conteudo_temas.nome</v>
      </c>
      <c r="B392" s="7" t="s">
        <v>87</v>
      </c>
      <c r="C392" s="7" t="s">
        <v>81</v>
      </c>
      <c r="D392" s="7" t="n">
        <v>4</v>
      </c>
      <c r="E392" s="7" t="s">
        <v>265</v>
      </c>
      <c r="F392" s="7" t="s">
        <v>261</v>
      </c>
      <c r="G392" s="7" t="s">
        <v>262</v>
      </c>
      <c r="H392" s="7"/>
      <c r="I392" s="7"/>
      <c r="J392" s="7"/>
      <c r="K392" s="7"/>
      <c r="L392" s="7" t="str">
        <f aca="false">IFERROR(VLOOKUP(IF(ISNUMBER(SEARCH("(",F392)),LEFT(F392,SEARCH("(",F392)-1),F392),Tipos!$A:$B,2,FALSE()),"outro")</f>
        <v>texto</v>
      </c>
      <c r="M392" s="7" t="str">
        <f aca="false">IF(COUNTIF(Comparação!$H:$H,A392)&gt;0,"sim",IF(AND(G392="sim",H392=""),"FALTA (obrigatória)","não"))</f>
        <v>FALTA (obrigatória)</v>
      </c>
    </row>
    <row r="393" customFormat="false" ht="15" hidden="false" customHeight="false" outlineLevel="0" collapsed="false">
      <c r="A393" s="7" t="str">
        <f aca="false">B393&amp;"."&amp;E393</f>
        <v>conteudo_temas.prioridade</v>
      </c>
      <c r="B393" s="7" t="s">
        <v>87</v>
      </c>
      <c r="C393" s="7" t="s">
        <v>81</v>
      </c>
      <c r="D393" s="7" t="n">
        <v>5</v>
      </c>
      <c r="E393" s="7" t="s">
        <v>601</v>
      </c>
      <c r="F393" s="7" t="s">
        <v>269</v>
      </c>
      <c r="G393" s="7" t="s">
        <v>262</v>
      </c>
      <c r="H393" s="7" t="s">
        <v>602</v>
      </c>
      <c r="I393" s="7"/>
      <c r="J393" s="7"/>
      <c r="K393" s="7" t="s">
        <v>603</v>
      </c>
      <c r="L393" s="7" t="str">
        <f aca="false">IFERROR(VLOOKUP(IF(ISNUMBER(SEARCH("(",F393)),LEFT(F393,SEARCH("(",F393)-1),F393),Tipos!$A:$B,2,FALSE()),"outro")</f>
        <v>inteiro</v>
      </c>
      <c r="M393" s="7" t="str">
        <f aca="false">IF(COUNTIF(Comparação!$H:$H,A393)&gt;0,"sim",IF(AND(G393="sim",H393=""),"FALTA (obrigatória)","não"))</f>
        <v>não</v>
      </c>
    </row>
    <row r="394" customFormat="false" ht="15" hidden="false" customHeight="false" outlineLevel="0" collapsed="false">
      <c r="A394" s="7" t="str">
        <f aca="false">B394&amp;"."&amp;E394</f>
        <v>conteudo_temas.cor</v>
      </c>
      <c r="B394" s="7" t="s">
        <v>87</v>
      </c>
      <c r="C394" s="7" t="s">
        <v>81</v>
      </c>
      <c r="D394" s="7" t="n">
        <v>6</v>
      </c>
      <c r="E394" s="7" t="s">
        <v>604</v>
      </c>
      <c r="F394" s="7" t="s">
        <v>261</v>
      </c>
      <c r="G394" s="7" t="s">
        <v>262</v>
      </c>
      <c r="H394" s="7" t="s">
        <v>605</v>
      </c>
      <c r="I394" s="7"/>
      <c r="J394" s="7"/>
      <c r="K394" s="7" t="s">
        <v>606</v>
      </c>
      <c r="L394" s="7" t="str">
        <f aca="false">IFERROR(VLOOKUP(IF(ISNUMBER(SEARCH("(",F394)),LEFT(F394,SEARCH("(",F394)-1),F394),Tipos!$A:$B,2,FALSE()),"outro")</f>
        <v>texto</v>
      </c>
      <c r="M394" s="7" t="str">
        <f aca="false">IF(COUNTIF(Comparação!$H:$H,A394)&gt;0,"sim",IF(AND(G394="sim",H394=""),"FALTA (obrigatória)","não"))</f>
        <v>não</v>
      </c>
    </row>
    <row r="395" customFormat="false" ht="15" hidden="false" customHeight="false" outlineLevel="0" collapsed="false">
      <c r="A395" s="7" t="str">
        <f aca="false">B395&amp;"."&amp;E395</f>
        <v>conteudo_temas.ativo</v>
      </c>
      <c r="B395" s="7" t="s">
        <v>87</v>
      </c>
      <c r="C395" s="7" t="s">
        <v>81</v>
      </c>
      <c r="D395" s="7" t="n">
        <v>7</v>
      </c>
      <c r="E395" s="7" t="s">
        <v>309</v>
      </c>
      <c r="F395" s="7" t="s">
        <v>310</v>
      </c>
      <c r="G395" s="7" t="s">
        <v>262</v>
      </c>
      <c r="H395" s="7" t="s">
        <v>311</v>
      </c>
      <c r="I395" s="7"/>
      <c r="J395" s="7"/>
      <c r="K395" s="7"/>
      <c r="L395" s="7" t="str">
        <f aca="false">IFERROR(VLOOKUP(IF(ISNUMBER(SEARCH("(",F395)),LEFT(F395,SEARCH("(",F395)-1),F395),Tipos!$A:$B,2,FALSE()),"outro")</f>
        <v>booleano</v>
      </c>
      <c r="M395" s="7" t="str">
        <f aca="false">IF(COUNTIF(Comparação!$H:$H,A395)&gt;0,"sim",IF(AND(G395="sim",H395=""),"FALTA (obrigatória)","não"))</f>
        <v>não</v>
      </c>
    </row>
    <row r="396" customFormat="false" ht="15" hidden="false" customHeight="false" outlineLevel="0" collapsed="false">
      <c r="A396" s="7" t="str">
        <f aca="false">B396&amp;"."&amp;E396</f>
        <v>conteudo_temas.criado_em</v>
      </c>
      <c r="B396" s="7" t="s">
        <v>87</v>
      </c>
      <c r="C396" s="7" t="s">
        <v>81</v>
      </c>
      <c r="D396" s="7" t="n">
        <v>8</v>
      </c>
      <c r="E396" s="7" t="s">
        <v>344</v>
      </c>
      <c r="F396" s="7" t="s">
        <v>285</v>
      </c>
      <c r="G396" s="7" t="s">
        <v>262</v>
      </c>
      <c r="H396" s="7" t="s">
        <v>286</v>
      </c>
      <c r="I396" s="7"/>
      <c r="J396" s="7"/>
      <c r="K396" s="7"/>
      <c r="L396" s="7" t="str">
        <f aca="false">IFERROR(VLOOKUP(IF(ISNUMBER(SEARCH("(",F396)),LEFT(F396,SEARCH("(",F396)-1),F396),Tipos!$A:$B,2,FALSE()),"outro")</f>
        <v>data e hora</v>
      </c>
      <c r="M396" s="7" t="str">
        <f aca="false">IF(COUNTIF(Comparação!$H:$H,A396)&gt;0,"sim",IF(AND(G396="sim",H396=""),"FALTA (obrigatória)","não"))</f>
        <v>não</v>
      </c>
    </row>
    <row r="397" customFormat="false" ht="15" hidden="false" customHeight="false" outlineLevel="0" collapsed="false">
      <c r="A397" s="7" t="str">
        <f aca="false">B397&amp;"."&amp;E397</f>
        <v>conteudos.id</v>
      </c>
      <c r="B397" s="7" t="s">
        <v>89</v>
      </c>
      <c r="C397" s="7" t="s">
        <v>81</v>
      </c>
      <c r="D397" s="7" t="n">
        <v>1</v>
      </c>
      <c r="E397" s="7" t="s">
        <v>271</v>
      </c>
      <c r="F397" s="7" t="s">
        <v>272</v>
      </c>
      <c r="G397" s="7" t="s">
        <v>262</v>
      </c>
      <c r="H397" s="7" t="s">
        <v>273</v>
      </c>
      <c r="I397" s="7" t="s">
        <v>263</v>
      </c>
      <c r="J397" s="7"/>
      <c r="K397" s="7"/>
      <c r="L397" s="7" t="str">
        <f aca="false">IFERROR(VLOOKUP(IF(ISNUMBER(SEARCH("(",F397)),LEFT(F397,SEARCH("(",F397)-1),F397),Tipos!$A:$B,2,FALSE()),"outro")</f>
        <v>uuid</v>
      </c>
      <c r="M397" s="7" t="str">
        <f aca="false">IF(COUNTIF(Comparação!$H:$H,A397)&gt;0,"sim",IF(AND(G397="sim",H397=""),"FALTA (obrigatória)","não"))</f>
        <v>não</v>
      </c>
    </row>
    <row r="398" customFormat="false" ht="15" hidden="false" customHeight="false" outlineLevel="0" collapsed="false">
      <c r="A398" s="7" t="str">
        <f aca="false">B398&amp;"."&amp;E398</f>
        <v>conteudos.workspace_id</v>
      </c>
      <c r="B398" s="7" t="s">
        <v>89</v>
      </c>
      <c r="C398" s="7" t="s">
        <v>81</v>
      </c>
      <c r="D398" s="7" t="n">
        <v>2</v>
      </c>
      <c r="E398" s="7" t="s">
        <v>274</v>
      </c>
      <c r="F398" s="7" t="s">
        <v>272</v>
      </c>
      <c r="G398" s="7" t="s">
        <v>262</v>
      </c>
      <c r="H398" s="7"/>
      <c r="I398" s="7"/>
      <c r="J398" s="7" t="s">
        <v>275</v>
      </c>
      <c r="K398" s="7"/>
      <c r="L398" s="7" t="str">
        <f aca="false">IFERROR(VLOOKUP(IF(ISNUMBER(SEARCH("(",F398)),LEFT(F398,SEARCH("(",F398)-1),F398),Tipos!$A:$B,2,FALSE()),"outro")</f>
        <v>uuid</v>
      </c>
      <c r="M398" s="7" t="str">
        <f aca="false">IF(COUNTIF(Comparação!$H:$H,A398)&gt;0,"sim",IF(AND(G398="sim",H398=""),"FALTA (obrigatória)","não"))</f>
        <v>FALTA (obrigatória)</v>
      </c>
    </row>
    <row r="399" customFormat="false" ht="15" hidden="false" customHeight="false" outlineLevel="0" collapsed="false">
      <c r="A399" s="7" t="str">
        <f aca="false">B399&amp;"."&amp;E399</f>
        <v>conteudos.titulo</v>
      </c>
      <c r="B399" s="7" t="s">
        <v>89</v>
      </c>
      <c r="C399" s="7" t="s">
        <v>81</v>
      </c>
      <c r="D399" s="7" t="n">
        <v>3</v>
      </c>
      <c r="E399" s="7" t="s">
        <v>425</v>
      </c>
      <c r="F399" s="7" t="s">
        <v>261</v>
      </c>
      <c r="G399" s="7" t="s">
        <v>262</v>
      </c>
      <c r="H399" s="7"/>
      <c r="I399" s="7"/>
      <c r="J399" s="7"/>
      <c r="K399" s="7"/>
      <c r="L399" s="7" t="str">
        <f aca="false">IFERROR(VLOOKUP(IF(ISNUMBER(SEARCH("(",F399)),LEFT(F399,SEARCH("(",F399)-1),F399),Tipos!$A:$B,2,FALSE()),"outro")</f>
        <v>texto</v>
      </c>
      <c r="M399" s="7" t="str">
        <f aca="false">IF(COUNTIF(Comparação!$H:$H,A399)&gt;0,"sim",IF(AND(G399="sim",H399=""),"FALTA (obrigatória)","não"))</f>
        <v>FALTA (obrigatória)</v>
      </c>
    </row>
    <row r="400" customFormat="false" ht="15" hidden="false" customHeight="false" outlineLevel="0" collapsed="false">
      <c r="A400" s="7" t="str">
        <f aca="false">B400&amp;"."&amp;E400</f>
        <v>conteudos.descricao</v>
      </c>
      <c r="B400" s="7" t="s">
        <v>89</v>
      </c>
      <c r="C400" s="7" t="s">
        <v>81</v>
      </c>
      <c r="D400" s="7" t="n">
        <v>4</v>
      </c>
      <c r="E400" s="7" t="s">
        <v>427</v>
      </c>
      <c r="F400" s="7" t="s">
        <v>261</v>
      </c>
      <c r="G400" s="7" t="s">
        <v>267</v>
      </c>
      <c r="H400" s="7"/>
      <c r="I400" s="7"/>
      <c r="J400" s="7"/>
      <c r="K400" s="7"/>
      <c r="L400" s="7" t="str">
        <f aca="false">IFERROR(VLOOKUP(IF(ISNUMBER(SEARCH("(",F400)),LEFT(F400,SEARCH("(",F400)-1),F400),Tipos!$A:$B,2,FALSE()),"outro")</f>
        <v>texto</v>
      </c>
      <c r="M400" s="7" t="str">
        <f aca="false">IF(COUNTIF(Comparação!$H:$H,A400)&gt;0,"sim",IF(AND(G400="sim",H400=""),"FALTA (obrigatória)","não"))</f>
        <v>não</v>
      </c>
    </row>
    <row r="401" customFormat="false" ht="15" hidden="false" customHeight="false" outlineLevel="0" collapsed="false">
      <c r="A401" s="7" t="str">
        <f aca="false">B401&amp;"."&amp;E401</f>
        <v>conteudos.tema_id</v>
      </c>
      <c r="B401" s="7" t="s">
        <v>89</v>
      </c>
      <c r="C401" s="7" t="s">
        <v>81</v>
      </c>
      <c r="D401" s="7" t="n">
        <v>5</v>
      </c>
      <c r="E401" s="7" t="s">
        <v>607</v>
      </c>
      <c r="F401" s="7" t="s">
        <v>272</v>
      </c>
      <c r="G401" s="7" t="s">
        <v>267</v>
      </c>
      <c r="H401" s="7"/>
      <c r="I401" s="7"/>
      <c r="J401" s="7" t="s">
        <v>608</v>
      </c>
      <c r="K401" s="7"/>
      <c r="L401" s="7" t="str">
        <f aca="false">IFERROR(VLOOKUP(IF(ISNUMBER(SEARCH("(",F401)),LEFT(F401,SEARCH("(",F401)-1),F401),Tipos!$A:$B,2,FALSE()),"outro")</f>
        <v>uuid</v>
      </c>
      <c r="M401" s="7" t="str">
        <f aca="false">IF(COUNTIF(Comparação!$H:$H,A401)&gt;0,"sim",IF(AND(G401="sim",H401=""),"FALTA (obrigatória)","não"))</f>
        <v>não</v>
      </c>
    </row>
    <row r="402" customFormat="false" ht="15" hidden="false" customHeight="false" outlineLevel="0" collapsed="false">
      <c r="A402" s="7" t="str">
        <f aca="false">B402&amp;"."&amp;E402</f>
        <v>conteudos.formato</v>
      </c>
      <c r="B402" s="7" t="s">
        <v>89</v>
      </c>
      <c r="C402" s="7" t="s">
        <v>81</v>
      </c>
      <c r="D402" s="7" t="n">
        <v>6</v>
      </c>
      <c r="E402" s="7" t="s">
        <v>574</v>
      </c>
      <c r="F402" s="7" t="s">
        <v>261</v>
      </c>
      <c r="G402" s="7" t="s">
        <v>262</v>
      </c>
      <c r="H402" s="7" t="s">
        <v>609</v>
      </c>
      <c r="I402" s="7"/>
      <c r="J402" s="7"/>
      <c r="K402" s="7" t="s">
        <v>575</v>
      </c>
      <c r="L402" s="7" t="str">
        <f aca="false">IFERROR(VLOOKUP(IF(ISNUMBER(SEARCH("(",F402)),LEFT(F402,SEARCH("(",F402)-1),F402),Tipos!$A:$B,2,FALSE()),"outro")</f>
        <v>texto</v>
      </c>
      <c r="M402" s="7" t="str">
        <f aca="false">IF(COUNTIF(Comparação!$H:$H,A402)&gt;0,"sim",IF(AND(G402="sim",H402=""),"FALTA (obrigatória)","não"))</f>
        <v>não</v>
      </c>
    </row>
    <row r="403" customFormat="false" ht="15" hidden="false" customHeight="false" outlineLevel="0" collapsed="false">
      <c r="A403" s="7" t="str">
        <f aca="false">B403&amp;"."&amp;E403</f>
        <v>conteudos.canais</v>
      </c>
      <c r="B403" s="7" t="s">
        <v>89</v>
      </c>
      <c r="C403" s="7" t="s">
        <v>81</v>
      </c>
      <c r="D403" s="7" t="n">
        <v>7</v>
      </c>
      <c r="E403" s="7" t="s">
        <v>67</v>
      </c>
      <c r="F403" s="7" t="s">
        <v>322</v>
      </c>
      <c r="G403" s="7" t="s">
        <v>262</v>
      </c>
      <c r="H403" s="7" t="s">
        <v>610</v>
      </c>
      <c r="I403" s="7"/>
      <c r="J403" s="7"/>
      <c r="K403" s="7" t="s">
        <v>611</v>
      </c>
      <c r="L403" s="7" t="str">
        <f aca="false">IFERROR(VLOOKUP(IF(ISNUMBER(SEARCH("(",F403)),LEFT(F403,SEARCH("(",F403)-1),F403),Tipos!$A:$B,2,FALSE()),"outro")</f>
        <v>lista</v>
      </c>
      <c r="M403" s="7" t="str">
        <f aca="false">IF(COUNTIF(Comparação!$H:$H,A403)&gt;0,"sim",IF(AND(G403="sim",H403=""),"FALTA (obrigatória)","não"))</f>
        <v>não</v>
      </c>
    </row>
    <row r="404" customFormat="false" ht="15" hidden="false" customHeight="false" outlineLevel="0" collapsed="false">
      <c r="A404" s="7" t="str">
        <f aca="false">B404&amp;"."&amp;E404</f>
        <v>conteudos.status</v>
      </c>
      <c r="B404" s="7" t="s">
        <v>89</v>
      </c>
      <c r="C404" s="7" t="s">
        <v>81</v>
      </c>
      <c r="D404" s="7" t="n">
        <v>8</v>
      </c>
      <c r="E404" s="7" t="s">
        <v>293</v>
      </c>
      <c r="F404" s="7" t="s">
        <v>261</v>
      </c>
      <c r="G404" s="7" t="s">
        <v>262</v>
      </c>
      <c r="H404" s="7" t="s">
        <v>612</v>
      </c>
      <c r="I404" s="7"/>
      <c r="J404" s="7"/>
      <c r="K404" s="7" t="s">
        <v>613</v>
      </c>
      <c r="L404" s="7" t="str">
        <f aca="false">IFERROR(VLOOKUP(IF(ISNUMBER(SEARCH("(",F404)),LEFT(F404,SEARCH("(",F404)-1),F404),Tipos!$A:$B,2,FALSE()),"outro")</f>
        <v>texto</v>
      </c>
      <c r="M404" s="7" t="str">
        <f aca="false">IF(COUNTIF(Comparação!$H:$H,A404)&gt;0,"sim",IF(AND(G404="sim",H404=""),"FALTA (obrigatória)","não"))</f>
        <v>não</v>
      </c>
    </row>
    <row r="405" customFormat="false" ht="15" hidden="false" customHeight="false" outlineLevel="0" collapsed="false">
      <c r="A405" s="7" t="str">
        <f aca="false">B405&amp;"."&amp;E405</f>
        <v>conteudos.origem</v>
      </c>
      <c r="B405" s="7" t="s">
        <v>89</v>
      </c>
      <c r="C405" s="7" t="s">
        <v>81</v>
      </c>
      <c r="D405" s="7" t="n">
        <v>9</v>
      </c>
      <c r="E405" s="7" t="s">
        <v>302</v>
      </c>
      <c r="F405" s="7" t="s">
        <v>261</v>
      </c>
      <c r="G405" s="7" t="s">
        <v>262</v>
      </c>
      <c r="H405" s="7" t="s">
        <v>381</v>
      </c>
      <c r="I405" s="7"/>
      <c r="J405" s="7"/>
      <c r="K405" s="7" t="s">
        <v>614</v>
      </c>
      <c r="L405" s="7" t="str">
        <f aca="false">IFERROR(VLOOKUP(IF(ISNUMBER(SEARCH("(",F405)),LEFT(F405,SEARCH("(",F405)-1),F405),Tipos!$A:$B,2,FALSE()),"outro")</f>
        <v>texto</v>
      </c>
      <c r="M405" s="7" t="str">
        <f aca="false">IF(COUNTIF(Comparação!$H:$H,A405)&gt;0,"sim",IF(AND(G405="sim",H405=""),"FALTA (obrigatória)","não"))</f>
        <v>não</v>
      </c>
    </row>
    <row r="406" customFormat="false" ht="15" hidden="false" customHeight="false" outlineLevel="0" collapsed="false">
      <c r="A406" s="7" t="str">
        <f aca="false">B406&amp;"."&amp;E406</f>
        <v>conteudos.fonte_url</v>
      </c>
      <c r="B406" s="7" t="s">
        <v>89</v>
      </c>
      <c r="C406" s="7" t="s">
        <v>81</v>
      </c>
      <c r="D406" s="7" t="n">
        <v>10</v>
      </c>
      <c r="E406" s="7" t="s">
        <v>615</v>
      </c>
      <c r="F406" s="7" t="s">
        <v>261</v>
      </c>
      <c r="G406" s="7" t="s">
        <v>267</v>
      </c>
      <c r="H406" s="7"/>
      <c r="I406" s="7"/>
      <c r="J406" s="7"/>
      <c r="K406" s="7" t="s">
        <v>616</v>
      </c>
      <c r="L406" s="7" t="str">
        <f aca="false">IFERROR(VLOOKUP(IF(ISNUMBER(SEARCH("(",F406)),LEFT(F406,SEARCH("(",F406)-1),F406),Tipos!$A:$B,2,FALSE()),"outro")</f>
        <v>texto</v>
      </c>
      <c r="M406" s="7" t="str">
        <f aca="false">IF(COUNTIF(Comparação!$H:$H,A406)&gt;0,"sim",IF(AND(G406="sim",H406=""),"FALTA (obrigatória)","não"))</f>
        <v>não</v>
      </c>
    </row>
    <row r="407" customFormat="false" ht="15" hidden="false" customHeight="false" outlineLevel="0" collapsed="false">
      <c r="A407" s="7" t="str">
        <f aca="false">B407&amp;"."&amp;E407</f>
        <v>conteudos.copy_url</v>
      </c>
      <c r="B407" s="7" t="s">
        <v>89</v>
      </c>
      <c r="C407" s="7" t="s">
        <v>81</v>
      </c>
      <c r="D407" s="7" t="n">
        <v>11</v>
      </c>
      <c r="E407" s="7" t="s">
        <v>617</v>
      </c>
      <c r="F407" s="7" t="s">
        <v>261</v>
      </c>
      <c r="G407" s="7" t="s">
        <v>267</v>
      </c>
      <c r="H407" s="7"/>
      <c r="I407" s="7"/>
      <c r="J407" s="7"/>
      <c r="K407" s="7" t="s">
        <v>618</v>
      </c>
      <c r="L407" s="7" t="str">
        <f aca="false">IFERROR(VLOOKUP(IF(ISNUMBER(SEARCH("(",F407)),LEFT(F407,SEARCH("(",F407)-1),F407),Tipos!$A:$B,2,FALSE()),"outro")</f>
        <v>texto</v>
      </c>
      <c r="M407" s="7" t="str">
        <f aca="false">IF(COUNTIF(Comparação!$H:$H,A407)&gt;0,"sim",IF(AND(G407="sim",H407=""),"FALTA (obrigatória)","não"))</f>
        <v>não</v>
      </c>
    </row>
    <row r="408" customFormat="false" ht="15" hidden="false" customHeight="false" outlineLevel="0" collapsed="false">
      <c r="A408" s="7" t="str">
        <f aca="false">B408&amp;"."&amp;E408</f>
        <v>conteudos.midia_url</v>
      </c>
      <c r="B408" s="7" t="s">
        <v>89</v>
      </c>
      <c r="C408" s="7" t="s">
        <v>81</v>
      </c>
      <c r="D408" s="7" t="n">
        <v>12</v>
      </c>
      <c r="E408" s="7" t="s">
        <v>619</v>
      </c>
      <c r="F408" s="7" t="s">
        <v>261</v>
      </c>
      <c r="G408" s="7" t="s">
        <v>267</v>
      </c>
      <c r="H408" s="7"/>
      <c r="I408" s="7"/>
      <c r="J408" s="7"/>
      <c r="K408" s="7" t="s">
        <v>620</v>
      </c>
      <c r="L408" s="7" t="str">
        <f aca="false">IFERROR(VLOOKUP(IF(ISNUMBER(SEARCH("(",F408)),LEFT(F408,SEARCH("(",F408)-1),F408),Tipos!$A:$B,2,FALSE()),"outro")</f>
        <v>texto</v>
      </c>
      <c r="M408" s="7" t="str">
        <f aca="false">IF(COUNTIF(Comparação!$H:$H,A408)&gt;0,"sim",IF(AND(G408="sim",H408=""),"FALTA (obrigatória)","não"))</f>
        <v>não</v>
      </c>
    </row>
    <row r="409" customFormat="false" ht="15" hidden="false" customHeight="false" outlineLevel="0" collapsed="false">
      <c r="A409" s="7" t="str">
        <f aca="false">B409&amp;"."&amp;E409</f>
        <v>conteudos.responsavel_id</v>
      </c>
      <c r="B409" s="7" t="s">
        <v>89</v>
      </c>
      <c r="C409" s="7" t="s">
        <v>81</v>
      </c>
      <c r="D409" s="7" t="n">
        <v>13</v>
      </c>
      <c r="E409" s="7" t="s">
        <v>621</v>
      </c>
      <c r="F409" s="7" t="s">
        <v>272</v>
      </c>
      <c r="G409" s="7" t="s">
        <v>267</v>
      </c>
      <c r="H409" s="7"/>
      <c r="I409" s="7"/>
      <c r="J409" s="7" t="s">
        <v>299</v>
      </c>
      <c r="K409" s="7"/>
      <c r="L409" s="7" t="str">
        <f aca="false">IFERROR(VLOOKUP(IF(ISNUMBER(SEARCH("(",F409)),LEFT(F409,SEARCH("(",F409)-1),F409),Tipos!$A:$B,2,FALSE()),"outro")</f>
        <v>uuid</v>
      </c>
      <c r="M409" s="7" t="str">
        <f aca="false">IF(COUNTIF(Comparação!$H:$H,A409)&gt;0,"sim",IF(AND(G409="sim",H409=""),"FALTA (obrigatória)","não"))</f>
        <v>não</v>
      </c>
    </row>
    <row r="410" customFormat="false" ht="15" hidden="false" customHeight="false" outlineLevel="0" collapsed="false">
      <c r="A410" s="7" t="str">
        <f aca="false">B410&amp;"."&amp;E410</f>
        <v>conteudos.prazo</v>
      </c>
      <c r="B410" s="7" t="s">
        <v>89</v>
      </c>
      <c r="C410" s="7" t="s">
        <v>81</v>
      </c>
      <c r="D410" s="7" t="n">
        <v>14</v>
      </c>
      <c r="E410" s="7" t="s">
        <v>432</v>
      </c>
      <c r="F410" s="7" t="s">
        <v>379</v>
      </c>
      <c r="G410" s="7" t="s">
        <v>267</v>
      </c>
      <c r="H410" s="7"/>
      <c r="I410" s="7"/>
      <c r="J410" s="7"/>
      <c r="K410" s="7"/>
      <c r="L410" s="7" t="str">
        <f aca="false">IFERROR(VLOOKUP(IF(ISNUMBER(SEARCH("(",F410)),LEFT(F410,SEARCH("(",F410)-1),F410),Tipos!$A:$B,2,FALSE()),"outro")</f>
        <v>data</v>
      </c>
      <c r="M410" s="7" t="str">
        <f aca="false">IF(COUNTIF(Comparação!$H:$H,A410)&gt;0,"sim",IF(AND(G410="sim",H410=""),"FALTA (obrigatória)","não"))</f>
        <v>não</v>
      </c>
    </row>
    <row r="411" customFormat="false" ht="15" hidden="false" customHeight="false" outlineLevel="0" collapsed="false">
      <c r="A411" s="7" t="str">
        <f aca="false">B411&amp;"."&amp;E411</f>
        <v>conteudos.data_publicacao</v>
      </c>
      <c r="B411" s="7" t="s">
        <v>89</v>
      </c>
      <c r="C411" s="7" t="s">
        <v>81</v>
      </c>
      <c r="D411" s="7" t="n">
        <v>15</v>
      </c>
      <c r="E411" s="7" t="s">
        <v>580</v>
      </c>
      <c r="F411" s="7" t="s">
        <v>379</v>
      </c>
      <c r="G411" s="7" t="s">
        <v>267</v>
      </c>
      <c r="H411" s="7"/>
      <c r="I411" s="7"/>
      <c r="J411" s="7"/>
      <c r="K411" s="7"/>
      <c r="L411" s="7" t="str">
        <f aca="false">IFERROR(VLOOKUP(IF(ISNUMBER(SEARCH("(",F411)),LEFT(F411,SEARCH("(",F411)-1),F411),Tipos!$A:$B,2,FALSE()),"outro")</f>
        <v>data</v>
      </c>
      <c r="M411" s="7" t="str">
        <f aca="false">IF(COUNTIF(Comparação!$H:$H,A411)&gt;0,"sim",IF(AND(G411="sim",H411=""),"FALTA (obrigatória)","não"))</f>
        <v>não</v>
      </c>
    </row>
    <row r="412" customFormat="false" ht="15" hidden="false" customHeight="false" outlineLevel="0" collapsed="false">
      <c r="A412" s="7" t="str">
        <f aca="false">B412&amp;"."&amp;E412</f>
        <v>conteudos.publicado_em</v>
      </c>
      <c r="B412" s="7" t="s">
        <v>89</v>
      </c>
      <c r="C412" s="7" t="s">
        <v>81</v>
      </c>
      <c r="D412" s="7" t="n">
        <v>16</v>
      </c>
      <c r="E412" s="7" t="s">
        <v>622</v>
      </c>
      <c r="F412" s="7" t="s">
        <v>285</v>
      </c>
      <c r="G412" s="7" t="s">
        <v>267</v>
      </c>
      <c r="H412" s="7"/>
      <c r="I412" s="7"/>
      <c r="J412" s="7"/>
      <c r="K412" s="7"/>
      <c r="L412" s="7" t="str">
        <f aca="false">IFERROR(VLOOKUP(IF(ISNUMBER(SEARCH("(",F412)),LEFT(F412,SEARCH("(",F412)-1),F412),Tipos!$A:$B,2,FALSE()),"outro")</f>
        <v>data e hora</v>
      </c>
      <c r="M412" s="7" t="str">
        <f aca="false">IF(COUNTIF(Comparação!$H:$H,A412)&gt;0,"sim",IF(AND(G412="sim",H412=""),"FALTA (obrigatória)","não"))</f>
        <v>não</v>
      </c>
    </row>
    <row r="413" customFormat="false" ht="15" hidden="false" customHeight="false" outlineLevel="0" collapsed="false">
      <c r="A413" s="7" t="str">
        <f aca="false">B413&amp;"."&amp;E413</f>
        <v>conteudos.ideia_n1</v>
      </c>
      <c r="B413" s="7" t="s">
        <v>89</v>
      </c>
      <c r="C413" s="7" t="s">
        <v>81</v>
      </c>
      <c r="D413" s="7" t="n">
        <v>17</v>
      </c>
      <c r="E413" s="7" t="s">
        <v>623</v>
      </c>
      <c r="F413" s="7" t="s">
        <v>269</v>
      </c>
      <c r="G413" s="7" t="s">
        <v>267</v>
      </c>
      <c r="H413" s="7"/>
      <c r="I413" s="7"/>
      <c r="J413" s="7"/>
      <c r="K413" s="7" t="s">
        <v>624</v>
      </c>
      <c r="L413" s="7" t="str">
        <f aca="false">IFERROR(VLOOKUP(IF(ISNUMBER(SEARCH("(",F413)),LEFT(F413,SEARCH("(",F413)-1),F413),Tipos!$A:$B,2,FALSE()),"outro")</f>
        <v>inteiro</v>
      </c>
      <c r="M413" s="7" t="str">
        <f aca="false">IF(COUNTIF(Comparação!$H:$H,A413)&gt;0,"sim",IF(AND(G413="sim",H413=""),"FALTA (obrigatória)","não"))</f>
        <v>não</v>
      </c>
    </row>
    <row r="414" customFormat="false" ht="15" hidden="false" customHeight="false" outlineLevel="0" collapsed="false">
      <c r="A414" s="7" t="str">
        <f aca="false">B414&amp;"."&amp;E414</f>
        <v>conteudos.ideia_n2</v>
      </c>
      <c r="B414" s="7" t="s">
        <v>89</v>
      </c>
      <c r="C414" s="7" t="s">
        <v>81</v>
      </c>
      <c r="D414" s="7" t="n">
        <v>18</v>
      </c>
      <c r="E414" s="7" t="s">
        <v>625</v>
      </c>
      <c r="F414" s="7" t="s">
        <v>269</v>
      </c>
      <c r="G414" s="7" t="s">
        <v>267</v>
      </c>
      <c r="H414" s="7"/>
      <c r="I414" s="7"/>
      <c r="J414" s="7"/>
      <c r="K414" s="7" t="s">
        <v>626</v>
      </c>
      <c r="L414" s="7" t="str">
        <f aca="false">IFERROR(VLOOKUP(IF(ISNUMBER(SEARCH("(",F414)),LEFT(F414,SEARCH("(",F414)-1),F414),Tipos!$A:$B,2,FALSE()),"outro")</f>
        <v>inteiro</v>
      </c>
      <c r="M414" s="7" t="str">
        <f aca="false">IF(COUNTIF(Comparação!$H:$H,A414)&gt;0,"sim",IF(AND(G414="sim",H414=""),"FALTA (obrigatória)","não"))</f>
        <v>não</v>
      </c>
    </row>
    <row r="415" customFormat="false" ht="15" hidden="false" customHeight="false" outlineLevel="0" collapsed="false">
      <c r="A415" s="7" t="str">
        <f aca="false">B415&amp;"."&amp;E415</f>
        <v>conteudos.ideia_n3</v>
      </c>
      <c r="B415" s="7" t="s">
        <v>89</v>
      </c>
      <c r="C415" s="7" t="s">
        <v>81</v>
      </c>
      <c r="D415" s="7" t="n">
        <v>19</v>
      </c>
      <c r="E415" s="7" t="s">
        <v>627</v>
      </c>
      <c r="F415" s="7" t="s">
        <v>269</v>
      </c>
      <c r="G415" s="7" t="s">
        <v>267</v>
      </c>
      <c r="H415" s="7"/>
      <c r="I415" s="7"/>
      <c r="J415" s="7"/>
      <c r="K415" s="7" t="s">
        <v>628</v>
      </c>
      <c r="L415" s="7" t="str">
        <f aca="false">IFERROR(VLOOKUP(IF(ISNUMBER(SEARCH("(",F415)),LEFT(F415,SEARCH("(",F415)-1),F415),Tipos!$A:$B,2,FALSE()),"outro")</f>
        <v>inteiro</v>
      </c>
      <c r="M415" s="7" t="str">
        <f aca="false">IF(COUNTIF(Comparação!$H:$H,A415)&gt;0,"sim",IF(AND(G415="sim",H415=""),"FALTA (obrigatória)","não"))</f>
        <v>não</v>
      </c>
    </row>
    <row r="416" customFormat="false" ht="15" hidden="false" customHeight="false" outlineLevel="0" collapsed="false">
      <c r="A416" s="7" t="str">
        <f aca="false">B416&amp;"."&amp;E416</f>
        <v>conteudos.ideia_n4</v>
      </c>
      <c r="B416" s="7" t="s">
        <v>89</v>
      </c>
      <c r="C416" s="7" t="s">
        <v>81</v>
      </c>
      <c r="D416" s="7" t="n">
        <v>20</v>
      </c>
      <c r="E416" s="7" t="s">
        <v>629</v>
      </c>
      <c r="F416" s="7" t="s">
        <v>269</v>
      </c>
      <c r="G416" s="7" t="s">
        <v>267</v>
      </c>
      <c r="H416" s="7"/>
      <c r="I416" s="7"/>
      <c r="J416" s="7"/>
      <c r="K416" s="7" t="s">
        <v>630</v>
      </c>
      <c r="L416" s="7" t="str">
        <f aca="false">IFERROR(VLOOKUP(IF(ISNUMBER(SEARCH("(",F416)),LEFT(F416,SEARCH("(",F416)-1),F416),Tipos!$A:$B,2,FALSE()),"outro")</f>
        <v>inteiro</v>
      </c>
      <c r="M416" s="7" t="str">
        <f aca="false">IF(COUNTIF(Comparação!$H:$H,A416)&gt;0,"sim",IF(AND(G416="sim",H416=""),"FALTA (obrigatória)","não"))</f>
        <v>não</v>
      </c>
    </row>
    <row r="417" customFormat="false" ht="15" hidden="false" customHeight="false" outlineLevel="0" collapsed="false">
      <c r="A417" s="7" t="str">
        <f aca="false">B417&amp;"."&amp;E417</f>
        <v>conteudos.ideia_n5</v>
      </c>
      <c r="B417" s="7" t="s">
        <v>89</v>
      </c>
      <c r="C417" s="7" t="s">
        <v>81</v>
      </c>
      <c r="D417" s="7" t="n">
        <v>21</v>
      </c>
      <c r="E417" s="7" t="s">
        <v>631</v>
      </c>
      <c r="F417" s="7" t="s">
        <v>269</v>
      </c>
      <c r="G417" s="7" t="s">
        <v>267</v>
      </c>
      <c r="H417" s="7"/>
      <c r="I417" s="7"/>
      <c r="J417" s="7"/>
      <c r="K417" s="7" t="s">
        <v>632</v>
      </c>
      <c r="L417" s="7" t="str">
        <f aca="false">IFERROR(VLOOKUP(IF(ISNUMBER(SEARCH("(",F417)),LEFT(F417,SEARCH("(",F417)-1),F417),Tipos!$A:$B,2,FALSE()),"outro")</f>
        <v>inteiro</v>
      </c>
      <c r="M417" s="7" t="str">
        <f aca="false">IF(COUNTIF(Comparação!$H:$H,A417)&gt;0,"sim",IF(AND(G417="sim",H417=""),"FALTA (obrigatória)","não"))</f>
        <v>não</v>
      </c>
    </row>
    <row r="418" customFormat="false" ht="15" hidden="false" customHeight="false" outlineLevel="0" collapsed="false">
      <c r="A418" s="7" t="str">
        <f aca="false">B418&amp;"."&amp;E418</f>
        <v>conteudos.pauta_n1</v>
      </c>
      <c r="B418" s="7" t="s">
        <v>89</v>
      </c>
      <c r="C418" s="7" t="s">
        <v>81</v>
      </c>
      <c r="D418" s="7" t="n">
        <v>22</v>
      </c>
      <c r="E418" s="7" t="s">
        <v>633</v>
      </c>
      <c r="F418" s="7" t="s">
        <v>269</v>
      </c>
      <c r="G418" s="7" t="s">
        <v>267</v>
      </c>
      <c r="H418" s="7"/>
      <c r="I418" s="7"/>
      <c r="J418" s="7"/>
      <c r="K418" s="7" t="s">
        <v>634</v>
      </c>
      <c r="L418" s="7" t="str">
        <f aca="false">IFERROR(VLOOKUP(IF(ISNUMBER(SEARCH("(",F418)),LEFT(F418,SEARCH("(",F418)-1),F418),Tipos!$A:$B,2,FALSE()),"outro")</f>
        <v>inteiro</v>
      </c>
      <c r="M418" s="7" t="str">
        <f aca="false">IF(COUNTIF(Comparação!$H:$H,A418)&gt;0,"sim",IF(AND(G418="sim",H418=""),"FALTA (obrigatória)","não"))</f>
        <v>não</v>
      </c>
    </row>
    <row r="419" customFormat="false" ht="15" hidden="false" customHeight="false" outlineLevel="0" collapsed="false">
      <c r="A419" s="7" t="str">
        <f aca="false">B419&amp;"."&amp;E419</f>
        <v>conteudos.pauta_n2</v>
      </c>
      <c r="B419" s="7" t="s">
        <v>89</v>
      </c>
      <c r="C419" s="7" t="s">
        <v>81</v>
      </c>
      <c r="D419" s="7" t="n">
        <v>23</v>
      </c>
      <c r="E419" s="7" t="s">
        <v>635</v>
      </c>
      <c r="F419" s="7" t="s">
        <v>269</v>
      </c>
      <c r="G419" s="7" t="s">
        <v>267</v>
      </c>
      <c r="H419" s="7"/>
      <c r="I419" s="7"/>
      <c r="J419" s="7"/>
      <c r="K419" s="7" t="s">
        <v>636</v>
      </c>
      <c r="L419" s="7" t="str">
        <f aca="false">IFERROR(VLOOKUP(IF(ISNUMBER(SEARCH("(",F419)),LEFT(F419,SEARCH("(",F419)-1),F419),Tipos!$A:$B,2,FALSE()),"outro")</f>
        <v>inteiro</v>
      </c>
      <c r="M419" s="7" t="str">
        <f aca="false">IF(COUNTIF(Comparação!$H:$H,A419)&gt;0,"sim",IF(AND(G419="sim",H419=""),"FALTA (obrigatória)","não"))</f>
        <v>não</v>
      </c>
    </row>
    <row r="420" customFormat="false" ht="15" hidden="false" customHeight="false" outlineLevel="0" collapsed="false">
      <c r="A420" s="7" t="str">
        <f aca="false">B420&amp;"."&amp;E420</f>
        <v>conteudos.pauta_n3</v>
      </c>
      <c r="B420" s="7" t="s">
        <v>89</v>
      </c>
      <c r="C420" s="7" t="s">
        <v>81</v>
      </c>
      <c r="D420" s="7" t="n">
        <v>24</v>
      </c>
      <c r="E420" s="7" t="s">
        <v>637</v>
      </c>
      <c r="F420" s="7" t="s">
        <v>269</v>
      </c>
      <c r="G420" s="7" t="s">
        <v>267</v>
      </c>
      <c r="H420" s="7"/>
      <c r="I420" s="7"/>
      <c r="J420" s="7"/>
      <c r="K420" s="7" t="s">
        <v>638</v>
      </c>
      <c r="L420" s="7" t="str">
        <f aca="false">IFERROR(VLOOKUP(IF(ISNUMBER(SEARCH("(",F420)),LEFT(F420,SEARCH("(",F420)-1),F420),Tipos!$A:$B,2,FALSE()),"outro")</f>
        <v>inteiro</v>
      </c>
      <c r="M420" s="7" t="str">
        <f aca="false">IF(COUNTIF(Comparação!$H:$H,A420)&gt;0,"sim",IF(AND(G420="sim",H420=""),"FALTA (obrigatória)","não"))</f>
        <v>não</v>
      </c>
    </row>
    <row r="421" customFormat="false" ht="15" hidden="false" customHeight="false" outlineLevel="0" collapsed="false">
      <c r="A421" s="7" t="str">
        <f aca="false">B421&amp;"."&amp;E421</f>
        <v>conteudos.pauta_n4</v>
      </c>
      <c r="B421" s="7" t="s">
        <v>89</v>
      </c>
      <c r="C421" s="7" t="s">
        <v>81</v>
      </c>
      <c r="D421" s="7" t="n">
        <v>25</v>
      </c>
      <c r="E421" s="7" t="s">
        <v>639</v>
      </c>
      <c r="F421" s="7" t="s">
        <v>269</v>
      </c>
      <c r="G421" s="7" t="s">
        <v>267</v>
      </c>
      <c r="H421" s="7"/>
      <c r="I421" s="7"/>
      <c r="J421" s="7"/>
      <c r="K421" s="7" t="s">
        <v>640</v>
      </c>
      <c r="L421" s="7" t="str">
        <f aca="false">IFERROR(VLOOKUP(IF(ISNUMBER(SEARCH("(",F421)),LEFT(F421,SEARCH("(",F421)-1),F421),Tipos!$A:$B,2,FALSE()),"outro")</f>
        <v>inteiro</v>
      </c>
      <c r="M421" s="7" t="str">
        <f aca="false">IF(COUNTIF(Comparação!$H:$H,A421)&gt;0,"sim",IF(AND(G421="sim",H421=""),"FALTA (obrigatória)","não"))</f>
        <v>não</v>
      </c>
    </row>
    <row r="422" customFormat="false" ht="15" hidden="false" customHeight="false" outlineLevel="0" collapsed="false">
      <c r="A422" s="7" t="str">
        <f aca="false">B422&amp;"."&amp;E422</f>
        <v>conteudos.pauta_n5</v>
      </c>
      <c r="B422" s="7" t="s">
        <v>89</v>
      </c>
      <c r="C422" s="7" t="s">
        <v>81</v>
      </c>
      <c r="D422" s="7" t="n">
        <v>26</v>
      </c>
      <c r="E422" s="7" t="s">
        <v>641</v>
      </c>
      <c r="F422" s="7" t="s">
        <v>269</v>
      </c>
      <c r="G422" s="7" t="s">
        <v>267</v>
      </c>
      <c r="H422" s="7"/>
      <c r="I422" s="7"/>
      <c r="J422" s="7"/>
      <c r="K422" s="7" t="s">
        <v>642</v>
      </c>
      <c r="L422" s="7" t="str">
        <f aca="false">IFERROR(VLOOKUP(IF(ISNUMBER(SEARCH("(",F422)),LEFT(F422,SEARCH("(",F422)-1),F422),Tipos!$A:$B,2,FALSE()),"outro")</f>
        <v>inteiro</v>
      </c>
      <c r="M422" s="7" t="str">
        <f aca="false">IF(COUNTIF(Comparação!$H:$H,A422)&gt;0,"sim",IF(AND(G422="sim",H422=""),"FALTA (obrigatória)","não"))</f>
        <v>não</v>
      </c>
    </row>
    <row r="423" customFormat="false" ht="15" hidden="false" customHeight="false" outlineLevel="0" collapsed="false">
      <c r="A423" s="7" t="str">
        <f aca="false">B423&amp;"."&amp;E423</f>
        <v>conteudos.ideia_media</v>
      </c>
      <c r="B423" s="7" t="s">
        <v>89</v>
      </c>
      <c r="C423" s="7" t="s">
        <v>81</v>
      </c>
      <c r="D423" s="7" t="n">
        <v>27</v>
      </c>
      <c r="E423" s="7" t="s">
        <v>643</v>
      </c>
      <c r="F423" s="7" t="s">
        <v>644</v>
      </c>
      <c r="G423" s="7" t="s">
        <v>267</v>
      </c>
      <c r="H423" s="7" t="s">
        <v>645</v>
      </c>
      <c r="I423" s="7"/>
      <c r="J423" s="7"/>
      <c r="K423" s="7"/>
      <c r="L423" s="7" t="str">
        <f aca="false">IFERROR(VLOOKUP(IF(ISNUMBER(SEARCH("(",F423)),LEFT(F423,SEARCH("(",F423)-1),F423),Tipos!$A:$B,2,FALSE()),"outro")</f>
        <v>decimal</v>
      </c>
      <c r="M423" s="7" t="str">
        <f aca="false">IF(COUNTIF(Comparação!$H:$H,A423)&gt;0,"sim",IF(AND(G423="sim",H423=""),"FALTA (obrigatória)","não"))</f>
        <v>não</v>
      </c>
    </row>
    <row r="424" customFormat="false" ht="15" hidden="false" customHeight="false" outlineLevel="0" collapsed="false">
      <c r="A424" s="7" t="str">
        <f aca="false">B424&amp;"."&amp;E424</f>
        <v>conteudos.pauta_media</v>
      </c>
      <c r="B424" s="7" t="s">
        <v>89</v>
      </c>
      <c r="C424" s="7" t="s">
        <v>81</v>
      </c>
      <c r="D424" s="7" t="n">
        <v>28</v>
      </c>
      <c r="E424" s="7" t="s">
        <v>646</v>
      </c>
      <c r="F424" s="7" t="s">
        <v>644</v>
      </c>
      <c r="G424" s="7" t="s">
        <v>267</v>
      </c>
      <c r="H424" s="7" t="s">
        <v>647</v>
      </c>
      <c r="I424" s="7"/>
      <c r="J424" s="7"/>
      <c r="K424" s="7"/>
      <c r="L424" s="7" t="str">
        <f aca="false">IFERROR(VLOOKUP(IF(ISNUMBER(SEARCH("(",F424)),LEFT(F424,SEARCH("(",F424)-1),F424),Tipos!$A:$B,2,FALSE()),"outro")</f>
        <v>decimal</v>
      </c>
      <c r="M424" s="7" t="str">
        <f aca="false">IF(COUNTIF(Comparação!$H:$H,A424)&gt;0,"sim",IF(AND(G424="sim",H424=""),"FALTA (obrigatória)","não"))</f>
        <v>não</v>
      </c>
    </row>
    <row r="425" customFormat="false" ht="15" hidden="false" customHeight="false" outlineLevel="0" collapsed="false">
      <c r="A425" s="7" t="str">
        <f aca="false">B425&amp;"."&amp;E425</f>
        <v>conteudos.criado_em</v>
      </c>
      <c r="B425" s="7" t="s">
        <v>89</v>
      </c>
      <c r="C425" s="7" t="s">
        <v>81</v>
      </c>
      <c r="D425" s="7" t="n">
        <v>29</v>
      </c>
      <c r="E425" s="7" t="s">
        <v>344</v>
      </c>
      <c r="F425" s="7" t="s">
        <v>285</v>
      </c>
      <c r="G425" s="7" t="s">
        <v>262</v>
      </c>
      <c r="H425" s="7" t="s">
        <v>286</v>
      </c>
      <c r="I425" s="7"/>
      <c r="J425" s="7"/>
      <c r="K425" s="7"/>
      <c r="L425" s="7" t="str">
        <f aca="false">IFERROR(VLOOKUP(IF(ISNUMBER(SEARCH("(",F425)),LEFT(F425,SEARCH("(",F425)-1),F425),Tipos!$A:$B,2,FALSE()),"outro")</f>
        <v>data e hora</v>
      </c>
      <c r="M425" s="7" t="str">
        <f aca="false">IF(COUNTIF(Comparação!$H:$H,A425)&gt;0,"sim",IF(AND(G425="sim",H425=""),"FALTA (obrigatória)","não"))</f>
        <v>não</v>
      </c>
    </row>
    <row r="426" customFormat="false" ht="15" hidden="false" customHeight="false" outlineLevel="0" collapsed="false">
      <c r="A426" s="7" t="str">
        <f aca="false">B426&amp;"."&amp;E426</f>
        <v>conteudos.atualizado_em</v>
      </c>
      <c r="B426" s="7" t="s">
        <v>89</v>
      </c>
      <c r="C426" s="7" t="s">
        <v>81</v>
      </c>
      <c r="D426" s="7" t="n">
        <v>30</v>
      </c>
      <c r="E426" s="7" t="s">
        <v>335</v>
      </c>
      <c r="F426" s="7" t="s">
        <v>285</v>
      </c>
      <c r="G426" s="7" t="s">
        <v>262</v>
      </c>
      <c r="H426" s="7" t="s">
        <v>286</v>
      </c>
      <c r="I426" s="7"/>
      <c r="J426" s="7"/>
      <c r="K426" s="7"/>
      <c r="L426" s="7" t="str">
        <f aca="false">IFERROR(VLOOKUP(IF(ISNUMBER(SEARCH("(",F426)),LEFT(F426,SEARCH("(",F426)-1),F426),Tipos!$A:$B,2,FALSE()),"outro")</f>
        <v>data e hora</v>
      </c>
      <c r="M426" s="7" t="str">
        <f aca="false">IF(COUNTIF(Comparação!$H:$H,A426)&gt;0,"sim",IF(AND(G426="sim",H426=""),"FALTA (obrigatória)","não"))</f>
        <v>não</v>
      </c>
    </row>
    <row r="427" customFormat="false" ht="15" hidden="false" customHeight="false" outlineLevel="0" collapsed="false">
      <c r="A427" s="7" t="str">
        <f aca="false">B427&amp;"."&amp;E427</f>
        <v>contrato_itens.id</v>
      </c>
      <c r="B427" s="7" t="s">
        <v>91</v>
      </c>
      <c r="C427" s="7" t="s">
        <v>72</v>
      </c>
      <c r="D427" s="7" t="n">
        <v>1</v>
      </c>
      <c r="E427" s="7" t="s">
        <v>271</v>
      </c>
      <c r="F427" s="7" t="s">
        <v>272</v>
      </c>
      <c r="G427" s="7" t="s">
        <v>262</v>
      </c>
      <c r="H427" s="7" t="s">
        <v>273</v>
      </c>
      <c r="I427" s="7" t="s">
        <v>263</v>
      </c>
      <c r="J427" s="7"/>
      <c r="K427" s="7"/>
      <c r="L427" s="7" t="str">
        <f aca="false">IFERROR(VLOOKUP(IF(ISNUMBER(SEARCH("(",F427)),LEFT(F427,SEARCH("(",F427)-1),F427),Tipos!$A:$B,2,FALSE()),"outro")</f>
        <v>uuid</v>
      </c>
      <c r="M427" s="7" t="str">
        <f aca="false">IF(COUNTIF(Comparação!$H:$H,A427)&gt;0,"sim",IF(AND(G427="sim",H427=""),"FALTA (obrigatória)","não"))</f>
        <v>não</v>
      </c>
    </row>
    <row r="428" customFormat="false" ht="15" hidden="false" customHeight="false" outlineLevel="0" collapsed="false">
      <c r="A428" s="7" t="str">
        <f aca="false">B428&amp;"."&amp;E428</f>
        <v>contrato_itens.workspace_id</v>
      </c>
      <c r="B428" s="7" t="s">
        <v>91</v>
      </c>
      <c r="C428" s="7" t="s">
        <v>72</v>
      </c>
      <c r="D428" s="7" t="n">
        <v>2</v>
      </c>
      <c r="E428" s="7" t="s">
        <v>274</v>
      </c>
      <c r="F428" s="7" t="s">
        <v>272</v>
      </c>
      <c r="G428" s="7" t="s">
        <v>262</v>
      </c>
      <c r="H428" s="7"/>
      <c r="I428" s="7"/>
      <c r="J428" s="7" t="s">
        <v>275</v>
      </c>
      <c r="K428" s="7"/>
      <c r="L428" s="7" t="str">
        <f aca="false">IFERROR(VLOOKUP(IF(ISNUMBER(SEARCH("(",F428)),LEFT(F428,SEARCH("(",F428)-1),F428),Tipos!$A:$B,2,FALSE()),"outro")</f>
        <v>uuid</v>
      </c>
      <c r="M428" s="7" t="str">
        <f aca="false">IF(COUNTIF(Comparação!$H:$H,A428)&gt;0,"sim",IF(AND(G428="sim",H428=""),"FALTA (obrigatória)","não"))</f>
        <v>FALTA (obrigatória)</v>
      </c>
    </row>
    <row r="429" customFormat="false" ht="15" hidden="false" customHeight="false" outlineLevel="0" collapsed="false">
      <c r="A429" s="7" t="str">
        <f aca="false">B429&amp;"."&amp;E429</f>
        <v>contrato_itens.contrato_id</v>
      </c>
      <c r="B429" s="7" t="s">
        <v>91</v>
      </c>
      <c r="C429" s="7" t="s">
        <v>72</v>
      </c>
      <c r="D429" s="7" t="n">
        <v>3</v>
      </c>
      <c r="E429" s="7" t="s">
        <v>300</v>
      </c>
      <c r="F429" s="7" t="s">
        <v>272</v>
      </c>
      <c r="G429" s="7" t="s">
        <v>262</v>
      </c>
      <c r="H429" s="7"/>
      <c r="I429" s="7"/>
      <c r="J429" s="7" t="s">
        <v>301</v>
      </c>
      <c r="K429" s="7"/>
      <c r="L429" s="7" t="str">
        <f aca="false">IFERROR(VLOOKUP(IF(ISNUMBER(SEARCH("(",F429)),LEFT(F429,SEARCH("(",F429)-1),F429),Tipos!$A:$B,2,FALSE()),"outro")</f>
        <v>uuid</v>
      </c>
      <c r="M429" s="7" t="str">
        <f aca="false">IF(COUNTIF(Comparação!$H:$H,A429)&gt;0,"sim",IF(AND(G429="sim",H429=""),"FALTA (obrigatória)","não"))</f>
        <v>FALTA (obrigatória)</v>
      </c>
    </row>
    <row r="430" customFormat="false" ht="15" hidden="false" customHeight="false" outlineLevel="0" collapsed="false">
      <c r="A430" s="7" t="str">
        <f aca="false">B430&amp;"."&amp;E430</f>
        <v>contrato_itens.produto_id</v>
      </c>
      <c r="B430" s="7" t="s">
        <v>91</v>
      </c>
      <c r="C430" s="7" t="s">
        <v>72</v>
      </c>
      <c r="D430" s="7" t="n">
        <v>4</v>
      </c>
      <c r="E430" s="7" t="s">
        <v>287</v>
      </c>
      <c r="F430" s="7" t="s">
        <v>272</v>
      </c>
      <c r="G430" s="7" t="s">
        <v>262</v>
      </c>
      <c r="H430" s="7"/>
      <c r="I430" s="7"/>
      <c r="J430" s="7" t="s">
        <v>288</v>
      </c>
      <c r="K430" s="7"/>
      <c r="L430" s="7" t="str">
        <f aca="false">IFERROR(VLOOKUP(IF(ISNUMBER(SEARCH("(",F430)),LEFT(F430,SEARCH("(",F430)-1),F430),Tipos!$A:$B,2,FALSE()),"outro")</f>
        <v>uuid</v>
      </c>
      <c r="M430" s="7" t="str">
        <f aca="false">IF(COUNTIF(Comparação!$H:$H,A430)&gt;0,"sim",IF(AND(G430="sim",H430=""),"FALTA (obrigatória)","não"))</f>
        <v>FALTA (obrigatória)</v>
      </c>
    </row>
    <row r="431" customFormat="false" ht="15" hidden="false" customHeight="false" outlineLevel="0" collapsed="false">
      <c r="A431" s="7" t="str">
        <f aca="false">B431&amp;"."&amp;E431</f>
        <v>contrato_itens.quantidade</v>
      </c>
      <c r="B431" s="7" t="s">
        <v>91</v>
      </c>
      <c r="C431" s="7" t="s">
        <v>72</v>
      </c>
      <c r="D431" s="7" t="n">
        <v>5</v>
      </c>
      <c r="E431" s="7" t="s">
        <v>576</v>
      </c>
      <c r="F431" s="7" t="s">
        <v>648</v>
      </c>
      <c r="G431" s="7" t="s">
        <v>262</v>
      </c>
      <c r="H431" s="7" t="s">
        <v>468</v>
      </c>
      <c r="I431" s="7"/>
      <c r="J431" s="7"/>
      <c r="K431" s="7" t="s">
        <v>649</v>
      </c>
      <c r="L431" s="7" t="str">
        <f aca="false">IFERROR(VLOOKUP(IF(ISNUMBER(SEARCH("(",F431)),LEFT(F431,SEARCH("(",F431)-1),F431),Tipos!$A:$B,2,FALSE()),"outro")</f>
        <v>decimal</v>
      </c>
      <c r="M431" s="7" t="str">
        <f aca="false">IF(COUNTIF(Comparação!$H:$H,A431)&gt;0,"sim",IF(AND(G431="sim",H431=""),"FALTA (obrigatória)","não"))</f>
        <v>não</v>
      </c>
    </row>
    <row r="432" customFormat="false" ht="15" hidden="false" customHeight="false" outlineLevel="0" collapsed="false">
      <c r="A432" s="7" t="str">
        <f aca="false">B432&amp;"."&amp;E432</f>
        <v>contrato_itens.valor</v>
      </c>
      <c r="B432" s="7" t="s">
        <v>91</v>
      </c>
      <c r="C432" s="7" t="s">
        <v>72</v>
      </c>
      <c r="D432" s="7" t="n">
        <v>6</v>
      </c>
      <c r="E432" s="7" t="s">
        <v>330</v>
      </c>
      <c r="F432" s="7" t="s">
        <v>354</v>
      </c>
      <c r="G432" s="7" t="s">
        <v>262</v>
      </c>
      <c r="H432" s="7"/>
      <c r="I432" s="7"/>
      <c r="J432" s="7"/>
      <c r="K432" s="7" t="s">
        <v>332</v>
      </c>
      <c r="L432" s="7" t="str">
        <f aca="false">IFERROR(VLOOKUP(IF(ISNUMBER(SEARCH("(",F432)),LEFT(F432,SEARCH("(",F432)-1),F432),Tipos!$A:$B,2,FALSE()),"outro")</f>
        <v>decimal</v>
      </c>
      <c r="M432" s="7" t="str">
        <f aca="false">IF(COUNTIF(Comparação!$H:$H,A432)&gt;0,"sim",IF(AND(G432="sim",H432=""),"FALTA (obrigatória)","não"))</f>
        <v>FALTA (obrigatória)</v>
      </c>
    </row>
    <row r="433" customFormat="false" ht="15" hidden="false" customHeight="false" outlineLevel="0" collapsed="false">
      <c r="A433" s="7" t="str">
        <f aca="false">B433&amp;"."&amp;E433</f>
        <v>contrato_parcelas_plano.id</v>
      </c>
      <c r="B433" s="7" t="s">
        <v>93</v>
      </c>
      <c r="C433" s="7" t="s">
        <v>72</v>
      </c>
      <c r="D433" s="7" t="n">
        <v>1</v>
      </c>
      <c r="E433" s="7" t="s">
        <v>271</v>
      </c>
      <c r="F433" s="7" t="s">
        <v>272</v>
      </c>
      <c r="G433" s="7" t="s">
        <v>262</v>
      </c>
      <c r="H433" s="7" t="s">
        <v>273</v>
      </c>
      <c r="I433" s="7" t="s">
        <v>263</v>
      </c>
      <c r="J433" s="7"/>
      <c r="K433" s="7"/>
      <c r="L433" s="7" t="str">
        <f aca="false">IFERROR(VLOOKUP(IF(ISNUMBER(SEARCH("(",F433)),LEFT(F433,SEARCH("(",F433)-1),F433),Tipos!$A:$B,2,FALSE()),"outro")</f>
        <v>uuid</v>
      </c>
      <c r="M433" s="7" t="str">
        <f aca="false">IF(COUNTIF(Comparação!$H:$H,A433)&gt;0,"sim",IF(AND(G433="sim",H433=""),"FALTA (obrigatória)","não"))</f>
        <v>não</v>
      </c>
    </row>
    <row r="434" customFormat="false" ht="15" hidden="false" customHeight="false" outlineLevel="0" collapsed="false">
      <c r="A434" s="7" t="str">
        <f aca="false">B434&amp;"."&amp;E434</f>
        <v>contrato_parcelas_plano.workspace_id</v>
      </c>
      <c r="B434" s="7" t="s">
        <v>93</v>
      </c>
      <c r="C434" s="7" t="s">
        <v>72</v>
      </c>
      <c r="D434" s="7" t="n">
        <v>2</v>
      </c>
      <c r="E434" s="7" t="s">
        <v>274</v>
      </c>
      <c r="F434" s="7" t="s">
        <v>272</v>
      </c>
      <c r="G434" s="7" t="s">
        <v>262</v>
      </c>
      <c r="H434" s="7"/>
      <c r="I434" s="7"/>
      <c r="J434" s="7" t="s">
        <v>275</v>
      </c>
      <c r="K434" s="7"/>
      <c r="L434" s="7" t="str">
        <f aca="false">IFERROR(VLOOKUP(IF(ISNUMBER(SEARCH("(",F434)),LEFT(F434,SEARCH("(",F434)-1),F434),Tipos!$A:$B,2,FALSE()),"outro")</f>
        <v>uuid</v>
      </c>
      <c r="M434" s="7" t="str">
        <f aca="false">IF(COUNTIF(Comparação!$H:$H,A434)&gt;0,"sim",IF(AND(G434="sim",H434=""),"FALTA (obrigatória)","não"))</f>
        <v>FALTA (obrigatória)</v>
      </c>
    </row>
    <row r="435" customFormat="false" ht="15" hidden="false" customHeight="false" outlineLevel="0" collapsed="false">
      <c r="A435" s="7" t="str">
        <f aca="false">B435&amp;"."&amp;E435</f>
        <v>contrato_parcelas_plano.contrato_id</v>
      </c>
      <c r="B435" s="7" t="s">
        <v>93</v>
      </c>
      <c r="C435" s="7" t="s">
        <v>72</v>
      </c>
      <c r="D435" s="7" t="n">
        <v>3</v>
      </c>
      <c r="E435" s="7" t="s">
        <v>300</v>
      </c>
      <c r="F435" s="7" t="s">
        <v>272</v>
      </c>
      <c r="G435" s="7" t="s">
        <v>262</v>
      </c>
      <c r="H435" s="7"/>
      <c r="I435" s="7" t="s">
        <v>290</v>
      </c>
      <c r="J435" s="7" t="s">
        <v>301</v>
      </c>
      <c r="K435" s="7"/>
      <c r="L435" s="7" t="str">
        <f aca="false">IFERROR(VLOOKUP(IF(ISNUMBER(SEARCH("(",F435)),LEFT(F435,SEARCH("(",F435)-1),F435),Tipos!$A:$B,2,FALSE()),"outro")</f>
        <v>uuid</v>
      </c>
      <c r="M435" s="7" t="str">
        <f aca="false">IF(COUNTIF(Comparação!$H:$H,A435)&gt;0,"sim",IF(AND(G435="sim",H435=""),"FALTA (obrigatória)","não"))</f>
        <v>FALTA (obrigatória)</v>
      </c>
    </row>
    <row r="436" customFormat="false" ht="15" hidden="false" customHeight="false" outlineLevel="0" collapsed="false">
      <c r="A436" s="7" t="str">
        <f aca="false">B436&amp;"."&amp;E436</f>
        <v>contrato_parcelas_plano.numero</v>
      </c>
      <c r="B436" s="7" t="s">
        <v>93</v>
      </c>
      <c r="C436" s="7" t="s">
        <v>72</v>
      </c>
      <c r="D436" s="7" t="n">
        <v>4</v>
      </c>
      <c r="E436" s="7" t="s">
        <v>650</v>
      </c>
      <c r="F436" s="7" t="s">
        <v>269</v>
      </c>
      <c r="G436" s="7" t="s">
        <v>262</v>
      </c>
      <c r="H436" s="7"/>
      <c r="I436" s="7" t="s">
        <v>290</v>
      </c>
      <c r="J436" s="7"/>
      <c r="K436" s="7" t="s">
        <v>651</v>
      </c>
      <c r="L436" s="7" t="str">
        <f aca="false">IFERROR(VLOOKUP(IF(ISNUMBER(SEARCH("(",F436)),LEFT(F436,SEARCH("(",F436)-1),F436),Tipos!$A:$B,2,FALSE()),"outro")</f>
        <v>inteiro</v>
      </c>
      <c r="M436" s="7" t="str">
        <f aca="false">IF(COUNTIF(Comparação!$H:$H,A436)&gt;0,"sim",IF(AND(G436="sim",H436=""),"FALTA (obrigatória)","não"))</f>
        <v>FALTA (obrigatória)</v>
      </c>
    </row>
    <row r="437" customFormat="false" ht="15" hidden="false" customHeight="false" outlineLevel="0" collapsed="false">
      <c r="A437" s="7" t="str">
        <f aca="false">B437&amp;"."&amp;E437</f>
        <v>contrato_parcelas_plano.valor</v>
      </c>
      <c r="B437" s="7" t="s">
        <v>93</v>
      </c>
      <c r="C437" s="7" t="s">
        <v>72</v>
      </c>
      <c r="D437" s="7" t="n">
        <v>5</v>
      </c>
      <c r="E437" s="7" t="s">
        <v>330</v>
      </c>
      <c r="F437" s="7" t="s">
        <v>354</v>
      </c>
      <c r="G437" s="7" t="s">
        <v>262</v>
      </c>
      <c r="H437" s="7"/>
      <c r="I437" s="7"/>
      <c r="J437" s="7"/>
      <c r="K437" s="7" t="s">
        <v>529</v>
      </c>
      <c r="L437" s="7" t="str">
        <f aca="false">IFERROR(VLOOKUP(IF(ISNUMBER(SEARCH("(",F437)),LEFT(F437,SEARCH("(",F437)-1),F437),Tipos!$A:$B,2,FALSE()),"outro")</f>
        <v>decimal</v>
      </c>
      <c r="M437" s="7" t="str">
        <f aca="false">IF(COUNTIF(Comparação!$H:$H,A437)&gt;0,"sim",IF(AND(G437="sim",H437=""),"FALTA (obrigatória)","não"))</f>
        <v>FALTA (obrigatória)</v>
      </c>
    </row>
    <row r="438" customFormat="false" ht="15" hidden="false" customHeight="false" outlineLevel="0" collapsed="false">
      <c r="A438" s="7" t="str">
        <f aca="false">B438&amp;"."&amp;E438</f>
        <v>contrato_parcelas_plano.vencimento</v>
      </c>
      <c r="B438" s="7" t="s">
        <v>93</v>
      </c>
      <c r="C438" s="7" t="s">
        <v>72</v>
      </c>
      <c r="D438" s="7" t="n">
        <v>6</v>
      </c>
      <c r="E438" s="7" t="s">
        <v>531</v>
      </c>
      <c r="F438" s="7" t="s">
        <v>379</v>
      </c>
      <c r="G438" s="7" t="s">
        <v>262</v>
      </c>
      <c r="H438" s="7"/>
      <c r="I438" s="7"/>
      <c r="J438" s="7"/>
      <c r="K438" s="7"/>
      <c r="L438" s="7" t="str">
        <f aca="false">IFERROR(VLOOKUP(IF(ISNUMBER(SEARCH("(",F438)),LEFT(F438,SEARCH("(",F438)-1),F438),Tipos!$A:$B,2,FALSE()),"outro")</f>
        <v>data</v>
      </c>
      <c r="M438" s="7" t="str">
        <f aca="false">IF(COUNTIF(Comparação!$H:$H,A438)&gt;0,"sim",IF(AND(G438="sim",H438=""),"FALTA (obrigatória)","não"))</f>
        <v>FALTA (obrigatória)</v>
      </c>
    </row>
    <row r="439" customFormat="false" ht="15" hidden="false" customHeight="false" outlineLevel="0" collapsed="false">
      <c r="A439" s="7" t="str">
        <f aca="false">B439&amp;"."&amp;E439</f>
        <v>contratos.id</v>
      </c>
      <c r="B439" s="7" t="s">
        <v>95</v>
      </c>
      <c r="C439" s="7" t="s">
        <v>72</v>
      </c>
      <c r="D439" s="7" t="n">
        <v>1</v>
      </c>
      <c r="E439" s="7" t="s">
        <v>271</v>
      </c>
      <c r="F439" s="7" t="s">
        <v>272</v>
      </c>
      <c r="G439" s="7" t="s">
        <v>262</v>
      </c>
      <c r="H439" s="7" t="s">
        <v>273</v>
      </c>
      <c r="I439" s="7" t="s">
        <v>263</v>
      </c>
      <c r="J439" s="7"/>
      <c r="K439" s="7"/>
      <c r="L439" s="7" t="str">
        <f aca="false">IFERROR(VLOOKUP(IF(ISNUMBER(SEARCH("(",F439)),LEFT(F439,SEARCH("(",F439)-1),F439),Tipos!$A:$B,2,FALSE()),"outro")</f>
        <v>uuid</v>
      </c>
      <c r="M439" s="7" t="str">
        <f aca="false">IF(COUNTIF(Comparação!$H:$H,A439)&gt;0,"sim",IF(AND(G439="sim",H439=""),"FALTA (obrigatória)","não"))</f>
        <v>não</v>
      </c>
    </row>
    <row r="440" customFormat="false" ht="15" hidden="false" customHeight="false" outlineLevel="0" collapsed="false">
      <c r="A440" s="7" t="str">
        <f aca="false">B440&amp;"."&amp;E440</f>
        <v>contratos.workspace_id</v>
      </c>
      <c r="B440" s="7" t="s">
        <v>95</v>
      </c>
      <c r="C440" s="7" t="s">
        <v>72</v>
      </c>
      <c r="D440" s="7" t="n">
        <v>2</v>
      </c>
      <c r="E440" s="7" t="s">
        <v>274</v>
      </c>
      <c r="F440" s="7" t="s">
        <v>272</v>
      </c>
      <c r="G440" s="7" t="s">
        <v>262</v>
      </c>
      <c r="H440" s="7"/>
      <c r="I440" s="7"/>
      <c r="J440" s="7" t="s">
        <v>275</v>
      </c>
      <c r="K440" s="7"/>
      <c r="L440" s="7" t="str">
        <f aca="false">IFERROR(VLOOKUP(IF(ISNUMBER(SEARCH("(",F440)),LEFT(F440,SEARCH("(",F440)-1),F440),Tipos!$A:$B,2,FALSE()),"outro")</f>
        <v>uuid</v>
      </c>
      <c r="M440" s="7" t="str">
        <f aca="false">IF(COUNTIF(Comparação!$H:$H,A440)&gt;0,"sim",IF(AND(G440="sim",H440=""),"FALTA (obrigatória)","não"))</f>
        <v>FALTA (obrigatória)</v>
      </c>
    </row>
    <row r="441" customFormat="false" ht="15" hidden="false" customHeight="false" outlineLevel="0" collapsed="false">
      <c r="A441" s="7" t="str">
        <f aca="false">B441&amp;"."&amp;E441</f>
        <v>contratos.numero</v>
      </c>
      <c r="B441" s="7" t="s">
        <v>95</v>
      </c>
      <c r="C441" s="7" t="s">
        <v>72</v>
      </c>
      <c r="D441" s="7" t="n">
        <v>3</v>
      </c>
      <c r="E441" s="7" t="s">
        <v>650</v>
      </c>
      <c r="F441" s="7" t="s">
        <v>269</v>
      </c>
      <c r="G441" s="7" t="s">
        <v>267</v>
      </c>
      <c r="H441" s="7"/>
      <c r="I441" s="7"/>
      <c r="J441" s="7"/>
      <c r="K441" s="7"/>
      <c r="L441" s="7" t="str">
        <f aca="false">IFERROR(VLOOKUP(IF(ISNUMBER(SEARCH("(",F441)),LEFT(F441,SEARCH("(",F441)-1),F441),Tipos!$A:$B,2,FALSE()),"outro")</f>
        <v>inteiro</v>
      </c>
      <c r="M441" s="7" t="str">
        <f aca="false">IF(COUNTIF(Comparação!$H:$H,A441)&gt;0,"sim",IF(AND(G441="sim",H441=""),"FALTA (obrigatória)","não"))</f>
        <v>não</v>
      </c>
    </row>
    <row r="442" customFormat="false" ht="15" hidden="false" customHeight="false" outlineLevel="0" collapsed="false">
      <c r="A442" s="7" t="str">
        <f aca="false">B442&amp;"."&amp;E442</f>
        <v>contratos.pessoa_id</v>
      </c>
      <c r="B442" s="7" t="s">
        <v>95</v>
      </c>
      <c r="C442" s="7" t="s">
        <v>72</v>
      </c>
      <c r="D442" s="7" t="n">
        <v>4</v>
      </c>
      <c r="E442" s="7" t="s">
        <v>278</v>
      </c>
      <c r="F442" s="7" t="s">
        <v>272</v>
      </c>
      <c r="G442" s="7" t="s">
        <v>262</v>
      </c>
      <c r="H442" s="7"/>
      <c r="I442" s="7"/>
      <c r="J442" s="7" t="s">
        <v>279</v>
      </c>
      <c r="K442" s="7"/>
      <c r="L442" s="7" t="str">
        <f aca="false">IFERROR(VLOOKUP(IF(ISNUMBER(SEARCH("(",F442)),LEFT(F442,SEARCH("(",F442)-1),F442),Tipos!$A:$B,2,FALSE()),"outro")</f>
        <v>uuid</v>
      </c>
      <c r="M442" s="7" t="str">
        <f aca="false">IF(COUNTIF(Comparação!$H:$H,A442)&gt;0,"sim",IF(AND(G442="sim",H442=""),"FALTA (obrigatória)","não"))</f>
        <v>FALTA (obrigatória)</v>
      </c>
    </row>
    <row r="443" customFormat="false" ht="15" hidden="false" customHeight="false" outlineLevel="0" collapsed="false">
      <c r="A443" s="7" t="str">
        <f aca="false">B443&amp;"."&amp;E443</f>
        <v>contratos.campanha_id</v>
      </c>
      <c r="B443" s="7" t="s">
        <v>95</v>
      </c>
      <c r="C443" s="7" t="s">
        <v>72</v>
      </c>
      <c r="D443" s="7" t="n">
        <v>5</v>
      </c>
      <c r="E443" s="7" t="s">
        <v>336</v>
      </c>
      <c r="F443" s="7" t="s">
        <v>272</v>
      </c>
      <c r="G443" s="7" t="s">
        <v>267</v>
      </c>
      <c r="H443" s="7"/>
      <c r="I443" s="7"/>
      <c r="J443" s="7" t="s">
        <v>337</v>
      </c>
      <c r="K443" s="7"/>
      <c r="L443" s="7" t="str">
        <f aca="false">IFERROR(VLOOKUP(IF(ISNUMBER(SEARCH("(",F443)),LEFT(F443,SEARCH("(",F443)-1),F443),Tipos!$A:$B,2,FALSE()),"outro")</f>
        <v>uuid</v>
      </c>
      <c r="M443" s="7" t="str">
        <f aca="false">IF(COUNTIF(Comparação!$H:$H,A443)&gt;0,"sim",IF(AND(G443="sim",H443=""),"FALTA (obrigatória)","não"))</f>
        <v>não</v>
      </c>
    </row>
    <row r="444" customFormat="false" ht="15" hidden="false" customHeight="false" outlineLevel="0" collapsed="false">
      <c r="A444" s="7" t="str">
        <f aca="false">B444&amp;"."&amp;E444</f>
        <v>contratos.status</v>
      </c>
      <c r="B444" s="7" t="s">
        <v>95</v>
      </c>
      <c r="C444" s="7" t="s">
        <v>72</v>
      </c>
      <c r="D444" s="7" t="n">
        <v>6</v>
      </c>
      <c r="E444" s="7" t="s">
        <v>293</v>
      </c>
      <c r="F444" s="7" t="s">
        <v>261</v>
      </c>
      <c r="G444" s="7" t="s">
        <v>262</v>
      </c>
      <c r="H444" s="7" t="s">
        <v>652</v>
      </c>
      <c r="I444" s="7"/>
      <c r="J444" s="7"/>
      <c r="K444" s="7" t="s">
        <v>653</v>
      </c>
      <c r="L444" s="7" t="str">
        <f aca="false">IFERROR(VLOOKUP(IF(ISNUMBER(SEARCH("(",F444)),LEFT(F444,SEARCH("(",F444)-1),F444),Tipos!$A:$B,2,FALSE()),"outro")</f>
        <v>texto</v>
      </c>
      <c r="M444" s="7" t="str">
        <f aca="false">IF(COUNTIF(Comparação!$H:$H,A444)&gt;0,"sim",IF(AND(G444="sim",H444=""),"FALTA (obrigatória)","não"))</f>
        <v>não</v>
      </c>
    </row>
    <row r="445" customFormat="false" ht="15" hidden="false" customHeight="false" outlineLevel="0" collapsed="false">
      <c r="A445" s="7" t="str">
        <f aca="false">B445&amp;"."&amp;E445</f>
        <v>contratos.data_inicio</v>
      </c>
      <c r="B445" s="7" t="s">
        <v>95</v>
      </c>
      <c r="C445" s="7" t="s">
        <v>72</v>
      </c>
      <c r="D445" s="7" t="n">
        <v>7</v>
      </c>
      <c r="E445" s="7" t="s">
        <v>472</v>
      </c>
      <c r="F445" s="7" t="s">
        <v>379</v>
      </c>
      <c r="G445" s="7" t="s">
        <v>262</v>
      </c>
      <c r="H445" s="7"/>
      <c r="I445" s="7"/>
      <c r="J445" s="7"/>
      <c r="K445" s="7"/>
      <c r="L445" s="7" t="str">
        <f aca="false">IFERROR(VLOOKUP(IF(ISNUMBER(SEARCH("(",F445)),LEFT(F445,SEARCH("(",F445)-1),F445),Tipos!$A:$B,2,FALSE()),"outro")</f>
        <v>data</v>
      </c>
      <c r="M445" s="7" t="str">
        <f aca="false">IF(COUNTIF(Comparação!$H:$H,A445)&gt;0,"sim",IF(AND(G445="sim",H445=""),"FALTA (obrigatória)","não"))</f>
        <v>FALTA (obrigatória)</v>
      </c>
    </row>
    <row r="446" customFormat="false" ht="15" hidden="false" customHeight="false" outlineLevel="0" collapsed="false">
      <c r="A446" s="7" t="str">
        <f aca="false">B446&amp;"."&amp;E446</f>
        <v>contratos.data_fim</v>
      </c>
      <c r="B446" s="7" t="s">
        <v>95</v>
      </c>
      <c r="C446" s="7" t="s">
        <v>72</v>
      </c>
      <c r="D446" s="7" t="n">
        <v>8</v>
      </c>
      <c r="E446" s="7" t="s">
        <v>438</v>
      </c>
      <c r="F446" s="7" t="s">
        <v>379</v>
      </c>
      <c r="G446" s="7" t="s">
        <v>267</v>
      </c>
      <c r="H446" s="7"/>
      <c r="I446" s="7"/>
      <c r="J446" s="7"/>
      <c r="K446" s="7"/>
      <c r="L446" s="7" t="str">
        <f aca="false">IFERROR(VLOOKUP(IF(ISNUMBER(SEARCH("(",F446)),LEFT(F446,SEARCH("(",F446)-1),F446),Tipos!$A:$B,2,FALSE()),"outro")</f>
        <v>data</v>
      </c>
      <c r="M446" s="7" t="str">
        <f aca="false">IF(COUNTIF(Comparação!$H:$H,A446)&gt;0,"sim",IF(AND(G446="sim",H446=""),"FALTA (obrigatória)","não"))</f>
        <v>não</v>
      </c>
    </row>
    <row r="447" customFormat="false" ht="15" hidden="false" customHeight="false" outlineLevel="0" collapsed="false">
      <c r="A447" s="7" t="str">
        <f aca="false">B447&amp;"."&amp;E447</f>
        <v>contratos.recorrente</v>
      </c>
      <c r="B447" s="7" t="s">
        <v>95</v>
      </c>
      <c r="C447" s="7" t="s">
        <v>72</v>
      </c>
      <c r="D447" s="7" t="n">
        <v>9</v>
      </c>
      <c r="E447" s="7" t="s">
        <v>654</v>
      </c>
      <c r="F447" s="7" t="s">
        <v>310</v>
      </c>
      <c r="G447" s="7" t="s">
        <v>262</v>
      </c>
      <c r="H447" s="7" t="s">
        <v>375</v>
      </c>
      <c r="I447" s="7"/>
      <c r="J447" s="7"/>
      <c r="K447" s="7"/>
      <c r="L447" s="7" t="str">
        <f aca="false">IFERROR(VLOOKUP(IF(ISNUMBER(SEARCH("(",F447)),LEFT(F447,SEARCH("(",F447)-1),F447),Tipos!$A:$B,2,FALSE()),"outro")</f>
        <v>booleano</v>
      </c>
      <c r="M447" s="7" t="str">
        <f aca="false">IF(COUNTIF(Comparação!$H:$H,A447)&gt;0,"sim",IF(AND(G447="sim",H447=""),"FALTA (obrigatória)","não"))</f>
        <v>não</v>
      </c>
    </row>
    <row r="448" customFormat="false" ht="15" hidden="false" customHeight="false" outlineLevel="0" collapsed="false">
      <c r="A448" s="7" t="str">
        <f aca="false">B448&amp;"."&amp;E448</f>
        <v>contratos.periodicidade</v>
      </c>
      <c r="B448" s="7" t="s">
        <v>95</v>
      </c>
      <c r="C448" s="7" t="s">
        <v>72</v>
      </c>
      <c r="D448" s="7" t="n">
        <v>10</v>
      </c>
      <c r="E448" s="7" t="s">
        <v>655</v>
      </c>
      <c r="F448" s="7" t="s">
        <v>261</v>
      </c>
      <c r="G448" s="7" t="s">
        <v>267</v>
      </c>
      <c r="H448" s="7"/>
      <c r="I448" s="7"/>
      <c r="J448" s="7"/>
      <c r="K448" s="7" t="s">
        <v>656</v>
      </c>
      <c r="L448" s="7" t="str">
        <f aca="false">IFERROR(VLOOKUP(IF(ISNUMBER(SEARCH("(",F448)),LEFT(F448,SEARCH("(",F448)-1),F448),Tipos!$A:$B,2,FALSE()),"outro")</f>
        <v>texto</v>
      </c>
      <c r="M448" s="7" t="str">
        <f aca="false">IF(COUNTIF(Comparação!$H:$H,A448)&gt;0,"sim",IF(AND(G448="sim",H448=""),"FALTA (obrigatória)","não"))</f>
        <v>não</v>
      </c>
    </row>
    <row r="449" customFormat="false" ht="15" hidden="false" customHeight="false" outlineLevel="0" collapsed="false">
      <c r="A449" s="7" t="str">
        <f aca="false">B449&amp;"."&amp;E449</f>
        <v>contratos.num_parcelas</v>
      </c>
      <c r="B449" s="7" t="s">
        <v>95</v>
      </c>
      <c r="C449" s="7" t="s">
        <v>72</v>
      </c>
      <c r="D449" s="7" t="n">
        <v>11</v>
      </c>
      <c r="E449" s="7" t="s">
        <v>657</v>
      </c>
      <c r="F449" s="7" t="s">
        <v>269</v>
      </c>
      <c r="G449" s="7" t="s">
        <v>262</v>
      </c>
      <c r="H449" s="7" t="s">
        <v>468</v>
      </c>
      <c r="I449" s="7"/>
      <c r="J449" s="7"/>
      <c r="K449" s="7" t="s">
        <v>658</v>
      </c>
      <c r="L449" s="7" t="str">
        <f aca="false">IFERROR(VLOOKUP(IF(ISNUMBER(SEARCH("(",F449)),LEFT(F449,SEARCH("(",F449)-1),F449),Tipos!$A:$B,2,FALSE()),"outro")</f>
        <v>inteiro</v>
      </c>
      <c r="M449" s="7" t="str">
        <f aca="false">IF(COUNTIF(Comparação!$H:$H,A449)&gt;0,"sim",IF(AND(G449="sim",H449=""),"FALTA (obrigatória)","não"))</f>
        <v>não</v>
      </c>
    </row>
    <row r="450" customFormat="false" ht="15" hidden="false" customHeight="false" outlineLevel="0" collapsed="false">
      <c r="A450" s="7" t="str">
        <f aca="false">B450&amp;"."&amp;E450</f>
        <v>contratos.primeiro_vencimento</v>
      </c>
      <c r="B450" s="7" t="s">
        <v>95</v>
      </c>
      <c r="C450" s="7" t="s">
        <v>72</v>
      </c>
      <c r="D450" s="7" t="n">
        <v>12</v>
      </c>
      <c r="E450" s="7" t="s">
        <v>659</v>
      </c>
      <c r="F450" s="7" t="s">
        <v>379</v>
      </c>
      <c r="G450" s="7" t="s">
        <v>267</v>
      </c>
      <c r="H450" s="7"/>
      <c r="I450" s="7"/>
      <c r="J450" s="7"/>
      <c r="K450" s="7"/>
      <c r="L450" s="7" t="str">
        <f aca="false">IFERROR(VLOOKUP(IF(ISNUMBER(SEARCH("(",F450)),LEFT(F450,SEARCH("(",F450)-1),F450),Tipos!$A:$B,2,FALSE()),"outro")</f>
        <v>data</v>
      </c>
      <c r="M450" s="7" t="str">
        <f aca="false">IF(COUNTIF(Comparação!$H:$H,A450)&gt;0,"sim",IF(AND(G450="sim",H450=""),"FALTA (obrigatória)","não"))</f>
        <v>não</v>
      </c>
    </row>
    <row r="451" customFormat="false" ht="15" hidden="false" customHeight="false" outlineLevel="0" collapsed="false">
      <c r="A451" s="7" t="str">
        <f aca="false">B451&amp;"."&amp;E451</f>
        <v>contratos.conta_bancaria_id</v>
      </c>
      <c r="B451" s="7" t="s">
        <v>95</v>
      </c>
      <c r="C451" s="7" t="s">
        <v>72</v>
      </c>
      <c r="D451" s="7" t="n">
        <v>13</v>
      </c>
      <c r="E451" s="7" t="s">
        <v>538</v>
      </c>
      <c r="F451" s="7" t="s">
        <v>272</v>
      </c>
      <c r="G451" s="7" t="s">
        <v>267</v>
      </c>
      <c r="H451" s="7"/>
      <c r="I451" s="7"/>
      <c r="J451" s="7" t="s">
        <v>539</v>
      </c>
      <c r="K451" s="7"/>
      <c r="L451" s="7" t="str">
        <f aca="false">IFERROR(VLOOKUP(IF(ISNUMBER(SEARCH("(",F451)),LEFT(F451,SEARCH("(",F451)-1),F451),Tipos!$A:$B,2,FALSE()),"outro")</f>
        <v>uuid</v>
      </c>
      <c r="M451" s="7" t="str">
        <f aca="false">IF(COUNTIF(Comparação!$H:$H,A451)&gt;0,"sim",IF(AND(G451="sim",H451=""),"FALTA (obrigatória)","não"))</f>
        <v>não</v>
      </c>
    </row>
    <row r="452" customFormat="false" ht="15" hidden="false" customHeight="false" outlineLevel="0" collapsed="false">
      <c r="A452" s="7" t="str">
        <f aca="false">B452&amp;"."&amp;E452</f>
        <v>contratos.forma_pagamento</v>
      </c>
      <c r="B452" s="7" t="s">
        <v>95</v>
      </c>
      <c r="C452" s="7" t="s">
        <v>72</v>
      </c>
      <c r="D452" s="7" t="n">
        <v>14</v>
      </c>
      <c r="E452" s="7" t="s">
        <v>660</v>
      </c>
      <c r="F452" s="7" t="s">
        <v>261</v>
      </c>
      <c r="G452" s="7" t="s">
        <v>267</v>
      </c>
      <c r="H452" s="7"/>
      <c r="I452" s="7"/>
      <c r="J452" s="7"/>
      <c r="K452" s="7"/>
      <c r="L452" s="7" t="str">
        <f aca="false">IFERROR(VLOOKUP(IF(ISNUMBER(SEARCH("(",F452)),LEFT(F452,SEARCH("(",F452)-1),F452),Tipos!$A:$B,2,FALSE()),"outro")</f>
        <v>texto</v>
      </c>
      <c r="M452" s="7" t="str">
        <f aca="false">IF(COUNTIF(Comparação!$H:$H,A452)&gt;0,"sim",IF(AND(G452="sim",H452=""),"FALTA (obrigatória)","não"))</f>
        <v>não</v>
      </c>
    </row>
    <row r="453" customFormat="false" ht="15" hidden="false" customHeight="false" outlineLevel="0" collapsed="false">
      <c r="A453" s="7" t="str">
        <f aca="false">B453&amp;"."&amp;E453</f>
        <v>contratos.acessos</v>
      </c>
      <c r="B453" s="7" t="s">
        <v>95</v>
      </c>
      <c r="C453" s="7" t="s">
        <v>72</v>
      </c>
      <c r="D453" s="7" t="n">
        <v>15</v>
      </c>
      <c r="E453" s="7" t="s">
        <v>661</v>
      </c>
      <c r="F453" s="7" t="s">
        <v>261</v>
      </c>
      <c r="G453" s="7" t="s">
        <v>267</v>
      </c>
      <c r="H453" s="7"/>
      <c r="I453" s="7"/>
      <c r="J453" s="7"/>
      <c r="K453" s="7"/>
      <c r="L453" s="7" t="str">
        <f aca="false">IFERROR(VLOOKUP(IF(ISNUMBER(SEARCH("(",F453)),LEFT(F453,SEARCH("(",F453)-1),F453),Tipos!$A:$B,2,FALSE()),"outro")</f>
        <v>texto</v>
      </c>
      <c r="M453" s="7" t="str">
        <f aca="false">IF(COUNTIF(Comparação!$H:$H,A453)&gt;0,"sim",IF(AND(G453="sim",H453=""),"FALTA (obrigatória)","não"))</f>
        <v>não</v>
      </c>
    </row>
    <row r="454" customFormat="false" ht="15" hidden="false" customHeight="false" outlineLevel="0" collapsed="false">
      <c r="A454" s="7" t="str">
        <f aca="false">B454&amp;"."&amp;E454</f>
        <v>contratos.observacoes</v>
      </c>
      <c r="B454" s="7" t="s">
        <v>95</v>
      </c>
      <c r="C454" s="7" t="s">
        <v>72</v>
      </c>
      <c r="D454" s="7" t="n">
        <v>16</v>
      </c>
      <c r="E454" s="7" t="s">
        <v>368</v>
      </c>
      <c r="F454" s="7" t="s">
        <v>261</v>
      </c>
      <c r="G454" s="7" t="s">
        <v>267</v>
      </c>
      <c r="H454" s="7"/>
      <c r="I454" s="7"/>
      <c r="J454" s="7"/>
      <c r="K454" s="7"/>
      <c r="L454" s="7" t="str">
        <f aca="false">IFERROR(VLOOKUP(IF(ISNUMBER(SEARCH("(",F454)),LEFT(F454,SEARCH("(",F454)-1),F454),Tipos!$A:$B,2,FALSE()),"outro")</f>
        <v>texto</v>
      </c>
      <c r="M454" s="7" t="str">
        <f aca="false">IF(COUNTIF(Comparação!$H:$H,A454)&gt;0,"sim",IF(AND(G454="sim",H454=""),"FALTA (obrigatória)","não"))</f>
        <v>não</v>
      </c>
    </row>
    <row r="455" customFormat="false" ht="15" hidden="false" customHeight="false" outlineLevel="0" collapsed="false">
      <c r="A455" s="7" t="str">
        <f aca="false">B455&amp;"."&amp;E455</f>
        <v>contratos.ativado_em</v>
      </c>
      <c r="B455" s="7" t="s">
        <v>95</v>
      </c>
      <c r="C455" s="7" t="s">
        <v>72</v>
      </c>
      <c r="D455" s="7" t="n">
        <v>17</v>
      </c>
      <c r="E455" s="7" t="s">
        <v>662</v>
      </c>
      <c r="F455" s="7" t="s">
        <v>285</v>
      </c>
      <c r="G455" s="7" t="s">
        <v>267</v>
      </c>
      <c r="H455" s="7"/>
      <c r="I455" s="7"/>
      <c r="J455" s="7"/>
      <c r="K455" s="7"/>
      <c r="L455" s="7" t="str">
        <f aca="false">IFERROR(VLOOKUP(IF(ISNUMBER(SEARCH("(",F455)),LEFT(F455,SEARCH("(",F455)-1),F455),Tipos!$A:$B,2,FALSE()),"outro")</f>
        <v>data e hora</v>
      </c>
      <c r="M455" s="7" t="str">
        <f aca="false">IF(COUNTIF(Comparação!$H:$H,A455)&gt;0,"sim",IF(AND(G455="sim",H455=""),"FALTA (obrigatória)","não"))</f>
        <v>não</v>
      </c>
    </row>
    <row r="456" customFormat="false" ht="15" hidden="false" customHeight="false" outlineLevel="0" collapsed="false">
      <c r="A456" s="7" t="str">
        <f aca="false">B456&amp;"."&amp;E456</f>
        <v>contratos.cancelado_em</v>
      </c>
      <c r="B456" s="7" t="s">
        <v>95</v>
      </c>
      <c r="C456" s="7" t="s">
        <v>72</v>
      </c>
      <c r="D456" s="7" t="n">
        <v>18</v>
      </c>
      <c r="E456" s="7" t="s">
        <v>663</v>
      </c>
      <c r="F456" s="7" t="s">
        <v>285</v>
      </c>
      <c r="G456" s="7" t="s">
        <v>267</v>
      </c>
      <c r="H456" s="7"/>
      <c r="I456" s="7"/>
      <c r="J456" s="7"/>
      <c r="K456" s="7"/>
      <c r="L456" s="7" t="str">
        <f aca="false">IFERROR(VLOOKUP(IF(ISNUMBER(SEARCH("(",F456)),LEFT(F456,SEARCH("(",F456)-1),F456),Tipos!$A:$B,2,FALSE()),"outro")</f>
        <v>data e hora</v>
      </c>
      <c r="M456" s="7" t="str">
        <f aca="false">IF(COUNTIF(Comparação!$H:$H,A456)&gt;0,"sim",IF(AND(G456="sim",H456=""),"FALTA (obrigatória)","não"))</f>
        <v>não</v>
      </c>
    </row>
    <row r="457" customFormat="false" ht="15" hidden="false" customHeight="false" outlineLevel="0" collapsed="false">
      <c r="A457" s="7" t="str">
        <f aca="false">B457&amp;"."&amp;E457</f>
        <v>contratos.criado_por</v>
      </c>
      <c r="B457" s="7" t="s">
        <v>95</v>
      </c>
      <c r="C457" s="7" t="s">
        <v>72</v>
      </c>
      <c r="D457" s="7" t="n">
        <v>19</v>
      </c>
      <c r="E457" s="7" t="s">
        <v>511</v>
      </c>
      <c r="F457" s="7" t="s">
        <v>272</v>
      </c>
      <c r="G457" s="7" t="s">
        <v>267</v>
      </c>
      <c r="H457" s="7" t="s">
        <v>406</v>
      </c>
      <c r="I457" s="7"/>
      <c r="J457" s="7"/>
      <c r="K457" s="7"/>
      <c r="L457" s="7" t="str">
        <f aca="false">IFERROR(VLOOKUP(IF(ISNUMBER(SEARCH("(",F457)),LEFT(F457,SEARCH("(",F457)-1),F457),Tipos!$A:$B,2,FALSE()),"outro")</f>
        <v>uuid</v>
      </c>
      <c r="M457" s="7" t="str">
        <f aca="false">IF(COUNTIF(Comparação!$H:$H,A457)&gt;0,"sim",IF(AND(G457="sim",H457=""),"FALTA (obrigatória)","não"))</f>
        <v>não</v>
      </c>
    </row>
    <row r="458" customFormat="false" ht="15" hidden="false" customHeight="false" outlineLevel="0" collapsed="false">
      <c r="A458" s="7" t="str">
        <f aca="false">B458&amp;"."&amp;E458</f>
        <v>contratos.criado_em</v>
      </c>
      <c r="B458" s="7" t="s">
        <v>95</v>
      </c>
      <c r="C458" s="7" t="s">
        <v>72</v>
      </c>
      <c r="D458" s="7" t="n">
        <v>20</v>
      </c>
      <c r="E458" s="7" t="s">
        <v>344</v>
      </c>
      <c r="F458" s="7" t="s">
        <v>285</v>
      </c>
      <c r="G458" s="7" t="s">
        <v>262</v>
      </c>
      <c r="H458" s="7" t="s">
        <v>286</v>
      </c>
      <c r="I458" s="7"/>
      <c r="J458" s="7"/>
      <c r="K458" s="7"/>
      <c r="L458" s="7" t="str">
        <f aca="false">IFERROR(VLOOKUP(IF(ISNUMBER(SEARCH("(",F458)),LEFT(F458,SEARCH("(",F458)-1),F458),Tipos!$A:$B,2,FALSE()),"outro")</f>
        <v>data e hora</v>
      </c>
      <c r="M458" s="7" t="str">
        <f aca="false">IF(COUNTIF(Comparação!$H:$H,A458)&gt;0,"sim",IF(AND(G458="sim",H458=""),"FALTA (obrigatória)","não"))</f>
        <v>não</v>
      </c>
    </row>
    <row r="459" customFormat="false" ht="15" hidden="false" customHeight="false" outlineLevel="0" collapsed="false">
      <c r="A459" s="7" t="str">
        <f aca="false">B459&amp;"."&amp;E459</f>
        <v>contratos.vendedor_id</v>
      </c>
      <c r="B459" s="7" t="s">
        <v>95</v>
      </c>
      <c r="C459" s="7" t="s">
        <v>72</v>
      </c>
      <c r="D459" s="7" t="n">
        <v>21</v>
      </c>
      <c r="E459" s="7" t="s">
        <v>664</v>
      </c>
      <c r="F459" s="7" t="s">
        <v>272</v>
      </c>
      <c r="G459" s="7" t="s">
        <v>267</v>
      </c>
      <c r="H459" s="7"/>
      <c r="I459" s="7"/>
      <c r="J459" s="7"/>
      <c r="K459" s="7"/>
      <c r="L459" s="7" t="str">
        <f aca="false">IFERROR(VLOOKUP(IF(ISNUMBER(SEARCH("(",F459)),LEFT(F459,SEARCH("(",F459)-1),F459),Tipos!$A:$B,2,FALSE()),"outro")</f>
        <v>uuid</v>
      </c>
      <c r="M459" s="7" t="str">
        <f aca="false">IF(COUNTIF(Comparação!$H:$H,A459)&gt;0,"sim",IF(AND(G459="sim",H459=""),"FALTA (obrigatória)","não"))</f>
        <v>não</v>
      </c>
    </row>
    <row r="460" customFormat="false" ht="15" hidden="false" customHeight="false" outlineLevel="0" collapsed="false">
      <c r="A460" s="7" t="str">
        <f aca="false">B460&amp;"."&amp;E460</f>
        <v>custos_cac.id</v>
      </c>
      <c r="B460" s="7" t="s">
        <v>97</v>
      </c>
      <c r="C460" s="7" t="s">
        <v>31</v>
      </c>
      <c r="D460" s="7" t="n">
        <v>1</v>
      </c>
      <c r="E460" s="7" t="s">
        <v>271</v>
      </c>
      <c r="F460" s="7" t="s">
        <v>272</v>
      </c>
      <c r="G460" s="7" t="s">
        <v>262</v>
      </c>
      <c r="H460" s="7" t="s">
        <v>273</v>
      </c>
      <c r="I460" s="7" t="s">
        <v>263</v>
      </c>
      <c r="J460" s="7"/>
      <c r="K460" s="7"/>
      <c r="L460" s="7" t="str">
        <f aca="false">IFERROR(VLOOKUP(IF(ISNUMBER(SEARCH("(",F460)),LEFT(F460,SEARCH("(",F460)-1),F460),Tipos!$A:$B,2,FALSE()),"outro")</f>
        <v>uuid</v>
      </c>
      <c r="M460" s="7" t="str">
        <f aca="false">IF(COUNTIF(Comparação!$H:$H,A460)&gt;0,"sim",IF(AND(G460="sim",H460=""),"FALTA (obrigatória)","não"))</f>
        <v>não</v>
      </c>
    </row>
    <row r="461" customFormat="false" ht="15" hidden="false" customHeight="false" outlineLevel="0" collapsed="false">
      <c r="A461" s="7" t="str">
        <f aca="false">B461&amp;"."&amp;E461</f>
        <v>custos_cac.workspace_id</v>
      </c>
      <c r="B461" s="7" t="s">
        <v>97</v>
      </c>
      <c r="C461" s="7" t="s">
        <v>31</v>
      </c>
      <c r="D461" s="7" t="n">
        <v>2</v>
      </c>
      <c r="E461" s="7" t="s">
        <v>274</v>
      </c>
      <c r="F461" s="7" t="s">
        <v>272</v>
      </c>
      <c r="G461" s="7" t="s">
        <v>262</v>
      </c>
      <c r="H461" s="7"/>
      <c r="I461" s="7"/>
      <c r="J461" s="7" t="s">
        <v>275</v>
      </c>
      <c r="K461" s="7"/>
      <c r="L461" s="7" t="str">
        <f aca="false">IFERROR(VLOOKUP(IF(ISNUMBER(SEARCH("(",F461)),LEFT(F461,SEARCH("(",F461)-1),F461),Tipos!$A:$B,2,FALSE()),"outro")</f>
        <v>uuid</v>
      </c>
      <c r="M461" s="7" t="str">
        <f aca="false">IF(COUNTIF(Comparação!$H:$H,A461)&gt;0,"sim",IF(AND(G461="sim",H461=""),"FALTA (obrigatória)","não"))</f>
        <v>FALTA (obrigatória)</v>
      </c>
    </row>
    <row r="462" customFormat="false" ht="15" hidden="false" customHeight="false" outlineLevel="0" collapsed="false">
      <c r="A462" s="7" t="str">
        <f aca="false">B462&amp;"."&amp;E462</f>
        <v>custos_cac.descricao</v>
      </c>
      <c r="B462" s="7" t="s">
        <v>97</v>
      </c>
      <c r="C462" s="7" t="s">
        <v>31</v>
      </c>
      <c r="D462" s="7" t="n">
        <v>3</v>
      </c>
      <c r="E462" s="7" t="s">
        <v>427</v>
      </c>
      <c r="F462" s="7" t="s">
        <v>261</v>
      </c>
      <c r="G462" s="7" t="s">
        <v>262</v>
      </c>
      <c r="H462" s="7"/>
      <c r="I462" s="7"/>
      <c r="J462" s="7"/>
      <c r="K462" s="7"/>
      <c r="L462" s="7" t="str">
        <f aca="false">IFERROR(VLOOKUP(IF(ISNUMBER(SEARCH("(",F462)),LEFT(F462,SEARCH("(",F462)-1),F462),Tipos!$A:$B,2,FALSE()),"outro")</f>
        <v>texto</v>
      </c>
      <c r="M462" s="7" t="str">
        <f aca="false">IF(COUNTIF(Comparação!$H:$H,A462)&gt;0,"sim",IF(AND(G462="sim",H462=""),"FALTA (obrigatória)","não"))</f>
        <v>FALTA (obrigatória)</v>
      </c>
    </row>
    <row r="463" customFormat="false" ht="15" hidden="false" customHeight="false" outlineLevel="0" collapsed="false">
      <c r="A463" s="7" t="str">
        <f aca="false">B463&amp;"."&amp;E463</f>
        <v>custos_cac.valor</v>
      </c>
      <c r="B463" s="7" t="s">
        <v>97</v>
      </c>
      <c r="C463" s="7" t="s">
        <v>31</v>
      </c>
      <c r="D463" s="7" t="n">
        <v>4</v>
      </c>
      <c r="E463" s="7" t="s">
        <v>330</v>
      </c>
      <c r="F463" s="7" t="s">
        <v>354</v>
      </c>
      <c r="G463" s="7" t="s">
        <v>262</v>
      </c>
      <c r="H463" s="7"/>
      <c r="I463" s="7"/>
      <c r="J463" s="7"/>
      <c r="K463" s="7" t="s">
        <v>529</v>
      </c>
      <c r="L463" s="7" t="str">
        <f aca="false">IFERROR(VLOOKUP(IF(ISNUMBER(SEARCH("(",F463)),LEFT(F463,SEARCH("(",F463)-1),F463),Tipos!$A:$B,2,FALSE()),"outro")</f>
        <v>decimal</v>
      </c>
      <c r="M463" s="7" t="str">
        <f aca="false">IF(COUNTIF(Comparação!$H:$H,A463)&gt;0,"sim",IF(AND(G463="sim",H463=""),"FALTA (obrigatória)","não"))</f>
        <v>FALTA (obrigatória)</v>
      </c>
    </row>
    <row r="464" customFormat="false" ht="15" hidden="false" customHeight="false" outlineLevel="0" collapsed="false">
      <c r="A464" s="7" t="str">
        <f aca="false">B464&amp;"."&amp;E464</f>
        <v>custos_cac.competencia</v>
      </c>
      <c r="B464" s="7" t="s">
        <v>97</v>
      </c>
      <c r="C464" s="7" t="s">
        <v>31</v>
      </c>
      <c r="D464" s="7" t="n">
        <v>5</v>
      </c>
      <c r="E464" s="7" t="s">
        <v>530</v>
      </c>
      <c r="F464" s="7" t="s">
        <v>379</v>
      </c>
      <c r="G464" s="7" t="s">
        <v>262</v>
      </c>
      <c r="H464" s="7"/>
      <c r="I464" s="7"/>
      <c r="J464" s="7"/>
      <c r="K464" s="7"/>
      <c r="L464" s="7" t="str">
        <f aca="false">IFERROR(VLOOKUP(IF(ISNUMBER(SEARCH("(",F464)),LEFT(F464,SEARCH("(",F464)-1),F464),Tipos!$A:$B,2,FALSE()),"outro")</f>
        <v>data</v>
      </c>
      <c r="M464" s="7" t="str">
        <f aca="false">IF(COUNTIF(Comparação!$H:$H,A464)&gt;0,"sim",IF(AND(G464="sim",H464=""),"FALTA (obrigatória)","não"))</f>
        <v>FALTA (obrigatória)</v>
      </c>
    </row>
    <row r="465" customFormat="false" ht="15" hidden="false" customHeight="false" outlineLevel="0" collapsed="false">
      <c r="A465" s="7" t="str">
        <f aca="false">B465&amp;"."&amp;E465</f>
        <v>custos_cac.grupo</v>
      </c>
      <c r="B465" s="7" t="s">
        <v>97</v>
      </c>
      <c r="C465" s="7" t="s">
        <v>31</v>
      </c>
      <c r="D465" s="7" t="n">
        <v>6</v>
      </c>
      <c r="E465" s="7" t="s">
        <v>266</v>
      </c>
      <c r="F465" s="7" t="s">
        <v>261</v>
      </c>
      <c r="G465" s="7" t="s">
        <v>262</v>
      </c>
      <c r="H465" s="7" t="s">
        <v>665</v>
      </c>
      <c r="I465" s="7"/>
      <c r="J465" s="7"/>
      <c r="K465" s="7" t="s">
        <v>666</v>
      </c>
      <c r="L465" s="7" t="str">
        <f aca="false">IFERROR(VLOOKUP(IF(ISNUMBER(SEARCH("(",F465)),LEFT(F465,SEARCH("(",F465)-1),F465),Tipos!$A:$B,2,FALSE()),"outro")</f>
        <v>texto</v>
      </c>
      <c r="M465" s="7" t="str">
        <f aca="false">IF(COUNTIF(Comparação!$H:$H,A465)&gt;0,"sim",IF(AND(G465="sim",H465=""),"FALTA (obrigatória)","não"))</f>
        <v>não</v>
      </c>
    </row>
    <row r="466" customFormat="false" ht="15" hidden="false" customHeight="false" outlineLevel="0" collapsed="false">
      <c r="A466" s="7" t="str">
        <f aca="false">B466&amp;"."&amp;E466</f>
        <v>custos_cac.rateio_regra_id</v>
      </c>
      <c r="B466" s="7" t="s">
        <v>97</v>
      </c>
      <c r="C466" s="7" t="s">
        <v>31</v>
      </c>
      <c r="D466" s="7" t="n">
        <v>7</v>
      </c>
      <c r="E466" s="7" t="s">
        <v>540</v>
      </c>
      <c r="F466" s="7" t="s">
        <v>272</v>
      </c>
      <c r="G466" s="7" t="s">
        <v>267</v>
      </c>
      <c r="H466" s="7"/>
      <c r="I466" s="7"/>
      <c r="J466" s="7" t="s">
        <v>541</v>
      </c>
      <c r="K466" s="7"/>
      <c r="L466" s="7" t="str">
        <f aca="false">IFERROR(VLOOKUP(IF(ISNUMBER(SEARCH("(",F466)),LEFT(F466,SEARCH("(",F466)-1),F466),Tipos!$A:$B,2,FALSE()),"outro")</f>
        <v>uuid</v>
      </c>
      <c r="M466" s="7" t="str">
        <f aca="false">IF(COUNTIF(Comparação!$H:$H,A466)&gt;0,"sim",IF(AND(G466="sim",H466=""),"FALTA (obrigatória)","não"))</f>
        <v>não</v>
      </c>
    </row>
    <row r="467" customFormat="false" ht="15" hidden="false" customHeight="false" outlineLevel="0" collapsed="false">
      <c r="A467" s="7" t="str">
        <f aca="false">B467&amp;"."&amp;E467</f>
        <v>custos_cac.fornecedor_id</v>
      </c>
      <c r="B467" s="7" t="s">
        <v>97</v>
      </c>
      <c r="C467" s="7" t="s">
        <v>31</v>
      </c>
      <c r="D467" s="7" t="n">
        <v>8</v>
      </c>
      <c r="E467" s="7" t="s">
        <v>527</v>
      </c>
      <c r="F467" s="7" t="s">
        <v>272</v>
      </c>
      <c r="G467" s="7" t="s">
        <v>267</v>
      </c>
      <c r="H467" s="7"/>
      <c r="I467" s="7"/>
      <c r="J467" s="7" t="s">
        <v>528</v>
      </c>
      <c r="K467" s="7"/>
      <c r="L467" s="7" t="str">
        <f aca="false">IFERROR(VLOOKUP(IF(ISNUMBER(SEARCH("(",F467)),LEFT(F467,SEARCH("(",F467)-1),F467),Tipos!$A:$B,2,FALSE()),"outro")</f>
        <v>uuid</v>
      </c>
      <c r="M467" s="7" t="str">
        <f aca="false">IF(COUNTIF(Comparação!$H:$H,A467)&gt;0,"sim",IF(AND(G467="sim",H467=""),"FALTA (obrigatória)","não"))</f>
        <v>não</v>
      </c>
    </row>
    <row r="468" customFormat="false" ht="15" hidden="false" customHeight="false" outlineLevel="0" collapsed="false">
      <c r="A468" s="7" t="str">
        <f aca="false">B468&amp;"."&amp;E468</f>
        <v>custos_cac.campanha_id</v>
      </c>
      <c r="B468" s="7" t="s">
        <v>97</v>
      </c>
      <c r="C468" s="7" t="s">
        <v>31</v>
      </c>
      <c r="D468" s="7" t="n">
        <v>9</v>
      </c>
      <c r="E468" s="7" t="s">
        <v>336</v>
      </c>
      <c r="F468" s="7" t="s">
        <v>272</v>
      </c>
      <c r="G468" s="7" t="s">
        <v>267</v>
      </c>
      <c r="H468" s="7"/>
      <c r="I468" s="7"/>
      <c r="J468" s="7" t="s">
        <v>337</v>
      </c>
      <c r="K468" s="7"/>
      <c r="L468" s="7" t="str">
        <f aca="false">IFERROR(VLOOKUP(IF(ISNUMBER(SEARCH("(",F468)),LEFT(F468,SEARCH("(",F468)-1),F468),Tipos!$A:$B,2,FALSE()),"outro")</f>
        <v>uuid</v>
      </c>
      <c r="M468" s="7" t="str">
        <f aca="false">IF(COUNTIF(Comparação!$H:$H,A468)&gt;0,"sim",IF(AND(G468="sim",H468=""),"FALTA (obrigatória)","não"))</f>
        <v>não</v>
      </c>
    </row>
    <row r="469" customFormat="false" ht="15" hidden="false" customHeight="false" outlineLevel="0" collapsed="false">
      <c r="A469" s="7" t="str">
        <f aca="false">B469&amp;"."&amp;E469</f>
        <v>custos_cac.campanha_canal_id</v>
      </c>
      <c r="B469" s="7" t="s">
        <v>97</v>
      </c>
      <c r="C469" s="7" t="s">
        <v>31</v>
      </c>
      <c r="D469" s="7" t="n">
        <v>10</v>
      </c>
      <c r="E469" s="7" t="s">
        <v>304</v>
      </c>
      <c r="F469" s="7" t="s">
        <v>272</v>
      </c>
      <c r="G469" s="7" t="s">
        <v>267</v>
      </c>
      <c r="H469" s="7"/>
      <c r="I469" s="7"/>
      <c r="J469" s="7" t="s">
        <v>305</v>
      </c>
      <c r="K469" s="7"/>
      <c r="L469" s="7" t="str">
        <f aca="false">IFERROR(VLOOKUP(IF(ISNUMBER(SEARCH("(",F469)),LEFT(F469,SEARCH("(",F469)-1),F469),Tipos!$A:$B,2,FALSE()),"outro")</f>
        <v>uuid</v>
      </c>
      <c r="M469" s="7" t="str">
        <f aca="false">IF(COUNTIF(Comparação!$H:$H,A469)&gt;0,"sim",IF(AND(G469="sim",H469=""),"FALTA (obrigatória)","não"))</f>
        <v>não</v>
      </c>
    </row>
    <row r="470" customFormat="false" ht="15" hidden="false" customHeight="false" outlineLevel="0" collapsed="false">
      <c r="A470" s="7" t="str">
        <f aca="false">B470&amp;"."&amp;E470</f>
        <v>custos_cac.criado_em</v>
      </c>
      <c r="B470" s="7" t="s">
        <v>97</v>
      </c>
      <c r="C470" s="7" t="s">
        <v>31</v>
      </c>
      <c r="D470" s="7" t="n">
        <v>11</v>
      </c>
      <c r="E470" s="7" t="s">
        <v>344</v>
      </c>
      <c r="F470" s="7" t="s">
        <v>285</v>
      </c>
      <c r="G470" s="7" t="s">
        <v>262</v>
      </c>
      <c r="H470" s="7" t="s">
        <v>286</v>
      </c>
      <c r="I470" s="7"/>
      <c r="J470" s="7"/>
      <c r="K470" s="7"/>
      <c r="L470" s="7" t="str">
        <f aca="false">IFERROR(VLOOKUP(IF(ISNUMBER(SEARCH("(",F470)),LEFT(F470,SEARCH("(",F470)-1),F470),Tipos!$A:$B,2,FALSE()),"outro")</f>
        <v>data e hora</v>
      </c>
      <c r="M470" s="7" t="str">
        <f aca="false">IF(COUNTIF(Comparação!$H:$H,A470)&gt;0,"sim",IF(AND(G470="sim",H470=""),"FALTA (obrigatória)","não"))</f>
        <v>não</v>
      </c>
    </row>
    <row r="471" customFormat="false" ht="15" hidden="false" customHeight="false" outlineLevel="0" collapsed="false">
      <c r="A471" s="7" t="str">
        <f aca="false">B471&amp;"."&amp;E471</f>
        <v>custos_cac.criado_por</v>
      </c>
      <c r="B471" s="7" t="s">
        <v>97</v>
      </c>
      <c r="C471" s="7" t="s">
        <v>31</v>
      </c>
      <c r="D471" s="7" t="n">
        <v>12</v>
      </c>
      <c r="E471" s="7" t="s">
        <v>511</v>
      </c>
      <c r="F471" s="7" t="s">
        <v>272</v>
      </c>
      <c r="G471" s="7" t="s">
        <v>267</v>
      </c>
      <c r="H471" s="7" t="s">
        <v>406</v>
      </c>
      <c r="I471" s="7"/>
      <c r="J471" s="7"/>
      <c r="K471" s="7"/>
      <c r="L471" s="7" t="str">
        <f aca="false">IFERROR(VLOOKUP(IF(ISNUMBER(SEARCH("(",F471)),LEFT(F471,SEARCH("(",F471)-1),F471),Tipos!$A:$B,2,FALSE()),"outro")</f>
        <v>uuid</v>
      </c>
      <c r="M471" s="7" t="str">
        <f aca="false">IF(COUNTIF(Comparação!$H:$H,A471)&gt;0,"sim",IF(AND(G471="sim",H471=""),"FALTA (obrigatória)","não"))</f>
        <v>não</v>
      </c>
    </row>
    <row r="472" customFormat="false" ht="15" hidden="false" customHeight="false" outlineLevel="0" collapsed="false">
      <c r="A472" s="7" t="str">
        <f aca="false">B472&amp;"."&amp;E472</f>
        <v>dashboard_layouts.user_id</v>
      </c>
      <c r="B472" s="7" t="s">
        <v>99</v>
      </c>
      <c r="C472" s="7" t="s">
        <v>34</v>
      </c>
      <c r="D472" s="7" t="n">
        <v>1</v>
      </c>
      <c r="E472" s="7" t="s">
        <v>667</v>
      </c>
      <c r="F472" s="7" t="s">
        <v>272</v>
      </c>
      <c r="G472" s="7" t="s">
        <v>262</v>
      </c>
      <c r="H472" s="7" t="s">
        <v>406</v>
      </c>
      <c r="I472" s="7" t="s">
        <v>263</v>
      </c>
      <c r="J472" s="7"/>
      <c r="K472" s="7"/>
      <c r="L472" s="7" t="str">
        <f aca="false">IFERROR(VLOOKUP(IF(ISNUMBER(SEARCH("(",F472)),LEFT(F472,SEARCH("(",F472)-1),F472),Tipos!$A:$B,2,FALSE()),"outro")</f>
        <v>uuid</v>
      </c>
      <c r="M472" s="7" t="str">
        <f aca="false">IF(COUNTIF(Comparação!$H:$H,A472)&gt;0,"sim",IF(AND(G472="sim",H472=""),"FALTA (obrigatória)","não"))</f>
        <v>não</v>
      </c>
    </row>
    <row r="473" customFormat="false" ht="15" hidden="false" customHeight="false" outlineLevel="0" collapsed="false">
      <c r="A473" s="7" t="str">
        <f aca="false">B473&amp;"."&amp;E473</f>
        <v>dashboard_layouts.workspace_id</v>
      </c>
      <c r="B473" s="7" t="s">
        <v>99</v>
      </c>
      <c r="C473" s="7" t="s">
        <v>34</v>
      </c>
      <c r="D473" s="7" t="n">
        <v>2</v>
      </c>
      <c r="E473" s="7" t="s">
        <v>274</v>
      </c>
      <c r="F473" s="7" t="s">
        <v>272</v>
      </c>
      <c r="G473" s="7" t="s">
        <v>262</v>
      </c>
      <c r="H473" s="7"/>
      <c r="I473" s="7" t="s">
        <v>263</v>
      </c>
      <c r="J473" s="7" t="s">
        <v>275</v>
      </c>
      <c r="K473" s="7"/>
      <c r="L473" s="7" t="str">
        <f aca="false">IFERROR(VLOOKUP(IF(ISNUMBER(SEARCH("(",F473)),LEFT(F473,SEARCH("(",F473)-1),F473),Tipos!$A:$B,2,FALSE()),"outro")</f>
        <v>uuid</v>
      </c>
      <c r="M473" s="7" t="str">
        <f aca="false">IF(COUNTIF(Comparação!$H:$H,A473)&gt;0,"sim",IF(AND(G473="sim",H473=""),"FALTA (obrigatória)","não"))</f>
        <v>FALTA (obrigatória)</v>
      </c>
    </row>
    <row r="474" customFormat="false" ht="15" hidden="false" customHeight="false" outlineLevel="0" collapsed="false">
      <c r="A474" s="7" t="str">
        <f aca="false">B474&amp;"."&amp;E474</f>
        <v>dashboard_layouts.layout</v>
      </c>
      <c r="B474" s="7" t="s">
        <v>99</v>
      </c>
      <c r="C474" s="7" t="s">
        <v>34</v>
      </c>
      <c r="D474" s="7" t="n">
        <v>3</v>
      </c>
      <c r="E474" s="7" t="s">
        <v>668</v>
      </c>
      <c r="F474" s="7" t="s">
        <v>324</v>
      </c>
      <c r="G474" s="7" t="s">
        <v>262</v>
      </c>
      <c r="H474" s="7"/>
      <c r="I474" s="7"/>
      <c r="J474" s="7"/>
      <c r="K474" s="7"/>
      <c r="L474" s="7" t="str">
        <f aca="false">IFERROR(VLOOKUP(IF(ISNUMBER(SEARCH("(",F474)),LEFT(F474,SEARCH("(",F474)-1),F474),Tipos!$A:$B,2,FALSE()),"outro")</f>
        <v>json</v>
      </c>
      <c r="M474" s="7" t="str">
        <f aca="false">IF(COUNTIF(Comparação!$H:$H,A474)&gt;0,"sim",IF(AND(G474="sim",H474=""),"FALTA (obrigatória)","não"))</f>
        <v>FALTA (obrigatória)</v>
      </c>
    </row>
    <row r="475" customFormat="false" ht="15" hidden="false" customHeight="false" outlineLevel="0" collapsed="false">
      <c r="A475" s="7" t="str">
        <f aca="false">B475&amp;"."&amp;E475</f>
        <v>dashboard_layouts.atualizado_em</v>
      </c>
      <c r="B475" s="7" t="s">
        <v>99</v>
      </c>
      <c r="C475" s="7" t="s">
        <v>34</v>
      </c>
      <c r="D475" s="7" t="n">
        <v>4</v>
      </c>
      <c r="E475" s="7" t="s">
        <v>335</v>
      </c>
      <c r="F475" s="7" t="s">
        <v>285</v>
      </c>
      <c r="G475" s="7" t="s">
        <v>262</v>
      </c>
      <c r="H475" s="7" t="s">
        <v>286</v>
      </c>
      <c r="I475" s="7"/>
      <c r="J475" s="7"/>
      <c r="K475" s="7"/>
      <c r="L475" s="7" t="str">
        <f aca="false">IFERROR(VLOOKUP(IF(ISNUMBER(SEARCH("(",F475)),LEFT(F475,SEARCH("(",F475)-1),F475),Tipos!$A:$B,2,FALSE()),"outro")</f>
        <v>data e hora</v>
      </c>
      <c r="M475" s="7" t="str">
        <f aca="false">IF(COUNTIF(Comparação!$H:$H,A475)&gt;0,"sim",IF(AND(G475="sim",H475=""),"FALTA (obrigatória)","não"))</f>
        <v>não</v>
      </c>
    </row>
    <row r="476" customFormat="false" ht="15" hidden="false" customHeight="false" outlineLevel="0" collapsed="false">
      <c r="A476" s="7" t="str">
        <f aca="false">B476&amp;"."&amp;E476</f>
        <v>despesas_recorrentes.id</v>
      </c>
      <c r="B476" s="7" t="s">
        <v>100</v>
      </c>
      <c r="C476" s="7" t="s">
        <v>69</v>
      </c>
      <c r="D476" s="7" t="n">
        <v>1</v>
      </c>
      <c r="E476" s="7" t="s">
        <v>271</v>
      </c>
      <c r="F476" s="7" t="s">
        <v>272</v>
      </c>
      <c r="G476" s="7" t="s">
        <v>262</v>
      </c>
      <c r="H476" s="7" t="s">
        <v>273</v>
      </c>
      <c r="I476" s="7" t="s">
        <v>263</v>
      </c>
      <c r="J476" s="7"/>
      <c r="K476" s="7"/>
      <c r="L476" s="7" t="str">
        <f aca="false">IFERROR(VLOOKUP(IF(ISNUMBER(SEARCH("(",F476)),LEFT(F476,SEARCH("(",F476)-1),F476),Tipos!$A:$B,2,FALSE()),"outro")</f>
        <v>uuid</v>
      </c>
      <c r="M476" s="7" t="str">
        <f aca="false">IF(COUNTIF(Comparação!$H:$H,A476)&gt;0,"sim",IF(AND(G476="sim",H476=""),"FALTA (obrigatória)","não"))</f>
        <v>não</v>
      </c>
    </row>
    <row r="477" customFormat="false" ht="15" hidden="false" customHeight="false" outlineLevel="0" collapsed="false">
      <c r="A477" s="7" t="str">
        <f aca="false">B477&amp;"."&amp;E477</f>
        <v>despesas_recorrentes.workspace_id</v>
      </c>
      <c r="B477" s="7" t="s">
        <v>100</v>
      </c>
      <c r="C477" s="7" t="s">
        <v>69</v>
      </c>
      <c r="D477" s="7" t="n">
        <v>2</v>
      </c>
      <c r="E477" s="7" t="s">
        <v>274</v>
      </c>
      <c r="F477" s="7" t="s">
        <v>272</v>
      </c>
      <c r="G477" s="7" t="s">
        <v>262</v>
      </c>
      <c r="H477" s="7"/>
      <c r="I477" s="7"/>
      <c r="J477" s="7" t="s">
        <v>275</v>
      </c>
      <c r="K477" s="7"/>
      <c r="L477" s="7" t="str">
        <f aca="false">IFERROR(VLOOKUP(IF(ISNUMBER(SEARCH("(",F477)),LEFT(F477,SEARCH("(",F477)-1),F477),Tipos!$A:$B,2,FALSE()),"outro")</f>
        <v>uuid</v>
      </c>
      <c r="M477" s="7" t="str">
        <f aca="false">IF(COUNTIF(Comparação!$H:$H,A477)&gt;0,"sim",IF(AND(G477="sim",H477=""),"FALTA (obrigatória)","não"))</f>
        <v>FALTA (obrigatória)</v>
      </c>
    </row>
    <row r="478" customFormat="false" ht="15" hidden="false" customHeight="false" outlineLevel="0" collapsed="false">
      <c r="A478" s="7" t="str">
        <f aca="false">B478&amp;"."&amp;E478</f>
        <v>despesas_recorrentes.fornecedor_id</v>
      </c>
      <c r="B478" s="7" t="s">
        <v>100</v>
      </c>
      <c r="C478" s="7" t="s">
        <v>69</v>
      </c>
      <c r="D478" s="7" t="n">
        <v>3</v>
      </c>
      <c r="E478" s="7" t="s">
        <v>527</v>
      </c>
      <c r="F478" s="7" t="s">
        <v>272</v>
      </c>
      <c r="G478" s="7" t="s">
        <v>267</v>
      </c>
      <c r="H478" s="7"/>
      <c r="I478" s="7"/>
      <c r="J478" s="7" t="s">
        <v>528</v>
      </c>
      <c r="K478" s="7"/>
      <c r="L478" s="7" t="str">
        <f aca="false">IFERROR(VLOOKUP(IF(ISNUMBER(SEARCH("(",F478)),LEFT(F478,SEARCH("(",F478)-1),F478),Tipos!$A:$B,2,FALSE()),"outro")</f>
        <v>uuid</v>
      </c>
      <c r="M478" s="7" t="str">
        <f aca="false">IF(COUNTIF(Comparação!$H:$H,A478)&gt;0,"sim",IF(AND(G478="sim",H478=""),"FALTA (obrigatória)","não"))</f>
        <v>não</v>
      </c>
    </row>
    <row r="479" customFormat="false" ht="15" hidden="false" customHeight="false" outlineLevel="0" collapsed="false">
      <c r="A479" s="7" t="str">
        <f aca="false">B479&amp;"."&amp;E479</f>
        <v>despesas_recorrentes.descricao</v>
      </c>
      <c r="B479" s="7" t="s">
        <v>100</v>
      </c>
      <c r="C479" s="7" t="s">
        <v>69</v>
      </c>
      <c r="D479" s="7" t="n">
        <v>4</v>
      </c>
      <c r="E479" s="7" t="s">
        <v>427</v>
      </c>
      <c r="F479" s="7" t="s">
        <v>261</v>
      </c>
      <c r="G479" s="7" t="s">
        <v>262</v>
      </c>
      <c r="H479" s="7"/>
      <c r="I479" s="7"/>
      <c r="J479" s="7"/>
      <c r="K479" s="7"/>
      <c r="L479" s="7" t="str">
        <f aca="false">IFERROR(VLOOKUP(IF(ISNUMBER(SEARCH("(",F479)),LEFT(F479,SEARCH("(",F479)-1),F479),Tipos!$A:$B,2,FALSE()),"outro")</f>
        <v>texto</v>
      </c>
      <c r="M479" s="7" t="str">
        <f aca="false">IF(COUNTIF(Comparação!$H:$H,A479)&gt;0,"sim",IF(AND(G479="sim",H479=""),"FALTA (obrigatória)","não"))</f>
        <v>FALTA (obrigatória)</v>
      </c>
    </row>
    <row r="480" customFormat="false" ht="15" hidden="false" customHeight="false" outlineLevel="0" collapsed="false">
      <c r="A480" s="7" t="str">
        <f aca="false">B480&amp;"."&amp;E480</f>
        <v>despesas_recorrentes.tipo</v>
      </c>
      <c r="B480" s="7" t="s">
        <v>100</v>
      </c>
      <c r="C480" s="7" t="s">
        <v>69</v>
      </c>
      <c r="D480" s="7" t="n">
        <v>5</v>
      </c>
      <c r="E480" s="7" t="s">
        <v>280</v>
      </c>
      <c r="F480" s="7" t="s">
        <v>261</v>
      </c>
      <c r="G480" s="7" t="s">
        <v>262</v>
      </c>
      <c r="H480" s="7"/>
      <c r="I480" s="7"/>
      <c r="J480" s="7"/>
      <c r="K480" s="7" t="s">
        <v>669</v>
      </c>
      <c r="L480" s="7" t="str">
        <f aca="false">IFERROR(VLOOKUP(IF(ISNUMBER(SEARCH("(",F480)),LEFT(F480,SEARCH("(",F480)-1),F480),Tipos!$A:$B,2,FALSE()),"outro")</f>
        <v>texto</v>
      </c>
      <c r="M480" s="7" t="str">
        <f aca="false">IF(COUNTIF(Comparação!$H:$H,A480)&gt;0,"sim",IF(AND(G480="sim",H480=""),"FALTA (obrigatória)","não"))</f>
        <v>FALTA (obrigatória)</v>
      </c>
    </row>
    <row r="481" customFormat="false" ht="15" hidden="false" customHeight="false" outlineLevel="0" collapsed="false">
      <c r="A481" s="7" t="str">
        <f aca="false">B481&amp;"."&amp;E481</f>
        <v>despesas_recorrentes.valor</v>
      </c>
      <c r="B481" s="7" t="s">
        <v>100</v>
      </c>
      <c r="C481" s="7" t="s">
        <v>69</v>
      </c>
      <c r="D481" s="7" t="n">
        <v>6</v>
      </c>
      <c r="E481" s="7" t="s">
        <v>330</v>
      </c>
      <c r="F481" s="7" t="s">
        <v>354</v>
      </c>
      <c r="G481" s="7" t="s">
        <v>262</v>
      </c>
      <c r="H481" s="7"/>
      <c r="I481" s="7"/>
      <c r="J481" s="7"/>
      <c r="K481" s="7" t="s">
        <v>529</v>
      </c>
      <c r="L481" s="7" t="str">
        <f aca="false">IFERROR(VLOOKUP(IF(ISNUMBER(SEARCH("(",F481)),LEFT(F481,SEARCH("(",F481)-1),F481),Tipos!$A:$B,2,FALSE()),"outro")</f>
        <v>decimal</v>
      </c>
      <c r="M481" s="7" t="str">
        <f aca="false">IF(COUNTIF(Comparação!$H:$H,A481)&gt;0,"sim",IF(AND(G481="sim",H481=""),"FALTA (obrigatória)","não"))</f>
        <v>FALTA (obrigatória)</v>
      </c>
    </row>
    <row r="482" customFormat="false" ht="15" hidden="false" customHeight="false" outlineLevel="0" collapsed="false">
      <c r="A482" s="7" t="str">
        <f aca="false">B482&amp;"."&amp;E482</f>
        <v>despesas_recorrentes.parcelas</v>
      </c>
      <c r="B482" s="7" t="s">
        <v>100</v>
      </c>
      <c r="C482" s="7" t="s">
        <v>69</v>
      </c>
      <c r="D482" s="7" t="n">
        <v>7</v>
      </c>
      <c r="E482" s="7" t="s">
        <v>670</v>
      </c>
      <c r="F482" s="7" t="s">
        <v>269</v>
      </c>
      <c r="G482" s="7" t="s">
        <v>267</v>
      </c>
      <c r="H482" s="7"/>
      <c r="I482" s="7"/>
      <c r="J482" s="7"/>
      <c r="K482" s="7" t="s">
        <v>671</v>
      </c>
      <c r="L482" s="7" t="str">
        <f aca="false">IFERROR(VLOOKUP(IF(ISNUMBER(SEARCH("(",F482)),LEFT(F482,SEARCH("(",F482)-1),F482),Tipos!$A:$B,2,FALSE()),"outro")</f>
        <v>inteiro</v>
      </c>
      <c r="M482" s="7" t="str">
        <f aca="false">IF(COUNTIF(Comparação!$H:$H,A482)&gt;0,"sim",IF(AND(G482="sim",H482=""),"FALTA (obrigatória)","não"))</f>
        <v>não</v>
      </c>
    </row>
    <row r="483" customFormat="false" ht="15" hidden="false" customHeight="false" outlineLevel="0" collapsed="false">
      <c r="A483" s="7" t="str">
        <f aca="false">B483&amp;"."&amp;E483</f>
        <v>despesas_recorrentes.data_inicio</v>
      </c>
      <c r="B483" s="7" t="s">
        <v>100</v>
      </c>
      <c r="C483" s="7" t="s">
        <v>69</v>
      </c>
      <c r="D483" s="7" t="n">
        <v>8</v>
      </c>
      <c r="E483" s="7" t="s">
        <v>472</v>
      </c>
      <c r="F483" s="7" t="s">
        <v>379</v>
      </c>
      <c r="G483" s="7" t="s">
        <v>262</v>
      </c>
      <c r="H483" s="7"/>
      <c r="I483" s="7"/>
      <c r="J483" s="7"/>
      <c r="K483" s="7"/>
      <c r="L483" s="7" t="str">
        <f aca="false">IFERROR(VLOOKUP(IF(ISNUMBER(SEARCH("(",F483)),LEFT(F483,SEARCH("(",F483)-1),F483),Tipos!$A:$B,2,FALSE()),"outro")</f>
        <v>data</v>
      </c>
      <c r="M483" s="7" t="str">
        <f aca="false">IF(COUNTIF(Comparação!$H:$H,A483)&gt;0,"sim",IF(AND(G483="sim",H483=""),"FALTA (obrigatória)","não"))</f>
        <v>FALTA (obrigatória)</v>
      </c>
    </row>
    <row r="484" customFormat="false" ht="15" hidden="false" customHeight="false" outlineLevel="0" collapsed="false">
      <c r="A484" s="7" t="str">
        <f aca="false">B484&amp;"."&amp;E484</f>
        <v>despesas_recorrentes.data_fim</v>
      </c>
      <c r="B484" s="7" t="s">
        <v>100</v>
      </c>
      <c r="C484" s="7" t="s">
        <v>69</v>
      </c>
      <c r="D484" s="7" t="n">
        <v>9</v>
      </c>
      <c r="E484" s="7" t="s">
        <v>438</v>
      </c>
      <c r="F484" s="7" t="s">
        <v>379</v>
      </c>
      <c r="G484" s="7" t="s">
        <v>267</v>
      </c>
      <c r="H484" s="7"/>
      <c r="I484" s="7"/>
      <c r="J484" s="7"/>
      <c r="K484" s="7"/>
      <c r="L484" s="7" t="str">
        <f aca="false">IFERROR(VLOOKUP(IF(ISNUMBER(SEARCH("(",F484)),LEFT(F484,SEARCH("(",F484)-1),F484),Tipos!$A:$B,2,FALSE()),"outro")</f>
        <v>data</v>
      </c>
      <c r="M484" s="7" t="str">
        <f aca="false">IF(COUNTIF(Comparação!$H:$H,A484)&gt;0,"sim",IF(AND(G484="sim",H484=""),"FALTA (obrigatória)","não"))</f>
        <v>não</v>
      </c>
    </row>
    <row r="485" customFormat="false" ht="15" hidden="false" customHeight="false" outlineLevel="0" collapsed="false">
      <c r="A485" s="7" t="str">
        <f aca="false">B485&amp;"."&amp;E485</f>
        <v>despesas_recorrentes.conta_despesa_id</v>
      </c>
      <c r="B485" s="7" t="s">
        <v>100</v>
      </c>
      <c r="C485" s="7" t="s">
        <v>69</v>
      </c>
      <c r="D485" s="7" t="n">
        <v>10</v>
      </c>
      <c r="E485" s="7" t="s">
        <v>532</v>
      </c>
      <c r="F485" s="7" t="s">
        <v>272</v>
      </c>
      <c r="G485" s="7" t="s">
        <v>262</v>
      </c>
      <c r="H485" s="7"/>
      <c r="I485" s="7"/>
      <c r="J485" s="7" t="s">
        <v>521</v>
      </c>
      <c r="K485" s="7"/>
      <c r="L485" s="7" t="str">
        <f aca="false">IFERROR(VLOOKUP(IF(ISNUMBER(SEARCH("(",F485)),LEFT(F485,SEARCH("(",F485)-1),F485),Tipos!$A:$B,2,FALSE()),"outro")</f>
        <v>uuid</v>
      </c>
      <c r="M485" s="7" t="str">
        <f aca="false">IF(COUNTIF(Comparação!$H:$H,A485)&gt;0,"sim",IF(AND(G485="sim",H485=""),"FALTA (obrigatória)","não"))</f>
        <v>FALTA (obrigatória)</v>
      </c>
    </row>
    <row r="486" customFormat="false" ht="15" hidden="false" customHeight="false" outlineLevel="0" collapsed="false">
      <c r="A486" s="7" t="str">
        <f aca="false">B486&amp;"."&amp;E486</f>
        <v>despesas_recorrentes.centro_custo_id</v>
      </c>
      <c r="B486" s="7" t="s">
        <v>100</v>
      </c>
      <c r="C486" s="7" t="s">
        <v>69</v>
      </c>
      <c r="D486" s="7" t="n">
        <v>11</v>
      </c>
      <c r="E486" s="7" t="s">
        <v>533</v>
      </c>
      <c r="F486" s="7" t="s">
        <v>272</v>
      </c>
      <c r="G486" s="7" t="s">
        <v>267</v>
      </c>
      <c r="H486" s="7"/>
      <c r="I486" s="7"/>
      <c r="J486" s="7" t="s">
        <v>534</v>
      </c>
      <c r="K486" s="7"/>
      <c r="L486" s="7" t="str">
        <f aca="false">IFERROR(VLOOKUP(IF(ISNUMBER(SEARCH("(",F486)),LEFT(F486,SEARCH("(",F486)-1),F486),Tipos!$A:$B,2,FALSE()),"outro")</f>
        <v>uuid</v>
      </c>
      <c r="M486" s="7" t="str">
        <f aca="false">IF(COUNTIF(Comparação!$H:$H,A486)&gt;0,"sim",IF(AND(G486="sim",H486=""),"FALTA (obrigatória)","não"))</f>
        <v>não</v>
      </c>
    </row>
    <row r="487" customFormat="false" ht="15" hidden="false" customHeight="false" outlineLevel="0" collapsed="false">
      <c r="A487" s="7" t="str">
        <f aca="false">B487&amp;"."&amp;E487</f>
        <v>despesas_recorrentes.forma_pagamento_id</v>
      </c>
      <c r="B487" s="7" t="s">
        <v>100</v>
      </c>
      <c r="C487" s="7" t="s">
        <v>69</v>
      </c>
      <c r="D487" s="7" t="n">
        <v>12</v>
      </c>
      <c r="E487" s="7" t="s">
        <v>542</v>
      </c>
      <c r="F487" s="7" t="s">
        <v>272</v>
      </c>
      <c r="G487" s="7" t="s">
        <v>267</v>
      </c>
      <c r="H487" s="7"/>
      <c r="I487" s="7"/>
      <c r="J487" s="7" t="s">
        <v>543</v>
      </c>
      <c r="K487" s="7"/>
      <c r="L487" s="7" t="str">
        <f aca="false">IFERROR(VLOOKUP(IF(ISNUMBER(SEARCH("(",F487)),LEFT(F487,SEARCH("(",F487)-1),F487),Tipos!$A:$B,2,FALSE()),"outro")</f>
        <v>uuid</v>
      </c>
      <c r="M487" s="7" t="str">
        <f aca="false">IF(COUNTIF(Comparação!$H:$H,A487)&gt;0,"sim",IF(AND(G487="sim",H487=""),"FALTA (obrigatória)","não"))</f>
        <v>não</v>
      </c>
    </row>
    <row r="488" customFormat="false" ht="15" hidden="false" customHeight="false" outlineLevel="0" collapsed="false">
      <c r="A488" s="7" t="str">
        <f aca="false">B488&amp;"."&amp;E488</f>
        <v>despesas_recorrentes.ativo</v>
      </c>
      <c r="B488" s="7" t="s">
        <v>100</v>
      </c>
      <c r="C488" s="7" t="s">
        <v>69</v>
      </c>
      <c r="D488" s="7" t="n">
        <v>13</v>
      </c>
      <c r="E488" s="7" t="s">
        <v>309</v>
      </c>
      <c r="F488" s="7" t="s">
        <v>310</v>
      </c>
      <c r="G488" s="7" t="s">
        <v>262</v>
      </c>
      <c r="H488" s="7" t="s">
        <v>311</v>
      </c>
      <c r="I488" s="7"/>
      <c r="J488" s="7"/>
      <c r="K488" s="7"/>
      <c r="L488" s="7" t="str">
        <f aca="false">IFERROR(VLOOKUP(IF(ISNUMBER(SEARCH("(",F488)),LEFT(F488,SEARCH("(",F488)-1),F488),Tipos!$A:$B,2,FALSE()),"outro")</f>
        <v>booleano</v>
      </c>
      <c r="M488" s="7" t="str">
        <f aca="false">IF(COUNTIF(Comparação!$H:$H,A488)&gt;0,"sim",IF(AND(G488="sim",H488=""),"FALTA (obrigatória)","não"))</f>
        <v>não</v>
      </c>
    </row>
    <row r="489" customFormat="false" ht="15" hidden="false" customHeight="false" outlineLevel="0" collapsed="false">
      <c r="A489" s="7" t="str">
        <f aca="false">B489&amp;"."&amp;E489</f>
        <v>despesas_recorrentes.criado_em</v>
      </c>
      <c r="B489" s="7" t="s">
        <v>100</v>
      </c>
      <c r="C489" s="7" t="s">
        <v>69</v>
      </c>
      <c r="D489" s="7" t="n">
        <v>14</v>
      </c>
      <c r="E489" s="7" t="s">
        <v>344</v>
      </c>
      <c r="F489" s="7" t="s">
        <v>285</v>
      </c>
      <c r="G489" s="7" t="s">
        <v>262</v>
      </c>
      <c r="H489" s="7" t="s">
        <v>286</v>
      </c>
      <c r="I489" s="7"/>
      <c r="J489" s="7"/>
      <c r="K489" s="7"/>
      <c r="L489" s="7" t="str">
        <f aca="false">IFERROR(VLOOKUP(IF(ISNUMBER(SEARCH("(",F489)),LEFT(F489,SEARCH("(",F489)-1),F489),Tipos!$A:$B,2,FALSE()),"outro")</f>
        <v>data e hora</v>
      </c>
      <c r="M489" s="7" t="str">
        <f aca="false">IF(COUNTIF(Comparação!$H:$H,A489)&gt;0,"sim",IF(AND(G489="sim",H489=""),"FALTA (obrigatória)","não"))</f>
        <v>não</v>
      </c>
    </row>
    <row r="490" customFormat="false" ht="15" hidden="false" customHeight="false" outlineLevel="0" collapsed="false">
      <c r="A490" s="7" t="str">
        <f aca="false">B490&amp;"."&amp;E490</f>
        <v>despesas_recorrentes.do_fornecedor</v>
      </c>
      <c r="B490" s="7" t="s">
        <v>100</v>
      </c>
      <c r="C490" s="7" t="s">
        <v>69</v>
      </c>
      <c r="D490" s="7" t="n">
        <v>15</v>
      </c>
      <c r="E490" s="7" t="s">
        <v>672</v>
      </c>
      <c r="F490" s="7" t="s">
        <v>310</v>
      </c>
      <c r="G490" s="7" t="s">
        <v>262</v>
      </c>
      <c r="H490" s="7" t="s">
        <v>375</v>
      </c>
      <c r="I490" s="7"/>
      <c r="J490" s="7"/>
      <c r="K490" s="7"/>
      <c r="L490" s="7" t="str">
        <f aca="false">IFERROR(VLOOKUP(IF(ISNUMBER(SEARCH("(",F490)),LEFT(F490,SEARCH("(",F490)-1),F490),Tipos!$A:$B,2,FALSE()),"outro")</f>
        <v>booleano</v>
      </c>
      <c r="M490" s="7" t="str">
        <f aca="false">IF(COUNTIF(Comparação!$H:$H,A490)&gt;0,"sim",IF(AND(G490="sim",H490=""),"FALTA (obrigatória)","não"))</f>
        <v>não</v>
      </c>
    </row>
    <row r="491" customFormat="false" ht="15" hidden="false" customHeight="false" outlineLevel="0" collapsed="false">
      <c r="A491" s="7" t="str">
        <f aca="false">B491&amp;"."&amp;E491</f>
        <v>empresa.workspace_id</v>
      </c>
      <c r="B491" s="7" t="s">
        <v>102</v>
      </c>
      <c r="C491" s="7" t="s">
        <v>103</v>
      </c>
      <c r="D491" s="7" t="n">
        <v>1</v>
      </c>
      <c r="E491" s="7" t="s">
        <v>274</v>
      </c>
      <c r="F491" s="7" t="s">
        <v>272</v>
      </c>
      <c r="G491" s="7" t="s">
        <v>262</v>
      </c>
      <c r="H491" s="7"/>
      <c r="I491" s="7" t="s">
        <v>263</v>
      </c>
      <c r="J491" s="7" t="s">
        <v>275</v>
      </c>
      <c r="K491" s="7"/>
      <c r="L491" s="7" t="str">
        <f aca="false">IFERROR(VLOOKUP(IF(ISNUMBER(SEARCH("(",F491)),LEFT(F491,SEARCH("(",F491)-1),F491),Tipos!$A:$B,2,FALSE()),"outro")</f>
        <v>uuid</v>
      </c>
      <c r="M491" s="7" t="str">
        <f aca="false">IF(COUNTIF(Comparação!$H:$H,A491)&gt;0,"sim",IF(AND(G491="sim",H491=""),"FALTA (obrigatória)","não"))</f>
        <v>FALTA (obrigatória)</v>
      </c>
    </row>
    <row r="492" customFormat="false" ht="15" hidden="false" customHeight="false" outlineLevel="0" collapsed="false">
      <c r="A492" s="7" t="str">
        <f aca="false">B492&amp;"."&amp;E492</f>
        <v>empresa.nome</v>
      </c>
      <c r="B492" s="7" t="s">
        <v>102</v>
      </c>
      <c r="C492" s="7" t="s">
        <v>103</v>
      </c>
      <c r="D492" s="7" t="n">
        <v>2</v>
      </c>
      <c r="E492" s="7" t="s">
        <v>265</v>
      </c>
      <c r="F492" s="7" t="s">
        <v>261</v>
      </c>
      <c r="G492" s="7" t="s">
        <v>267</v>
      </c>
      <c r="H492" s="7"/>
      <c r="I492" s="7"/>
      <c r="J492" s="7"/>
      <c r="K492" s="7"/>
      <c r="L492" s="7" t="str">
        <f aca="false">IFERROR(VLOOKUP(IF(ISNUMBER(SEARCH("(",F492)),LEFT(F492,SEARCH("(",F492)-1),F492),Tipos!$A:$B,2,FALSE()),"outro")</f>
        <v>texto</v>
      </c>
      <c r="M492" s="7" t="str">
        <f aca="false">IF(COUNTIF(Comparação!$H:$H,A492)&gt;0,"sim",IF(AND(G492="sim",H492=""),"FALTA (obrigatória)","não"))</f>
        <v>não</v>
      </c>
    </row>
    <row r="493" customFormat="false" ht="15" hidden="false" customHeight="false" outlineLevel="0" collapsed="false">
      <c r="A493" s="7" t="str">
        <f aca="false">B493&amp;"."&amp;E493</f>
        <v>empresa.razao_social</v>
      </c>
      <c r="B493" s="7" t="s">
        <v>102</v>
      </c>
      <c r="C493" s="7" t="s">
        <v>103</v>
      </c>
      <c r="D493" s="7" t="n">
        <v>3</v>
      </c>
      <c r="E493" s="7" t="s">
        <v>673</v>
      </c>
      <c r="F493" s="7" t="s">
        <v>261</v>
      </c>
      <c r="G493" s="7" t="s">
        <v>267</v>
      </c>
      <c r="H493" s="7"/>
      <c r="I493" s="7"/>
      <c r="J493" s="7"/>
      <c r="K493" s="7"/>
      <c r="L493" s="7" t="str">
        <f aca="false">IFERROR(VLOOKUP(IF(ISNUMBER(SEARCH("(",F493)),LEFT(F493,SEARCH("(",F493)-1),F493),Tipos!$A:$B,2,FALSE()),"outro")</f>
        <v>texto</v>
      </c>
      <c r="M493" s="7" t="str">
        <f aca="false">IF(COUNTIF(Comparação!$H:$H,A493)&gt;0,"sim",IF(AND(G493="sim",H493=""),"FALTA (obrigatória)","não"))</f>
        <v>não</v>
      </c>
    </row>
    <row r="494" customFormat="false" ht="15" hidden="false" customHeight="false" outlineLevel="0" collapsed="false">
      <c r="A494" s="7" t="str">
        <f aca="false">B494&amp;"."&amp;E494</f>
        <v>empresa.cnpj</v>
      </c>
      <c r="B494" s="7" t="s">
        <v>102</v>
      </c>
      <c r="C494" s="7" t="s">
        <v>103</v>
      </c>
      <c r="D494" s="7" t="n">
        <v>4</v>
      </c>
      <c r="E494" s="7" t="s">
        <v>674</v>
      </c>
      <c r="F494" s="7" t="s">
        <v>261</v>
      </c>
      <c r="G494" s="7" t="s">
        <v>267</v>
      </c>
      <c r="H494" s="7"/>
      <c r="I494" s="7"/>
      <c r="J494" s="7"/>
      <c r="K494" s="7"/>
      <c r="L494" s="7" t="str">
        <f aca="false">IFERROR(VLOOKUP(IF(ISNUMBER(SEARCH("(",F494)),LEFT(F494,SEARCH("(",F494)-1),F494),Tipos!$A:$B,2,FALSE()),"outro")</f>
        <v>texto</v>
      </c>
      <c r="M494" s="7" t="str">
        <f aca="false">IF(COUNTIF(Comparação!$H:$H,A494)&gt;0,"sim",IF(AND(G494="sim",H494=""),"FALTA (obrigatória)","não"))</f>
        <v>não</v>
      </c>
    </row>
    <row r="495" customFormat="false" ht="15" hidden="false" customHeight="false" outlineLevel="0" collapsed="false">
      <c r="A495" s="7" t="str">
        <f aca="false">B495&amp;"."&amp;E495</f>
        <v>empresa.telefone</v>
      </c>
      <c r="B495" s="7" t="s">
        <v>102</v>
      </c>
      <c r="C495" s="7" t="s">
        <v>103</v>
      </c>
      <c r="D495" s="7" t="n">
        <v>5</v>
      </c>
      <c r="E495" s="7" t="s">
        <v>675</v>
      </c>
      <c r="F495" s="7" t="s">
        <v>261</v>
      </c>
      <c r="G495" s="7" t="s">
        <v>267</v>
      </c>
      <c r="H495" s="7"/>
      <c r="I495" s="7"/>
      <c r="J495" s="7"/>
      <c r="K495" s="7"/>
      <c r="L495" s="7" t="str">
        <f aca="false">IFERROR(VLOOKUP(IF(ISNUMBER(SEARCH("(",F495)),LEFT(F495,SEARCH("(",F495)-1),F495),Tipos!$A:$B,2,FALSE()),"outro")</f>
        <v>texto</v>
      </c>
      <c r="M495" s="7" t="str">
        <f aca="false">IF(COUNTIF(Comparação!$H:$H,A495)&gt;0,"sim",IF(AND(G495="sim",H495=""),"FALTA (obrigatória)","não"))</f>
        <v>não</v>
      </c>
    </row>
    <row r="496" customFormat="false" ht="15" hidden="false" customHeight="false" outlineLevel="0" collapsed="false">
      <c r="A496" s="7" t="str">
        <f aca="false">B496&amp;"."&amp;E496</f>
        <v>empresa.email_contato</v>
      </c>
      <c r="B496" s="7" t="s">
        <v>102</v>
      </c>
      <c r="C496" s="7" t="s">
        <v>103</v>
      </c>
      <c r="D496" s="7" t="n">
        <v>6</v>
      </c>
      <c r="E496" s="7" t="s">
        <v>676</v>
      </c>
      <c r="F496" s="7" t="s">
        <v>261</v>
      </c>
      <c r="G496" s="7" t="s">
        <v>267</v>
      </c>
      <c r="H496" s="7"/>
      <c r="I496" s="7"/>
      <c r="J496" s="7"/>
      <c r="K496" s="7"/>
      <c r="L496" s="7" t="str">
        <f aca="false">IFERROR(VLOOKUP(IF(ISNUMBER(SEARCH("(",F496)),LEFT(F496,SEARCH("(",F496)-1),F496),Tipos!$A:$B,2,FALSE()),"outro")</f>
        <v>texto</v>
      </c>
      <c r="M496" s="7" t="str">
        <f aca="false">IF(COUNTIF(Comparação!$H:$H,A496)&gt;0,"sim",IF(AND(G496="sim",H496=""),"FALTA (obrigatória)","não"))</f>
        <v>não</v>
      </c>
    </row>
    <row r="497" customFormat="false" ht="15" hidden="false" customHeight="false" outlineLevel="0" collapsed="false">
      <c r="A497" s="7" t="str">
        <f aca="false">B497&amp;"."&amp;E497</f>
        <v>empresa.endereco</v>
      </c>
      <c r="B497" s="7" t="s">
        <v>102</v>
      </c>
      <c r="C497" s="7" t="s">
        <v>103</v>
      </c>
      <c r="D497" s="7" t="n">
        <v>7</v>
      </c>
      <c r="E497" s="7" t="s">
        <v>677</v>
      </c>
      <c r="F497" s="7" t="s">
        <v>261</v>
      </c>
      <c r="G497" s="7" t="s">
        <v>267</v>
      </c>
      <c r="H497" s="7"/>
      <c r="I497" s="7"/>
      <c r="J497" s="7"/>
      <c r="K497" s="7"/>
      <c r="L497" s="7" t="str">
        <f aca="false">IFERROR(VLOOKUP(IF(ISNUMBER(SEARCH("(",F497)),LEFT(F497,SEARCH("(",F497)-1),F497),Tipos!$A:$B,2,FALSE()),"outro")</f>
        <v>texto</v>
      </c>
      <c r="M497" s="7" t="str">
        <f aca="false">IF(COUNTIF(Comparação!$H:$H,A497)&gt;0,"sim",IF(AND(G497="sim",H497=""),"FALTA (obrigatória)","não"))</f>
        <v>não</v>
      </c>
    </row>
    <row r="498" customFormat="false" ht="15" hidden="false" customHeight="false" outlineLevel="0" collapsed="false">
      <c r="A498" s="7" t="str">
        <f aca="false">B498&amp;"."&amp;E498</f>
        <v>empresa.responsavel_nome</v>
      </c>
      <c r="B498" s="7" t="s">
        <v>102</v>
      </c>
      <c r="C498" s="7" t="s">
        <v>103</v>
      </c>
      <c r="D498" s="7" t="n">
        <v>8</v>
      </c>
      <c r="E498" s="7" t="s">
        <v>678</v>
      </c>
      <c r="F498" s="7" t="s">
        <v>261</v>
      </c>
      <c r="G498" s="7" t="s">
        <v>267</v>
      </c>
      <c r="H498" s="7"/>
      <c r="I498" s="7"/>
      <c r="J498" s="7"/>
      <c r="K498" s="7"/>
      <c r="L498" s="7" t="str">
        <f aca="false">IFERROR(VLOOKUP(IF(ISNUMBER(SEARCH("(",F498)),LEFT(F498,SEARCH("(",F498)-1),F498),Tipos!$A:$B,2,FALSE()),"outro")</f>
        <v>texto</v>
      </c>
      <c r="M498" s="7" t="str">
        <f aca="false">IF(COUNTIF(Comparação!$H:$H,A498)&gt;0,"sim",IF(AND(G498="sim",H498=""),"FALTA (obrigatória)","não"))</f>
        <v>não</v>
      </c>
    </row>
    <row r="499" customFormat="false" ht="15" hidden="false" customHeight="false" outlineLevel="0" collapsed="false">
      <c r="A499" s="7" t="str">
        <f aca="false">B499&amp;"."&amp;E499</f>
        <v>empresa.responsavel_email</v>
      </c>
      <c r="B499" s="7" t="s">
        <v>102</v>
      </c>
      <c r="C499" s="7" t="s">
        <v>103</v>
      </c>
      <c r="D499" s="7" t="n">
        <v>9</v>
      </c>
      <c r="E499" s="7" t="s">
        <v>679</v>
      </c>
      <c r="F499" s="7" t="s">
        <v>261</v>
      </c>
      <c r="G499" s="7" t="s">
        <v>267</v>
      </c>
      <c r="H499" s="7"/>
      <c r="I499" s="7"/>
      <c r="J499" s="7"/>
      <c r="K499" s="7"/>
      <c r="L499" s="7" t="str">
        <f aca="false">IFERROR(VLOOKUP(IF(ISNUMBER(SEARCH("(",F499)),LEFT(F499,SEARCH("(",F499)-1),F499),Tipos!$A:$B,2,FALSE()),"outro")</f>
        <v>texto</v>
      </c>
      <c r="M499" s="7" t="str">
        <f aca="false">IF(COUNTIF(Comparação!$H:$H,A499)&gt;0,"sim",IF(AND(G499="sim",H499=""),"FALTA (obrigatória)","não"))</f>
        <v>não</v>
      </c>
    </row>
    <row r="500" customFormat="false" ht="15" hidden="false" customHeight="false" outlineLevel="0" collapsed="false">
      <c r="A500" s="7" t="str">
        <f aca="false">B500&amp;"."&amp;E500</f>
        <v>empresa.responsavel_telefone</v>
      </c>
      <c r="B500" s="7" t="s">
        <v>102</v>
      </c>
      <c r="C500" s="7" t="s">
        <v>103</v>
      </c>
      <c r="D500" s="7" t="n">
        <v>10</v>
      </c>
      <c r="E500" s="7" t="s">
        <v>680</v>
      </c>
      <c r="F500" s="7" t="s">
        <v>261</v>
      </c>
      <c r="G500" s="7" t="s">
        <v>267</v>
      </c>
      <c r="H500" s="7"/>
      <c r="I500" s="7"/>
      <c r="J500" s="7"/>
      <c r="K500" s="7"/>
      <c r="L500" s="7" t="str">
        <f aca="false">IFERROR(VLOOKUP(IF(ISNUMBER(SEARCH("(",F500)),LEFT(F500,SEARCH("(",F500)-1),F500),Tipos!$A:$B,2,FALSE()),"outro")</f>
        <v>texto</v>
      </c>
      <c r="M500" s="7" t="str">
        <f aca="false">IF(COUNTIF(Comparação!$H:$H,A500)&gt;0,"sim",IF(AND(G500="sim",H500=""),"FALTA (obrigatória)","não"))</f>
        <v>não</v>
      </c>
    </row>
    <row r="501" customFormat="false" ht="15" hidden="false" customHeight="false" outlineLevel="0" collapsed="false">
      <c r="A501" s="7" t="str">
        <f aca="false">B501&amp;"."&amp;E501</f>
        <v>empresa.financeiro_nome</v>
      </c>
      <c r="B501" s="7" t="s">
        <v>102</v>
      </c>
      <c r="C501" s="7" t="s">
        <v>103</v>
      </c>
      <c r="D501" s="7" t="n">
        <v>11</v>
      </c>
      <c r="E501" s="7" t="s">
        <v>681</v>
      </c>
      <c r="F501" s="7" t="s">
        <v>261</v>
      </c>
      <c r="G501" s="7" t="s">
        <v>267</v>
      </c>
      <c r="H501" s="7"/>
      <c r="I501" s="7"/>
      <c r="J501" s="7"/>
      <c r="K501" s="7"/>
      <c r="L501" s="7" t="str">
        <f aca="false">IFERROR(VLOOKUP(IF(ISNUMBER(SEARCH("(",F501)),LEFT(F501,SEARCH("(",F501)-1),F501),Tipos!$A:$B,2,FALSE()),"outro")</f>
        <v>texto</v>
      </c>
      <c r="M501" s="7" t="str">
        <f aca="false">IF(COUNTIF(Comparação!$H:$H,A501)&gt;0,"sim",IF(AND(G501="sim",H501=""),"FALTA (obrigatória)","não"))</f>
        <v>não</v>
      </c>
    </row>
    <row r="502" customFormat="false" ht="15" hidden="false" customHeight="false" outlineLevel="0" collapsed="false">
      <c r="A502" s="7" t="str">
        <f aca="false">B502&amp;"."&amp;E502</f>
        <v>empresa.financeiro_email</v>
      </c>
      <c r="B502" s="7" t="s">
        <v>102</v>
      </c>
      <c r="C502" s="7" t="s">
        <v>103</v>
      </c>
      <c r="D502" s="7" t="n">
        <v>12</v>
      </c>
      <c r="E502" s="7" t="s">
        <v>682</v>
      </c>
      <c r="F502" s="7" t="s">
        <v>261</v>
      </c>
      <c r="G502" s="7" t="s">
        <v>267</v>
      </c>
      <c r="H502" s="7"/>
      <c r="I502" s="7"/>
      <c r="J502" s="7"/>
      <c r="K502" s="7"/>
      <c r="L502" s="7" t="str">
        <f aca="false">IFERROR(VLOOKUP(IF(ISNUMBER(SEARCH("(",F502)),LEFT(F502,SEARCH("(",F502)-1),F502),Tipos!$A:$B,2,FALSE()),"outro")</f>
        <v>texto</v>
      </c>
      <c r="M502" s="7" t="str">
        <f aca="false">IF(COUNTIF(Comparação!$H:$H,A502)&gt;0,"sim",IF(AND(G502="sim",H502=""),"FALTA (obrigatória)","não"))</f>
        <v>não</v>
      </c>
    </row>
    <row r="503" customFormat="false" ht="15" hidden="false" customHeight="false" outlineLevel="0" collapsed="false">
      <c r="A503" s="7" t="str">
        <f aca="false">B503&amp;"."&amp;E503</f>
        <v>empresa.financeiro_telefone</v>
      </c>
      <c r="B503" s="7" t="s">
        <v>102</v>
      </c>
      <c r="C503" s="7" t="s">
        <v>103</v>
      </c>
      <c r="D503" s="7" t="n">
        <v>13</v>
      </c>
      <c r="E503" s="7" t="s">
        <v>683</v>
      </c>
      <c r="F503" s="7" t="s">
        <v>261</v>
      </c>
      <c r="G503" s="7" t="s">
        <v>267</v>
      </c>
      <c r="H503" s="7"/>
      <c r="I503" s="7"/>
      <c r="J503" s="7"/>
      <c r="K503" s="7"/>
      <c r="L503" s="7" t="str">
        <f aca="false">IFERROR(VLOOKUP(IF(ISNUMBER(SEARCH("(",F503)),LEFT(F503,SEARCH("(",F503)-1),F503),Tipos!$A:$B,2,FALSE()),"outro")</f>
        <v>texto</v>
      </c>
      <c r="M503" s="7" t="str">
        <f aca="false">IF(COUNTIF(Comparação!$H:$H,A503)&gt;0,"sim",IF(AND(G503="sim",H503=""),"FALTA (obrigatória)","não"))</f>
        <v>não</v>
      </c>
    </row>
    <row r="504" customFormat="false" ht="15" hidden="false" customHeight="false" outlineLevel="0" collapsed="false">
      <c r="A504" s="7" t="str">
        <f aca="false">B504&amp;"."&amp;E504</f>
        <v>empresa.regime_tributario</v>
      </c>
      <c r="B504" s="7" t="s">
        <v>102</v>
      </c>
      <c r="C504" s="7" t="s">
        <v>103</v>
      </c>
      <c r="D504" s="7" t="n">
        <v>14</v>
      </c>
      <c r="E504" s="7" t="s">
        <v>684</v>
      </c>
      <c r="F504" s="7" t="s">
        <v>261</v>
      </c>
      <c r="G504" s="7" t="s">
        <v>267</v>
      </c>
      <c r="H504" s="7"/>
      <c r="I504" s="7"/>
      <c r="J504" s="7"/>
      <c r="K504" s="7" t="s">
        <v>685</v>
      </c>
      <c r="L504" s="7" t="str">
        <f aca="false">IFERROR(VLOOKUP(IF(ISNUMBER(SEARCH("(",F504)),LEFT(F504,SEARCH("(",F504)-1),F504),Tipos!$A:$B,2,FALSE()),"outro")</f>
        <v>texto</v>
      </c>
      <c r="M504" s="7" t="str">
        <f aca="false">IF(COUNTIF(Comparação!$H:$H,A504)&gt;0,"sim",IF(AND(G504="sim",H504=""),"FALTA (obrigatória)","não"))</f>
        <v>não</v>
      </c>
    </row>
    <row r="505" customFormat="false" ht="15" hidden="false" customHeight="false" outlineLevel="0" collapsed="false">
      <c r="A505" s="7" t="str">
        <f aca="false">B505&amp;"."&amp;E505</f>
        <v>empresa.regime_apuracao</v>
      </c>
      <c r="B505" s="7" t="s">
        <v>102</v>
      </c>
      <c r="C505" s="7" t="s">
        <v>103</v>
      </c>
      <c r="D505" s="7" t="n">
        <v>15</v>
      </c>
      <c r="E505" s="7" t="s">
        <v>686</v>
      </c>
      <c r="F505" s="7" t="s">
        <v>261</v>
      </c>
      <c r="G505" s="7" t="s">
        <v>267</v>
      </c>
      <c r="H505" s="7"/>
      <c r="I505" s="7"/>
      <c r="J505" s="7"/>
      <c r="K505" s="7" t="s">
        <v>687</v>
      </c>
      <c r="L505" s="7" t="str">
        <f aca="false">IFERROR(VLOOKUP(IF(ISNUMBER(SEARCH("(",F505)),LEFT(F505,SEARCH("(",F505)-1),F505),Tipos!$A:$B,2,FALSE()),"outro")</f>
        <v>texto</v>
      </c>
      <c r="M505" s="7" t="str">
        <f aca="false">IF(COUNTIF(Comparação!$H:$H,A505)&gt;0,"sim",IF(AND(G505="sim",H505=""),"FALTA (obrigatória)","não"))</f>
        <v>não</v>
      </c>
    </row>
    <row r="506" customFormat="false" ht="15" hidden="false" customHeight="false" outlineLevel="0" collapsed="false">
      <c r="A506" s="7" t="str">
        <f aca="false">B506&amp;"."&amp;E506</f>
        <v>empresa.exercicio_inicio</v>
      </c>
      <c r="B506" s="7" t="s">
        <v>102</v>
      </c>
      <c r="C506" s="7" t="s">
        <v>103</v>
      </c>
      <c r="D506" s="7" t="n">
        <v>16</v>
      </c>
      <c r="E506" s="7" t="s">
        <v>688</v>
      </c>
      <c r="F506" s="7" t="s">
        <v>379</v>
      </c>
      <c r="G506" s="7" t="s">
        <v>267</v>
      </c>
      <c r="H506" s="7"/>
      <c r="I506" s="7"/>
      <c r="J506" s="7"/>
      <c r="K506" s="7"/>
      <c r="L506" s="7" t="str">
        <f aca="false">IFERROR(VLOOKUP(IF(ISNUMBER(SEARCH("(",F506)),LEFT(F506,SEARCH("(",F506)-1),F506),Tipos!$A:$B,2,FALSE()),"outro")</f>
        <v>data</v>
      </c>
      <c r="M506" s="7" t="str">
        <f aca="false">IF(COUNTIF(Comparação!$H:$H,A506)&gt;0,"sim",IF(AND(G506="sim",H506=""),"FALTA (obrigatória)","não"))</f>
        <v>não</v>
      </c>
    </row>
    <row r="507" customFormat="false" ht="15" hidden="false" customHeight="false" outlineLevel="0" collapsed="false">
      <c r="A507" s="7" t="str">
        <f aca="false">B507&amp;"."&amp;E507</f>
        <v>empresa.exercicio_fim</v>
      </c>
      <c r="B507" s="7" t="s">
        <v>102</v>
      </c>
      <c r="C507" s="7" t="s">
        <v>103</v>
      </c>
      <c r="D507" s="7" t="n">
        <v>17</v>
      </c>
      <c r="E507" s="7" t="s">
        <v>689</v>
      </c>
      <c r="F507" s="7" t="s">
        <v>379</v>
      </c>
      <c r="G507" s="7" t="s">
        <v>267</v>
      </c>
      <c r="H507" s="7"/>
      <c r="I507" s="7"/>
      <c r="J507" s="7"/>
      <c r="K507" s="7"/>
      <c r="L507" s="7" t="str">
        <f aca="false">IFERROR(VLOOKUP(IF(ISNUMBER(SEARCH("(",F507)),LEFT(F507,SEARCH("(",F507)-1),F507),Tipos!$A:$B,2,FALSE()),"outro")</f>
        <v>data</v>
      </c>
      <c r="M507" s="7" t="str">
        <f aca="false">IF(COUNTIF(Comparação!$H:$H,A507)&gt;0,"sim",IF(AND(G507="sim",H507=""),"FALTA (obrigatória)","não"))</f>
        <v>não</v>
      </c>
    </row>
    <row r="508" customFormat="false" ht="15" hidden="false" customHeight="false" outlineLevel="0" collapsed="false">
      <c r="A508" s="7" t="str">
        <f aca="false">B508&amp;"."&amp;E508</f>
        <v>empresa.periodicidade_fechamento</v>
      </c>
      <c r="B508" s="7" t="s">
        <v>102</v>
      </c>
      <c r="C508" s="7" t="s">
        <v>103</v>
      </c>
      <c r="D508" s="7" t="n">
        <v>18</v>
      </c>
      <c r="E508" s="7" t="s">
        <v>690</v>
      </c>
      <c r="F508" s="7" t="s">
        <v>261</v>
      </c>
      <c r="G508" s="7" t="s">
        <v>267</v>
      </c>
      <c r="H508" s="7"/>
      <c r="I508" s="7"/>
      <c r="J508" s="7"/>
      <c r="K508" s="7" t="s">
        <v>691</v>
      </c>
      <c r="L508" s="7" t="str">
        <f aca="false">IFERROR(VLOOKUP(IF(ISNUMBER(SEARCH("(",F508)),LEFT(F508,SEARCH("(",F508)-1),F508),Tipos!$A:$B,2,FALSE()),"outro")</f>
        <v>texto</v>
      </c>
      <c r="M508" s="7" t="str">
        <f aca="false">IF(COUNTIF(Comparação!$H:$H,A508)&gt;0,"sim",IF(AND(G508="sim",H508=""),"FALTA (obrigatória)","não"))</f>
        <v>não</v>
      </c>
    </row>
    <row r="509" customFormat="false" ht="15" hidden="false" customHeight="false" outlineLevel="0" collapsed="false">
      <c r="A509" s="7" t="str">
        <f aca="false">B509&amp;"."&amp;E509</f>
        <v>empresa.observacoes</v>
      </c>
      <c r="B509" s="7" t="s">
        <v>102</v>
      </c>
      <c r="C509" s="7" t="s">
        <v>103</v>
      </c>
      <c r="D509" s="7" t="n">
        <v>19</v>
      </c>
      <c r="E509" s="7" t="s">
        <v>368</v>
      </c>
      <c r="F509" s="7" t="s">
        <v>261</v>
      </c>
      <c r="G509" s="7" t="s">
        <v>267</v>
      </c>
      <c r="H509" s="7"/>
      <c r="I509" s="7"/>
      <c r="J509" s="7"/>
      <c r="K509" s="7"/>
      <c r="L509" s="7" t="str">
        <f aca="false">IFERROR(VLOOKUP(IF(ISNUMBER(SEARCH("(",F509)),LEFT(F509,SEARCH("(",F509)-1),F509),Tipos!$A:$B,2,FALSE()),"outro")</f>
        <v>texto</v>
      </c>
      <c r="M509" s="7" t="str">
        <f aca="false">IF(COUNTIF(Comparação!$H:$H,A509)&gt;0,"sim",IF(AND(G509="sim",H509=""),"FALTA (obrigatória)","não"))</f>
        <v>não</v>
      </c>
    </row>
    <row r="510" customFormat="false" ht="15" hidden="false" customHeight="false" outlineLevel="0" collapsed="false">
      <c r="A510" s="7" t="str">
        <f aca="false">B510&amp;"."&amp;E510</f>
        <v>empresa.atualizado_em</v>
      </c>
      <c r="B510" s="7" t="s">
        <v>102</v>
      </c>
      <c r="C510" s="7" t="s">
        <v>103</v>
      </c>
      <c r="D510" s="7" t="n">
        <v>20</v>
      </c>
      <c r="E510" s="7" t="s">
        <v>335</v>
      </c>
      <c r="F510" s="7" t="s">
        <v>285</v>
      </c>
      <c r="G510" s="7" t="s">
        <v>262</v>
      </c>
      <c r="H510" s="7" t="s">
        <v>286</v>
      </c>
      <c r="I510" s="7"/>
      <c r="J510" s="7"/>
      <c r="K510" s="7"/>
      <c r="L510" s="7" t="str">
        <f aca="false">IFERROR(VLOOKUP(IF(ISNUMBER(SEARCH("(",F510)),LEFT(F510,SEARCH("(",F510)-1),F510),Tipos!$A:$B,2,FALSE()),"outro")</f>
        <v>data e hora</v>
      </c>
      <c r="M510" s="7" t="str">
        <f aca="false">IF(COUNTIF(Comparação!$H:$H,A510)&gt;0,"sim",IF(AND(G510="sim",H510=""),"FALTA (obrigatória)","não"))</f>
        <v>não</v>
      </c>
    </row>
    <row r="511" customFormat="false" ht="15" hidden="false" customHeight="false" outlineLevel="0" collapsed="false">
      <c r="A511" s="7" t="str">
        <f aca="false">B511&amp;"."&amp;E511</f>
        <v>empresa.atualizado_por</v>
      </c>
      <c r="B511" s="7" t="s">
        <v>102</v>
      </c>
      <c r="C511" s="7" t="s">
        <v>103</v>
      </c>
      <c r="D511" s="7" t="n">
        <v>21</v>
      </c>
      <c r="E511" s="7" t="s">
        <v>692</v>
      </c>
      <c r="F511" s="7" t="s">
        <v>272</v>
      </c>
      <c r="G511" s="7" t="s">
        <v>267</v>
      </c>
      <c r="H511" s="7"/>
      <c r="I511" s="7"/>
      <c r="J511" s="7"/>
      <c r="K511" s="7"/>
      <c r="L511" s="7" t="str">
        <f aca="false">IFERROR(VLOOKUP(IF(ISNUMBER(SEARCH("(",F511)),LEFT(F511,SEARCH("(",F511)-1),F511),Tipos!$A:$B,2,FALSE()),"outro")</f>
        <v>uuid</v>
      </c>
      <c r="M511" s="7" t="str">
        <f aca="false">IF(COUNTIF(Comparação!$H:$H,A511)&gt;0,"sim",IF(AND(G511="sim",H511=""),"FALTA (obrigatória)","não"))</f>
        <v>não</v>
      </c>
    </row>
    <row r="512" customFormat="false" ht="15" hidden="false" customHeight="false" outlineLevel="0" collapsed="false">
      <c r="A512" s="7" t="str">
        <f aca="false">B512&amp;"."&amp;E512</f>
        <v>empresa.anexo_simples</v>
      </c>
      <c r="B512" s="7" t="s">
        <v>102</v>
      </c>
      <c r="C512" s="7" t="s">
        <v>103</v>
      </c>
      <c r="D512" s="7" t="n">
        <v>22</v>
      </c>
      <c r="E512" s="7" t="s">
        <v>693</v>
      </c>
      <c r="F512" s="7" t="s">
        <v>261</v>
      </c>
      <c r="G512" s="7" t="s">
        <v>267</v>
      </c>
      <c r="H512" s="7"/>
      <c r="I512" s="7"/>
      <c r="J512" s="7"/>
      <c r="K512" s="7" t="s">
        <v>694</v>
      </c>
      <c r="L512" s="7" t="str">
        <f aca="false">IFERROR(VLOOKUP(IF(ISNUMBER(SEARCH("(",F512)),LEFT(F512,SEARCH("(",F512)-1),F512),Tipos!$A:$B,2,FALSE()),"outro")</f>
        <v>texto</v>
      </c>
      <c r="M512" s="7" t="str">
        <f aca="false">IF(COUNTIF(Comparação!$H:$H,A512)&gt;0,"sim",IF(AND(G512="sim",H512=""),"FALTA (obrigatória)","não"))</f>
        <v>não</v>
      </c>
    </row>
    <row r="513" customFormat="false" ht="15" hidden="false" customHeight="false" outlineLevel="0" collapsed="false">
      <c r="A513" s="7" t="str">
        <f aca="false">B513&amp;"."&amp;E513</f>
        <v>empresa.aliquota_manual</v>
      </c>
      <c r="B513" s="7" t="s">
        <v>102</v>
      </c>
      <c r="C513" s="7" t="s">
        <v>103</v>
      </c>
      <c r="D513" s="7" t="n">
        <v>23</v>
      </c>
      <c r="E513" s="7" t="s">
        <v>695</v>
      </c>
      <c r="F513" s="7" t="s">
        <v>696</v>
      </c>
      <c r="G513" s="7" t="s">
        <v>267</v>
      </c>
      <c r="H513" s="7"/>
      <c r="I513" s="7"/>
      <c r="J513" s="7"/>
      <c r="K513" s="7" t="s">
        <v>697</v>
      </c>
      <c r="L513" s="7" t="str">
        <f aca="false">IFERROR(VLOOKUP(IF(ISNUMBER(SEARCH("(",F513)),LEFT(F513,SEARCH("(",F513)-1),F513),Tipos!$A:$B,2,FALSE()),"outro")</f>
        <v>decimal</v>
      </c>
      <c r="M513" s="7" t="str">
        <f aca="false">IF(COUNTIF(Comparação!$H:$H,A513)&gt;0,"sim",IF(AND(G513="sim",H513=""),"FALTA (obrigatória)","não"))</f>
        <v>não</v>
      </c>
    </row>
    <row r="514" customFormat="false" ht="15" hidden="false" customHeight="false" outlineLevel="0" collapsed="false">
      <c r="A514" s="7" t="str">
        <f aca="false">B514&amp;"."&amp;E514</f>
        <v>empresa.taxas_variaveis_pct</v>
      </c>
      <c r="B514" s="7" t="s">
        <v>102</v>
      </c>
      <c r="C514" s="7" t="s">
        <v>103</v>
      </c>
      <c r="D514" s="7" t="n">
        <v>24</v>
      </c>
      <c r="E514" s="7" t="s">
        <v>698</v>
      </c>
      <c r="F514" s="7" t="s">
        <v>696</v>
      </c>
      <c r="G514" s="7" t="s">
        <v>267</v>
      </c>
      <c r="H514" s="7"/>
      <c r="I514" s="7"/>
      <c r="J514" s="7"/>
      <c r="K514" s="7" t="s">
        <v>699</v>
      </c>
      <c r="L514" s="7" t="str">
        <f aca="false">IFERROR(VLOOKUP(IF(ISNUMBER(SEARCH("(",F514)),LEFT(F514,SEARCH("(",F514)-1),F514),Tipos!$A:$B,2,FALSE()),"outro")</f>
        <v>decimal</v>
      </c>
      <c r="M514" s="7" t="str">
        <f aca="false">IF(COUNTIF(Comparação!$H:$H,A514)&gt;0,"sim",IF(AND(G514="sim",H514=""),"FALTA (obrigatória)","não"))</f>
        <v>não</v>
      </c>
    </row>
    <row r="515" customFormat="false" ht="15" hidden="false" customHeight="false" outlineLevel="0" collapsed="false">
      <c r="A515" s="7" t="str">
        <f aca="false">B515&amp;"."&amp;E515</f>
        <v>equipe.id</v>
      </c>
      <c r="B515" s="7" t="s">
        <v>104</v>
      </c>
      <c r="C515" s="7" t="s">
        <v>24</v>
      </c>
      <c r="D515" s="7" t="n">
        <v>1</v>
      </c>
      <c r="E515" s="7" t="s">
        <v>271</v>
      </c>
      <c r="F515" s="7" t="s">
        <v>272</v>
      </c>
      <c r="G515" s="7" t="s">
        <v>262</v>
      </c>
      <c r="H515" s="7" t="s">
        <v>273</v>
      </c>
      <c r="I515" s="7" t="s">
        <v>263</v>
      </c>
      <c r="J515" s="7"/>
      <c r="K515" s="7"/>
      <c r="L515" s="7" t="str">
        <f aca="false">IFERROR(VLOOKUP(IF(ISNUMBER(SEARCH("(",F515)),LEFT(F515,SEARCH("(",F515)-1),F515),Tipos!$A:$B,2,FALSE()),"outro")</f>
        <v>uuid</v>
      </c>
      <c r="M515" s="7" t="str">
        <f aca="false">IF(COUNTIF(Comparação!$H:$H,A515)&gt;0,"sim",IF(AND(G515="sim",H515=""),"FALTA (obrigatória)","não"))</f>
        <v>não</v>
      </c>
    </row>
    <row r="516" customFormat="false" ht="15" hidden="false" customHeight="false" outlineLevel="0" collapsed="false">
      <c r="A516" s="7" t="str">
        <f aca="false">B516&amp;"."&amp;E516</f>
        <v>equipe.workspace_id</v>
      </c>
      <c r="B516" s="7" t="s">
        <v>104</v>
      </c>
      <c r="C516" s="7" t="s">
        <v>24</v>
      </c>
      <c r="D516" s="7" t="n">
        <v>2</v>
      </c>
      <c r="E516" s="7" t="s">
        <v>274</v>
      </c>
      <c r="F516" s="7" t="s">
        <v>272</v>
      </c>
      <c r="G516" s="7" t="s">
        <v>262</v>
      </c>
      <c r="H516" s="7"/>
      <c r="I516" s="7"/>
      <c r="J516" s="7" t="s">
        <v>275</v>
      </c>
      <c r="K516" s="7"/>
      <c r="L516" s="7" t="str">
        <f aca="false">IFERROR(VLOOKUP(IF(ISNUMBER(SEARCH("(",F516)),LEFT(F516,SEARCH("(",F516)-1),F516),Tipos!$A:$B,2,FALSE()),"outro")</f>
        <v>uuid</v>
      </c>
      <c r="M516" s="7" t="str">
        <f aca="false">IF(COUNTIF(Comparação!$H:$H,A516)&gt;0,"sim",IF(AND(G516="sim",H516=""),"FALTA (obrigatória)","não"))</f>
        <v>FALTA (obrigatória)</v>
      </c>
    </row>
    <row r="517" customFormat="false" ht="15" hidden="false" customHeight="false" outlineLevel="0" collapsed="false">
      <c r="A517" s="7" t="str">
        <f aca="false">B517&amp;"."&amp;E517</f>
        <v>equipe.nome</v>
      </c>
      <c r="B517" s="7" t="s">
        <v>104</v>
      </c>
      <c r="C517" s="7" t="s">
        <v>24</v>
      </c>
      <c r="D517" s="7" t="n">
        <v>3</v>
      </c>
      <c r="E517" s="7" t="s">
        <v>265</v>
      </c>
      <c r="F517" s="7" t="s">
        <v>261</v>
      </c>
      <c r="G517" s="7" t="s">
        <v>262</v>
      </c>
      <c r="H517" s="7"/>
      <c r="I517" s="7"/>
      <c r="J517" s="7"/>
      <c r="K517" s="7"/>
      <c r="L517" s="7" t="str">
        <f aca="false">IFERROR(VLOOKUP(IF(ISNUMBER(SEARCH("(",F517)),LEFT(F517,SEARCH("(",F517)-1),F517),Tipos!$A:$B,2,FALSE()),"outro")</f>
        <v>texto</v>
      </c>
      <c r="M517" s="7" t="str">
        <f aca="false">IF(COUNTIF(Comparação!$H:$H,A517)&gt;0,"sim",IF(AND(G517="sim",H517=""),"FALTA (obrigatória)","não"))</f>
        <v>FALTA (obrigatória)</v>
      </c>
    </row>
    <row r="518" customFormat="false" ht="15" hidden="false" customHeight="false" outlineLevel="0" collapsed="false">
      <c r="A518" s="7" t="str">
        <f aca="false">B518&amp;"."&amp;E518</f>
        <v>equipe.email</v>
      </c>
      <c r="B518" s="7" t="s">
        <v>104</v>
      </c>
      <c r="C518" s="7" t="s">
        <v>24</v>
      </c>
      <c r="D518" s="7" t="n">
        <v>4</v>
      </c>
      <c r="E518" s="7" t="s">
        <v>700</v>
      </c>
      <c r="F518" s="7" t="s">
        <v>261</v>
      </c>
      <c r="G518" s="7" t="s">
        <v>267</v>
      </c>
      <c r="H518" s="7"/>
      <c r="I518" s="7"/>
      <c r="J518" s="7"/>
      <c r="K518" s="7"/>
      <c r="L518" s="7" t="str">
        <f aca="false">IFERROR(VLOOKUP(IF(ISNUMBER(SEARCH("(",F518)),LEFT(F518,SEARCH("(",F518)-1),F518),Tipos!$A:$B,2,FALSE()),"outro")</f>
        <v>texto</v>
      </c>
      <c r="M518" s="7" t="str">
        <f aca="false">IF(COUNTIF(Comparação!$H:$H,A518)&gt;0,"sim",IF(AND(G518="sim",H518=""),"FALTA (obrigatória)","não"))</f>
        <v>não</v>
      </c>
    </row>
    <row r="519" customFormat="false" ht="15" hidden="false" customHeight="false" outlineLevel="0" collapsed="false">
      <c r="A519" s="7" t="str">
        <f aca="false">B519&amp;"."&amp;E519</f>
        <v>equipe.telefone</v>
      </c>
      <c r="B519" s="7" t="s">
        <v>104</v>
      </c>
      <c r="C519" s="7" t="s">
        <v>24</v>
      </c>
      <c r="D519" s="7" t="n">
        <v>5</v>
      </c>
      <c r="E519" s="7" t="s">
        <v>675</v>
      </c>
      <c r="F519" s="7" t="s">
        <v>261</v>
      </c>
      <c r="G519" s="7" t="s">
        <v>267</v>
      </c>
      <c r="H519" s="7"/>
      <c r="I519" s="7"/>
      <c r="J519" s="7"/>
      <c r="K519" s="7"/>
      <c r="L519" s="7" t="str">
        <f aca="false">IFERROR(VLOOKUP(IF(ISNUMBER(SEARCH("(",F519)),LEFT(F519,SEARCH("(",F519)-1),F519),Tipos!$A:$B,2,FALSE()),"outro")</f>
        <v>texto</v>
      </c>
      <c r="M519" s="7" t="str">
        <f aca="false">IF(COUNTIF(Comparação!$H:$H,A519)&gt;0,"sim",IF(AND(G519="sim",H519=""),"FALTA (obrigatória)","não"))</f>
        <v>não</v>
      </c>
    </row>
    <row r="520" customFormat="false" ht="15" hidden="false" customHeight="false" outlineLevel="0" collapsed="false">
      <c r="A520" s="7" t="str">
        <f aca="false">B520&amp;"."&amp;E520</f>
        <v>equipe.funcao</v>
      </c>
      <c r="B520" s="7" t="s">
        <v>104</v>
      </c>
      <c r="C520" s="7" t="s">
        <v>24</v>
      </c>
      <c r="D520" s="7" t="n">
        <v>6</v>
      </c>
      <c r="E520" s="7" t="s">
        <v>701</v>
      </c>
      <c r="F520" s="7" t="s">
        <v>261</v>
      </c>
      <c r="G520" s="7" t="s">
        <v>267</v>
      </c>
      <c r="H520" s="7"/>
      <c r="I520" s="7"/>
      <c r="J520" s="7"/>
      <c r="K520" s="7"/>
      <c r="L520" s="7" t="str">
        <f aca="false">IFERROR(VLOOKUP(IF(ISNUMBER(SEARCH("(",F520)),LEFT(F520,SEARCH("(",F520)-1),F520),Tipos!$A:$B,2,FALSE()),"outro")</f>
        <v>texto</v>
      </c>
      <c r="M520" s="7" t="str">
        <f aca="false">IF(COUNTIF(Comparação!$H:$H,A520)&gt;0,"sim",IF(AND(G520="sim",H520=""),"FALTA (obrigatória)","não"))</f>
        <v>não</v>
      </c>
    </row>
    <row r="521" customFormat="false" ht="15" hidden="false" customHeight="false" outlineLevel="0" collapsed="false">
      <c r="A521" s="7" t="str">
        <f aca="false">B521&amp;"."&amp;E521</f>
        <v>equipe.avisar_app</v>
      </c>
      <c r="B521" s="7" t="s">
        <v>104</v>
      </c>
      <c r="C521" s="7" t="s">
        <v>24</v>
      </c>
      <c r="D521" s="7" t="n">
        <v>7</v>
      </c>
      <c r="E521" s="7" t="s">
        <v>702</v>
      </c>
      <c r="F521" s="7" t="s">
        <v>310</v>
      </c>
      <c r="G521" s="7" t="s">
        <v>262</v>
      </c>
      <c r="H521" s="7" t="s">
        <v>311</v>
      </c>
      <c r="I521" s="7"/>
      <c r="J521" s="7"/>
      <c r="K521" s="7"/>
      <c r="L521" s="7" t="str">
        <f aca="false">IFERROR(VLOOKUP(IF(ISNUMBER(SEARCH("(",F521)),LEFT(F521,SEARCH("(",F521)-1),F521),Tipos!$A:$B,2,FALSE()),"outro")</f>
        <v>booleano</v>
      </c>
      <c r="M521" s="7" t="str">
        <f aca="false">IF(COUNTIF(Comparação!$H:$H,A521)&gt;0,"sim",IF(AND(G521="sim",H521=""),"FALTA (obrigatória)","não"))</f>
        <v>não</v>
      </c>
    </row>
    <row r="522" customFormat="false" ht="15" hidden="false" customHeight="false" outlineLevel="0" collapsed="false">
      <c r="A522" s="7" t="str">
        <f aca="false">B522&amp;"."&amp;E522</f>
        <v>equipe.avisar_email</v>
      </c>
      <c r="B522" s="7" t="s">
        <v>104</v>
      </c>
      <c r="C522" s="7" t="s">
        <v>24</v>
      </c>
      <c r="D522" s="7" t="n">
        <v>8</v>
      </c>
      <c r="E522" s="7" t="s">
        <v>703</v>
      </c>
      <c r="F522" s="7" t="s">
        <v>310</v>
      </c>
      <c r="G522" s="7" t="s">
        <v>262</v>
      </c>
      <c r="H522" s="7" t="s">
        <v>311</v>
      </c>
      <c r="I522" s="7"/>
      <c r="J522" s="7"/>
      <c r="K522" s="7"/>
      <c r="L522" s="7" t="str">
        <f aca="false">IFERROR(VLOOKUP(IF(ISNUMBER(SEARCH("(",F522)),LEFT(F522,SEARCH("(",F522)-1),F522),Tipos!$A:$B,2,FALSE()),"outro")</f>
        <v>booleano</v>
      </c>
      <c r="M522" s="7" t="str">
        <f aca="false">IF(COUNTIF(Comparação!$H:$H,A522)&gt;0,"sim",IF(AND(G522="sim",H522=""),"FALTA (obrigatória)","não"))</f>
        <v>não</v>
      </c>
    </row>
    <row r="523" customFormat="false" ht="15" hidden="false" customHeight="false" outlineLevel="0" collapsed="false">
      <c r="A523" s="7" t="str">
        <f aca="false">B523&amp;"."&amp;E523</f>
        <v>equipe.avisar_whatsapp</v>
      </c>
      <c r="B523" s="7" t="s">
        <v>104</v>
      </c>
      <c r="C523" s="7" t="s">
        <v>24</v>
      </c>
      <c r="D523" s="7" t="n">
        <v>9</v>
      </c>
      <c r="E523" s="7" t="s">
        <v>704</v>
      </c>
      <c r="F523" s="7" t="s">
        <v>310</v>
      </c>
      <c r="G523" s="7" t="s">
        <v>262</v>
      </c>
      <c r="H523" s="7" t="s">
        <v>375</v>
      </c>
      <c r="I523" s="7"/>
      <c r="J523" s="7"/>
      <c r="K523" s="7"/>
      <c r="L523" s="7" t="str">
        <f aca="false">IFERROR(VLOOKUP(IF(ISNUMBER(SEARCH("(",F523)),LEFT(F523,SEARCH("(",F523)-1),F523),Tipos!$A:$B,2,FALSE()),"outro")</f>
        <v>booleano</v>
      </c>
      <c r="M523" s="7" t="str">
        <f aca="false">IF(COUNTIF(Comparação!$H:$H,A523)&gt;0,"sim",IF(AND(G523="sim",H523=""),"FALTA (obrigatória)","não"))</f>
        <v>não</v>
      </c>
    </row>
    <row r="524" customFormat="false" ht="15" hidden="false" customHeight="false" outlineLevel="0" collapsed="false">
      <c r="A524" s="7" t="str">
        <f aca="false">B524&amp;"."&amp;E524</f>
        <v>equipe.ativo</v>
      </c>
      <c r="B524" s="7" t="s">
        <v>104</v>
      </c>
      <c r="C524" s="7" t="s">
        <v>24</v>
      </c>
      <c r="D524" s="7" t="n">
        <v>10</v>
      </c>
      <c r="E524" s="7" t="s">
        <v>309</v>
      </c>
      <c r="F524" s="7" t="s">
        <v>310</v>
      </c>
      <c r="G524" s="7" t="s">
        <v>262</v>
      </c>
      <c r="H524" s="7" t="s">
        <v>311</v>
      </c>
      <c r="I524" s="7"/>
      <c r="J524" s="7"/>
      <c r="K524" s="7"/>
      <c r="L524" s="7" t="str">
        <f aca="false">IFERROR(VLOOKUP(IF(ISNUMBER(SEARCH("(",F524)),LEFT(F524,SEARCH("(",F524)-1),F524),Tipos!$A:$B,2,FALSE()),"outro")</f>
        <v>booleano</v>
      </c>
      <c r="M524" s="7" t="str">
        <f aca="false">IF(COUNTIF(Comparação!$H:$H,A524)&gt;0,"sim",IF(AND(G524="sim",H524=""),"FALTA (obrigatória)","não"))</f>
        <v>não</v>
      </c>
    </row>
    <row r="525" customFormat="false" ht="15" hidden="false" customHeight="false" outlineLevel="0" collapsed="false">
      <c r="A525" s="7" t="str">
        <f aca="false">B525&amp;"."&amp;E525</f>
        <v>equipe.criado_em</v>
      </c>
      <c r="B525" s="7" t="s">
        <v>104</v>
      </c>
      <c r="C525" s="7" t="s">
        <v>24</v>
      </c>
      <c r="D525" s="7" t="n">
        <v>11</v>
      </c>
      <c r="E525" s="7" t="s">
        <v>344</v>
      </c>
      <c r="F525" s="7" t="s">
        <v>285</v>
      </c>
      <c r="G525" s="7" t="s">
        <v>262</v>
      </c>
      <c r="H525" s="7" t="s">
        <v>286</v>
      </c>
      <c r="I525" s="7"/>
      <c r="J525" s="7"/>
      <c r="K525" s="7"/>
      <c r="L525" s="7" t="str">
        <f aca="false">IFERROR(VLOOKUP(IF(ISNUMBER(SEARCH("(",F525)),LEFT(F525,SEARCH("(",F525)-1),F525),Tipos!$A:$B,2,FALSE()),"outro")</f>
        <v>data e hora</v>
      </c>
      <c r="M525" s="7" t="str">
        <f aca="false">IF(COUNTIF(Comparação!$H:$H,A525)&gt;0,"sim",IF(AND(G525="sim",H525=""),"FALTA (obrigatória)","não"))</f>
        <v>não</v>
      </c>
    </row>
    <row r="526" customFormat="false" ht="15" hidden="false" customHeight="false" outlineLevel="0" collapsed="false">
      <c r="A526" s="7" t="str">
        <f aca="false">B526&amp;"."&amp;E526</f>
        <v>equipe.funcao_id</v>
      </c>
      <c r="B526" s="7" t="s">
        <v>104</v>
      </c>
      <c r="C526" s="7" t="s">
        <v>24</v>
      </c>
      <c r="D526" s="7" t="n">
        <v>12</v>
      </c>
      <c r="E526" s="7" t="s">
        <v>705</v>
      </c>
      <c r="F526" s="7" t="s">
        <v>272</v>
      </c>
      <c r="G526" s="7" t="s">
        <v>267</v>
      </c>
      <c r="H526" s="7"/>
      <c r="I526" s="7"/>
      <c r="J526" s="7" t="s">
        <v>706</v>
      </c>
      <c r="K526" s="7"/>
      <c r="L526" s="7" t="str">
        <f aca="false">IFERROR(VLOOKUP(IF(ISNUMBER(SEARCH("(",F526)),LEFT(F526,SEARCH("(",F526)-1),F526),Tipos!$A:$B,2,FALSE()),"outro")</f>
        <v>uuid</v>
      </c>
      <c r="M526" s="7" t="str">
        <f aca="false">IF(COUNTIF(Comparação!$H:$H,A526)&gt;0,"sim",IF(AND(G526="sim",H526=""),"FALTA (obrigatória)","não"))</f>
        <v>não</v>
      </c>
    </row>
    <row r="527" customFormat="false" ht="15" hidden="false" customHeight="false" outlineLevel="0" collapsed="false">
      <c r="A527" s="7" t="str">
        <f aca="false">B527&amp;"."&amp;E527</f>
        <v>equipe.acesso_ativo</v>
      </c>
      <c r="B527" s="7" t="s">
        <v>104</v>
      </c>
      <c r="C527" s="7" t="s">
        <v>24</v>
      </c>
      <c r="D527" s="7" t="n">
        <v>13</v>
      </c>
      <c r="E527" s="7" t="s">
        <v>707</v>
      </c>
      <c r="F527" s="7" t="s">
        <v>310</v>
      </c>
      <c r="G527" s="7" t="s">
        <v>262</v>
      </c>
      <c r="H527" s="7" t="s">
        <v>375</v>
      </c>
      <c r="I527" s="7"/>
      <c r="J527" s="7"/>
      <c r="K527" s="7"/>
      <c r="L527" s="7" t="str">
        <f aca="false">IFERROR(VLOOKUP(IF(ISNUMBER(SEARCH("(",F527)),LEFT(F527,SEARCH("(",F527)-1),F527),Tipos!$A:$B,2,FALSE()),"outro")</f>
        <v>booleano</v>
      </c>
      <c r="M527" s="7" t="str">
        <f aca="false">IF(COUNTIF(Comparação!$H:$H,A527)&gt;0,"sim",IF(AND(G527="sim",H527=""),"FALTA (obrigatória)","não"))</f>
        <v>não</v>
      </c>
    </row>
    <row r="528" customFormat="false" ht="15" hidden="false" customHeight="false" outlineLevel="0" collapsed="false">
      <c r="A528" s="7" t="str">
        <f aca="false">B528&amp;"."&amp;E528</f>
        <v>equipe.user_id</v>
      </c>
      <c r="B528" s="7" t="s">
        <v>104</v>
      </c>
      <c r="C528" s="7" t="s">
        <v>24</v>
      </c>
      <c r="D528" s="7" t="n">
        <v>14</v>
      </c>
      <c r="E528" s="7" t="s">
        <v>667</v>
      </c>
      <c r="F528" s="7" t="s">
        <v>272</v>
      </c>
      <c r="G528" s="7" t="s">
        <v>267</v>
      </c>
      <c r="H528" s="7"/>
      <c r="I528" s="7"/>
      <c r="J528" s="7" t="s">
        <v>708</v>
      </c>
      <c r="K528" s="7"/>
      <c r="L528" s="7" t="str">
        <f aca="false">IFERROR(VLOOKUP(IF(ISNUMBER(SEARCH("(",F528)),LEFT(F528,SEARCH("(",F528)-1),F528),Tipos!$A:$B,2,FALSE()),"outro")</f>
        <v>uuid</v>
      </c>
      <c r="M528" s="7" t="str">
        <f aca="false">IF(COUNTIF(Comparação!$H:$H,A528)&gt;0,"sim",IF(AND(G528="sim",H528=""),"FALTA (obrigatória)","não"))</f>
        <v>não</v>
      </c>
    </row>
    <row r="529" customFormat="false" ht="15" hidden="false" customHeight="false" outlineLevel="0" collapsed="false">
      <c r="A529" s="7" t="str">
        <f aca="false">B529&amp;"."&amp;E529</f>
        <v>equipe.permissoes_ind</v>
      </c>
      <c r="B529" s="7" t="s">
        <v>104</v>
      </c>
      <c r="C529" s="7" t="s">
        <v>24</v>
      </c>
      <c r="D529" s="7" t="n">
        <v>15</v>
      </c>
      <c r="E529" s="7" t="s">
        <v>709</v>
      </c>
      <c r="F529" s="7" t="s">
        <v>324</v>
      </c>
      <c r="G529" s="7" t="s">
        <v>262</v>
      </c>
      <c r="H529" s="7" t="s">
        <v>347</v>
      </c>
      <c r="I529" s="7"/>
      <c r="J529" s="7"/>
      <c r="K529" s="7"/>
      <c r="L529" s="7" t="str">
        <f aca="false">IFERROR(VLOOKUP(IF(ISNUMBER(SEARCH("(",F529)),LEFT(F529,SEARCH("(",F529)-1),F529),Tipos!$A:$B,2,FALSE()),"outro")</f>
        <v>json</v>
      </c>
      <c r="M529" s="7" t="str">
        <f aca="false">IF(COUNTIF(Comparação!$H:$H,A529)&gt;0,"sim",IF(AND(G529="sim",H529=""),"FALTA (obrigatória)","não"))</f>
        <v>não</v>
      </c>
    </row>
    <row r="530" customFormat="false" ht="15" hidden="false" customHeight="false" outlineLevel="0" collapsed="false">
      <c r="A530" s="7" t="str">
        <f aca="false">B530&amp;"."&amp;E530</f>
        <v>equipe.acoes_ind</v>
      </c>
      <c r="B530" s="7" t="s">
        <v>104</v>
      </c>
      <c r="C530" s="7" t="s">
        <v>24</v>
      </c>
      <c r="D530" s="7" t="n">
        <v>16</v>
      </c>
      <c r="E530" s="7" t="s">
        <v>710</v>
      </c>
      <c r="F530" s="7" t="s">
        <v>324</v>
      </c>
      <c r="G530" s="7" t="s">
        <v>262</v>
      </c>
      <c r="H530" s="7" t="s">
        <v>347</v>
      </c>
      <c r="I530" s="7"/>
      <c r="J530" s="7"/>
      <c r="K530" s="7"/>
      <c r="L530" s="7" t="str">
        <f aca="false">IFERROR(VLOOKUP(IF(ISNUMBER(SEARCH("(",F530)),LEFT(F530,SEARCH("(",F530)-1),F530),Tipos!$A:$B,2,FALSE()),"outro")</f>
        <v>json</v>
      </c>
      <c r="M530" s="7" t="str">
        <f aca="false">IF(COUNTIF(Comparação!$H:$H,A530)&gt;0,"sim",IF(AND(G530="sim",H530=""),"FALTA (obrigatória)","não"))</f>
        <v>não</v>
      </c>
    </row>
    <row r="531" customFormat="false" ht="15" hidden="false" customHeight="false" outlineLevel="0" collapsed="false">
      <c r="A531" s="7" t="str">
        <f aca="false">B531&amp;"."&amp;E531</f>
        <v>estornos.id</v>
      </c>
      <c r="B531" s="7" t="s">
        <v>106</v>
      </c>
      <c r="C531" s="7" t="s">
        <v>72</v>
      </c>
      <c r="D531" s="7" t="n">
        <v>1</v>
      </c>
      <c r="E531" s="7" t="s">
        <v>271</v>
      </c>
      <c r="F531" s="7" t="s">
        <v>272</v>
      </c>
      <c r="G531" s="7" t="s">
        <v>262</v>
      </c>
      <c r="H531" s="7" t="s">
        <v>273</v>
      </c>
      <c r="I531" s="7" t="s">
        <v>263</v>
      </c>
      <c r="J531" s="7"/>
      <c r="K531" s="7"/>
      <c r="L531" s="7" t="str">
        <f aca="false">IFERROR(VLOOKUP(IF(ISNUMBER(SEARCH("(",F531)),LEFT(F531,SEARCH("(",F531)-1),F531),Tipos!$A:$B,2,FALSE()),"outro")</f>
        <v>uuid</v>
      </c>
      <c r="M531" s="7" t="str">
        <f aca="false">IF(COUNTIF(Comparação!$H:$H,A531)&gt;0,"sim",IF(AND(G531="sim",H531=""),"FALTA (obrigatória)","não"))</f>
        <v>não</v>
      </c>
    </row>
    <row r="532" customFormat="false" ht="15" hidden="false" customHeight="false" outlineLevel="0" collapsed="false">
      <c r="A532" s="7" t="str">
        <f aca="false">B532&amp;"."&amp;E532</f>
        <v>estornos.workspace_id</v>
      </c>
      <c r="B532" s="7" t="s">
        <v>106</v>
      </c>
      <c r="C532" s="7" t="s">
        <v>72</v>
      </c>
      <c r="D532" s="7" t="n">
        <v>2</v>
      </c>
      <c r="E532" s="7" t="s">
        <v>274</v>
      </c>
      <c r="F532" s="7" t="s">
        <v>272</v>
      </c>
      <c r="G532" s="7" t="s">
        <v>262</v>
      </c>
      <c r="H532" s="7"/>
      <c r="I532" s="7"/>
      <c r="J532" s="7" t="s">
        <v>275</v>
      </c>
      <c r="K532" s="7"/>
      <c r="L532" s="7" t="str">
        <f aca="false">IFERROR(VLOOKUP(IF(ISNUMBER(SEARCH("(",F532)),LEFT(F532,SEARCH("(",F532)-1),F532),Tipos!$A:$B,2,FALSE()),"outro")</f>
        <v>uuid</v>
      </c>
      <c r="M532" s="7" t="str">
        <f aca="false">IF(COUNTIF(Comparação!$H:$H,A532)&gt;0,"sim",IF(AND(G532="sim",H532=""),"FALTA (obrigatória)","não"))</f>
        <v>FALTA (obrigatória)</v>
      </c>
    </row>
    <row r="533" customFormat="false" ht="15" hidden="false" customHeight="false" outlineLevel="0" collapsed="false">
      <c r="A533" s="7" t="str">
        <f aca="false">B533&amp;"."&amp;E533</f>
        <v>estornos.venda_id</v>
      </c>
      <c r="B533" s="7" t="s">
        <v>106</v>
      </c>
      <c r="C533" s="7" t="s">
        <v>72</v>
      </c>
      <c r="D533" s="7" t="n">
        <v>3</v>
      </c>
      <c r="E533" s="7" t="s">
        <v>289</v>
      </c>
      <c r="F533" s="7" t="s">
        <v>272</v>
      </c>
      <c r="G533" s="7" t="s">
        <v>262</v>
      </c>
      <c r="H533" s="7"/>
      <c r="I533" s="7"/>
      <c r="J533" s="7" t="s">
        <v>291</v>
      </c>
      <c r="K533" s="7"/>
      <c r="L533" s="7" t="str">
        <f aca="false">IFERROR(VLOOKUP(IF(ISNUMBER(SEARCH("(",F533)),LEFT(F533,SEARCH("(",F533)-1),F533),Tipos!$A:$B,2,FALSE()),"outro")</f>
        <v>uuid</v>
      </c>
      <c r="M533" s="7" t="str">
        <f aca="false">IF(COUNTIF(Comparação!$H:$H,A533)&gt;0,"sim",IF(AND(G533="sim",H533=""),"FALTA (obrigatória)","não"))</f>
        <v>FALTA (obrigatória)</v>
      </c>
    </row>
    <row r="534" customFormat="false" ht="15" hidden="false" customHeight="false" outlineLevel="0" collapsed="false">
      <c r="A534" s="7" t="str">
        <f aca="false">B534&amp;"."&amp;E534</f>
        <v>estornos.tipo</v>
      </c>
      <c r="B534" s="7" t="s">
        <v>106</v>
      </c>
      <c r="C534" s="7" t="s">
        <v>72</v>
      </c>
      <c r="D534" s="7" t="n">
        <v>4</v>
      </c>
      <c r="E534" s="7" t="s">
        <v>280</v>
      </c>
      <c r="F534" s="7" t="s">
        <v>261</v>
      </c>
      <c r="G534" s="7" t="s">
        <v>262</v>
      </c>
      <c r="H534" s="7"/>
      <c r="I534" s="7"/>
      <c r="J534" s="7"/>
      <c r="K534" s="7" t="s">
        <v>711</v>
      </c>
      <c r="L534" s="7" t="str">
        <f aca="false">IFERROR(VLOOKUP(IF(ISNUMBER(SEARCH("(",F534)),LEFT(F534,SEARCH("(",F534)-1),F534),Tipos!$A:$B,2,FALSE()),"outro")</f>
        <v>texto</v>
      </c>
      <c r="M534" s="7" t="str">
        <f aca="false">IF(COUNTIF(Comparação!$H:$H,A534)&gt;0,"sim",IF(AND(G534="sim",H534=""),"FALTA (obrigatória)","não"))</f>
        <v>FALTA (obrigatória)</v>
      </c>
    </row>
    <row r="535" customFormat="false" ht="15" hidden="false" customHeight="false" outlineLevel="0" collapsed="false">
      <c r="A535" s="7" t="str">
        <f aca="false">B535&amp;"."&amp;E535</f>
        <v>estornos.valor</v>
      </c>
      <c r="B535" s="7" t="s">
        <v>106</v>
      </c>
      <c r="C535" s="7" t="s">
        <v>72</v>
      </c>
      <c r="D535" s="7" t="n">
        <v>5</v>
      </c>
      <c r="E535" s="7" t="s">
        <v>330</v>
      </c>
      <c r="F535" s="7" t="s">
        <v>354</v>
      </c>
      <c r="G535" s="7" t="s">
        <v>262</v>
      </c>
      <c r="H535" s="7"/>
      <c r="I535" s="7"/>
      <c r="J535" s="7"/>
      <c r="K535" s="7"/>
      <c r="L535" s="7" t="str">
        <f aca="false">IFERROR(VLOOKUP(IF(ISNUMBER(SEARCH("(",F535)),LEFT(F535,SEARCH("(",F535)-1),F535),Tipos!$A:$B,2,FALSE()),"outro")</f>
        <v>decimal</v>
      </c>
      <c r="M535" s="7" t="str">
        <f aca="false">IF(COUNTIF(Comparação!$H:$H,A535)&gt;0,"sim",IF(AND(G535="sim",H535=""),"FALTA (obrigatória)","não"))</f>
        <v>FALTA (obrigatória)</v>
      </c>
    </row>
    <row r="536" customFormat="false" ht="15" hidden="false" customHeight="false" outlineLevel="0" collapsed="false">
      <c r="A536" s="7" t="str">
        <f aca="false">B536&amp;"."&amp;E536</f>
        <v>estornos.motivo</v>
      </c>
      <c r="B536" s="7" t="s">
        <v>106</v>
      </c>
      <c r="C536" s="7" t="s">
        <v>72</v>
      </c>
      <c r="D536" s="7" t="n">
        <v>6</v>
      </c>
      <c r="E536" s="7" t="s">
        <v>413</v>
      </c>
      <c r="F536" s="7" t="s">
        <v>261</v>
      </c>
      <c r="G536" s="7" t="s">
        <v>267</v>
      </c>
      <c r="H536" s="7"/>
      <c r="I536" s="7"/>
      <c r="J536" s="7"/>
      <c r="K536" s="7"/>
      <c r="L536" s="7" t="str">
        <f aca="false">IFERROR(VLOOKUP(IF(ISNUMBER(SEARCH("(",F536)),LEFT(F536,SEARCH("(",F536)-1),F536),Tipos!$A:$B,2,FALSE()),"outro")</f>
        <v>texto</v>
      </c>
      <c r="M536" s="7" t="str">
        <f aca="false">IF(COUNTIF(Comparação!$H:$H,A536)&gt;0,"sim",IF(AND(G536="sim",H536=""),"FALTA (obrigatória)","não"))</f>
        <v>não</v>
      </c>
    </row>
    <row r="537" customFormat="false" ht="15" hidden="false" customHeight="false" outlineLevel="0" collapsed="false">
      <c r="A537" s="7" t="str">
        <f aca="false">B537&amp;"."&amp;E537</f>
        <v>estornos.data</v>
      </c>
      <c r="B537" s="7" t="s">
        <v>106</v>
      </c>
      <c r="C537" s="7" t="s">
        <v>72</v>
      </c>
      <c r="D537" s="7" t="n">
        <v>7</v>
      </c>
      <c r="E537" s="7" t="s">
        <v>378</v>
      </c>
      <c r="F537" s="7" t="s">
        <v>379</v>
      </c>
      <c r="G537" s="7" t="s">
        <v>262</v>
      </c>
      <c r="H537" s="7"/>
      <c r="I537" s="7"/>
      <c r="J537" s="7"/>
      <c r="K537" s="7"/>
      <c r="L537" s="7" t="str">
        <f aca="false">IFERROR(VLOOKUP(IF(ISNUMBER(SEARCH("(",F537)),LEFT(F537,SEARCH("(",F537)-1),F537),Tipos!$A:$B,2,FALSE()),"outro")</f>
        <v>data</v>
      </c>
      <c r="M537" s="7" t="str">
        <f aca="false">IF(COUNTIF(Comparação!$H:$H,A537)&gt;0,"sim",IF(AND(G537="sim",H537=""),"FALTA (obrigatória)","não"))</f>
        <v>FALTA (obrigatória)</v>
      </c>
    </row>
    <row r="538" customFormat="false" ht="15" hidden="false" customHeight="false" outlineLevel="0" collapsed="false">
      <c r="A538" s="7" t="str">
        <f aca="false">B538&amp;"."&amp;E538</f>
        <v>estornos.lancamento_id</v>
      </c>
      <c r="B538" s="7" t="s">
        <v>106</v>
      </c>
      <c r="C538" s="7" t="s">
        <v>72</v>
      </c>
      <c r="D538" s="7" t="n">
        <v>8</v>
      </c>
      <c r="E538" s="7" t="s">
        <v>712</v>
      </c>
      <c r="F538" s="7" t="s">
        <v>272</v>
      </c>
      <c r="G538" s="7" t="s">
        <v>267</v>
      </c>
      <c r="H538" s="7"/>
      <c r="I538" s="7"/>
      <c r="J538" s="7" t="s">
        <v>713</v>
      </c>
      <c r="K538" s="7"/>
      <c r="L538" s="7" t="str">
        <f aca="false">IFERROR(VLOOKUP(IF(ISNUMBER(SEARCH("(",F538)),LEFT(F538,SEARCH("(",F538)-1),F538),Tipos!$A:$B,2,FALSE()),"outro")</f>
        <v>uuid</v>
      </c>
      <c r="M538" s="7" t="str">
        <f aca="false">IF(COUNTIF(Comparação!$H:$H,A538)&gt;0,"sim",IF(AND(G538="sim",H538=""),"FALTA (obrigatória)","não"))</f>
        <v>não</v>
      </c>
    </row>
    <row r="539" customFormat="false" ht="15" hidden="false" customHeight="false" outlineLevel="0" collapsed="false">
      <c r="A539" s="7" t="str">
        <f aca="false">B539&amp;"."&amp;E539</f>
        <v>estornos.criado_em</v>
      </c>
      <c r="B539" s="7" t="s">
        <v>106</v>
      </c>
      <c r="C539" s="7" t="s">
        <v>72</v>
      </c>
      <c r="D539" s="7" t="n">
        <v>9</v>
      </c>
      <c r="E539" s="7" t="s">
        <v>344</v>
      </c>
      <c r="F539" s="7" t="s">
        <v>285</v>
      </c>
      <c r="G539" s="7" t="s">
        <v>262</v>
      </c>
      <c r="H539" s="7" t="s">
        <v>286</v>
      </c>
      <c r="I539" s="7"/>
      <c r="J539" s="7"/>
      <c r="K539" s="7"/>
      <c r="L539" s="7" t="str">
        <f aca="false">IFERROR(VLOOKUP(IF(ISNUMBER(SEARCH("(",F539)),LEFT(F539,SEARCH("(",F539)-1),F539),Tipos!$A:$B,2,FALSE()),"outro")</f>
        <v>data e hora</v>
      </c>
      <c r="M539" s="7" t="str">
        <f aca="false">IF(COUNTIF(Comparação!$H:$H,A539)&gt;0,"sim",IF(AND(G539="sim",H539=""),"FALTA (obrigatória)","não"))</f>
        <v>não</v>
      </c>
    </row>
    <row r="540" customFormat="false" ht="15" hidden="false" customHeight="false" outlineLevel="0" collapsed="false">
      <c r="A540" s="7" t="str">
        <f aca="false">B540&amp;"."&amp;E540</f>
        <v>estrategia_blocos.id</v>
      </c>
      <c r="B540" s="7" t="s">
        <v>108</v>
      </c>
      <c r="C540" s="7" t="s">
        <v>31</v>
      </c>
      <c r="D540" s="7" t="n">
        <v>1</v>
      </c>
      <c r="E540" s="7" t="s">
        <v>271</v>
      </c>
      <c r="F540" s="7" t="s">
        <v>272</v>
      </c>
      <c r="G540" s="7" t="s">
        <v>262</v>
      </c>
      <c r="H540" s="7" t="s">
        <v>273</v>
      </c>
      <c r="I540" s="7" t="s">
        <v>263</v>
      </c>
      <c r="J540" s="7"/>
      <c r="K540" s="7"/>
      <c r="L540" s="7" t="str">
        <f aca="false">IFERROR(VLOOKUP(IF(ISNUMBER(SEARCH("(",F540)),LEFT(F540,SEARCH("(",F540)-1),F540),Tipos!$A:$B,2,FALSE()),"outro")</f>
        <v>uuid</v>
      </c>
      <c r="M540" s="7" t="str">
        <f aca="false">IF(COUNTIF(Comparação!$H:$H,A540)&gt;0,"sim",IF(AND(G540="sim",H540=""),"FALTA (obrigatória)","não"))</f>
        <v>não</v>
      </c>
    </row>
    <row r="541" customFormat="false" ht="15" hidden="false" customHeight="false" outlineLevel="0" collapsed="false">
      <c r="A541" s="7" t="str">
        <f aca="false">B541&amp;"."&amp;E541</f>
        <v>estrategia_blocos.workspace_id</v>
      </c>
      <c r="B541" s="7" t="s">
        <v>108</v>
      </c>
      <c r="C541" s="7" t="s">
        <v>31</v>
      </c>
      <c r="D541" s="7" t="n">
        <v>2</v>
      </c>
      <c r="E541" s="7" t="s">
        <v>274</v>
      </c>
      <c r="F541" s="7" t="s">
        <v>272</v>
      </c>
      <c r="G541" s="7" t="s">
        <v>262</v>
      </c>
      <c r="H541" s="7"/>
      <c r="I541" s="7"/>
      <c r="J541" s="7" t="s">
        <v>275</v>
      </c>
      <c r="K541" s="7"/>
      <c r="L541" s="7" t="str">
        <f aca="false">IFERROR(VLOOKUP(IF(ISNUMBER(SEARCH("(",F541)),LEFT(F541,SEARCH("(",F541)-1),F541),Tipos!$A:$B,2,FALSE()),"outro")</f>
        <v>uuid</v>
      </c>
      <c r="M541" s="7" t="str">
        <f aca="false">IF(COUNTIF(Comparação!$H:$H,A541)&gt;0,"sim",IF(AND(G541="sim",H541=""),"FALTA (obrigatória)","não"))</f>
        <v>FALTA (obrigatória)</v>
      </c>
    </row>
    <row r="542" customFormat="false" ht="15" hidden="false" customHeight="false" outlineLevel="0" collapsed="false">
      <c r="A542" s="7" t="str">
        <f aca="false">B542&amp;"."&amp;E542</f>
        <v>estrategia_blocos.funil_id</v>
      </c>
      <c r="B542" s="7" t="s">
        <v>108</v>
      </c>
      <c r="C542" s="7" t="s">
        <v>31</v>
      </c>
      <c r="D542" s="7" t="n">
        <v>3</v>
      </c>
      <c r="E542" s="7" t="s">
        <v>364</v>
      </c>
      <c r="F542" s="7" t="s">
        <v>272</v>
      </c>
      <c r="G542" s="7" t="s">
        <v>262</v>
      </c>
      <c r="H542" s="7"/>
      <c r="I542" s="7"/>
      <c r="J542" s="7" t="s">
        <v>365</v>
      </c>
      <c r="K542" s="7"/>
      <c r="L542" s="7" t="str">
        <f aca="false">IFERROR(VLOOKUP(IF(ISNUMBER(SEARCH("(",F542)),LEFT(F542,SEARCH("(",F542)-1),F542),Tipos!$A:$B,2,FALSE()),"outro")</f>
        <v>uuid</v>
      </c>
      <c r="M542" s="7" t="str">
        <f aca="false">IF(COUNTIF(Comparação!$H:$H,A542)&gt;0,"sim",IF(AND(G542="sim",H542=""),"FALTA (obrigatória)","não"))</f>
        <v>FALTA (obrigatória)</v>
      </c>
    </row>
    <row r="543" customFormat="false" ht="15" hidden="false" customHeight="false" outlineLevel="0" collapsed="false">
      <c r="A543" s="7" t="str">
        <f aca="false">B543&amp;"."&amp;E543</f>
        <v>estrategia_blocos.ordem</v>
      </c>
      <c r="B543" s="7" t="s">
        <v>108</v>
      </c>
      <c r="C543" s="7" t="s">
        <v>31</v>
      </c>
      <c r="D543" s="7" t="n">
        <v>4</v>
      </c>
      <c r="E543" s="7" t="s">
        <v>268</v>
      </c>
      <c r="F543" s="7" t="s">
        <v>269</v>
      </c>
      <c r="G543" s="7" t="s">
        <v>262</v>
      </c>
      <c r="H543" s="7" t="s">
        <v>339</v>
      </c>
      <c r="I543" s="7"/>
      <c r="J543" s="7"/>
      <c r="K543" s="7"/>
      <c r="L543" s="7" t="str">
        <f aca="false">IFERROR(VLOOKUP(IF(ISNUMBER(SEARCH("(",F543)),LEFT(F543,SEARCH("(",F543)-1),F543),Tipos!$A:$B,2,FALSE()),"outro")</f>
        <v>inteiro</v>
      </c>
      <c r="M543" s="7" t="str">
        <f aca="false">IF(COUNTIF(Comparação!$H:$H,A543)&gt;0,"sim",IF(AND(G543="sim",H543=""),"FALTA (obrigatória)","não"))</f>
        <v>não</v>
      </c>
    </row>
    <row r="544" customFormat="false" ht="15" hidden="false" customHeight="false" outlineLevel="0" collapsed="false">
      <c r="A544" s="7" t="str">
        <f aca="false">B544&amp;"."&amp;E544</f>
        <v>estrategia_blocos.fase</v>
      </c>
      <c r="B544" s="7" t="s">
        <v>108</v>
      </c>
      <c r="C544" s="7" t="s">
        <v>31</v>
      </c>
      <c r="D544" s="7" t="n">
        <v>5</v>
      </c>
      <c r="E544" s="7" t="s">
        <v>340</v>
      </c>
      <c r="F544" s="7" t="s">
        <v>261</v>
      </c>
      <c r="G544" s="7" t="s">
        <v>262</v>
      </c>
      <c r="H544" s="7" t="s">
        <v>341</v>
      </c>
      <c r="I544" s="7"/>
      <c r="J544" s="7"/>
      <c r="K544" s="7" t="s">
        <v>342</v>
      </c>
      <c r="L544" s="7" t="str">
        <f aca="false">IFERROR(VLOOKUP(IF(ISNUMBER(SEARCH("(",F544)),LEFT(F544,SEARCH("(",F544)-1),F544),Tipos!$A:$B,2,FALSE()),"outro")</f>
        <v>texto</v>
      </c>
      <c r="M544" s="7" t="str">
        <f aca="false">IF(COUNTIF(Comparação!$H:$H,A544)&gt;0,"sim",IF(AND(G544="sim",H544=""),"FALTA (obrigatória)","não"))</f>
        <v>não</v>
      </c>
    </row>
    <row r="545" customFormat="false" ht="15" hidden="false" customHeight="false" outlineLevel="0" collapsed="false">
      <c r="A545" s="7" t="str">
        <f aca="false">B545&amp;"."&amp;E545</f>
        <v>estrategia_blocos.tipo</v>
      </c>
      <c r="B545" s="7" t="s">
        <v>108</v>
      </c>
      <c r="C545" s="7" t="s">
        <v>31</v>
      </c>
      <c r="D545" s="7" t="n">
        <v>6</v>
      </c>
      <c r="E545" s="7" t="s">
        <v>280</v>
      </c>
      <c r="F545" s="7" t="s">
        <v>261</v>
      </c>
      <c r="G545" s="7" t="s">
        <v>262</v>
      </c>
      <c r="H545" s="7"/>
      <c r="I545" s="7"/>
      <c r="J545" s="7"/>
      <c r="K545" s="7"/>
      <c r="L545" s="7" t="str">
        <f aca="false">IFERROR(VLOOKUP(IF(ISNUMBER(SEARCH("(",F545)),LEFT(F545,SEARCH("(",F545)-1),F545),Tipos!$A:$B,2,FALSE()),"outro")</f>
        <v>texto</v>
      </c>
      <c r="M545" s="7" t="str">
        <f aca="false">IF(COUNTIF(Comparação!$H:$H,A545)&gt;0,"sim",IF(AND(G545="sim",H545=""),"FALTA (obrigatória)","não"))</f>
        <v>FALTA (obrigatória)</v>
      </c>
    </row>
    <row r="546" customFormat="false" ht="15" hidden="false" customHeight="false" outlineLevel="0" collapsed="false">
      <c r="A546" s="7" t="str">
        <f aca="false">B546&amp;"."&amp;E546</f>
        <v>estrategia_blocos.nome</v>
      </c>
      <c r="B546" s="7" t="s">
        <v>108</v>
      </c>
      <c r="C546" s="7" t="s">
        <v>31</v>
      </c>
      <c r="D546" s="7" t="n">
        <v>7</v>
      </c>
      <c r="E546" s="7" t="s">
        <v>265</v>
      </c>
      <c r="F546" s="7" t="s">
        <v>261</v>
      </c>
      <c r="G546" s="7" t="s">
        <v>262</v>
      </c>
      <c r="H546" s="7"/>
      <c r="I546" s="7"/>
      <c r="J546" s="7"/>
      <c r="K546" s="7"/>
      <c r="L546" s="7" t="str">
        <f aca="false">IFERROR(VLOOKUP(IF(ISNUMBER(SEARCH("(",F546)),LEFT(F546,SEARCH("(",F546)-1),F546),Tipos!$A:$B,2,FALSE()),"outro")</f>
        <v>texto</v>
      </c>
      <c r="M546" s="7" t="str">
        <f aca="false">IF(COUNTIF(Comparação!$H:$H,A546)&gt;0,"sim",IF(AND(G546="sim",H546=""),"FALTA (obrigatória)","não"))</f>
        <v>FALTA (obrigatória)</v>
      </c>
    </row>
    <row r="547" customFormat="false" ht="15" hidden="false" customHeight="false" outlineLevel="0" collapsed="false">
      <c r="A547" s="7" t="str">
        <f aca="false">B547&amp;"."&amp;E547</f>
        <v>estrategia_blocos.origem_ref</v>
      </c>
      <c r="B547" s="7" t="s">
        <v>108</v>
      </c>
      <c r="C547" s="7" t="s">
        <v>31</v>
      </c>
      <c r="D547" s="7" t="n">
        <v>8</v>
      </c>
      <c r="E547" s="7" t="s">
        <v>343</v>
      </c>
      <c r="F547" s="7" t="s">
        <v>272</v>
      </c>
      <c r="G547" s="7" t="s">
        <v>267</v>
      </c>
      <c r="H547" s="7"/>
      <c r="I547" s="7"/>
      <c r="J547" s="7"/>
      <c r="K547" s="7"/>
      <c r="L547" s="7" t="str">
        <f aca="false">IFERROR(VLOOKUP(IF(ISNUMBER(SEARCH("(",F547)),LEFT(F547,SEARCH("(",F547)-1),F547),Tipos!$A:$B,2,FALSE()),"outro")</f>
        <v>uuid</v>
      </c>
      <c r="M547" s="7" t="str">
        <f aca="false">IF(COUNTIF(Comparação!$H:$H,A547)&gt;0,"sim",IF(AND(G547="sim",H547=""),"FALTA (obrigatória)","não"))</f>
        <v>não</v>
      </c>
    </row>
    <row r="548" customFormat="false" ht="15" hidden="false" customHeight="false" outlineLevel="0" collapsed="false">
      <c r="A548" s="7" t="str">
        <f aca="false">B548&amp;"."&amp;E548</f>
        <v>estrategia_blocos.criado_em</v>
      </c>
      <c r="B548" s="7" t="s">
        <v>108</v>
      </c>
      <c r="C548" s="7" t="s">
        <v>31</v>
      </c>
      <c r="D548" s="7" t="n">
        <v>9</v>
      </c>
      <c r="E548" s="7" t="s">
        <v>344</v>
      </c>
      <c r="F548" s="7" t="s">
        <v>285</v>
      </c>
      <c r="G548" s="7" t="s">
        <v>262</v>
      </c>
      <c r="H548" s="7" t="s">
        <v>286</v>
      </c>
      <c r="I548" s="7"/>
      <c r="J548" s="7"/>
      <c r="K548" s="7"/>
      <c r="L548" s="7" t="str">
        <f aca="false">IFERROR(VLOOKUP(IF(ISNUMBER(SEARCH("(",F548)),LEFT(F548,SEARCH("(",F548)-1),F548),Tipos!$A:$B,2,FALSE()),"outro")</f>
        <v>data e hora</v>
      </c>
      <c r="M548" s="7" t="str">
        <f aca="false">IF(COUNTIF(Comparação!$H:$H,A548)&gt;0,"sim",IF(AND(G548="sim",H548=""),"FALTA (obrigatória)","não"))</f>
        <v>não</v>
      </c>
    </row>
    <row r="549" customFormat="false" ht="15" hidden="false" customHeight="false" outlineLevel="0" collapsed="false">
      <c r="A549" s="7" t="str">
        <f aca="false">B549&amp;"."&amp;E549</f>
        <v>estrategia_etapas.id</v>
      </c>
      <c r="B549" s="7" t="s">
        <v>110</v>
      </c>
      <c r="C549" s="7" t="s">
        <v>31</v>
      </c>
      <c r="D549" s="7" t="n">
        <v>1</v>
      </c>
      <c r="E549" s="7" t="s">
        <v>271</v>
      </c>
      <c r="F549" s="7" t="s">
        <v>272</v>
      </c>
      <c r="G549" s="7" t="s">
        <v>262</v>
      </c>
      <c r="H549" s="7" t="s">
        <v>273</v>
      </c>
      <c r="I549" s="7" t="s">
        <v>263</v>
      </c>
      <c r="J549" s="7"/>
      <c r="K549" s="7"/>
      <c r="L549" s="7" t="str">
        <f aca="false">IFERROR(VLOOKUP(IF(ISNUMBER(SEARCH("(",F549)),LEFT(F549,SEARCH("(",F549)-1),F549),Tipos!$A:$B,2,FALSE()),"outro")</f>
        <v>uuid</v>
      </c>
      <c r="M549" s="7" t="str">
        <f aca="false">IF(COUNTIF(Comparação!$H:$H,A549)&gt;0,"sim",IF(AND(G549="sim",H549=""),"FALTA (obrigatória)","não"))</f>
        <v>não</v>
      </c>
    </row>
    <row r="550" customFormat="false" ht="15" hidden="false" customHeight="false" outlineLevel="0" collapsed="false">
      <c r="A550" s="7" t="str">
        <f aca="false">B550&amp;"."&amp;E550</f>
        <v>estrategia_etapas.workspace_id</v>
      </c>
      <c r="B550" s="7" t="s">
        <v>110</v>
      </c>
      <c r="C550" s="7" t="s">
        <v>31</v>
      </c>
      <c r="D550" s="7" t="n">
        <v>2</v>
      </c>
      <c r="E550" s="7" t="s">
        <v>274</v>
      </c>
      <c r="F550" s="7" t="s">
        <v>272</v>
      </c>
      <c r="G550" s="7" t="s">
        <v>262</v>
      </c>
      <c r="H550" s="7"/>
      <c r="I550" s="7"/>
      <c r="J550" s="7" t="s">
        <v>275</v>
      </c>
      <c r="K550" s="7"/>
      <c r="L550" s="7" t="str">
        <f aca="false">IFERROR(VLOOKUP(IF(ISNUMBER(SEARCH("(",F550)),LEFT(F550,SEARCH("(",F550)-1),F550),Tipos!$A:$B,2,FALSE()),"outro")</f>
        <v>uuid</v>
      </c>
      <c r="M550" s="7" t="str">
        <f aca="false">IF(COUNTIF(Comparação!$H:$H,A550)&gt;0,"sim",IF(AND(G550="sim",H550=""),"FALTA (obrigatória)","não"))</f>
        <v>FALTA (obrigatória)</v>
      </c>
    </row>
    <row r="551" customFormat="false" ht="15" hidden="false" customHeight="false" outlineLevel="0" collapsed="false">
      <c r="A551" s="7" t="str">
        <f aca="false">B551&amp;"."&amp;E551</f>
        <v>estrategia_etapas.funil_id</v>
      </c>
      <c r="B551" s="7" t="s">
        <v>110</v>
      </c>
      <c r="C551" s="7" t="s">
        <v>31</v>
      </c>
      <c r="D551" s="7" t="n">
        <v>3</v>
      </c>
      <c r="E551" s="7" t="s">
        <v>364</v>
      </c>
      <c r="F551" s="7" t="s">
        <v>272</v>
      </c>
      <c r="G551" s="7" t="s">
        <v>262</v>
      </c>
      <c r="H551" s="7"/>
      <c r="I551" s="7" t="s">
        <v>290</v>
      </c>
      <c r="J551" s="7" t="s">
        <v>365</v>
      </c>
      <c r="K551" s="7"/>
      <c r="L551" s="7" t="str">
        <f aca="false">IFERROR(VLOOKUP(IF(ISNUMBER(SEARCH("(",F551)),LEFT(F551,SEARCH("(",F551)-1),F551),Tipos!$A:$B,2,FALSE()),"outro")</f>
        <v>uuid</v>
      </c>
      <c r="M551" s="7" t="str">
        <f aca="false">IF(COUNTIF(Comparação!$H:$H,A551)&gt;0,"sim",IF(AND(G551="sim",H551=""),"FALTA (obrigatória)","não"))</f>
        <v>FALTA (obrigatória)</v>
      </c>
    </row>
    <row r="552" customFormat="false" ht="15" hidden="false" customHeight="false" outlineLevel="0" collapsed="false">
      <c r="A552" s="7" t="str">
        <f aca="false">B552&amp;"."&amp;E552</f>
        <v>estrategia_etapas.ordem</v>
      </c>
      <c r="B552" s="7" t="s">
        <v>110</v>
      </c>
      <c r="C552" s="7" t="s">
        <v>31</v>
      </c>
      <c r="D552" s="7" t="n">
        <v>4</v>
      </c>
      <c r="E552" s="7" t="s">
        <v>268</v>
      </c>
      <c r="F552" s="7" t="s">
        <v>269</v>
      </c>
      <c r="G552" s="7" t="s">
        <v>262</v>
      </c>
      <c r="H552" s="7" t="s">
        <v>270</v>
      </c>
      <c r="I552" s="7"/>
      <c r="J552" s="7"/>
      <c r="K552" s="7"/>
      <c r="L552" s="7" t="str">
        <f aca="false">IFERROR(VLOOKUP(IF(ISNUMBER(SEARCH("(",F552)),LEFT(F552,SEARCH("(",F552)-1),F552),Tipos!$A:$B,2,FALSE()),"outro")</f>
        <v>inteiro</v>
      </c>
      <c r="M552" s="7" t="str">
        <f aca="false">IF(COUNTIF(Comparação!$H:$H,A552)&gt;0,"sim",IF(AND(G552="sim",H552=""),"FALTA (obrigatória)","não"))</f>
        <v>não</v>
      </c>
    </row>
    <row r="553" customFormat="false" ht="15" hidden="false" customHeight="false" outlineLevel="0" collapsed="false">
      <c r="A553" s="7" t="str">
        <f aca="false">B553&amp;"."&amp;E553</f>
        <v>estrategia_etapas.fase</v>
      </c>
      <c r="B553" s="7" t="s">
        <v>110</v>
      </c>
      <c r="C553" s="7" t="s">
        <v>31</v>
      </c>
      <c r="D553" s="7" t="n">
        <v>5</v>
      </c>
      <c r="E553" s="7" t="s">
        <v>340</v>
      </c>
      <c r="F553" s="7" t="s">
        <v>261</v>
      </c>
      <c r="G553" s="7" t="s">
        <v>262</v>
      </c>
      <c r="H553" s="7" t="s">
        <v>341</v>
      </c>
      <c r="I553" s="7"/>
      <c r="J553" s="7"/>
      <c r="K553" s="7" t="s">
        <v>342</v>
      </c>
      <c r="L553" s="7" t="str">
        <f aca="false">IFERROR(VLOOKUP(IF(ISNUMBER(SEARCH("(",F553)),LEFT(F553,SEARCH("(",F553)-1),F553),Tipos!$A:$B,2,FALSE()),"outro")</f>
        <v>texto</v>
      </c>
      <c r="M553" s="7" t="str">
        <f aca="false">IF(COUNTIF(Comparação!$H:$H,A553)&gt;0,"sim",IF(AND(G553="sim",H553=""),"FALTA (obrigatória)","não"))</f>
        <v>não</v>
      </c>
    </row>
    <row r="554" customFormat="false" ht="15" hidden="false" customHeight="false" outlineLevel="0" collapsed="false">
      <c r="A554" s="7" t="str">
        <f aca="false">B554&amp;"."&amp;E554</f>
        <v>estrategia_etapas.chave</v>
      </c>
      <c r="B554" s="7" t="s">
        <v>110</v>
      </c>
      <c r="C554" s="7" t="s">
        <v>31</v>
      </c>
      <c r="D554" s="7" t="n">
        <v>6</v>
      </c>
      <c r="E554" s="7" t="s">
        <v>387</v>
      </c>
      <c r="F554" s="7" t="s">
        <v>261</v>
      </c>
      <c r="G554" s="7" t="s">
        <v>262</v>
      </c>
      <c r="H554" s="7"/>
      <c r="I554" s="7" t="s">
        <v>290</v>
      </c>
      <c r="J554" s="7"/>
      <c r="K554" s="7" t="s">
        <v>388</v>
      </c>
      <c r="L554" s="7" t="str">
        <f aca="false">IFERROR(VLOOKUP(IF(ISNUMBER(SEARCH("(",F554)),LEFT(F554,SEARCH("(",F554)-1),F554),Tipos!$A:$B,2,FALSE()),"outro")</f>
        <v>texto</v>
      </c>
      <c r="M554" s="7" t="str">
        <f aca="false">IF(COUNTIF(Comparação!$H:$H,A554)&gt;0,"sim",IF(AND(G554="sim",H554=""),"FALTA (obrigatória)","não"))</f>
        <v>FALTA (obrigatória)</v>
      </c>
    </row>
    <row r="555" customFormat="false" ht="15" hidden="false" customHeight="false" outlineLevel="0" collapsed="false">
      <c r="A555" s="7" t="str">
        <f aca="false">B555&amp;"."&amp;E555</f>
        <v>estrategia_etapas.nome</v>
      </c>
      <c r="B555" s="7" t="s">
        <v>110</v>
      </c>
      <c r="C555" s="7" t="s">
        <v>31</v>
      </c>
      <c r="D555" s="7" t="n">
        <v>7</v>
      </c>
      <c r="E555" s="7" t="s">
        <v>265</v>
      </c>
      <c r="F555" s="7" t="s">
        <v>261</v>
      </c>
      <c r="G555" s="7" t="s">
        <v>262</v>
      </c>
      <c r="H555" s="7"/>
      <c r="I555" s="7"/>
      <c r="J555" s="7"/>
      <c r="K555" s="7" t="s">
        <v>389</v>
      </c>
      <c r="L555" s="7" t="str">
        <f aca="false">IFERROR(VLOOKUP(IF(ISNUMBER(SEARCH("(",F555)),LEFT(F555,SEARCH("(",F555)-1),F555),Tipos!$A:$B,2,FALSE()),"outro")</f>
        <v>texto</v>
      </c>
      <c r="M555" s="7" t="str">
        <f aca="false">IF(COUNTIF(Comparação!$H:$H,A555)&gt;0,"sim",IF(AND(G555="sim",H555=""),"FALTA (obrigatória)","não"))</f>
        <v>FALTA (obrigatória)</v>
      </c>
    </row>
    <row r="556" customFormat="false" ht="15" hidden="false" customHeight="false" outlineLevel="0" collapsed="false">
      <c r="A556" s="7" t="str">
        <f aca="false">B556&amp;"."&amp;E556</f>
        <v>estrategia_etapas.unidade</v>
      </c>
      <c r="B556" s="7" t="s">
        <v>110</v>
      </c>
      <c r="C556" s="7" t="s">
        <v>31</v>
      </c>
      <c r="D556" s="7" t="n">
        <v>8</v>
      </c>
      <c r="E556" s="7" t="s">
        <v>390</v>
      </c>
      <c r="F556" s="7" t="s">
        <v>261</v>
      </c>
      <c r="G556" s="7" t="s">
        <v>262</v>
      </c>
      <c r="H556" s="7" t="s">
        <v>391</v>
      </c>
      <c r="I556" s="7"/>
      <c r="J556" s="7"/>
      <c r="K556" s="7" t="s">
        <v>392</v>
      </c>
      <c r="L556" s="7" t="str">
        <f aca="false">IFERROR(VLOOKUP(IF(ISNUMBER(SEARCH("(",F556)),LEFT(F556,SEARCH("(",F556)-1),F556),Tipos!$A:$B,2,FALSE()),"outro")</f>
        <v>texto</v>
      </c>
      <c r="M556" s="7" t="str">
        <f aca="false">IF(COUNTIF(Comparação!$H:$H,A556)&gt;0,"sim",IF(AND(G556="sim",H556=""),"FALTA (obrigatória)","não"))</f>
        <v>não</v>
      </c>
    </row>
    <row r="557" customFormat="false" ht="15" hidden="false" customHeight="false" outlineLevel="0" collapsed="false">
      <c r="A557" s="7" t="str">
        <f aca="false">B557&amp;"."&amp;E557</f>
        <v>estrategia_etapas.origem</v>
      </c>
      <c r="B557" s="7" t="s">
        <v>110</v>
      </c>
      <c r="C557" s="7" t="s">
        <v>31</v>
      </c>
      <c r="D557" s="7" t="n">
        <v>9</v>
      </c>
      <c r="E557" s="7" t="s">
        <v>302</v>
      </c>
      <c r="F557" s="7" t="s">
        <v>261</v>
      </c>
      <c r="G557" s="7" t="s">
        <v>262</v>
      </c>
      <c r="H557" s="7" t="s">
        <v>381</v>
      </c>
      <c r="I557" s="7"/>
      <c r="J557" s="7"/>
      <c r="K557" s="7" t="s">
        <v>393</v>
      </c>
      <c r="L557" s="7" t="str">
        <f aca="false">IFERROR(VLOOKUP(IF(ISNUMBER(SEARCH("(",F557)),LEFT(F557,SEARCH("(",F557)-1),F557),Tipos!$A:$B,2,FALSE()),"outro")</f>
        <v>texto</v>
      </c>
      <c r="M557" s="7" t="str">
        <f aca="false">IF(COUNTIF(Comparação!$H:$H,A557)&gt;0,"sim",IF(AND(G557="sim",H557=""),"FALTA (obrigatória)","não"))</f>
        <v>não</v>
      </c>
    </row>
    <row r="558" customFormat="false" ht="15" hidden="false" customHeight="false" outlineLevel="0" collapsed="false">
      <c r="A558" s="7" t="str">
        <f aca="false">B558&amp;"."&amp;E558</f>
        <v>estrategia_etapas.metrica</v>
      </c>
      <c r="B558" s="7" t="s">
        <v>110</v>
      </c>
      <c r="C558" s="7" t="s">
        <v>31</v>
      </c>
      <c r="D558" s="7" t="n">
        <v>10</v>
      </c>
      <c r="E558" s="7" t="s">
        <v>328</v>
      </c>
      <c r="F558" s="7" t="s">
        <v>261</v>
      </c>
      <c r="G558" s="7" t="s">
        <v>267</v>
      </c>
      <c r="H558" s="7"/>
      <c r="I558" s="7"/>
      <c r="J558" s="7"/>
      <c r="K558" s="7" t="s">
        <v>394</v>
      </c>
      <c r="L558" s="7" t="str">
        <f aca="false">IFERROR(VLOOKUP(IF(ISNUMBER(SEARCH("(",F558)),LEFT(F558,SEARCH("(",F558)-1),F558),Tipos!$A:$B,2,FALSE()),"outro")</f>
        <v>texto</v>
      </c>
      <c r="M558" s="7" t="str">
        <f aca="false">IF(COUNTIF(Comparação!$H:$H,A558)&gt;0,"sim",IF(AND(G558="sim",H558=""),"FALTA (obrigatória)","não"))</f>
        <v>não</v>
      </c>
    </row>
    <row r="559" customFormat="false" ht="15" hidden="false" customHeight="false" outlineLevel="0" collapsed="false">
      <c r="A559" s="7" t="str">
        <f aca="false">B559&amp;"."&amp;E559</f>
        <v>estrategia_etapas.origem_ref</v>
      </c>
      <c r="B559" s="7" t="s">
        <v>110</v>
      </c>
      <c r="C559" s="7" t="s">
        <v>31</v>
      </c>
      <c r="D559" s="7" t="n">
        <v>11</v>
      </c>
      <c r="E559" s="7" t="s">
        <v>343</v>
      </c>
      <c r="F559" s="7" t="s">
        <v>272</v>
      </c>
      <c r="G559" s="7" t="s">
        <v>267</v>
      </c>
      <c r="H559" s="7"/>
      <c r="I559" s="7"/>
      <c r="J559" s="7"/>
      <c r="K559" s="7"/>
      <c r="L559" s="7" t="str">
        <f aca="false">IFERROR(VLOOKUP(IF(ISNUMBER(SEARCH("(",F559)),LEFT(F559,SEARCH("(",F559)-1),F559),Tipos!$A:$B,2,FALSE()),"outro")</f>
        <v>uuid</v>
      </c>
      <c r="M559" s="7" t="str">
        <f aca="false">IF(COUNTIF(Comparação!$H:$H,A559)&gt;0,"sim",IF(AND(G559="sim",H559=""),"FALTA (obrigatória)","não"))</f>
        <v>não</v>
      </c>
    </row>
    <row r="560" customFormat="false" ht="15" hidden="false" customHeight="false" outlineLevel="0" collapsed="false">
      <c r="A560" s="7" t="str">
        <f aca="false">B560&amp;"."&amp;E560</f>
        <v>estrategia_etapas.conta_como</v>
      </c>
      <c r="B560" s="7" t="s">
        <v>110</v>
      </c>
      <c r="C560" s="7" t="s">
        <v>31</v>
      </c>
      <c r="D560" s="7" t="n">
        <v>12</v>
      </c>
      <c r="E560" s="7" t="s">
        <v>395</v>
      </c>
      <c r="F560" s="7" t="s">
        <v>261</v>
      </c>
      <c r="G560" s="7" t="s">
        <v>267</v>
      </c>
      <c r="H560" s="7"/>
      <c r="I560" s="7"/>
      <c r="J560" s="7"/>
      <c r="K560" s="7" t="s">
        <v>396</v>
      </c>
      <c r="L560" s="7" t="str">
        <f aca="false">IFERROR(VLOOKUP(IF(ISNUMBER(SEARCH("(",F560)),LEFT(F560,SEARCH("(",F560)-1),F560),Tipos!$A:$B,2,FALSE()),"outro")</f>
        <v>texto</v>
      </c>
      <c r="M560" s="7" t="str">
        <f aca="false">IF(COUNTIF(Comparação!$H:$H,A560)&gt;0,"sim",IF(AND(G560="sim",H560=""),"FALTA (obrigatória)","não"))</f>
        <v>não</v>
      </c>
    </row>
    <row r="561" customFormat="false" ht="15" hidden="false" customHeight="false" outlineLevel="0" collapsed="false">
      <c r="A561" s="7" t="str">
        <f aca="false">B561&amp;"."&amp;E561</f>
        <v>estrategia_etapas.taxa_esperada</v>
      </c>
      <c r="B561" s="7" t="s">
        <v>110</v>
      </c>
      <c r="C561" s="7" t="s">
        <v>31</v>
      </c>
      <c r="D561" s="7" t="n">
        <v>13</v>
      </c>
      <c r="E561" s="7" t="s">
        <v>397</v>
      </c>
      <c r="F561" s="7" t="s">
        <v>380</v>
      </c>
      <c r="G561" s="7" t="s">
        <v>267</v>
      </c>
      <c r="H561" s="7"/>
      <c r="I561" s="7"/>
      <c r="J561" s="7"/>
      <c r="K561" s="7" t="s">
        <v>398</v>
      </c>
      <c r="L561" s="7" t="str">
        <f aca="false">IFERROR(VLOOKUP(IF(ISNUMBER(SEARCH("(",F561)),LEFT(F561,SEARCH("(",F561)-1),F561),Tipos!$A:$B,2,FALSE()),"outro")</f>
        <v>decimal</v>
      </c>
      <c r="M561" s="7" t="str">
        <f aca="false">IF(COUNTIF(Comparação!$H:$H,A561)&gt;0,"sim",IF(AND(G561="sim",H561=""),"FALTA (obrigatória)","não"))</f>
        <v>não</v>
      </c>
    </row>
    <row r="562" customFormat="false" ht="15" hidden="false" customHeight="false" outlineLevel="0" collapsed="false">
      <c r="A562" s="7" t="str">
        <f aca="false">B562&amp;"."&amp;E562</f>
        <v>estrategia_etapas.criado_em</v>
      </c>
      <c r="B562" s="7" t="s">
        <v>110</v>
      </c>
      <c r="C562" s="7" t="s">
        <v>31</v>
      </c>
      <c r="D562" s="7" t="n">
        <v>14</v>
      </c>
      <c r="E562" s="7" t="s">
        <v>344</v>
      </c>
      <c r="F562" s="7" t="s">
        <v>285</v>
      </c>
      <c r="G562" s="7" t="s">
        <v>262</v>
      </c>
      <c r="H562" s="7" t="s">
        <v>286</v>
      </c>
      <c r="I562" s="7"/>
      <c r="J562" s="7"/>
      <c r="K562" s="7"/>
      <c r="L562" s="7" t="str">
        <f aca="false">IFERROR(VLOOKUP(IF(ISNUMBER(SEARCH("(",F562)),LEFT(F562,SEARCH("(",F562)-1),F562),Tipos!$A:$B,2,FALSE()),"outro")</f>
        <v>data e hora</v>
      </c>
      <c r="M562" s="7" t="str">
        <f aca="false">IF(COUNTIF(Comparação!$H:$H,A562)&gt;0,"sim",IF(AND(G562="sim",H562=""),"FALTA (obrigatória)","não"))</f>
        <v>não</v>
      </c>
    </row>
    <row r="563" customFormat="false" ht="15" hidden="false" customHeight="false" outlineLevel="0" collapsed="false">
      <c r="A563" s="7" t="str">
        <f aca="false">B563&amp;"."&amp;E563</f>
        <v>estrategia_etapas.bloco_id</v>
      </c>
      <c r="B563" s="7" t="s">
        <v>110</v>
      </c>
      <c r="C563" s="7" t="s">
        <v>31</v>
      </c>
      <c r="D563" s="7" t="n">
        <v>15</v>
      </c>
      <c r="E563" s="7" t="s">
        <v>400</v>
      </c>
      <c r="F563" s="7" t="s">
        <v>272</v>
      </c>
      <c r="G563" s="7" t="s">
        <v>267</v>
      </c>
      <c r="H563" s="7"/>
      <c r="I563" s="7"/>
      <c r="J563" s="7" t="s">
        <v>714</v>
      </c>
      <c r="K563" s="7"/>
      <c r="L563" s="7" t="str">
        <f aca="false">IFERROR(VLOOKUP(IF(ISNUMBER(SEARCH("(",F563)),LEFT(F563,SEARCH("(",F563)-1),F563),Tipos!$A:$B,2,FALSE()),"outro")</f>
        <v>uuid</v>
      </c>
      <c r="M563" s="7" t="str">
        <f aca="false">IF(COUNTIF(Comparação!$H:$H,A563)&gt;0,"sim",IF(AND(G563="sim",H563=""),"FALTA (obrigatória)","não"))</f>
        <v>não</v>
      </c>
    </row>
    <row r="564" customFormat="false" ht="15" hidden="false" customHeight="false" outlineLevel="0" collapsed="false">
      <c r="A564" s="7" t="str">
        <f aca="false">B564&amp;"."&amp;E564</f>
        <v>estrategia_etapas.papel</v>
      </c>
      <c r="B564" s="7" t="s">
        <v>110</v>
      </c>
      <c r="C564" s="7" t="s">
        <v>31</v>
      </c>
      <c r="D564" s="7" t="n">
        <v>16</v>
      </c>
      <c r="E564" s="7" t="s">
        <v>402</v>
      </c>
      <c r="F564" s="7" t="s">
        <v>261</v>
      </c>
      <c r="G564" s="7" t="s">
        <v>267</v>
      </c>
      <c r="H564" s="7"/>
      <c r="I564" s="7"/>
      <c r="J564" s="7"/>
      <c r="K564" s="7" t="s">
        <v>403</v>
      </c>
      <c r="L564" s="7" t="str">
        <f aca="false">IFERROR(VLOOKUP(IF(ISNUMBER(SEARCH("(",F564)),LEFT(F564,SEARCH("(",F564)-1),F564),Tipos!$A:$B,2,FALSE()),"outro")</f>
        <v>texto</v>
      </c>
      <c r="M564" s="7" t="str">
        <f aca="false">IF(COUNTIF(Comparação!$H:$H,A564)&gt;0,"sim",IF(AND(G564="sim",H564=""),"FALTA (obrigatória)","não"))</f>
        <v>não</v>
      </c>
    </row>
    <row r="565" customFormat="false" ht="15" hidden="false" customHeight="false" outlineLevel="0" collapsed="false">
      <c r="A565" s="7" t="str">
        <f aca="false">B565&amp;"."&amp;E565</f>
        <v>estrategia_etapas.fonte</v>
      </c>
      <c r="B565" s="7" t="s">
        <v>110</v>
      </c>
      <c r="C565" s="7" t="s">
        <v>31</v>
      </c>
      <c r="D565" s="7" t="n">
        <v>17</v>
      </c>
      <c r="E565" s="7" t="s">
        <v>333</v>
      </c>
      <c r="F565" s="7" t="s">
        <v>261</v>
      </c>
      <c r="G565" s="7" t="s">
        <v>267</v>
      </c>
      <c r="H565" s="7"/>
      <c r="I565" s="7"/>
      <c r="J565" s="7"/>
      <c r="K565" s="7"/>
      <c r="L565" s="7" t="str">
        <f aca="false">IFERROR(VLOOKUP(IF(ISNUMBER(SEARCH("(",F565)),LEFT(F565,SEARCH("(",F565)-1),F565),Tipos!$A:$B,2,FALSE()),"outro")</f>
        <v>texto</v>
      </c>
      <c r="M565" s="7" t="str">
        <f aca="false">IF(COUNTIF(Comparação!$H:$H,A565)&gt;0,"sim",IF(AND(G565="sim",H565=""),"FALTA (obrigatória)","não"))</f>
        <v>não</v>
      </c>
    </row>
    <row r="566" customFormat="false" ht="15" hidden="false" customHeight="false" outlineLevel="0" collapsed="false">
      <c r="A566" s="7" t="str">
        <f aca="false">B566&amp;"."&amp;E566</f>
        <v>etapas_catalogo.id</v>
      </c>
      <c r="B566" s="7" t="s">
        <v>112</v>
      </c>
      <c r="C566" s="7" t="s">
        <v>31</v>
      </c>
      <c r="D566" s="7" t="n">
        <v>1</v>
      </c>
      <c r="E566" s="7" t="s">
        <v>271</v>
      </c>
      <c r="F566" s="7" t="s">
        <v>272</v>
      </c>
      <c r="G566" s="7" t="s">
        <v>262</v>
      </c>
      <c r="H566" s="7" t="s">
        <v>273</v>
      </c>
      <c r="I566" s="7" t="s">
        <v>263</v>
      </c>
      <c r="J566" s="7"/>
      <c r="K566" s="7"/>
      <c r="L566" s="7" t="str">
        <f aca="false">IFERROR(VLOOKUP(IF(ISNUMBER(SEARCH("(",F566)),LEFT(F566,SEARCH("(",F566)-1),F566),Tipos!$A:$B,2,FALSE()),"outro")</f>
        <v>uuid</v>
      </c>
      <c r="M566" s="7" t="str">
        <f aca="false">IF(COUNTIF(Comparação!$H:$H,A566)&gt;0,"sim",IF(AND(G566="sim",H566=""),"FALTA (obrigatória)","não"))</f>
        <v>não</v>
      </c>
    </row>
    <row r="567" customFormat="false" ht="15" hidden="false" customHeight="false" outlineLevel="0" collapsed="false">
      <c r="A567" s="7" t="str">
        <f aca="false">B567&amp;"."&amp;E567</f>
        <v>etapas_catalogo.workspace_id</v>
      </c>
      <c r="B567" s="7" t="s">
        <v>112</v>
      </c>
      <c r="C567" s="7" t="s">
        <v>31</v>
      </c>
      <c r="D567" s="7" t="n">
        <v>2</v>
      </c>
      <c r="E567" s="7" t="s">
        <v>274</v>
      </c>
      <c r="F567" s="7" t="s">
        <v>272</v>
      </c>
      <c r="G567" s="7" t="s">
        <v>262</v>
      </c>
      <c r="H567" s="7"/>
      <c r="I567" s="7" t="s">
        <v>290</v>
      </c>
      <c r="J567" s="7" t="s">
        <v>275</v>
      </c>
      <c r="K567" s="7"/>
      <c r="L567" s="7" t="str">
        <f aca="false">IFERROR(VLOOKUP(IF(ISNUMBER(SEARCH("(",F567)),LEFT(F567,SEARCH("(",F567)-1),F567),Tipos!$A:$B,2,FALSE()),"outro")</f>
        <v>uuid</v>
      </c>
      <c r="M567" s="7" t="str">
        <f aca="false">IF(COUNTIF(Comparação!$H:$H,A567)&gt;0,"sim",IF(AND(G567="sim",H567=""),"FALTA (obrigatória)","não"))</f>
        <v>FALTA (obrigatória)</v>
      </c>
    </row>
    <row r="568" customFormat="false" ht="15" hidden="false" customHeight="false" outlineLevel="0" collapsed="false">
      <c r="A568" s="7" t="str">
        <f aca="false">B568&amp;"."&amp;E568</f>
        <v>etapas_catalogo.chave</v>
      </c>
      <c r="B568" s="7" t="s">
        <v>112</v>
      </c>
      <c r="C568" s="7" t="s">
        <v>31</v>
      </c>
      <c r="D568" s="7" t="n">
        <v>3</v>
      </c>
      <c r="E568" s="7" t="s">
        <v>387</v>
      </c>
      <c r="F568" s="7" t="s">
        <v>261</v>
      </c>
      <c r="G568" s="7" t="s">
        <v>262</v>
      </c>
      <c r="H568" s="7"/>
      <c r="I568" s="7" t="s">
        <v>290</v>
      </c>
      <c r="J568" s="7"/>
      <c r="K568" s="7" t="s">
        <v>388</v>
      </c>
      <c r="L568" s="7" t="str">
        <f aca="false">IFERROR(VLOOKUP(IF(ISNUMBER(SEARCH("(",F568)),LEFT(F568,SEARCH("(",F568)-1),F568),Tipos!$A:$B,2,FALSE()),"outro")</f>
        <v>texto</v>
      </c>
      <c r="M568" s="7" t="str">
        <f aca="false">IF(COUNTIF(Comparação!$H:$H,A568)&gt;0,"sim",IF(AND(G568="sim",H568=""),"FALTA (obrigatória)","não"))</f>
        <v>FALTA (obrigatória)</v>
      </c>
    </row>
    <row r="569" customFormat="false" ht="15" hidden="false" customHeight="false" outlineLevel="0" collapsed="false">
      <c r="A569" s="7" t="str">
        <f aca="false">B569&amp;"."&amp;E569</f>
        <v>etapas_catalogo.nome</v>
      </c>
      <c r="B569" s="7" t="s">
        <v>112</v>
      </c>
      <c r="C569" s="7" t="s">
        <v>31</v>
      </c>
      <c r="D569" s="7" t="n">
        <v>4</v>
      </c>
      <c r="E569" s="7" t="s">
        <v>265</v>
      </c>
      <c r="F569" s="7" t="s">
        <v>261</v>
      </c>
      <c r="G569" s="7" t="s">
        <v>262</v>
      </c>
      <c r="H569" s="7"/>
      <c r="I569" s="7"/>
      <c r="J569" s="7"/>
      <c r="K569" s="7" t="s">
        <v>389</v>
      </c>
      <c r="L569" s="7" t="str">
        <f aca="false">IFERROR(VLOOKUP(IF(ISNUMBER(SEARCH("(",F569)),LEFT(F569,SEARCH("(",F569)-1),F569),Tipos!$A:$B,2,FALSE()),"outro")</f>
        <v>texto</v>
      </c>
      <c r="M569" s="7" t="str">
        <f aca="false">IF(COUNTIF(Comparação!$H:$H,A569)&gt;0,"sim",IF(AND(G569="sim",H569=""),"FALTA (obrigatória)","não"))</f>
        <v>FALTA (obrigatória)</v>
      </c>
    </row>
    <row r="570" customFormat="false" ht="15" hidden="false" customHeight="false" outlineLevel="0" collapsed="false">
      <c r="A570" s="7" t="str">
        <f aca="false">B570&amp;"."&amp;E570</f>
        <v>etapas_catalogo.unidade</v>
      </c>
      <c r="B570" s="7" t="s">
        <v>112</v>
      </c>
      <c r="C570" s="7" t="s">
        <v>31</v>
      </c>
      <c r="D570" s="7" t="n">
        <v>5</v>
      </c>
      <c r="E570" s="7" t="s">
        <v>390</v>
      </c>
      <c r="F570" s="7" t="s">
        <v>261</v>
      </c>
      <c r="G570" s="7" t="s">
        <v>262</v>
      </c>
      <c r="H570" s="7" t="s">
        <v>391</v>
      </c>
      <c r="I570" s="7"/>
      <c r="J570" s="7"/>
      <c r="K570" s="7" t="s">
        <v>392</v>
      </c>
      <c r="L570" s="7" t="str">
        <f aca="false">IFERROR(VLOOKUP(IF(ISNUMBER(SEARCH("(",F570)),LEFT(F570,SEARCH("(",F570)-1),F570),Tipos!$A:$B,2,FALSE()),"outro")</f>
        <v>texto</v>
      </c>
      <c r="M570" s="7" t="str">
        <f aca="false">IF(COUNTIF(Comparação!$H:$H,A570)&gt;0,"sim",IF(AND(G570="sim",H570=""),"FALTA (obrigatória)","não"))</f>
        <v>não</v>
      </c>
    </row>
    <row r="571" customFormat="false" ht="15" hidden="false" customHeight="false" outlineLevel="0" collapsed="false">
      <c r="A571" s="7" t="str">
        <f aca="false">B571&amp;"."&amp;E571</f>
        <v>etapas_catalogo.origem</v>
      </c>
      <c r="B571" s="7" t="s">
        <v>112</v>
      </c>
      <c r="C571" s="7" t="s">
        <v>31</v>
      </c>
      <c r="D571" s="7" t="n">
        <v>6</v>
      </c>
      <c r="E571" s="7" t="s">
        <v>302</v>
      </c>
      <c r="F571" s="7" t="s">
        <v>261</v>
      </c>
      <c r="G571" s="7" t="s">
        <v>262</v>
      </c>
      <c r="H571" s="7" t="s">
        <v>381</v>
      </c>
      <c r="I571" s="7"/>
      <c r="J571" s="7"/>
      <c r="K571" s="7" t="s">
        <v>393</v>
      </c>
      <c r="L571" s="7" t="str">
        <f aca="false">IFERROR(VLOOKUP(IF(ISNUMBER(SEARCH("(",F571)),LEFT(F571,SEARCH("(",F571)-1),F571),Tipos!$A:$B,2,FALSE()),"outro")</f>
        <v>texto</v>
      </c>
      <c r="M571" s="7" t="str">
        <f aca="false">IF(COUNTIF(Comparação!$H:$H,A571)&gt;0,"sim",IF(AND(G571="sim",H571=""),"FALTA (obrigatória)","não"))</f>
        <v>não</v>
      </c>
    </row>
    <row r="572" customFormat="false" ht="15" hidden="false" customHeight="false" outlineLevel="0" collapsed="false">
      <c r="A572" s="7" t="str">
        <f aca="false">B572&amp;"."&amp;E572</f>
        <v>etapas_catalogo.metrica</v>
      </c>
      <c r="B572" s="7" t="s">
        <v>112</v>
      </c>
      <c r="C572" s="7" t="s">
        <v>31</v>
      </c>
      <c r="D572" s="7" t="n">
        <v>7</v>
      </c>
      <c r="E572" s="7" t="s">
        <v>328</v>
      </c>
      <c r="F572" s="7" t="s">
        <v>261</v>
      </c>
      <c r="G572" s="7" t="s">
        <v>267</v>
      </c>
      <c r="H572" s="7"/>
      <c r="I572" s="7"/>
      <c r="J572" s="7"/>
      <c r="K572" s="7" t="s">
        <v>394</v>
      </c>
      <c r="L572" s="7" t="str">
        <f aca="false">IFERROR(VLOOKUP(IF(ISNUMBER(SEARCH("(",F572)),LEFT(F572,SEARCH("(",F572)-1),F572),Tipos!$A:$B,2,FALSE()),"outro")</f>
        <v>texto</v>
      </c>
      <c r="M572" s="7" t="str">
        <f aca="false">IF(COUNTIF(Comparação!$H:$H,A572)&gt;0,"sim",IF(AND(G572="sim",H572=""),"FALTA (obrigatória)","não"))</f>
        <v>não</v>
      </c>
    </row>
    <row r="573" customFormat="false" ht="15" hidden="false" customHeight="false" outlineLevel="0" collapsed="false">
      <c r="A573" s="7" t="str">
        <f aca="false">B573&amp;"."&amp;E573</f>
        <v>etapas_catalogo.criado_em</v>
      </c>
      <c r="B573" s="7" t="s">
        <v>112</v>
      </c>
      <c r="C573" s="7" t="s">
        <v>31</v>
      </c>
      <c r="D573" s="7" t="n">
        <v>8</v>
      </c>
      <c r="E573" s="7" t="s">
        <v>344</v>
      </c>
      <c r="F573" s="7" t="s">
        <v>285</v>
      </c>
      <c r="G573" s="7" t="s">
        <v>262</v>
      </c>
      <c r="H573" s="7" t="s">
        <v>286</v>
      </c>
      <c r="I573" s="7"/>
      <c r="J573" s="7"/>
      <c r="K573" s="7"/>
      <c r="L573" s="7" t="str">
        <f aca="false">IFERROR(VLOOKUP(IF(ISNUMBER(SEARCH("(",F573)),LEFT(F573,SEARCH("(",F573)-1),F573),Tipos!$A:$B,2,FALSE()),"outro")</f>
        <v>data e hora</v>
      </c>
      <c r="M573" s="7" t="str">
        <f aca="false">IF(COUNTIF(Comparação!$H:$H,A573)&gt;0,"sim",IF(AND(G573="sim",H573=""),"FALTA (obrigatória)","não"))</f>
        <v>não</v>
      </c>
    </row>
    <row r="574" customFormat="false" ht="15" hidden="false" customHeight="false" outlineLevel="0" collapsed="false">
      <c r="A574" s="7" t="str">
        <f aca="false">B574&amp;"."&amp;E574</f>
        <v>etapas_kanban.id</v>
      </c>
      <c r="B574" s="7" t="s">
        <v>113</v>
      </c>
      <c r="C574" s="7" t="s">
        <v>66</v>
      </c>
      <c r="D574" s="7" t="n">
        <v>1</v>
      </c>
      <c r="E574" s="7" t="s">
        <v>271</v>
      </c>
      <c r="F574" s="7" t="s">
        <v>272</v>
      </c>
      <c r="G574" s="7" t="s">
        <v>262</v>
      </c>
      <c r="H574" s="7" t="s">
        <v>273</v>
      </c>
      <c r="I574" s="7" t="s">
        <v>263</v>
      </c>
      <c r="J574" s="7"/>
      <c r="K574" s="7"/>
      <c r="L574" s="7" t="str">
        <f aca="false">IFERROR(VLOOKUP(IF(ISNUMBER(SEARCH("(",F574)),LEFT(F574,SEARCH("(",F574)-1),F574),Tipos!$A:$B,2,FALSE()),"outro")</f>
        <v>uuid</v>
      </c>
      <c r="M574" s="7" t="str">
        <f aca="false">IF(COUNTIF(Comparação!$H:$H,A574)&gt;0,"sim",IF(AND(G574="sim",H574=""),"FALTA (obrigatória)","não"))</f>
        <v>não</v>
      </c>
    </row>
    <row r="575" customFormat="false" ht="15" hidden="false" customHeight="false" outlineLevel="0" collapsed="false">
      <c r="A575" s="7" t="str">
        <f aca="false">B575&amp;"."&amp;E575</f>
        <v>etapas_kanban.workspace_id</v>
      </c>
      <c r="B575" s="7" t="s">
        <v>113</v>
      </c>
      <c r="C575" s="7" t="s">
        <v>66</v>
      </c>
      <c r="D575" s="7" t="n">
        <v>2</v>
      </c>
      <c r="E575" s="7" t="s">
        <v>274</v>
      </c>
      <c r="F575" s="7" t="s">
        <v>272</v>
      </c>
      <c r="G575" s="7" t="s">
        <v>262</v>
      </c>
      <c r="H575" s="7"/>
      <c r="I575" s="7" t="s">
        <v>290</v>
      </c>
      <c r="J575" s="7" t="s">
        <v>275</v>
      </c>
      <c r="K575" s="7"/>
      <c r="L575" s="7" t="str">
        <f aca="false">IFERROR(VLOOKUP(IF(ISNUMBER(SEARCH("(",F575)),LEFT(F575,SEARCH("(",F575)-1),F575),Tipos!$A:$B,2,FALSE()),"outro")</f>
        <v>uuid</v>
      </c>
      <c r="M575" s="7" t="str">
        <f aca="false">IF(COUNTIF(Comparação!$H:$H,A575)&gt;0,"sim",IF(AND(G575="sim",H575=""),"FALTA (obrigatória)","não"))</f>
        <v>FALTA (obrigatória)</v>
      </c>
    </row>
    <row r="576" customFormat="false" ht="15" hidden="false" customHeight="false" outlineLevel="0" collapsed="false">
      <c r="A576" s="7" t="str">
        <f aca="false">B576&amp;"."&amp;E576</f>
        <v>etapas_kanban.quadro</v>
      </c>
      <c r="B576" s="7" t="s">
        <v>113</v>
      </c>
      <c r="C576" s="7" t="s">
        <v>66</v>
      </c>
      <c r="D576" s="7" t="n">
        <v>3</v>
      </c>
      <c r="E576" s="7" t="s">
        <v>715</v>
      </c>
      <c r="F576" s="7" t="s">
        <v>261</v>
      </c>
      <c r="G576" s="7" t="s">
        <v>262</v>
      </c>
      <c r="H576" s="7"/>
      <c r="I576" s="7" t="s">
        <v>290</v>
      </c>
      <c r="J576" s="7"/>
      <c r="K576" s="7" t="s">
        <v>716</v>
      </c>
      <c r="L576" s="7" t="str">
        <f aca="false">IFERROR(VLOOKUP(IF(ISNUMBER(SEARCH("(",F576)),LEFT(F576,SEARCH("(",F576)-1),F576),Tipos!$A:$B,2,FALSE()),"outro")</f>
        <v>texto</v>
      </c>
      <c r="M576" s="7" t="str">
        <f aca="false">IF(COUNTIF(Comparação!$H:$H,A576)&gt;0,"sim",IF(AND(G576="sim",H576=""),"FALTA (obrigatória)","não"))</f>
        <v>FALTA (obrigatória)</v>
      </c>
    </row>
    <row r="577" customFormat="false" ht="15" hidden="false" customHeight="false" outlineLevel="0" collapsed="false">
      <c r="A577" s="7" t="str">
        <f aca="false">B577&amp;"."&amp;E577</f>
        <v>etapas_kanban.nome</v>
      </c>
      <c r="B577" s="7" t="s">
        <v>113</v>
      </c>
      <c r="C577" s="7" t="s">
        <v>66</v>
      </c>
      <c r="D577" s="7" t="n">
        <v>4</v>
      </c>
      <c r="E577" s="7" t="s">
        <v>265</v>
      </c>
      <c r="F577" s="7" t="s">
        <v>261</v>
      </c>
      <c r="G577" s="7" t="s">
        <v>262</v>
      </c>
      <c r="H577" s="7"/>
      <c r="I577" s="7" t="s">
        <v>290</v>
      </c>
      <c r="J577" s="7"/>
      <c r="K577" s="7"/>
      <c r="L577" s="7" t="str">
        <f aca="false">IFERROR(VLOOKUP(IF(ISNUMBER(SEARCH("(",F577)),LEFT(F577,SEARCH("(",F577)-1),F577),Tipos!$A:$B,2,FALSE()),"outro")</f>
        <v>texto</v>
      </c>
      <c r="M577" s="7" t="str">
        <f aca="false">IF(COUNTIF(Comparação!$H:$H,A577)&gt;0,"sim",IF(AND(G577="sim",H577=""),"FALTA (obrigatória)","não"))</f>
        <v>FALTA (obrigatória)</v>
      </c>
    </row>
    <row r="578" customFormat="false" ht="15" hidden="false" customHeight="false" outlineLevel="0" collapsed="false">
      <c r="A578" s="7" t="str">
        <f aca="false">B578&amp;"."&amp;E578</f>
        <v>etapas_kanban.ordem</v>
      </c>
      <c r="B578" s="7" t="s">
        <v>113</v>
      </c>
      <c r="C578" s="7" t="s">
        <v>66</v>
      </c>
      <c r="D578" s="7" t="n">
        <v>5</v>
      </c>
      <c r="E578" s="7" t="s">
        <v>268</v>
      </c>
      <c r="F578" s="7" t="s">
        <v>269</v>
      </c>
      <c r="G578" s="7" t="s">
        <v>262</v>
      </c>
      <c r="H578" s="7"/>
      <c r="I578" s="7"/>
      <c r="J578" s="7"/>
      <c r="K578" s="7"/>
      <c r="L578" s="7" t="str">
        <f aca="false">IFERROR(VLOOKUP(IF(ISNUMBER(SEARCH("(",F578)),LEFT(F578,SEARCH("(",F578)-1),F578),Tipos!$A:$B,2,FALSE()),"outro")</f>
        <v>inteiro</v>
      </c>
      <c r="M578" s="7" t="str">
        <f aca="false">IF(COUNTIF(Comparação!$H:$H,A578)&gt;0,"sim",IF(AND(G578="sim",H578=""),"FALTA (obrigatória)","não"))</f>
        <v>FALTA (obrigatória)</v>
      </c>
    </row>
    <row r="579" customFormat="false" ht="15" hidden="false" customHeight="false" outlineLevel="0" collapsed="false">
      <c r="A579" s="7" t="str">
        <f aca="false">B579&amp;"."&amp;E579</f>
        <v>etapas_kanban.descricao</v>
      </c>
      <c r="B579" s="7" t="s">
        <v>113</v>
      </c>
      <c r="C579" s="7" t="s">
        <v>66</v>
      </c>
      <c r="D579" s="7" t="n">
        <v>6</v>
      </c>
      <c r="E579" s="7" t="s">
        <v>427</v>
      </c>
      <c r="F579" s="7" t="s">
        <v>261</v>
      </c>
      <c r="G579" s="7" t="s">
        <v>267</v>
      </c>
      <c r="H579" s="7"/>
      <c r="I579" s="7"/>
      <c r="J579" s="7"/>
      <c r="K579" s="7"/>
      <c r="L579" s="7" t="str">
        <f aca="false">IFERROR(VLOOKUP(IF(ISNUMBER(SEARCH("(",F579)),LEFT(F579,SEARCH("(",F579)-1),F579),Tipos!$A:$B,2,FALSE()),"outro")</f>
        <v>texto</v>
      </c>
      <c r="M579" s="7" t="str">
        <f aca="false">IF(COUNTIF(Comparação!$H:$H,A579)&gt;0,"sim",IF(AND(G579="sim",H579=""),"FALTA (obrigatória)","não"))</f>
        <v>não</v>
      </c>
    </row>
    <row r="580" customFormat="false" ht="15" hidden="false" customHeight="false" outlineLevel="0" collapsed="false">
      <c r="A580" s="7" t="str">
        <f aca="false">B580&amp;"."&amp;E580</f>
        <v>etapas_kanban.mensagem_padrao</v>
      </c>
      <c r="B580" s="7" t="s">
        <v>113</v>
      </c>
      <c r="C580" s="7" t="s">
        <v>66</v>
      </c>
      <c r="D580" s="7" t="n">
        <v>7</v>
      </c>
      <c r="E580" s="7" t="s">
        <v>717</v>
      </c>
      <c r="F580" s="7" t="s">
        <v>261</v>
      </c>
      <c r="G580" s="7" t="s">
        <v>267</v>
      </c>
      <c r="H580" s="7"/>
      <c r="I580" s="7"/>
      <c r="J580" s="7"/>
      <c r="K580" s="7"/>
      <c r="L580" s="7" t="str">
        <f aca="false">IFERROR(VLOOKUP(IF(ISNUMBER(SEARCH("(",F580)),LEFT(F580,SEARCH("(",F580)-1),F580),Tipos!$A:$B,2,FALSE()),"outro")</f>
        <v>texto</v>
      </c>
      <c r="M580" s="7" t="str">
        <f aca="false">IF(COUNTIF(Comparação!$H:$H,A580)&gt;0,"sim",IF(AND(G580="sim",H580=""),"FALTA (obrigatória)","não"))</f>
        <v>não</v>
      </c>
    </row>
    <row r="581" customFormat="false" ht="15" hidden="false" customHeight="false" outlineLevel="0" collapsed="false">
      <c r="A581" s="7" t="str">
        <f aca="false">B581&amp;"."&amp;E581</f>
        <v>etapas_kanban.alertar_responsavel</v>
      </c>
      <c r="B581" s="7" t="s">
        <v>113</v>
      </c>
      <c r="C581" s="7" t="s">
        <v>66</v>
      </c>
      <c r="D581" s="7" t="n">
        <v>8</v>
      </c>
      <c r="E581" s="7" t="s">
        <v>718</v>
      </c>
      <c r="F581" s="7" t="s">
        <v>310</v>
      </c>
      <c r="G581" s="7" t="s">
        <v>262</v>
      </c>
      <c r="H581" s="7" t="s">
        <v>375</v>
      </c>
      <c r="I581" s="7"/>
      <c r="J581" s="7"/>
      <c r="K581" s="7"/>
      <c r="L581" s="7" t="str">
        <f aca="false">IFERROR(VLOOKUP(IF(ISNUMBER(SEARCH("(",F581)),LEFT(F581,SEARCH("(",F581)-1),F581),Tipos!$A:$B,2,FALSE()),"outro")</f>
        <v>booleano</v>
      </c>
      <c r="M581" s="7" t="str">
        <f aca="false">IF(COUNTIF(Comparação!$H:$H,A581)&gt;0,"sim",IF(AND(G581="sim",H581=""),"FALTA (obrigatória)","não"))</f>
        <v>não</v>
      </c>
    </row>
    <row r="582" customFormat="false" ht="15" hidden="false" customHeight="false" outlineLevel="0" collapsed="false">
      <c r="A582" s="7" t="str">
        <f aca="false">B582&amp;"."&amp;E582</f>
        <v>exp_guardrails.id</v>
      </c>
      <c r="B582" s="7" t="s">
        <v>114</v>
      </c>
      <c r="C582" s="7" t="s">
        <v>115</v>
      </c>
      <c r="D582" s="7" t="n">
        <v>1</v>
      </c>
      <c r="E582" s="7" t="s">
        <v>271</v>
      </c>
      <c r="F582" s="7" t="s">
        <v>272</v>
      </c>
      <c r="G582" s="7" t="s">
        <v>262</v>
      </c>
      <c r="H582" s="7" t="s">
        <v>273</v>
      </c>
      <c r="I582" s="7" t="s">
        <v>263</v>
      </c>
      <c r="J582" s="7"/>
      <c r="K582" s="7"/>
      <c r="L582" s="7" t="str">
        <f aca="false">IFERROR(VLOOKUP(IF(ISNUMBER(SEARCH("(",F582)),LEFT(F582,SEARCH("(",F582)-1),F582),Tipos!$A:$B,2,FALSE()),"outro")</f>
        <v>uuid</v>
      </c>
      <c r="M582" s="7" t="str">
        <f aca="false">IF(COUNTIF(Comparação!$H:$H,A582)&gt;0,"sim",IF(AND(G582="sim",H582=""),"FALTA (obrigatória)","não"))</f>
        <v>não</v>
      </c>
    </row>
    <row r="583" customFormat="false" ht="15" hidden="false" customHeight="false" outlineLevel="0" collapsed="false">
      <c r="A583" s="7" t="str">
        <f aca="false">B583&amp;"."&amp;E583</f>
        <v>exp_guardrails.workspace_id</v>
      </c>
      <c r="B583" s="7" t="s">
        <v>114</v>
      </c>
      <c r="C583" s="7" t="s">
        <v>115</v>
      </c>
      <c r="D583" s="7" t="n">
        <v>2</v>
      </c>
      <c r="E583" s="7" t="s">
        <v>274</v>
      </c>
      <c r="F583" s="7" t="s">
        <v>272</v>
      </c>
      <c r="G583" s="7" t="s">
        <v>262</v>
      </c>
      <c r="H583" s="7"/>
      <c r="I583" s="7"/>
      <c r="J583" s="7" t="s">
        <v>275</v>
      </c>
      <c r="K583" s="7"/>
      <c r="L583" s="7" t="str">
        <f aca="false">IFERROR(VLOOKUP(IF(ISNUMBER(SEARCH("(",F583)),LEFT(F583,SEARCH("(",F583)-1),F583),Tipos!$A:$B,2,FALSE()),"outro")</f>
        <v>uuid</v>
      </c>
      <c r="M583" s="7" t="str">
        <f aca="false">IF(COUNTIF(Comparação!$H:$H,A583)&gt;0,"sim",IF(AND(G583="sim",H583=""),"FALTA (obrigatória)","não"))</f>
        <v>FALTA (obrigatória)</v>
      </c>
    </row>
    <row r="584" customFormat="false" ht="15" hidden="false" customHeight="false" outlineLevel="0" collapsed="false">
      <c r="A584" s="7" t="str">
        <f aca="false">B584&amp;"."&amp;E584</f>
        <v>exp_guardrails.experimento_id</v>
      </c>
      <c r="B584" s="7" t="s">
        <v>114</v>
      </c>
      <c r="C584" s="7" t="s">
        <v>115</v>
      </c>
      <c r="D584" s="7" t="n">
        <v>3</v>
      </c>
      <c r="E584" s="7" t="s">
        <v>719</v>
      </c>
      <c r="F584" s="7" t="s">
        <v>272</v>
      </c>
      <c r="G584" s="7" t="s">
        <v>262</v>
      </c>
      <c r="H584" s="7"/>
      <c r="I584" s="7" t="s">
        <v>290</v>
      </c>
      <c r="J584" s="7" t="s">
        <v>720</v>
      </c>
      <c r="K584" s="7"/>
      <c r="L584" s="7" t="str">
        <f aca="false">IFERROR(VLOOKUP(IF(ISNUMBER(SEARCH("(",F584)),LEFT(F584,SEARCH("(",F584)-1),F584),Tipos!$A:$B,2,FALSE()),"outro")</f>
        <v>uuid</v>
      </c>
      <c r="M584" s="7" t="str">
        <f aca="false">IF(COUNTIF(Comparação!$H:$H,A584)&gt;0,"sim",IF(AND(G584="sim",H584=""),"FALTA (obrigatória)","não"))</f>
        <v>FALTA (obrigatória)</v>
      </c>
    </row>
    <row r="585" customFormat="false" ht="15" hidden="false" customHeight="false" outlineLevel="0" collapsed="false">
      <c r="A585" s="7" t="str">
        <f aca="false">B585&amp;"."&amp;E585</f>
        <v>exp_guardrails.guardrail_id</v>
      </c>
      <c r="B585" s="7" t="s">
        <v>114</v>
      </c>
      <c r="C585" s="7" t="s">
        <v>115</v>
      </c>
      <c r="D585" s="7" t="n">
        <v>4</v>
      </c>
      <c r="E585" s="7" t="s">
        <v>721</v>
      </c>
      <c r="F585" s="7" t="s">
        <v>272</v>
      </c>
      <c r="G585" s="7" t="s">
        <v>262</v>
      </c>
      <c r="H585" s="7"/>
      <c r="I585" s="7" t="s">
        <v>290</v>
      </c>
      <c r="J585" s="7" t="s">
        <v>722</v>
      </c>
      <c r="K585" s="7"/>
      <c r="L585" s="7" t="str">
        <f aca="false">IFERROR(VLOOKUP(IF(ISNUMBER(SEARCH("(",F585)),LEFT(F585,SEARCH("(",F585)-1),F585),Tipos!$A:$B,2,FALSE()),"outro")</f>
        <v>uuid</v>
      </c>
      <c r="M585" s="7" t="str">
        <f aca="false">IF(COUNTIF(Comparação!$H:$H,A585)&gt;0,"sim",IF(AND(G585="sim",H585=""),"FALTA (obrigatória)","não"))</f>
        <v>FALTA (obrigatória)</v>
      </c>
    </row>
    <row r="586" customFormat="false" ht="15" hidden="false" customHeight="false" outlineLevel="0" collapsed="false">
      <c r="A586" s="7" t="str">
        <f aca="false">B586&amp;"."&amp;E586</f>
        <v>exp_guardrails.ativado_em</v>
      </c>
      <c r="B586" s="7" t="s">
        <v>114</v>
      </c>
      <c r="C586" s="7" t="s">
        <v>115</v>
      </c>
      <c r="D586" s="7" t="n">
        <v>5</v>
      </c>
      <c r="E586" s="7" t="s">
        <v>662</v>
      </c>
      <c r="F586" s="7" t="s">
        <v>285</v>
      </c>
      <c r="G586" s="7" t="s">
        <v>262</v>
      </c>
      <c r="H586" s="7" t="s">
        <v>286</v>
      </c>
      <c r="I586" s="7"/>
      <c r="J586" s="7"/>
      <c r="K586" s="7"/>
      <c r="L586" s="7" t="str">
        <f aca="false">IFERROR(VLOOKUP(IF(ISNUMBER(SEARCH("(",F586)),LEFT(F586,SEARCH("(",F586)-1),F586),Tipos!$A:$B,2,FALSE()),"outro")</f>
        <v>data e hora</v>
      </c>
      <c r="M586" s="7" t="str">
        <f aca="false">IF(COUNTIF(Comparação!$H:$H,A586)&gt;0,"sim",IF(AND(G586="sim",H586=""),"FALTA (obrigatória)","não"))</f>
        <v>não</v>
      </c>
    </row>
    <row r="587" customFormat="false" ht="15" hidden="false" customHeight="false" outlineLevel="0" collapsed="false">
      <c r="A587" s="7" t="str">
        <f aca="false">B587&amp;"."&amp;E587</f>
        <v>fontes_video.id</v>
      </c>
      <c r="B587" s="7" t="s">
        <v>117</v>
      </c>
      <c r="C587" s="7" t="s">
        <v>31</v>
      </c>
      <c r="D587" s="7" t="n">
        <v>1</v>
      </c>
      <c r="E587" s="7" t="s">
        <v>271</v>
      </c>
      <c r="F587" s="7" t="s">
        <v>272</v>
      </c>
      <c r="G587" s="7" t="s">
        <v>262</v>
      </c>
      <c r="H587" s="7" t="s">
        <v>273</v>
      </c>
      <c r="I587" s="7" t="s">
        <v>263</v>
      </c>
      <c r="J587" s="7"/>
      <c r="K587" s="7"/>
      <c r="L587" s="7" t="str">
        <f aca="false">IFERROR(VLOOKUP(IF(ISNUMBER(SEARCH("(",F587)),LEFT(F587,SEARCH("(",F587)-1),F587),Tipos!$A:$B,2,FALSE()),"outro")</f>
        <v>uuid</v>
      </c>
      <c r="M587" s="7" t="str">
        <f aca="false">IF(COUNTIF(Comparação!$H:$H,A587)&gt;0,"sim",IF(AND(G587="sim",H587=""),"FALTA (obrigatória)","não"))</f>
        <v>não</v>
      </c>
    </row>
    <row r="588" customFormat="false" ht="15" hidden="false" customHeight="false" outlineLevel="0" collapsed="false">
      <c r="A588" s="7" t="str">
        <f aca="false">B588&amp;"."&amp;E588</f>
        <v>fontes_video.workspace_id</v>
      </c>
      <c r="B588" s="7" t="s">
        <v>117</v>
      </c>
      <c r="C588" s="7" t="s">
        <v>31</v>
      </c>
      <c r="D588" s="7" t="n">
        <v>2</v>
      </c>
      <c r="E588" s="7" t="s">
        <v>274</v>
      </c>
      <c r="F588" s="7" t="s">
        <v>272</v>
      </c>
      <c r="G588" s="7" t="s">
        <v>262</v>
      </c>
      <c r="H588" s="7"/>
      <c r="I588" s="7"/>
      <c r="J588" s="7" t="s">
        <v>275</v>
      </c>
      <c r="K588" s="7"/>
      <c r="L588" s="7" t="str">
        <f aca="false">IFERROR(VLOOKUP(IF(ISNUMBER(SEARCH("(",F588)),LEFT(F588,SEARCH("(",F588)-1),F588),Tipos!$A:$B,2,FALSE()),"outro")</f>
        <v>uuid</v>
      </c>
      <c r="M588" s="7" t="str">
        <f aca="false">IF(COUNTIF(Comparação!$H:$H,A588)&gt;0,"sim",IF(AND(G588="sim",H588=""),"FALTA (obrigatória)","não"))</f>
        <v>FALTA (obrigatória)</v>
      </c>
    </row>
    <row r="589" customFormat="false" ht="15" hidden="false" customHeight="false" outlineLevel="0" collapsed="false">
      <c r="A589" s="7" t="str">
        <f aca="false">B589&amp;"."&amp;E589</f>
        <v>fontes_video.nome</v>
      </c>
      <c r="B589" s="7" t="s">
        <v>117</v>
      </c>
      <c r="C589" s="7" t="s">
        <v>31</v>
      </c>
      <c r="D589" s="7" t="n">
        <v>3</v>
      </c>
      <c r="E589" s="7" t="s">
        <v>265</v>
      </c>
      <c r="F589" s="7" t="s">
        <v>261</v>
      </c>
      <c r="G589" s="7" t="s">
        <v>262</v>
      </c>
      <c r="H589" s="7"/>
      <c r="I589" s="7"/>
      <c r="J589" s="7"/>
      <c r="K589" s="7"/>
      <c r="L589" s="7" t="str">
        <f aca="false">IFERROR(VLOOKUP(IF(ISNUMBER(SEARCH("(",F589)),LEFT(F589,SEARCH("(",F589)-1),F589),Tipos!$A:$B,2,FALSE()),"outro")</f>
        <v>texto</v>
      </c>
      <c r="M589" s="7" t="str">
        <f aca="false">IF(COUNTIF(Comparação!$H:$H,A589)&gt;0,"sim",IF(AND(G589="sim",H589=""),"FALTA (obrigatória)","não"))</f>
        <v>FALTA (obrigatória)</v>
      </c>
    </row>
    <row r="590" customFormat="false" ht="15" hidden="false" customHeight="false" outlineLevel="0" collapsed="false">
      <c r="A590" s="7" t="str">
        <f aca="false">B590&amp;"."&amp;E590</f>
        <v>fontes_video.tipo</v>
      </c>
      <c r="B590" s="7" t="s">
        <v>117</v>
      </c>
      <c r="C590" s="7" t="s">
        <v>31</v>
      </c>
      <c r="D590" s="7" t="n">
        <v>4</v>
      </c>
      <c r="E590" s="7" t="s">
        <v>280</v>
      </c>
      <c r="F590" s="7" t="s">
        <v>261</v>
      </c>
      <c r="G590" s="7" t="s">
        <v>262</v>
      </c>
      <c r="H590" s="7"/>
      <c r="I590" s="7"/>
      <c r="J590" s="7"/>
      <c r="K590" s="7" t="s">
        <v>723</v>
      </c>
      <c r="L590" s="7" t="str">
        <f aca="false">IFERROR(VLOOKUP(IF(ISNUMBER(SEARCH("(",F590)),LEFT(F590,SEARCH("(",F590)-1),F590),Tipos!$A:$B,2,FALSE()),"outro")</f>
        <v>texto</v>
      </c>
      <c r="M590" s="7" t="str">
        <f aca="false">IF(COUNTIF(Comparação!$H:$H,A590)&gt;0,"sim",IF(AND(G590="sim",H590=""),"FALTA (obrigatória)","não"))</f>
        <v>FALTA (obrigatória)</v>
      </c>
    </row>
    <row r="591" customFormat="false" ht="15" hidden="false" customHeight="false" outlineLevel="0" collapsed="false">
      <c r="A591" s="7" t="str">
        <f aca="false">B591&amp;"."&amp;E591</f>
        <v>fontes_video.plataforma</v>
      </c>
      <c r="B591" s="7" t="s">
        <v>117</v>
      </c>
      <c r="C591" s="7" t="s">
        <v>31</v>
      </c>
      <c r="D591" s="7" t="n">
        <v>5</v>
      </c>
      <c r="E591" s="7" t="s">
        <v>724</v>
      </c>
      <c r="F591" s="7" t="s">
        <v>261</v>
      </c>
      <c r="G591" s="7" t="s">
        <v>262</v>
      </c>
      <c r="H591" s="7" t="s">
        <v>725</v>
      </c>
      <c r="I591" s="7"/>
      <c r="J591" s="7"/>
      <c r="K591" s="7" t="s">
        <v>726</v>
      </c>
      <c r="L591" s="7" t="str">
        <f aca="false">IFERROR(VLOOKUP(IF(ISNUMBER(SEARCH("(",F591)),LEFT(F591,SEARCH("(",F591)-1),F591),Tipos!$A:$B,2,FALSE()),"outro")</f>
        <v>texto</v>
      </c>
      <c r="M591" s="7" t="str">
        <f aca="false">IF(COUNTIF(Comparação!$H:$H,A591)&gt;0,"sim",IF(AND(G591="sim",H591=""),"FALTA (obrigatória)","não"))</f>
        <v>não</v>
      </c>
    </row>
    <row r="592" customFormat="false" ht="15" hidden="false" customHeight="false" outlineLevel="0" collapsed="false">
      <c r="A592" s="7" t="str">
        <f aca="false">B592&amp;"."&amp;E592</f>
        <v>fontes_video.id_externo</v>
      </c>
      <c r="B592" s="7" t="s">
        <v>117</v>
      </c>
      <c r="C592" s="7" t="s">
        <v>31</v>
      </c>
      <c r="D592" s="7" t="n">
        <v>6</v>
      </c>
      <c r="E592" s="7" t="s">
        <v>308</v>
      </c>
      <c r="F592" s="7" t="s">
        <v>261</v>
      </c>
      <c r="G592" s="7" t="s">
        <v>267</v>
      </c>
      <c r="H592" s="7"/>
      <c r="I592" s="7"/>
      <c r="J592" s="7"/>
      <c r="K592" s="7"/>
      <c r="L592" s="7" t="str">
        <f aca="false">IFERROR(VLOOKUP(IF(ISNUMBER(SEARCH("(",F592)),LEFT(F592,SEARCH("(",F592)-1),F592),Tipos!$A:$B,2,FALSE()),"outro")</f>
        <v>texto</v>
      </c>
      <c r="M592" s="7" t="str">
        <f aca="false">IF(COUNTIF(Comparação!$H:$H,A592)&gt;0,"sim",IF(AND(G592="sim",H592=""),"FALTA (obrigatória)","não"))</f>
        <v>não</v>
      </c>
    </row>
    <row r="593" customFormat="false" ht="15" hidden="false" customHeight="false" outlineLevel="0" collapsed="false">
      <c r="A593" s="7" t="str">
        <f aca="false">B593&amp;"."&amp;E593</f>
        <v>fontes_video.url</v>
      </c>
      <c r="B593" s="7" t="s">
        <v>117</v>
      </c>
      <c r="C593" s="7" t="s">
        <v>31</v>
      </c>
      <c r="D593" s="7" t="n">
        <v>7</v>
      </c>
      <c r="E593" s="7" t="s">
        <v>581</v>
      </c>
      <c r="F593" s="7" t="s">
        <v>261</v>
      </c>
      <c r="G593" s="7" t="s">
        <v>267</v>
      </c>
      <c r="H593" s="7"/>
      <c r="I593" s="7"/>
      <c r="J593" s="7"/>
      <c r="K593" s="7"/>
      <c r="L593" s="7" t="str">
        <f aca="false">IFERROR(VLOOKUP(IF(ISNUMBER(SEARCH("(",F593)),LEFT(F593,SEARCH("(",F593)-1),F593),Tipos!$A:$B,2,FALSE()),"outro")</f>
        <v>texto</v>
      </c>
      <c r="M593" s="7" t="str">
        <f aca="false">IF(COUNTIF(Comparação!$H:$H,A593)&gt;0,"sim",IF(AND(G593="sim",H593=""),"FALTA (obrigatória)","não"))</f>
        <v>não</v>
      </c>
    </row>
    <row r="594" customFormat="false" ht="15" hidden="false" customHeight="false" outlineLevel="0" collapsed="false">
      <c r="A594" s="7" t="str">
        <f aca="false">B594&amp;"."&amp;E594</f>
        <v>fontes_video.funil_id</v>
      </c>
      <c r="B594" s="7" t="s">
        <v>117</v>
      </c>
      <c r="C594" s="7" t="s">
        <v>31</v>
      </c>
      <c r="D594" s="7" t="n">
        <v>8</v>
      </c>
      <c r="E594" s="7" t="s">
        <v>364</v>
      </c>
      <c r="F594" s="7" t="s">
        <v>272</v>
      </c>
      <c r="G594" s="7" t="s">
        <v>267</v>
      </c>
      <c r="H594" s="7"/>
      <c r="I594" s="7"/>
      <c r="J594" s="7" t="s">
        <v>365</v>
      </c>
      <c r="K594" s="7"/>
      <c r="L594" s="7" t="str">
        <f aca="false">IFERROR(VLOOKUP(IF(ISNUMBER(SEARCH("(",F594)),LEFT(F594,SEARCH("(",F594)-1),F594),Tipos!$A:$B,2,FALSE()),"outro")</f>
        <v>uuid</v>
      </c>
      <c r="M594" s="7" t="str">
        <f aca="false">IF(COUNTIF(Comparação!$H:$H,A594)&gt;0,"sim",IF(AND(G594="sim",H594=""),"FALTA (obrigatória)","não"))</f>
        <v>não</v>
      </c>
    </row>
    <row r="595" customFormat="false" ht="15" hidden="false" customHeight="false" outlineLevel="0" collapsed="false">
      <c r="A595" s="7" t="str">
        <f aca="false">B595&amp;"."&amp;E595</f>
        <v>fontes_video.campanha_id</v>
      </c>
      <c r="B595" s="7" t="s">
        <v>117</v>
      </c>
      <c r="C595" s="7" t="s">
        <v>31</v>
      </c>
      <c r="D595" s="7" t="n">
        <v>9</v>
      </c>
      <c r="E595" s="7" t="s">
        <v>336</v>
      </c>
      <c r="F595" s="7" t="s">
        <v>272</v>
      </c>
      <c r="G595" s="7" t="s">
        <v>267</v>
      </c>
      <c r="H595" s="7"/>
      <c r="I595" s="7"/>
      <c r="J595" s="7" t="s">
        <v>337</v>
      </c>
      <c r="K595" s="7"/>
      <c r="L595" s="7" t="str">
        <f aca="false">IFERROR(VLOOKUP(IF(ISNUMBER(SEARCH("(",F595)),LEFT(F595,SEARCH("(",F595)-1),F595),Tipos!$A:$B,2,FALSE()),"outro")</f>
        <v>uuid</v>
      </c>
      <c r="M595" s="7" t="str">
        <f aca="false">IF(COUNTIF(Comparação!$H:$H,A595)&gt;0,"sim",IF(AND(G595="sim",H595=""),"FALTA (obrigatória)","não"))</f>
        <v>não</v>
      </c>
    </row>
    <row r="596" customFormat="false" ht="15" hidden="false" customHeight="false" outlineLevel="0" collapsed="false">
      <c r="A596" s="7" t="str">
        <f aca="false">B596&amp;"."&amp;E596</f>
        <v>fontes_video.data_evento</v>
      </c>
      <c r="B596" s="7" t="s">
        <v>117</v>
      </c>
      <c r="C596" s="7" t="s">
        <v>31</v>
      </c>
      <c r="D596" s="7" t="n">
        <v>10</v>
      </c>
      <c r="E596" s="7" t="s">
        <v>727</v>
      </c>
      <c r="F596" s="7" t="s">
        <v>379</v>
      </c>
      <c r="G596" s="7" t="s">
        <v>267</v>
      </c>
      <c r="H596" s="7"/>
      <c r="I596" s="7"/>
      <c r="J596" s="7"/>
      <c r="K596" s="7"/>
      <c r="L596" s="7" t="str">
        <f aca="false">IFERROR(VLOOKUP(IF(ISNUMBER(SEARCH("(",F596)),LEFT(F596,SEARCH("(",F596)-1),F596),Tipos!$A:$B,2,FALSE()),"outro")</f>
        <v>data</v>
      </c>
      <c r="M596" s="7" t="str">
        <f aca="false">IF(COUNTIF(Comparação!$H:$H,A596)&gt;0,"sim",IF(AND(G596="sim",H596=""),"FALTA (obrigatória)","não"))</f>
        <v>não</v>
      </c>
    </row>
    <row r="597" customFormat="false" ht="15" hidden="false" customHeight="false" outlineLevel="0" collapsed="false">
      <c r="A597" s="7" t="str">
        <f aca="false">B597&amp;"."&amp;E597</f>
        <v>fontes_video.ativo</v>
      </c>
      <c r="B597" s="7" t="s">
        <v>117</v>
      </c>
      <c r="C597" s="7" t="s">
        <v>31</v>
      </c>
      <c r="D597" s="7" t="n">
        <v>11</v>
      </c>
      <c r="E597" s="7" t="s">
        <v>309</v>
      </c>
      <c r="F597" s="7" t="s">
        <v>310</v>
      </c>
      <c r="G597" s="7" t="s">
        <v>262</v>
      </c>
      <c r="H597" s="7" t="s">
        <v>311</v>
      </c>
      <c r="I597" s="7"/>
      <c r="J597" s="7"/>
      <c r="K597" s="7"/>
      <c r="L597" s="7" t="str">
        <f aca="false">IFERROR(VLOOKUP(IF(ISNUMBER(SEARCH("(",F597)),LEFT(F597,SEARCH("(",F597)-1),F597),Tipos!$A:$B,2,FALSE()),"outro")</f>
        <v>booleano</v>
      </c>
      <c r="M597" s="7" t="str">
        <f aca="false">IF(COUNTIF(Comparação!$H:$H,A597)&gt;0,"sim",IF(AND(G597="sim",H597=""),"FALTA (obrigatória)","não"))</f>
        <v>não</v>
      </c>
    </row>
    <row r="598" customFormat="false" ht="15" hidden="false" customHeight="false" outlineLevel="0" collapsed="false">
      <c r="A598" s="7" t="str">
        <f aca="false">B598&amp;"."&amp;E598</f>
        <v>formas_pagamento.id</v>
      </c>
      <c r="B598" s="7" t="s">
        <v>118</v>
      </c>
      <c r="C598" s="7" t="s">
        <v>119</v>
      </c>
      <c r="D598" s="7" t="n">
        <v>1</v>
      </c>
      <c r="E598" s="7" t="s">
        <v>271</v>
      </c>
      <c r="F598" s="7" t="s">
        <v>272</v>
      </c>
      <c r="G598" s="7" t="s">
        <v>262</v>
      </c>
      <c r="H598" s="7" t="s">
        <v>273</v>
      </c>
      <c r="I598" s="7" t="s">
        <v>263</v>
      </c>
      <c r="J598" s="7"/>
      <c r="K598" s="7"/>
      <c r="L598" s="7" t="str">
        <f aca="false">IFERROR(VLOOKUP(IF(ISNUMBER(SEARCH("(",F598)),LEFT(F598,SEARCH("(",F598)-1),F598),Tipos!$A:$B,2,FALSE()),"outro")</f>
        <v>uuid</v>
      </c>
      <c r="M598" s="7" t="str">
        <f aca="false">IF(COUNTIF(Comparação!$H:$H,A598)&gt;0,"sim",IF(AND(G598="sim",H598=""),"FALTA (obrigatória)","não"))</f>
        <v>não</v>
      </c>
    </row>
    <row r="599" customFormat="false" ht="15" hidden="false" customHeight="false" outlineLevel="0" collapsed="false">
      <c r="A599" s="7" t="str">
        <f aca="false">B599&amp;"."&amp;E599</f>
        <v>formas_pagamento.workspace_id</v>
      </c>
      <c r="B599" s="7" t="s">
        <v>118</v>
      </c>
      <c r="C599" s="7" t="s">
        <v>119</v>
      </c>
      <c r="D599" s="7" t="n">
        <v>2</v>
      </c>
      <c r="E599" s="7" t="s">
        <v>274</v>
      </c>
      <c r="F599" s="7" t="s">
        <v>272</v>
      </c>
      <c r="G599" s="7" t="s">
        <v>262</v>
      </c>
      <c r="H599" s="7"/>
      <c r="I599" s="7" t="s">
        <v>290</v>
      </c>
      <c r="J599" s="7" t="s">
        <v>275</v>
      </c>
      <c r="K599" s="7"/>
      <c r="L599" s="7" t="str">
        <f aca="false">IFERROR(VLOOKUP(IF(ISNUMBER(SEARCH("(",F599)),LEFT(F599,SEARCH("(",F599)-1),F599),Tipos!$A:$B,2,FALSE()),"outro")</f>
        <v>uuid</v>
      </c>
      <c r="M599" s="7" t="str">
        <f aca="false">IF(COUNTIF(Comparação!$H:$H,A599)&gt;0,"sim",IF(AND(G599="sim",H599=""),"FALTA (obrigatória)","não"))</f>
        <v>FALTA (obrigatória)</v>
      </c>
    </row>
    <row r="600" customFormat="false" ht="15" hidden="false" customHeight="false" outlineLevel="0" collapsed="false">
      <c r="A600" s="7" t="str">
        <f aca="false">B600&amp;"."&amp;E600</f>
        <v>formas_pagamento.nome</v>
      </c>
      <c r="B600" s="7" t="s">
        <v>118</v>
      </c>
      <c r="C600" s="7" t="s">
        <v>119</v>
      </c>
      <c r="D600" s="7" t="n">
        <v>3</v>
      </c>
      <c r="E600" s="7" t="s">
        <v>265</v>
      </c>
      <c r="F600" s="7" t="s">
        <v>261</v>
      </c>
      <c r="G600" s="7" t="s">
        <v>262</v>
      </c>
      <c r="H600" s="7"/>
      <c r="I600" s="7" t="s">
        <v>290</v>
      </c>
      <c r="J600" s="7"/>
      <c r="K600" s="7"/>
      <c r="L600" s="7" t="str">
        <f aca="false">IFERROR(VLOOKUP(IF(ISNUMBER(SEARCH("(",F600)),LEFT(F600,SEARCH("(",F600)-1),F600),Tipos!$A:$B,2,FALSE()),"outro")</f>
        <v>texto</v>
      </c>
      <c r="M600" s="7" t="str">
        <f aca="false">IF(COUNTIF(Comparação!$H:$H,A600)&gt;0,"sim",IF(AND(G600="sim",H600=""),"FALTA (obrigatória)","não"))</f>
        <v>FALTA (obrigatória)</v>
      </c>
    </row>
    <row r="601" customFormat="false" ht="15" hidden="false" customHeight="false" outlineLevel="0" collapsed="false">
      <c r="A601" s="7" t="str">
        <f aca="false">B601&amp;"."&amp;E601</f>
        <v>formas_pagamento.tipo</v>
      </c>
      <c r="B601" s="7" t="s">
        <v>118</v>
      </c>
      <c r="C601" s="7" t="s">
        <v>119</v>
      </c>
      <c r="D601" s="7" t="n">
        <v>4</v>
      </c>
      <c r="E601" s="7" t="s">
        <v>280</v>
      </c>
      <c r="F601" s="7" t="s">
        <v>261</v>
      </c>
      <c r="G601" s="7" t="s">
        <v>262</v>
      </c>
      <c r="H601" s="7" t="s">
        <v>725</v>
      </c>
      <c r="I601" s="7"/>
      <c r="J601" s="7"/>
      <c r="K601" s="7" t="s">
        <v>728</v>
      </c>
      <c r="L601" s="7" t="str">
        <f aca="false">IFERROR(VLOOKUP(IF(ISNUMBER(SEARCH("(",F601)),LEFT(F601,SEARCH("(",F601)-1),F601),Tipos!$A:$B,2,FALSE()),"outro")</f>
        <v>texto</v>
      </c>
      <c r="M601" s="7" t="str">
        <f aca="false">IF(COUNTIF(Comparação!$H:$H,A601)&gt;0,"sim",IF(AND(G601="sim",H601=""),"FALTA (obrigatória)","não"))</f>
        <v>não</v>
      </c>
    </row>
    <row r="602" customFormat="false" ht="15" hidden="false" customHeight="false" outlineLevel="0" collapsed="false">
      <c r="A602" s="7" t="str">
        <f aca="false">B602&amp;"."&amp;E602</f>
        <v>formas_pagamento.titular_terceiro</v>
      </c>
      <c r="B602" s="7" t="s">
        <v>118</v>
      </c>
      <c r="C602" s="7" t="s">
        <v>119</v>
      </c>
      <c r="D602" s="7" t="n">
        <v>5</v>
      </c>
      <c r="E602" s="7" t="s">
        <v>729</v>
      </c>
      <c r="F602" s="7" t="s">
        <v>261</v>
      </c>
      <c r="G602" s="7" t="s">
        <v>267</v>
      </c>
      <c r="H602" s="7"/>
      <c r="I602" s="7"/>
      <c r="J602" s="7"/>
      <c r="K602" s="7"/>
      <c r="L602" s="7" t="str">
        <f aca="false">IFERROR(VLOOKUP(IF(ISNUMBER(SEARCH("(",F602)),LEFT(F602,SEARCH("(",F602)-1),F602),Tipos!$A:$B,2,FALSE()),"outro")</f>
        <v>texto</v>
      </c>
      <c r="M602" s="7" t="str">
        <f aca="false">IF(COUNTIF(Comparação!$H:$H,A602)&gt;0,"sim",IF(AND(G602="sim",H602=""),"FALTA (obrigatória)","não"))</f>
        <v>não</v>
      </c>
    </row>
    <row r="603" customFormat="false" ht="15" hidden="false" customHeight="false" outlineLevel="0" collapsed="false">
      <c r="A603" s="7" t="str">
        <f aca="false">B603&amp;"."&amp;E603</f>
        <v>formas_pagamento.conta_bancaria_id</v>
      </c>
      <c r="B603" s="7" t="s">
        <v>118</v>
      </c>
      <c r="C603" s="7" t="s">
        <v>119</v>
      </c>
      <c r="D603" s="7" t="n">
        <v>6</v>
      </c>
      <c r="E603" s="7" t="s">
        <v>538</v>
      </c>
      <c r="F603" s="7" t="s">
        <v>272</v>
      </c>
      <c r="G603" s="7" t="s">
        <v>267</v>
      </c>
      <c r="H603" s="7"/>
      <c r="I603" s="7"/>
      <c r="J603" s="7" t="s">
        <v>539</v>
      </c>
      <c r="K603" s="7"/>
      <c r="L603" s="7" t="str">
        <f aca="false">IFERROR(VLOOKUP(IF(ISNUMBER(SEARCH("(",F603)),LEFT(F603,SEARCH("(",F603)-1),F603),Tipos!$A:$B,2,FALSE()),"outro")</f>
        <v>uuid</v>
      </c>
      <c r="M603" s="7" t="str">
        <f aca="false">IF(COUNTIF(Comparação!$H:$H,A603)&gt;0,"sim",IF(AND(G603="sim",H603=""),"FALTA (obrigatória)","não"))</f>
        <v>não</v>
      </c>
    </row>
    <row r="604" customFormat="false" ht="15" hidden="false" customHeight="false" outlineLevel="0" collapsed="false">
      <c r="A604" s="7" t="str">
        <f aca="false">B604&amp;"."&amp;E604</f>
        <v>formas_pagamento.ativo</v>
      </c>
      <c r="B604" s="7" t="s">
        <v>118</v>
      </c>
      <c r="C604" s="7" t="s">
        <v>119</v>
      </c>
      <c r="D604" s="7" t="n">
        <v>7</v>
      </c>
      <c r="E604" s="7" t="s">
        <v>309</v>
      </c>
      <c r="F604" s="7" t="s">
        <v>310</v>
      </c>
      <c r="G604" s="7" t="s">
        <v>262</v>
      </c>
      <c r="H604" s="7" t="s">
        <v>311</v>
      </c>
      <c r="I604" s="7"/>
      <c r="J604" s="7"/>
      <c r="K604" s="7"/>
      <c r="L604" s="7" t="str">
        <f aca="false">IFERROR(VLOOKUP(IF(ISNUMBER(SEARCH("(",F604)),LEFT(F604,SEARCH("(",F604)-1),F604),Tipos!$A:$B,2,FALSE()),"outro")</f>
        <v>booleano</v>
      </c>
      <c r="M604" s="7" t="str">
        <f aca="false">IF(COUNTIF(Comparação!$H:$H,A604)&gt;0,"sim",IF(AND(G604="sim",H604=""),"FALTA (obrigatória)","não"))</f>
        <v>não</v>
      </c>
    </row>
    <row r="605" customFormat="false" ht="15" hidden="false" customHeight="false" outlineLevel="0" collapsed="false">
      <c r="A605" s="7" t="str">
        <f aca="false">B605&amp;"."&amp;E605</f>
        <v>formas_pagamento.criado_em</v>
      </c>
      <c r="B605" s="7" t="s">
        <v>118</v>
      </c>
      <c r="C605" s="7" t="s">
        <v>119</v>
      </c>
      <c r="D605" s="7" t="n">
        <v>8</v>
      </c>
      <c r="E605" s="7" t="s">
        <v>344</v>
      </c>
      <c r="F605" s="7" t="s">
        <v>285</v>
      </c>
      <c r="G605" s="7" t="s">
        <v>262</v>
      </c>
      <c r="H605" s="7" t="s">
        <v>286</v>
      </c>
      <c r="I605" s="7"/>
      <c r="J605" s="7"/>
      <c r="K605" s="7"/>
      <c r="L605" s="7" t="str">
        <f aca="false">IFERROR(VLOOKUP(IF(ISNUMBER(SEARCH("(",F605)),LEFT(F605,SEARCH("(",F605)-1),F605),Tipos!$A:$B,2,FALSE()),"outro")</f>
        <v>data e hora</v>
      </c>
      <c r="M605" s="7" t="str">
        <f aca="false">IF(COUNTIF(Comparação!$H:$H,A605)&gt;0,"sim",IF(AND(G605="sim",H605=""),"FALTA (obrigatória)","não"))</f>
        <v>não</v>
      </c>
    </row>
    <row r="606" customFormat="false" ht="15" hidden="false" customHeight="false" outlineLevel="0" collapsed="false">
      <c r="A606" s="7" t="str">
        <f aca="false">B606&amp;"."&amp;E606</f>
        <v>fornecedores.id</v>
      </c>
      <c r="B606" s="7" t="s">
        <v>121</v>
      </c>
      <c r="C606" s="7" t="s">
        <v>69</v>
      </c>
      <c r="D606" s="7" t="n">
        <v>1</v>
      </c>
      <c r="E606" s="7" t="s">
        <v>271</v>
      </c>
      <c r="F606" s="7" t="s">
        <v>272</v>
      </c>
      <c r="G606" s="7" t="s">
        <v>262</v>
      </c>
      <c r="H606" s="7" t="s">
        <v>273</v>
      </c>
      <c r="I606" s="7" t="s">
        <v>263</v>
      </c>
      <c r="J606" s="7"/>
      <c r="K606" s="7"/>
      <c r="L606" s="7" t="str">
        <f aca="false">IFERROR(VLOOKUP(IF(ISNUMBER(SEARCH("(",F606)),LEFT(F606,SEARCH("(",F606)-1),F606),Tipos!$A:$B,2,FALSE()),"outro")</f>
        <v>uuid</v>
      </c>
      <c r="M606" s="7" t="str">
        <f aca="false">IF(COUNTIF(Comparação!$H:$H,A606)&gt;0,"sim",IF(AND(G606="sim",H606=""),"FALTA (obrigatória)","não"))</f>
        <v>não</v>
      </c>
    </row>
    <row r="607" customFormat="false" ht="15" hidden="false" customHeight="false" outlineLevel="0" collapsed="false">
      <c r="A607" s="7" t="str">
        <f aca="false">B607&amp;"."&amp;E607</f>
        <v>fornecedores.workspace_id</v>
      </c>
      <c r="B607" s="7" t="s">
        <v>121</v>
      </c>
      <c r="C607" s="7" t="s">
        <v>69</v>
      </c>
      <c r="D607" s="7" t="n">
        <v>2</v>
      </c>
      <c r="E607" s="7" t="s">
        <v>274</v>
      </c>
      <c r="F607" s="7" t="s">
        <v>272</v>
      </c>
      <c r="G607" s="7" t="s">
        <v>262</v>
      </c>
      <c r="H607" s="7"/>
      <c r="I607" s="7"/>
      <c r="J607" s="7" t="s">
        <v>275</v>
      </c>
      <c r="K607" s="7"/>
      <c r="L607" s="7" t="str">
        <f aca="false">IFERROR(VLOOKUP(IF(ISNUMBER(SEARCH("(",F607)),LEFT(F607,SEARCH("(",F607)-1),F607),Tipos!$A:$B,2,FALSE()),"outro")</f>
        <v>uuid</v>
      </c>
      <c r="M607" s="7" t="str">
        <f aca="false">IF(COUNTIF(Comparação!$H:$H,A607)&gt;0,"sim",IF(AND(G607="sim",H607=""),"FALTA (obrigatória)","não"))</f>
        <v>FALTA (obrigatória)</v>
      </c>
    </row>
    <row r="608" customFormat="false" ht="15" hidden="false" customHeight="false" outlineLevel="0" collapsed="false">
      <c r="A608" s="7" t="str">
        <f aca="false">B608&amp;"."&amp;E608</f>
        <v>fornecedores.nome</v>
      </c>
      <c r="B608" s="7" t="s">
        <v>121</v>
      </c>
      <c r="C608" s="7" t="s">
        <v>69</v>
      </c>
      <c r="D608" s="7" t="n">
        <v>3</v>
      </c>
      <c r="E608" s="7" t="s">
        <v>265</v>
      </c>
      <c r="F608" s="7" t="s">
        <v>261</v>
      </c>
      <c r="G608" s="7" t="s">
        <v>262</v>
      </c>
      <c r="H608" s="7"/>
      <c r="I608" s="7"/>
      <c r="J608" s="7"/>
      <c r="K608" s="7"/>
      <c r="L608" s="7" t="str">
        <f aca="false">IFERROR(VLOOKUP(IF(ISNUMBER(SEARCH("(",F608)),LEFT(F608,SEARCH("(",F608)-1),F608),Tipos!$A:$B,2,FALSE()),"outro")</f>
        <v>texto</v>
      </c>
      <c r="M608" s="7" t="str">
        <f aca="false">IF(COUNTIF(Comparação!$H:$H,A608)&gt;0,"sim",IF(AND(G608="sim",H608=""),"FALTA (obrigatória)","não"))</f>
        <v>FALTA (obrigatória)</v>
      </c>
    </row>
    <row r="609" customFormat="false" ht="15" hidden="false" customHeight="false" outlineLevel="0" collapsed="false">
      <c r="A609" s="7" t="str">
        <f aca="false">B609&amp;"."&amp;E609</f>
        <v>fornecedores.documento</v>
      </c>
      <c r="B609" s="7" t="s">
        <v>121</v>
      </c>
      <c r="C609" s="7" t="s">
        <v>69</v>
      </c>
      <c r="D609" s="7" t="n">
        <v>4</v>
      </c>
      <c r="E609" s="7" t="s">
        <v>730</v>
      </c>
      <c r="F609" s="7" t="s">
        <v>261</v>
      </c>
      <c r="G609" s="7" t="s">
        <v>267</v>
      </c>
      <c r="H609" s="7"/>
      <c r="I609" s="7"/>
      <c r="J609" s="7"/>
      <c r="K609" s="7"/>
      <c r="L609" s="7" t="str">
        <f aca="false">IFERROR(VLOOKUP(IF(ISNUMBER(SEARCH("(",F609)),LEFT(F609,SEARCH("(",F609)-1),F609),Tipos!$A:$B,2,FALSE()),"outro")</f>
        <v>texto</v>
      </c>
      <c r="M609" s="7" t="str">
        <f aca="false">IF(COUNTIF(Comparação!$H:$H,A609)&gt;0,"sim",IF(AND(G609="sim",H609=""),"FALTA (obrigatória)","não"))</f>
        <v>não</v>
      </c>
    </row>
    <row r="610" customFormat="false" ht="15" hidden="false" customHeight="false" outlineLevel="0" collapsed="false">
      <c r="A610" s="7" t="str">
        <f aca="false">B610&amp;"."&amp;E610</f>
        <v>fornecedores.email</v>
      </c>
      <c r="B610" s="7" t="s">
        <v>121</v>
      </c>
      <c r="C610" s="7" t="s">
        <v>69</v>
      </c>
      <c r="D610" s="7" t="n">
        <v>5</v>
      </c>
      <c r="E610" s="7" t="s">
        <v>700</v>
      </c>
      <c r="F610" s="7" t="s">
        <v>261</v>
      </c>
      <c r="G610" s="7" t="s">
        <v>267</v>
      </c>
      <c r="H610" s="7"/>
      <c r="I610" s="7"/>
      <c r="J610" s="7"/>
      <c r="K610" s="7"/>
      <c r="L610" s="7" t="str">
        <f aca="false">IFERROR(VLOOKUP(IF(ISNUMBER(SEARCH("(",F610)),LEFT(F610,SEARCH("(",F610)-1),F610),Tipos!$A:$B,2,FALSE()),"outro")</f>
        <v>texto</v>
      </c>
      <c r="M610" s="7" t="str">
        <f aca="false">IF(COUNTIF(Comparação!$H:$H,A610)&gt;0,"sim",IF(AND(G610="sim",H610=""),"FALTA (obrigatória)","não"))</f>
        <v>não</v>
      </c>
    </row>
    <row r="611" customFormat="false" ht="15" hidden="false" customHeight="false" outlineLevel="0" collapsed="false">
      <c r="A611" s="7" t="str">
        <f aca="false">B611&amp;"."&amp;E611</f>
        <v>fornecedores.telefone</v>
      </c>
      <c r="B611" s="7" t="s">
        <v>121</v>
      </c>
      <c r="C611" s="7" t="s">
        <v>69</v>
      </c>
      <c r="D611" s="7" t="n">
        <v>6</v>
      </c>
      <c r="E611" s="7" t="s">
        <v>675</v>
      </c>
      <c r="F611" s="7" t="s">
        <v>261</v>
      </c>
      <c r="G611" s="7" t="s">
        <v>267</v>
      </c>
      <c r="H611" s="7"/>
      <c r="I611" s="7"/>
      <c r="J611" s="7"/>
      <c r="K611" s="7"/>
      <c r="L611" s="7" t="str">
        <f aca="false">IFERROR(VLOOKUP(IF(ISNUMBER(SEARCH("(",F611)),LEFT(F611,SEARCH("(",F611)-1),F611),Tipos!$A:$B,2,FALSE()),"outro")</f>
        <v>texto</v>
      </c>
      <c r="M611" s="7" t="str">
        <f aca="false">IF(COUNTIF(Comparação!$H:$H,A611)&gt;0,"sim",IF(AND(G611="sim",H611=""),"FALTA (obrigatória)","não"))</f>
        <v>não</v>
      </c>
    </row>
    <row r="612" customFormat="false" ht="15" hidden="false" customHeight="false" outlineLevel="0" collapsed="false">
      <c r="A612" s="7" t="str">
        <f aca="false">B612&amp;"."&amp;E612</f>
        <v>fornecedores.categoria</v>
      </c>
      <c r="B612" s="7" t="s">
        <v>121</v>
      </c>
      <c r="C612" s="7" t="s">
        <v>69</v>
      </c>
      <c r="D612" s="7" t="n">
        <v>7</v>
      </c>
      <c r="E612" s="7" t="s">
        <v>731</v>
      </c>
      <c r="F612" s="7" t="s">
        <v>261</v>
      </c>
      <c r="G612" s="7" t="s">
        <v>267</v>
      </c>
      <c r="H612" s="7"/>
      <c r="I612" s="7"/>
      <c r="J612" s="7"/>
      <c r="K612" s="7"/>
      <c r="L612" s="7" t="str">
        <f aca="false">IFERROR(VLOOKUP(IF(ISNUMBER(SEARCH("(",F612)),LEFT(F612,SEARCH("(",F612)-1),F612),Tipos!$A:$B,2,FALSE()),"outro")</f>
        <v>texto</v>
      </c>
      <c r="M612" s="7" t="str">
        <f aca="false">IF(COUNTIF(Comparação!$H:$H,A612)&gt;0,"sim",IF(AND(G612="sim",H612=""),"FALTA (obrigatória)","não"))</f>
        <v>não</v>
      </c>
    </row>
    <row r="613" customFormat="false" ht="15" hidden="false" customHeight="false" outlineLevel="0" collapsed="false">
      <c r="A613" s="7" t="str">
        <f aca="false">B613&amp;"."&amp;E613</f>
        <v>fornecedores.ativo</v>
      </c>
      <c r="B613" s="7" t="s">
        <v>121</v>
      </c>
      <c r="C613" s="7" t="s">
        <v>69</v>
      </c>
      <c r="D613" s="7" t="n">
        <v>8</v>
      </c>
      <c r="E613" s="7" t="s">
        <v>309</v>
      </c>
      <c r="F613" s="7" t="s">
        <v>310</v>
      </c>
      <c r="G613" s="7" t="s">
        <v>262</v>
      </c>
      <c r="H613" s="7" t="s">
        <v>311</v>
      </c>
      <c r="I613" s="7"/>
      <c r="J613" s="7"/>
      <c r="K613" s="7"/>
      <c r="L613" s="7" t="str">
        <f aca="false">IFERROR(VLOOKUP(IF(ISNUMBER(SEARCH("(",F613)),LEFT(F613,SEARCH("(",F613)-1),F613),Tipos!$A:$B,2,FALSE()),"outro")</f>
        <v>booleano</v>
      </c>
      <c r="M613" s="7" t="str">
        <f aca="false">IF(COUNTIF(Comparação!$H:$H,A613)&gt;0,"sim",IF(AND(G613="sim",H613=""),"FALTA (obrigatória)","não"))</f>
        <v>não</v>
      </c>
    </row>
    <row r="614" customFormat="false" ht="15" hidden="false" customHeight="false" outlineLevel="0" collapsed="false">
      <c r="A614" s="7" t="str">
        <f aca="false">B614&amp;"."&amp;E614</f>
        <v>fornecedores.tipo_custo</v>
      </c>
      <c r="B614" s="7" t="s">
        <v>121</v>
      </c>
      <c r="C614" s="7" t="s">
        <v>69</v>
      </c>
      <c r="D614" s="7" t="n">
        <v>9</v>
      </c>
      <c r="E614" s="7" t="s">
        <v>732</v>
      </c>
      <c r="F614" s="7" t="s">
        <v>261</v>
      </c>
      <c r="G614" s="7" t="s">
        <v>267</v>
      </c>
      <c r="H614" s="7"/>
      <c r="I614" s="7"/>
      <c r="J614" s="7"/>
      <c r="K614" s="7" t="s">
        <v>733</v>
      </c>
      <c r="L614" s="7" t="str">
        <f aca="false">IFERROR(VLOOKUP(IF(ISNUMBER(SEARCH("(",F614)),LEFT(F614,SEARCH("(",F614)-1),F614),Tipos!$A:$B,2,FALSE()),"outro")</f>
        <v>texto</v>
      </c>
      <c r="M614" s="7" t="str">
        <f aca="false">IF(COUNTIF(Comparação!$H:$H,A614)&gt;0,"sim",IF(AND(G614="sim",H614=""),"FALTA (obrigatória)","não"))</f>
        <v>não</v>
      </c>
    </row>
    <row r="615" customFormat="false" ht="15" hidden="false" customHeight="false" outlineLevel="0" collapsed="false">
      <c r="A615" s="7" t="str">
        <f aca="false">B615&amp;"."&amp;E615</f>
        <v>fornecedores.valor_padrao</v>
      </c>
      <c r="B615" s="7" t="s">
        <v>121</v>
      </c>
      <c r="C615" s="7" t="s">
        <v>69</v>
      </c>
      <c r="D615" s="7" t="n">
        <v>10</v>
      </c>
      <c r="E615" s="7" t="s">
        <v>734</v>
      </c>
      <c r="F615" s="7" t="s">
        <v>354</v>
      </c>
      <c r="G615" s="7" t="s">
        <v>267</v>
      </c>
      <c r="H615" s="7"/>
      <c r="I615" s="7"/>
      <c r="J615" s="7"/>
      <c r="K615" s="7" t="s">
        <v>735</v>
      </c>
      <c r="L615" s="7" t="str">
        <f aca="false">IFERROR(VLOOKUP(IF(ISNUMBER(SEARCH("(",F615)),LEFT(F615,SEARCH("(",F615)-1),F615),Tipos!$A:$B,2,FALSE()),"outro")</f>
        <v>decimal</v>
      </c>
      <c r="M615" s="7" t="str">
        <f aca="false">IF(COUNTIF(Comparação!$H:$H,A615)&gt;0,"sim",IF(AND(G615="sim",H615=""),"FALTA (obrigatória)","não"))</f>
        <v>não</v>
      </c>
    </row>
    <row r="616" customFormat="false" ht="15" hidden="false" customHeight="false" outlineLevel="0" collapsed="false">
      <c r="A616" s="7" t="str">
        <f aca="false">B616&amp;"."&amp;E616</f>
        <v>fornecedores.dia_vencimento</v>
      </c>
      <c r="B616" s="7" t="s">
        <v>121</v>
      </c>
      <c r="C616" s="7" t="s">
        <v>69</v>
      </c>
      <c r="D616" s="7" t="n">
        <v>11</v>
      </c>
      <c r="E616" s="7" t="s">
        <v>525</v>
      </c>
      <c r="F616" s="7" t="s">
        <v>736</v>
      </c>
      <c r="G616" s="7" t="s">
        <v>267</v>
      </c>
      <c r="H616" s="7"/>
      <c r="I616" s="7"/>
      <c r="J616" s="7"/>
      <c r="K616" s="7" t="s">
        <v>526</v>
      </c>
      <c r="L616" s="7" t="str">
        <f aca="false">IFERROR(VLOOKUP(IF(ISNUMBER(SEARCH("(",F616)),LEFT(F616,SEARCH("(",F616)-1),F616),Tipos!$A:$B,2,FALSE()),"outro")</f>
        <v>inteiro</v>
      </c>
      <c r="M616" s="7" t="str">
        <f aca="false">IF(COUNTIF(Comparação!$H:$H,A616)&gt;0,"sim",IF(AND(G616="sim",H616=""),"FALTA (obrigatória)","não"))</f>
        <v>não</v>
      </c>
    </row>
    <row r="617" customFormat="false" ht="15" hidden="false" customHeight="false" outlineLevel="0" collapsed="false">
      <c r="A617" s="7" t="str">
        <f aca="false">B617&amp;"."&amp;E617</f>
        <v>fornecedores.conta_despesa_id</v>
      </c>
      <c r="B617" s="7" t="s">
        <v>121</v>
      </c>
      <c r="C617" s="7" t="s">
        <v>69</v>
      </c>
      <c r="D617" s="7" t="n">
        <v>12</v>
      </c>
      <c r="E617" s="7" t="s">
        <v>532</v>
      </c>
      <c r="F617" s="7" t="s">
        <v>272</v>
      </c>
      <c r="G617" s="7" t="s">
        <v>267</v>
      </c>
      <c r="H617" s="7"/>
      <c r="I617" s="7"/>
      <c r="J617" s="7" t="s">
        <v>521</v>
      </c>
      <c r="K617" s="7"/>
      <c r="L617" s="7" t="str">
        <f aca="false">IFERROR(VLOOKUP(IF(ISNUMBER(SEARCH("(",F617)),LEFT(F617,SEARCH("(",F617)-1),F617),Tipos!$A:$B,2,FALSE()),"outro")</f>
        <v>uuid</v>
      </c>
      <c r="M617" s="7" t="str">
        <f aca="false">IF(COUNTIF(Comparação!$H:$H,A617)&gt;0,"sim",IF(AND(G617="sim",H617=""),"FALTA (obrigatória)","não"))</f>
        <v>não</v>
      </c>
    </row>
    <row r="618" customFormat="false" ht="15" hidden="false" customHeight="false" outlineLevel="0" collapsed="false">
      <c r="A618" s="7" t="str">
        <f aca="false">B618&amp;"."&amp;E618</f>
        <v>fornecedores.centro_custo_id</v>
      </c>
      <c r="B618" s="7" t="s">
        <v>121</v>
      </c>
      <c r="C618" s="7" t="s">
        <v>69</v>
      </c>
      <c r="D618" s="7" t="n">
        <v>13</v>
      </c>
      <c r="E618" s="7" t="s">
        <v>533</v>
      </c>
      <c r="F618" s="7" t="s">
        <v>272</v>
      </c>
      <c r="G618" s="7" t="s">
        <v>267</v>
      </c>
      <c r="H618" s="7"/>
      <c r="I618" s="7"/>
      <c r="J618" s="7" t="s">
        <v>534</v>
      </c>
      <c r="K618" s="7"/>
      <c r="L618" s="7" t="str">
        <f aca="false">IFERROR(VLOOKUP(IF(ISNUMBER(SEARCH("(",F618)),LEFT(F618,SEARCH("(",F618)-1),F618),Tipos!$A:$B,2,FALSE()),"outro")</f>
        <v>uuid</v>
      </c>
      <c r="M618" s="7" t="str">
        <f aca="false">IF(COUNTIF(Comparação!$H:$H,A618)&gt;0,"sim",IF(AND(G618="sim",H618=""),"FALTA (obrigatória)","não"))</f>
        <v>não</v>
      </c>
    </row>
    <row r="619" customFormat="false" ht="15" hidden="false" customHeight="false" outlineLevel="0" collapsed="false">
      <c r="A619" s="7" t="str">
        <f aca="false">B619&amp;"."&amp;E619</f>
        <v>fornecedores.forma_pagamento_id</v>
      </c>
      <c r="B619" s="7" t="s">
        <v>121</v>
      </c>
      <c r="C619" s="7" t="s">
        <v>69</v>
      </c>
      <c r="D619" s="7" t="n">
        <v>14</v>
      </c>
      <c r="E619" s="7" t="s">
        <v>542</v>
      </c>
      <c r="F619" s="7" t="s">
        <v>272</v>
      </c>
      <c r="G619" s="7" t="s">
        <v>267</v>
      </c>
      <c r="H619" s="7"/>
      <c r="I619" s="7"/>
      <c r="J619" s="7" t="s">
        <v>543</v>
      </c>
      <c r="K619" s="7"/>
      <c r="L619" s="7" t="str">
        <f aca="false">IFERROR(VLOOKUP(IF(ISNUMBER(SEARCH("(",F619)),LEFT(F619,SEARCH("(",F619)-1),F619),Tipos!$A:$B,2,FALSE()),"outro")</f>
        <v>uuid</v>
      </c>
      <c r="M619" s="7" t="str">
        <f aca="false">IF(COUNTIF(Comparação!$H:$H,A619)&gt;0,"sim",IF(AND(G619="sim",H619=""),"FALTA (obrigatória)","não"))</f>
        <v>não</v>
      </c>
    </row>
    <row r="620" customFormat="false" ht="15" hidden="false" customHeight="false" outlineLevel="0" collapsed="false">
      <c r="A620" s="7" t="str">
        <f aca="false">B620&amp;"."&amp;E620</f>
        <v>fornecedores.provisionar</v>
      </c>
      <c r="B620" s="7" t="s">
        <v>121</v>
      </c>
      <c r="C620" s="7" t="s">
        <v>69</v>
      </c>
      <c r="D620" s="7" t="n">
        <v>15</v>
      </c>
      <c r="E620" s="7" t="s">
        <v>737</v>
      </c>
      <c r="F620" s="7" t="s">
        <v>310</v>
      </c>
      <c r="G620" s="7" t="s">
        <v>262</v>
      </c>
      <c r="H620" s="7" t="s">
        <v>375</v>
      </c>
      <c r="I620" s="7"/>
      <c r="J620" s="7"/>
      <c r="K620" s="7"/>
      <c r="L620" s="7" t="str">
        <f aca="false">IFERROR(VLOOKUP(IF(ISNUMBER(SEARCH("(",F620)),LEFT(F620,SEARCH("(",F620)-1),F620),Tipos!$A:$B,2,FALSE()),"outro")</f>
        <v>booleano</v>
      </c>
      <c r="M620" s="7" t="str">
        <f aca="false">IF(COUNTIF(Comparação!$H:$H,A620)&gt;0,"sim",IF(AND(G620="sim",H620=""),"FALTA (obrigatória)","não"))</f>
        <v>não</v>
      </c>
    </row>
    <row r="621" customFormat="false" ht="15" hidden="false" customHeight="false" outlineLevel="0" collapsed="false">
      <c r="A621" s="7" t="str">
        <f aca="false">B621&amp;"."&amp;E621</f>
        <v>fornecedores.recorrencia</v>
      </c>
      <c r="B621" s="7" t="s">
        <v>121</v>
      </c>
      <c r="C621" s="7" t="s">
        <v>69</v>
      </c>
      <c r="D621" s="7" t="n">
        <v>16</v>
      </c>
      <c r="E621" s="7" t="s">
        <v>738</v>
      </c>
      <c r="F621" s="7" t="s">
        <v>261</v>
      </c>
      <c r="G621" s="7" t="s">
        <v>267</v>
      </c>
      <c r="H621" s="7"/>
      <c r="I621" s="7"/>
      <c r="J621" s="7"/>
      <c r="K621" s="7" t="s">
        <v>739</v>
      </c>
      <c r="L621" s="7" t="str">
        <f aca="false">IFERROR(VLOOKUP(IF(ISNUMBER(SEARCH("(",F621)),LEFT(F621,SEARCH("(",F621)-1),F621),Tipos!$A:$B,2,FALSE()),"outro")</f>
        <v>texto</v>
      </c>
      <c r="M621" s="7" t="str">
        <f aca="false">IF(COUNTIF(Comparação!$H:$H,A621)&gt;0,"sim",IF(AND(G621="sim",H621=""),"FALTA (obrigatória)","não"))</f>
        <v>não</v>
      </c>
    </row>
    <row r="622" customFormat="false" ht="15" hidden="false" customHeight="false" outlineLevel="0" collapsed="false">
      <c r="A622" s="7" t="str">
        <f aca="false">B622&amp;"."&amp;E622</f>
        <v>fornecedores.parcelas</v>
      </c>
      <c r="B622" s="7" t="s">
        <v>121</v>
      </c>
      <c r="C622" s="7" t="s">
        <v>69</v>
      </c>
      <c r="D622" s="7" t="n">
        <v>17</v>
      </c>
      <c r="E622" s="7" t="s">
        <v>670</v>
      </c>
      <c r="F622" s="7" t="s">
        <v>269</v>
      </c>
      <c r="G622" s="7" t="s">
        <v>267</v>
      </c>
      <c r="H622" s="7"/>
      <c r="I622" s="7"/>
      <c r="J622" s="7"/>
      <c r="K622" s="7" t="s">
        <v>671</v>
      </c>
      <c r="L622" s="7" t="str">
        <f aca="false">IFERROR(VLOOKUP(IF(ISNUMBER(SEARCH("(",F622)),LEFT(F622,SEARCH("(",F622)-1),F622),Tipos!$A:$B,2,FALSE()),"outro")</f>
        <v>inteiro</v>
      </c>
      <c r="M622" s="7" t="str">
        <f aca="false">IF(COUNTIF(Comparação!$H:$H,A622)&gt;0,"sim",IF(AND(G622="sim",H622=""),"FALTA (obrigatória)","não"))</f>
        <v>não</v>
      </c>
    </row>
    <row r="623" customFormat="false" ht="15" hidden="false" customHeight="false" outlineLevel="0" collapsed="false">
      <c r="A623" s="7" t="str">
        <f aca="false">B623&amp;"."&amp;E623</f>
        <v>fornecedores.data_inicio</v>
      </c>
      <c r="B623" s="7" t="s">
        <v>121</v>
      </c>
      <c r="C623" s="7" t="s">
        <v>69</v>
      </c>
      <c r="D623" s="7" t="n">
        <v>18</v>
      </c>
      <c r="E623" s="7" t="s">
        <v>472</v>
      </c>
      <c r="F623" s="7" t="s">
        <v>379</v>
      </c>
      <c r="G623" s="7" t="s">
        <v>267</v>
      </c>
      <c r="H623" s="7"/>
      <c r="I623" s="7"/>
      <c r="J623" s="7"/>
      <c r="K623" s="7"/>
      <c r="L623" s="7" t="str">
        <f aca="false">IFERROR(VLOOKUP(IF(ISNUMBER(SEARCH("(",F623)),LEFT(F623,SEARCH("(",F623)-1),F623),Tipos!$A:$B,2,FALSE()),"outro")</f>
        <v>data</v>
      </c>
      <c r="M623" s="7" t="str">
        <f aca="false">IF(COUNTIF(Comparação!$H:$H,A623)&gt;0,"sim",IF(AND(G623="sim",H623=""),"FALTA (obrigatória)","não"))</f>
        <v>não</v>
      </c>
    </row>
    <row r="624" customFormat="false" ht="15" hidden="false" customHeight="false" outlineLevel="0" collapsed="false">
      <c r="A624" s="7" t="str">
        <f aca="false">B624&amp;"."&amp;E624</f>
        <v>fornecedores.data_fim</v>
      </c>
      <c r="B624" s="7" t="s">
        <v>121</v>
      </c>
      <c r="C624" s="7" t="s">
        <v>69</v>
      </c>
      <c r="D624" s="7" t="n">
        <v>19</v>
      </c>
      <c r="E624" s="7" t="s">
        <v>438</v>
      </c>
      <c r="F624" s="7" t="s">
        <v>379</v>
      </c>
      <c r="G624" s="7" t="s">
        <v>267</v>
      </c>
      <c r="H624" s="7"/>
      <c r="I624" s="7"/>
      <c r="J624" s="7"/>
      <c r="K624" s="7"/>
      <c r="L624" s="7" t="str">
        <f aca="false">IFERROR(VLOOKUP(IF(ISNUMBER(SEARCH("(",F624)),LEFT(F624,SEARCH("(",F624)-1),F624),Tipos!$A:$B,2,FALSE()),"outro")</f>
        <v>data</v>
      </c>
      <c r="M624" s="7" t="str">
        <f aca="false">IF(COUNTIF(Comparação!$H:$H,A624)&gt;0,"sim",IF(AND(G624="sim",H624=""),"FALTA (obrigatória)","não"))</f>
        <v>não</v>
      </c>
    </row>
    <row r="625" customFormat="false" ht="15" hidden="false" customHeight="false" outlineLevel="0" collapsed="false">
      <c r="A625" s="7" t="str">
        <f aca="false">B625&amp;"."&amp;E625</f>
        <v>fornecedores.extras</v>
      </c>
      <c r="B625" s="7" t="s">
        <v>121</v>
      </c>
      <c r="C625" s="7" t="s">
        <v>69</v>
      </c>
      <c r="D625" s="7" t="n">
        <v>20</v>
      </c>
      <c r="E625" s="7" t="s">
        <v>485</v>
      </c>
      <c r="F625" s="7" t="s">
        <v>324</v>
      </c>
      <c r="G625" s="7" t="s">
        <v>262</v>
      </c>
      <c r="H625" s="7" t="s">
        <v>347</v>
      </c>
      <c r="I625" s="7"/>
      <c r="J625" s="7"/>
      <c r="K625" s="7" t="s">
        <v>486</v>
      </c>
      <c r="L625" s="7" t="str">
        <f aca="false">IFERROR(VLOOKUP(IF(ISNUMBER(SEARCH("(",F625)),LEFT(F625,SEARCH("(",F625)-1),F625),Tipos!$A:$B,2,FALSE()),"outro")</f>
        <v>json</v>
      </c>
      <c r="M625" s="7" t="str">
        <f aca="false">IF(COUNTIF(Comparação!$H:$H,A625)&gt;0,"sim",IF(AND(G625="sim",H625=""),"FALTA (obrigatória)","não"))</f>
        <v>não</v>
      </c>
    </row>
    <row r="626" customFormat="false" ht="15" hidden="false" customHeight="false" outlineLevel="0" collapsed="false">
      <c r="A626" s="7" t="str">
        <f aca="false">B626&amp;"."&amp;E626</f>
        <v>fornecedores.endereco</v>
      </c>
      <c r="B626" s="7" t="s">
        <v>121</v>
      </c>
      <c r="C626" s="7" t="s">
        <v>69</v>
      </c>
      <c r="D626" s="7" t="n">
        <v>21</v>
      </c>
      <c r="E626" s="7" t="s">
        <v>677</v>
      </c>
      <c r="F626" s="7" t="s">
        <v>261</v>
      </c>
      <c r="G626" s="7" t="s">
        <v>267</v>
      </c>
      <c r="H626" s="7"/>
      <c r="I626" s="7"/>
      <c r="J626" s="7"/>
      <c r="K626" s="7"/>
      <c r="L626" s="7" t="str">
        <f aca="false">IFERROR(VLOOKUP(IF(ISNUMBER(SEARCH("(",F626)),LEFT(F626,SEARCH("(",F626)-1),F626),Tipos!$A:$B,2,FALSE()),"outro")</f>
        <v>texto</v>
      </c>
      <c r="M626" s="7" t="str">
        <f aca="false">IF(COUNTIF(Comparação!$H:$H,A626)&gt;0,"sim",IF(AND(G626="sim",H626=""),"FALTA (obrigatória)","não"))</f>
        <v>não</v>
      </c>
    </row>
    <row r="627" customFormat="false" ht="15" hidden="false" customHeight="false" outlineLevel="0" collapsed="false">
      <c r="A627" s="7" t="str">
        <f aca="false">B627&amp;"."&amp;E627</f>
        <v>fornecedores.observacoes</v>
      </c>
      <c r="B627" s="7" t="s">
        <v>121</v>
      </c>
      <c r="C627" s="7" t="s">
        <v>69</v>
      </c>
      <c r="D627" s="7" t="n">
        <v>22</v>
      </c>
      <c r="E627" s="7" t="s">
        <v>368</v>
      </c>
      <c r="F627" s="7" t="s">
        <v>261</v>
      </c>
      <c r="G627" s="7" t="s">
        <v>267</v>
      </c>
      <c r="H627" s="7"/>
      <c r="I627" s="7"/>
      <c r="J627" s="7"/>
      <c r="K627" s="7"/>
      <c r="L627" s="7" t="str">
        <f aca="false">IFERROR(VLOOKUP(IF(ISNUMBER(SEARCH("(",F627)),LEFT(F627,SEARCH("(",F627)-1),F627),Tipos!$A:$B,2,FALSE()),"outro")</f>
        <v>texto</v>
      </c>
      <c r="M627" s="7" t="str">
        <f aca="false">IF(COUNTIF(Comparação!$H:$H,A627)&gt;0,"sim",IF(AND(G627="sim",H627=""),"FALTA (obrigatória)","não"))</f>
        <v>não</v>
      </c>
    </row>
    <row r="628" customFormat="false" ht="15" hidden="false" customHeight="false" outlineLevel="0" collapsed="false">
      <c r="A628" s="7" t="str">
        <f aca="false">B628&amp;"."&amp;E628</f>
        <v>fornecedores.contrato_url</v>
      </c>
      <c r="B628" s="7" t="s">
        <v>121</v>
      </c>
      <c r="C628" s="7" t="s">
        <v>69</v>
      </c>
      <c r="D628" s="7" t="n">
        <v>23</v>
      </c>
      <c r="E628" s="7" t="s">
        <v>740</v>
      </c>
      <c r="F628" s="7" t="s">
        <v>261</v>
      </c>
      <c r="G628" s="7" t="s">
        <v>267</v>
      </c>
      <c r="H628" s="7"/>
      <c r="I628" s="7"/>
      <c r="J628" s="7"/>
      <c r="K628" s="7"/>
      <c r="L628" s="7" t="str">
        <f aca="false">IFERROR(VLOOKUP(IF(ISNUMBER(SEARCH("(",F628)),LEFT(F628,SEARCH("(",F628)-1),F628),Tipos!$A:$B,2,FALSE()),"outro")</f>
        <v>texto</v>
      </c>
      <c r="M628" s="7" t="str">
        <f aca="false">IF(COUNTIF(Comparação!$H:$H,A628)&gt;0,"sim",IF(AND(G628="sim",H628=""),"FALTA (obrigatória)","não"))</f>
        <v>não</v>
      </c>
    </row>
    <row r="629" customFormat="false" ht="15" hidden="false" customHeight="false" outlineLevel="0" collapsed="false">
      <c r="A629" s="7" t="str">
        <f aca="false">B629&amp;"."&amp;E629</f>
        <v>funcoes.id</v>
      </c>
      <c r="B629" s="7" t="s">
        <v>123</v>
      </c>
      <c r="C629" s="7" t="s">
        <v>24</v>
      </c>
      <c r="D629" s="7" t="n">
        <v>1</v>
      </c>
      <c r="E629" s="7" t="s">
        <v>271</v>
      </c>
      <c r="F629" s="7" t="s">
        <v>272</v>
      </c>
      <c r="G629" s="7" t="s">
        <v>262</v>
      </c>
      <c r="H629" s="7" t="s">
        <v>273</v>
      </c>
      <c r="I629" s="7" t="s">
        <v>263</v>
      </c>
      <c r="J629" s="7"/>
      <c r="K629" s="7"/>
      <c r="L629" s="7" t="str">
        <f aca="false">IFERROR(VLOOKUP(IF(ISNUMBER(SEARCH("(",F629)),LEFT(F629,SEARCH("(",F629)-1),F629),Tipos!$A:$B,2,FALSE()),"outro")</f>
        <v>uuid</v>
      </c>
      <c r="M629" s="7" t="str">
        <f aca="false">IF(COUNTIF(Comparação!$H:$H,A629)&gt;0,"sim",IF(AND(G629="sim",H629=""),"FALTA (obrigatória)","não"))</f>
        <v>não</v>
      </c>
    </row>
    <row r="630" customFormat="false" ht="15" hidden="false" customHeight="false" outlineLevel="0" collapsed="false">
      <c r="A630" s="7" t="str">
        <f aca="false">B630&amp;"."&amp;E630</f>
        <v>funcoes.workspace_id</v>
      </c>
      <c r="B630" s="7" t="s">
        <v>123</v>
      </c>
      <c r="C630" s="7" t="s">
        <v>24</v>
      </c>
      <c r="D630" s="7" t="n">
        <v>2</v>
      </c>
      <c r="E630" s="7" t="s">
        <v>274</v>
      </c>
      <c r="F630" s="7" t="s">
        <v>272</v>
      </c>
      <c r="G630" s="7" t="s">
        <v>262</v>
      </c>
      <c r="H630" s="7"/>
      <c r="I630" s="7" t="s">
        <v>290</v>
      </c>
      <c r="J630" s="7" t="s">
        <v>275</v>
      </c>
      <c r="K630" s="7"/>
      <c r="L630" s="7" t="str">
        <f aca="false">IFERROR(VLOOKUP(IF(ISNUMBER(SEARCH("(",F630)),LEFT(F630,SEARCH("(",F630)-1),F630),Tipos!$A:$B,2,FALSE()),"outro")</f>
        <v>uuid</v>
      </c>
      <c r="M630" s="7" t="str">
        <f aca="false">IF(COUNTIF(Comparação!$H:$H,A630)&gt;0,"sim",IF(AND(G630="sim",H630=""),"FALTA (obrigatória)","não"))</f>
        <v>FALTA (obrigatória)</v>
      </c>
    </row>
    <row r="631" customFormat="false" ht="15" hidden="false" customHeight="false" outlineLevel="0" collapsed="false">
      <c r="A631" s="7" t="str">
        <f aca="false">B631&amp;"."&amp;E631</f>
        <v>funcoes.nome</v>
      </c>
      <c r="B631" s="7" t="s">
        <v>123</v>
      </c>
      <c r="C631" s="7" t="s">
        <v>24</v>
      </c>
      <c r="D631" s="7" t="n">
        <v>3</v>
      </c>
      <c r="E631" s="7" t="s">
        <v>265</v>
      </c>
      <c r="F631" s="7" t="s">
        <v>261</v>
      </c>
      <c r="G631" s="7" t="s">
        <v>262</v>
      </c>
      <c r="H631" s="7"/>
      <c r="I631" s="7" t="s">
        <v>290</v>
      </c>
      <c r="J631" s="7"/>
      <c r="K631" s="7"/>
      <c r="L631" s="7" t="str">
        <f aca="false">IFERROR(VLOOKUP(IF(ISNUMBER(SEARCH("(",F631)),LEFT(F631,SEARCH("(",F631)-1),F631),Tipos!$A:$B,2,FALSE()),"outro")</f>
        <v>texto</v>
      </c>
      <c r="M631" s="7" t="str">
        <f aca="false">IF(COUNTIF(Comparação!$H:$H,A631)&gt;0,"sim",IF(AND(G631="sim",H631=""),"FALTA (obrigatória)","não"))</f>
        <v>FALTA (obrigatória)</v>
      </c>
    </row>
    <row r="632" customFormat="false" ht="15" hidden="false" customHeight="false" outlineLevel="0" collapsed="false">
      <c r="A632" s="7" t="str">
        <f aca="false">B632&amp;"."&amp;E632</f>
        <v>funcoes.descricao</v>
      </c>
      <c r="B632" s="7" t="s">
        <v>123</v>
      </c>
      <c r="C632" s="7" t="s">
        <v>24</v>
      </c>
      <c r="D632" s="7" t="n">
        <v>4</v>
      </c>
      <c r="E632" s="7" t="s">
        <v>427</v>
      </c>
      <c r="F632" s="7" t="s">
        <v>261</v>
      </c>
      <c r="G632" s="7" t="s">
        <v>267</v>
      </c>
      <c r="H632" s="7"/>
      <c r="I632" s="7"/>
      <c r="J632" s="7"/>
      <c r="K632" s="7"/>
      <c r="L632" s="7" t="str">
        <f aca="false">IFERROR(VLOOKUP(IF(ISNUMBER(SEARCH("(",F632)),LEFT(F632,SEARCH("(",F632)-1),F632),Tipos!$A:$B,2,FALSE()),"outro")</f>
        <v>texto</v>
      </c>
      <c r="M632" s="7" t="str">
        <f aca="false">IF(COUNTIF(Comparação!$H:$H,A632)&gt;0,"sim",IF(AND(G632="sim",H632=""),"FALTA (obrigatória)","não"))</f>
        <v>não</v>
      </c>
    </row>
    <row r="633" customFormat="false" ht="15" hidden="false" customHeight="false" outlineLevel="0" collapsed="false">
      <c r="A633" s="7" t="str">
        <f aca="false">B633&amp;"."&amp;E633</f>
        <v>funcoes.administrador</v>
      </c>
      <c r="B633" s="7" t="s">
        <v>123</v>
      </c>
      <c r="C633" s="7" t="s">
        <v>24</v>
      </c>
      <c r="D633" s="7" t="n">
        <v>5</v>
      </c>
      <c r="E633" s="7" t="s">
        <v>741</v>
      </c>
      <c r="F633" s="7" t="s">
        <v>310</v>
      </c>
      <c r="G633" s="7" t="s">
        <v>262</v>
      </c>
      <c r="H633" s="7" t="s">
        <v>375</v>
      </c>
      <c r="I633" s="7"/>
      <c r="J633" s="7"/>
      <c r="K633" s="7"/>
      <c r="L633" s="7" t="str">
        <f aca="false">IFERROR(VLOOKUP(IF(ISNUMBER(SEARCH("(",F633)),LEFT(F633,SEARCH("(",F633)-1),F633),Tipos!$A:$B,2,FALSE()),"outro")</f>
        <v>booleano</v>
      </c>
      <c r="M633" s="7" t="str">
        <f aca="false">IF(COUNTIF(Comparação!$H:$H,A633)&gt;0,"sim",IF(AND(G633="sim",H633=""),"FALTA (obrigatória)","não"))</f>
        <v>não</v>
      </c>
    </row>
    <row r="634" customFormat="false" ht="15" hidden="false" customHeight="false" outlineLevel="0" collapsed="false">
      <c r="A634" s="7" t="str">
        <f aca="false">B634&amp;"."&amp;E634</f>
        <v>funcoes.permissoes</v>
      </c>
      <c r="B634" s="7" t="s">
        <v>123</v>
      </c>
      <c r="C634" s="7" t="s">
        <v>24</v>
      </c>
      <c r="D634" s="7" t="n">
        <v>6</v>
      </c>
      <c r="E634" s="7" t="s">
        <v>742</v>
      </c>
      <c r="F634" s="7" t="s">
        <v>324</v>
      </c>
      <c r="G634" s="7" t="s">
        <v>262</v>
      </c>
      <c r="H634" s="7" t="s">
        <v>347</v>
      </c>
      <c r="I634" s="7"/>
      <c r="J634" s="7"/>
      <c r="K634" s="7"/>
      <c r="L634" s="7" t="str">
        <f aca="false">IFERROR(VLOOKUP(IF(ISNUMBER(SEARCH("(",F634)),LEFT(F634,SEARCH("(",F634)-1),F634),Tipos!$A:$B,2,FALSE()),"outro")</f>
        <v>json</v>
      </c>
      <c r="M634" s="7" t="str">
        <f aca="false">IF(COUNTIF(Comparação!$H:$H,A634)&gt;0,"sim",IF(AND(G634="sim",H634=""),"FALTA (obrigatória)","não"))</f>
        <v>não</v>
      </c>
    </row>
    <row r="635" customFormat="false" ht="15" hidden="false" customHeight="false" outlineLevel="0" collapsed="false">
      <c r="A635" s="7" t="str">
        <f aca="false">B635&amp;"."&amp;E635</f>
        <v>funcoes.criado_em</v>
      </c>
      <c r="B635" s="7" t="s">
        <v>123</v>
      </c>
      <c r="C635" s="7" t="s">
        <v>24</v>
      </c>
      <c r="D635" s="7" t="n">
        <v>7</v>
      </c>
      <c r="E635" s="7" t="s">
        <v>344</v>
      </c>
      <c r="F635" s="7" t="s">
        <v>285</v>
      </c>
      <c r="G635" s="7" t="s">
        <v>262</v>
      </c>
      <c r="H635" s="7" t="s">
        <v>286</v>
      </c>
      <c r="I635" s="7"/>
      <c r="J635" s="7"/>
      <c r="K635" s="7"/>
      <c r="L635" s="7" t="str">
        <f aca="false">IFERROR(VLOOKUP(IF(ISNUMBER(SEARCH("(",F635)),LEFT(F635,SEARCH("(",F635)-1),F635),Tipos!$A:$B,2,FALSE()),"outro")</f>
        <v>data e hora</v>
      </c>
      <c r="M635" s="7" t="str">
        <f aca="false">IF(COUNTIF(Comparação!$H:$H,A635)&gt;0,"sim",IF(AND(G635="sim",H635=""),"FALTA (obrigatória)","não"))</f>
        <v>não</v>
      </c>
    </row>
    <row r="636" customFormat="false" ht="15" hidden="false" customHeight="false" outlineLevel="0" collapsed="false">
      <c r="A636" s="7" t="str">
        <f aca="false">B636&amp;"."&amp;E636</f>
        <v>funcoes.acoes</v>
      </c>
      <c r="B636" s="7" t="s">
        <v>123</v>
      </c>
      <c r="C636" s="7" t="s">
        <v>24</v>
      </c>
      <c r="D636" s="7" t="n">
        <v>8</v>
      </c>
      <c r="E636" s="7" t="s">
        <v>743</v>
      </c>
      <c r="F636" s="7" t="s">
        <v>324</v>
      </c>
      <c r="G636" s="7" t="s">
        <v>262</v>
      </c>
      <c r="H636" s="7" t="s">
        <v>347</v>
      </c>
      <c r="I636" s="7"/>
      <c r="J636" s="7"/>
      <c r="K636" s="7"/>
      <c r="L636" s="7" t="str">
        <f aca="false">IFERROR(VLOOKUP(IF(ISNUMBER(SEARCH("(",F636)),LEFT(F636,SEARCH("(",F636)-1),F636),Tipos!$A:$B,2,FALSE()),"outro")</f>
        <v>json</v>
      </c>
      <c r="M636" s="7" t="str">
        <f aca="false">IF(COUNTIF(Comparação!$H:$H,A636)&gt;0,"sim",IF(AND(G636="sim",H636=""),"FALTA (obrigatória)","não"))</f>
        <v>não</v>
      </c>
    </row>
    <row r="637" customFormat="false" ht="15" hidden="false" customHeight="false" outlineLevel="0" collapsed="false">
      <c r="A637" s="7" t="str">
        <f aca="false">B637&amp;"."&amp;E637</f>
        <v>funil_etapas.id</v>
      </c>
      <c r="B637" s="7" t="s">
        <v>124</v>
      </c>
      <c r="C637" s="7" t="s">
        <v>31</v>
      </c>
      <c r="D637" s="7" t="n">
        <v>1</v>
      </c>
      <c r="E637" s="7" t="s">
        <v>271</v>
      </c>
      <c r="F637" s="7" t="s">
        <v>272</v>
      </c>
      <c r="G637" s="7" t="s">
        <v>262</v>
      </c>
      <c r="H637" s="7" t="s">
        <v>273</v>
      </c>
      <c r="I637" s="7" t="s">
        <v>263</v>
      </c>
      <c r="J637" s="7"/>
      <c r="K637" s="7"/>
      <c r="L637" s="7" t="str">
        <f aca="false">IFERROR(VLOOKUP(IF(ISNUMBER(SEARCH("(",F637)),LEFT(F637,SEARCH("(",F637)-1),F637),Tipos!$A:$B,2,FALSE()),"outro")</f>
        <v>uuid</v>
      </c>
      <c r="M637" s="7" t="str">
        <f aca="false">IF(COUNTIF(Comparação!$H:$H,A637)&gt;0,"sim",IF(AND(G637="sim",H637=""),"FALTA (obrigatória)","não"))</f>
        <v>não</v>
      </c>
    </row>
    <row r="638" customFormat="false" ht="15" hidden="false" customHeight="false" outlineLevel="0" collapsed="false">
      <c r="A638" s="7" t="str">
        <f aca="false">B638&amp;"."&amp;E638</f>
        <v>funil_etapas.workspace_id</v>
      </c>
      <c r="B638" s="7" t="s">
        <v>124</v>
      </c>
      <c r="C638" s="7" t="s">
        <v>31</v>
      </c>
      <c r="D638" s="7" t="n">
        <v>2</v>
      </c>
      <c r="E638" s="7" t="s">
        <v>274</v>
      </c>
      <c r="F638" s="7" t="s">
        <v>272</v>
      </c>
      <c r="G638" s="7" t="s">
        <v>262</v>
      </c>
      <c r="H638" s="7"/>
      <c r="I638" s="7"/>
      <c r="J638" s="7" t="s">
        <v>275</v>
      </c>
      <c r="K638" s="7"/>
      <c r="L638" s="7" t="str">
        <f aca="false">IFERROR(VLOOKUP(IF(ISNUMBER(SEARCH("(",F638)),LEFT(F638,SEARCH("(",F638)-1),F638),Tipos!$A:$B,2,FALSE()),"outro")</f>
        <v>uuid</v>
      </c>
      <c r="M638" s="7" t="str">
        <f aca="false">IF(COUNTIF(Comparação!$H:$H,A638)&gt;0,"sim",IF(AND(G638="sim",H638=""),"FALTA (obrigatória)","não"))</f>
        <v>FALTA (obrigatória)</v>
      </c>
    </row>
    <row r="639" customFormat="false" ht="15" hidden="false" customHeight="false" outlineLevel="0" collapsed="false">
      <c r="A639" s="7" t="str">
        <f aca="false">B639&amp;"."&amp;E639</f>
        <v>funil_etapas.funil_id</v>
      </c>
      <c r="B639" s="7" t="s">
        <v>124</v>
      </c>
      <c r="C639" s="7" t="s">
        <v>31</v>
      </c>
      <c r="D639" s="7" t="n">
        <v>3</v>
      </c>
      <c r="E639" s="7" t="s">
        <v>364</v>
      </c>
      <c r="F639" s="7" t="s">
        <v>272</v>
      </c>
      <c r="G639" s="7" t="s">
        <v>262</v>
      </c>
      <c r="H639" s="7"/>
      <c r="I639" s="7" t="s">
        <v>290</v>
      </c>
      <c r="J639" s="7" t="s">
        <v>365</v>
      </c>
      <c r="K639" s="7"/>
      <c r="L639" s="7" t="str">
        <f aca="false">IFERROR(VLOOKUP(IF(ISNUMBER(SEARCH("(",F639)),LEFT(F639,SEARCH("(",F639)-1),F639),Tipos!$A:$B,2,FALSE()),"outro")</f>
        <v>uuid</v>
      </c>
      <c r="M639" s="7" t="str">
        <f aca="false">IF(COUNTIF(Comparação!$H:$H,A639)&gt;0,"sim",IF(AND(G639="sim",H639=""),"FALTA (obrigatória)","não"))</f>
        <v>FALTA (obrigatória)</v>
      </c>
    </row>
    <row r="640" customFormat="false" ht="15" hidden="false" customHeight="false" outlineLevel="0" collapsed="false">
      <c r="A640" s="7" t="str">
        <f aca="false">B640&amp;"."&amp;E640</f>
        <v>funil_etapas.nome</v>
      </c>
      <c r="B640" s="7" t="s">
        <v>124</v>
      </c>
      <c r="C640" s="7" t="s">
        <v>31</v>
      </c>
      <c r="D640" s="7" t="n">
        <v>4</v>
      </c>
      <c r="E640" s="7" t="s">
        <v>265</v>
      </c>
      <c r="F640" s="7" t="s">
        <v>261</v>
      </c>
      <c r="G640" s="7" t="s">
        <v>262</v>
      </c>
      <c r="H640" s="7"/>
      <c r="I640" s="7" t="s">
        <v>290</v>
      </c>
      <c r="J640" s="7"/>
      <c r="K640" s="7"/>
      <c r="L640" s="7" t="str">
        <f aca="false">IFERROR(VLOOKUP(IF(ISNUMBER(SEARCH("(",F640)),LEFT(F640,SEARCH("(",F640)-1),F640),Tipos!$A:$B,2,FALSE()),"outro")</f>
        <v>texto</v>
      </c>
      <c r="M640" s="7" t="str">
        <f aca="false">IF(COUNTIF(Comparação!$H:$H,A640)&gt;0,"sim",IF(AND(G640="sim",H640=""),"FALTA (obrigatória)","não"))</f>
        <v>FALTA (obrigatória)</v>
      </c>
    </row>
    <row r="641" customFormat="false" ht="15" hidden="false" customHeight="false" outlineLevel="0" collapsed="false">
      <c r="A641" s="7" t="str">
        <f aca="false">B641&amp;"."&amp;E641</f>
        <v>funil_etapas.ordem</v>
      </c>
      <c r="B641" s="7" t="s">
        <v>124</v>
      </c>
      <c r="C641" s="7" t="s">
        <v>31</v>
      </c>
      <c r="D641" s="7" t="n">
        <v>5</v>
      </c>
      <c r="E641" s="7" t="s">
        <v>268</v>
      </c>
      <c r="F641" s="7" t="s">
        <v>269</v>
      </c>
      <c r="G641" s="7" t="s">
        <v>262</v>
      </c>
      <c r="H641" s="7"/>
      <c r="I641" s="7"/>
      <c r="J641" s="7"/>
      <c r="K641" s="7"/>
      <c r="L641" s="7" t="str">
        <f aca="false">IFERROR(VLOOKUP(IF(ISNUMBER(SEARCH("(",F641)),LEFT(F641,SEARCH("(",F641)-1),F641),Tipos!$A:$B,2,FALSE()),"outro")</f>
        <v>inteiro</v>
      </c>
      <c r="M641" s="7" t="str">
        <f aca="false">IF(COUNTIF(Comparação!$H:$H,A641)&gt;0,"sim",IF(AND(G641="sim",H641=""),"FALTA (obrigatória)","não"))</f>
        <v>FALTA (obrigatória)</v>
      </c>
    </row>
    <row r="642" customFormat="false" ht="15" hidden="false" customHeight="false" outlineLevel="0" collapsed="false">
      <c r="A642" s="7" t="str">
        <f aca="false">B642&amp;"."&amp;E642</f>
        <v>funil_etapas.tipo</v>
      </c>
      <c r="B642" s="7" t="s">
        <v>124</v>
      </c>
      <c r="C642" s="7" t="s">
        <v>31</v>
      </c>
      <c r="D642" s="7" t="n">
        <v>6</v>
      </c>
      <c r="E642" s="7" t="s">
        <v>280</v>
      </c>
      <c r="F642" s="7" t="s">
        <v>261</v>
      </c>
      <c r="G642" s="7" t="s">
        <v>262</v>
      </c>
      <c r="H642" s="7" t="s">
        <v>744</v>
      </c>
      <c r="I642" s="7"/>
      <c r="J642" s="7"/>
      <c r="K642" s="7" t="s">
        <v>745</v>
      </c>
      <c r="L642" s="7" t="str">
        <f aca="false">IFERROR(VLOOKUP(IF(ISNUMBER(SEARCH("(",F642)),LEFT(F642,SEARCH("(",F642)-1),F642),Tipos!$A:$B,2,FALSE()),"outro")</f>
        <v>texto</v>
      </c>
      <c r="M642" s="7" t="str">
        <f aca="false">IF(COUNTIF(Comparação!$H:$H,A642)&gt;0,"sim",IF(AND(G642="sim",H642=""),"FALTA (obrigatória)","não"))</f>
        <v>não</v>
      </c>
    </row>
    <row r="643" customFormat="false" ht="15" hidden="false" customHeight="false" outlineLevel="0" collapsed="false">
      <c r="A643" s="7" t="str">
        <f aca="false">B643&amp;"."&amp;E643</f>
        <v>funil_listas.id</v>
      </c>
      <c r="B643" s="7" t="s">
        <v>125</v>
      </c>
      <c r="C643" s="7" t="s">
        <v>31</v>
      </c>
      <c r="D643" s="7" t="n">
        <v>1</v>
      </c>
      <c r="E643" s="7" t="s">
        <v>271</v>
      </c>
      <c r="F643" s="7" t="s">
        <v>272</v>
      </c>
      <c r="G643" s="7" t="s">
        <v>262</v>
      </c>
      <c r="H643" s="7" t="s">
        <v>273</v>
      </c>
      <c r="I643" s="7" t="s">
        <v>263</v>
      </c>
      <c r="J643" s="7"/>
      <c r="K643" s="7"/>
      <c r="L643" s="7" t="str">
        <f aca="false">IFERROR(VLOOKUP(IF(ISNUMBER(SEARCH("(",F643)),LEFT(F643,SEARCH("(",F643)-1),F643),Tipos!$A:$B,2,FALSE()),"outro")</f>
        <v>uuid</v>
      </c>
      <c r="M643" s="7" t="str">
        <f aca="false">IF(COUNTIF(Comparação!$H:$H,A643)&gt;0,"sim",IF(AND(G643="sim",H643=""),"FALTA (obrigatória)","não"))</f>
        <v>não</v>
      </c>
    </row>
    <row r="644" customFormat="false" ht="15" hidden="false" customHeight="false" outlineLevel="0" collapsed="false">
      <c r="A644" s="7" t="str">
        <f aca="false">B644&amp;"."&amp;E644</f>
        <v>funil_listas.workspace_id</v>
      </c>
      <c r="B644" s="7" t="s">
        <v>125</v>
      </c>
      <c r="C644" s="7" t="s">
        <v>31</v>
      </c>
      <c r="D644" s="7" t="n">
        <v>2</v>
      </c>
      <c r="E644" s="7" t="s">
        <v>274</v>
      </c>
      <c r="F644" s="7" t="s">
        <v>272</v>
      </c>
      <c r="G644" s="7" t="s">
        <v>262</v>
      </c>
      <c r="H644" s="7"/>
      <c r="I644" s="7"/>
      <c r="J644" s="7" t="s">
        <v>275</v>
      </c>
      <c r="K644" s="7"/>
      <c r="L644" s="7" t="str">
        <f aca="false">IFERROR(VLOOKUP(IF(ISNUMBER(SEARCH("(",F644)),LEFT(F644,SEARCH("(",F644)-1),F644),Tipos!$A:$B,2,FALSE()),"outro")</f>
        <v>uuid</v>
      </c>
      <c r="M644" s="7" t="str">
        <f aca="false">IF(COUNTIF(Comparação!$H:$H,A644)&gt;0,"sim",IF(AND(G644="sim",H644=""),"FALTA (obrigatória)","não"))</f>
        <v>FALTA (obrigatória)</v>
      </c>
    </row>
    <row r="645" customFormat="false" ht="15" hidden="false" customHeight="false" outlineLevel="0" collapsed="false">
      <c r="A645" s="7" t="str">
        <f aca="false">B645&amp;"."&amp;E645</f>
        <v>funil_listas.funil_id</v>
      </c>
      <c r="B645" s="7" t="s">
        <v>125</v>
      </c>
      <c r="C645" s="7" t="s">
        <v>31</v>
      </c>
      <c r="D645" s="7" t="n">
        <v>3</v>
      </c>
      <c r="E645" s="7" t="s">
        <v>364</v>
      </c>
      <c r="F645" s="7" t="s">
        <v>272</v>
      </c>
      <c r="G645" s="7" t="s">
        <v>262</v>
      </c>
      <c r="H645" s="7"/>
      <c r="I645" s="7" t="s">
        <v>290</v>
      </c>
      <c r="J645" s="7" t="s">
        <v>365</v>
      </c>
      <c r="K645" s="7"/>
      <c r="L645" s="7" t="str">
        <f aca="false">IFERROR(VLOOKUP(IF(ISNUMBER(SEARCH("(",F645)),LEFT(F645,SEARCH("(",F645)-1),F645),Tipos!$A:$B,2,FALSE()),"outro")</f>
        <v>uuid</v>
      </c>
      <c r="M645" s="7" t="str">
        <f aca="false">IF(COUNTIF(Comparação!$H:$H,A645)&gt;0,"sim",IF(AND(G645="sim",H645=""),"FALTA (obrigatória)","não"))</f>
        <v>FALTA (obrigatória)</v>
      </c>
    </row>
    <row r="646" customFormat="false" ht="15" hidden="false" customHeight="false" outlineLevel="0" collapsed="false">
      <c r="A646" s="7" t="str">
        <f aca="false">B646&amp;"."&amp;E646</f>
        <v>funil_listas.nome</v>
      </c>
      <c r="B646" s="7" t="s">
        <v>125</v>
      </c>
      <c r="C646" s="7" t="s">
        <v>31</v>
      </c>
      <c r="D646" s="7" t="n">
        <v>4</v>
      </c>
      <c r="E646" s="7" t="s">
        <v>265</v>
      </c>
      <c r="F646" s="7" t="s">
        <v>261</v>
      </c>
      <c r="G646" s="7" t="s">
        <v>262</v>
      </c>
      <c r="H646" s="7"/>
      <c r="I646" s="7" t="s">
        <v>290</v>
      </c>
      <c r="J646" s="7"/>
      <c r="K646" s="7"/>
      <c r="L646" s="7" t="str">
        <f aca="false">IFERROR(VLOOKUP(IF(ISNUMBER(SEARCH("(",F646)),LEFT(F646,SEARCH("(",F646)-1),F646),Tipos!$A:$B,2,FALSE()),"outro")</f>
        <v>texto</v>
      </c>
      <c r="M646" s="7" t="str">
        <f aca="false">IF(COUNTIF(Comparação!$H:$H,A646)&gt;0,"sim",IF(AND(G646="sim",H646=""),"FALTA (obrigatória)","não"))</f>
        <v>FALTA (obrigatória)</v>
      </c>
    </row>
    <row r="647" customFormat="false" ht="15" hidden="false" customHeight="false" outlineLevel="0" collapsed="false">
      <c r="A647" s="7" t="str">
        <f aca="false">B647&amp;"."&amp;E647</f>
        <v>funil_listas.tipo</v>
      </c>
      <c r="B647" s="7" t="s">
        <v>125</v>
      </c>
      <c r="C647" s="7" t="s">
        <v>31</v>
      </c>
      <c r="D647" s="7" t="n">
        <v>5</v>
      </c>
      <c r="E647" s="7" t="s">
        <v>280</v>
      </c>
      <c r="F647" s="7" t="s">
        <v>261</v>
      </c>
      <c r="G647" s="7" t="s">
        <v>262</v>
      </c>
      <c r="H647" s="7" t="s">
        <v>725</v>
      </c>
      <c r="I647" s="7"/>
      <c r="J647" s="7"/>
      <c r="K647" s="7" t="s">
        <v>746</v>
      </c>
      <c r="L647" s="7" t="str">
        <f aca="false">IFERROR(VLOOKUP(IF(ISNUMBER(SEARCH("(",F647)),LEFT(F647,SEARCH("(",F647)-1),F647),Tipos!$A:$B,2,FALSE()),"outro")</f>
        <v>texto</v>
      </c>
      <c r="M647" s="7" t="str">
        <f aca="false">IF(COUNTIF(Comparação!$H:$H,A647)&gt;0,"sim",IF(AND(G647="sim",H647=""),"FALTA (obrigatória)","não"))</f>
        <v>não</v>
      </c>
    </row>
    <row r="648" customFormat="false" ht="15" hidden="false" customHeight="false" outlineLevel="0" collapsed="false">
      <c r="A648" s="7" t="str">
        <f aca="false">B648&amp;"."&amp;E648</f>
        <v>funil_listas.lista_pai_id</v>
      </c>
      <c r="B648" s="7" t="s">
        <v>125</v>
      </c>
      <c r="C648" s="7" t="s">
        <v>31</v>
      </c>
      <c r="D648" s="7" t="n">
        <v>6</v>
      </c>
      <c r="E648" s="7" t="s">
        <v>747</v>
      </c>
      <c r="F648" s="7" t="s">
        <v>272</v>
      </c>
      <c r="G648" s="7" t="s">
        <v>267</v>
      </c>
      <c r="H648" s="7"/>
      <c r="I648" s="7"/>
      <c r="J648" s="7" t="s">
        <v>748</v>
      </c>
      <c r="K648" s="7"/>
      <c r="L648" s="7" t="str">
        <f aca="false">IFERROR(VLOOKUP(IF(ISNUMBER(SEARCH("(",F648)),LEFT(F648,SEARCH("(",F648)-1),F648),Tipos!$A:$B,2,FALSE()),"outro")</f>
        <v>uuid</v>
      </c>
      <c r="M648" s="7" t="str">
        <f aca="false">IF(COUNTIF(Comparação!$H:$H,A648)&gt;0,"sim",IF(AND(G648="sim",H648=""),"FALTA (obrigatória)","não"))</f>
        <v>não</v>
      </c>
    </row>
    <row r="649" customFormat="false" ht="15" hidden="false" customHeight="false" outlineLevel="0" collapsed="false">
      <c r="A649" s="7" t="str">
        <f aca="false">B649&amp;"."&amp;E649</f>
        <v>funil_listas.reinicia_jornada</v>
      </c>
      <c r="B649" s="7" t="s">
        <v>125</v>
      </c>
      <c r="C649" s="7" t="s">
        <v>31</v>
      </c>
      <c r="D649" s="7" t="n">
        <v>7</v>
      </c>
      <c r="E649" s="7" t="s">
        <v>749</v>
      </c>
      <c r="F649" s="7" t="s">
        <v>310</v>
      </c>
      <c r="G649" s="7" t="s">
        <v>262</v>
      </c>
      <c r="H649" s="7" t="s">
        <v>375</v>
      </c>
      <c r="I649" s="7"/>
      <c r="J649" s="7"/>
      <c r="K649" s="7"/>
      <c r="L649" s="7" t="str">
        <f aca="false">IFERROR(VLOOKUP(IF(ISNUMBER(SEARCH("(",F649)),LEFT(F649,SEARCH("(",F649)-1),F649),Tipos!$A:$B,2,FALSE()),"outro")</f>
        <v>booleano</v>
      </c>
      <c r="M649" s="7" t="str">
        <f aca="false">IF(COUNTIF(Comparação!$H:$H,A649)&gt;0,"sim",IF(AND(G649="sim",H649=""),"FALTA (obrigatória)","não"))</f>
        <v>não</v>
      </c>
    </row>
    <row r="650" customFormat="false" ht="15" hidden="false" customHeight="false" outlineLevel="0" collapsed="false">
      <c r="A650" s="7" t="str">
        <f aca="false">B650&amp;"."&amp;E650</f>
        <v>funil_listas.etapa_ao_entrar_id</v>
      </c>
      <c r="B650" s="7" t="s">
        <v>125</v>
      </c>
      <c r="C650" s="7" t="s">
        <v>31</v>
      </c>
      <c r="D650" s="7" t="n">
        <v>8</v>
      </c>
      <c r="E650" s="7" t="s">
        <v>750</v>
      </c>
      <c r="F650" s="7" t="s">
        <v>272</v>
      </c>
      <c r="G650" s="7" t="s">
        <v>267</v>
      </c>
      <c r="H650" s="7"/>
      <c r="I650" s="7"/>
      <c r="J650" s="7" t="s">
        <v>751</v>
      </c>
      <c r="K650" s="7"/>
      <c r="L650" s="7" t="str">
        <f aca="false">IFERROR(VLOOKUP(IF(ISNUMBER(SEARCH("(",F650)),LEFT(F650,SEARCH("(",F650)-1),F650),Tipos!$A:$B,2,FALSE()),"outro")</f>
        <v>uuid</v>
      </c>
      <c r="M650" s="7" t="str">
        <f aca="false">IF(COUNTIF(Comparação!$H:$H,A650)&gt;0,"sim",IF(AND(G650="sim",H650=""),"FALTA (obrigatória)","não"))</f>
        <v>não</v>
      </c>
    </row>
    <row r="651" customFormat="false" ht="15" hidden="false" customHeight="false" outlineLevel="0" collapsed="false">
      <c r="A651" s="7" t="str">
        <f aca="false">B651&amp;"."&amp;E651</f>
        <v>funis.id</v>
      </c>
      <c r="B651" s="7" t="s">
        <v>127</v>
      </c>
      <c r="C651" s="7" t="s">
        <v>31</v>
      </c>
      <c r="D651" s="7" t="n">
        <v>1</v>
      </c>
      <c r="E651" s="7" t="s">
        <v>271</v>
      </c>
      <c r="F651" s="7" t="s">
        <v>272</v>
      </c>
      <c r="G651" s="7" t="s">
        <v>262</v>
      </c>
      <c r="H651" s="7" t="s">
        <v>273</v>
      </c>
      <c r="I651" s="7" t="s">
        <v>263</v>
      </c>
      <c r="J651" s="7"/>
      <c r="K651" s="7"/>
      <c r="L651" s="7" t="str">
        <f aca="false">IFERROR(VLOOKUP(IF(ISNUMBER(SEARCH("(",F651)),LEFT(F651,SEARCH("(",F651)-1),F651),Tipos!$A:$B,2,FALSE()),"outro")</f>
        <v>uuid</v>
      </c>
      <c r="M651" s="7" t="str">
        <f aca="false">IF(COUNTIF(Comparação!$H:$H,A651)&gt;0,"sim",IF(AND(G651="sim",H651=""),"FALTA (obrigatória)","não"))</f>
        <v>não</v>
      </c>
    </row>
    <row r="652" customFormat="false" ht="15" hidden="false" customHeight="false" outlineLevel="0" collapsed="false">
      <c r="A652" s="7" t="str">
        <f aca="false">B652&amp;"."&amp;E652</f>
        <v>funis.workspace_id</v>
      </c>
      <c r="B652" s="7" t="s">
        <v>127</v>
      </c>
      <c r="C652" s="7" t="s">
        <v>31</v>
      </c>
      <c r="D652" s="7" t="n">
        <v>2</v>
      </c>
      <c r="E652" s="7" t="s">
        <v>274</v>
      </c>
      <c r="F652" s="7" t="s">
        <v>272</v>
      </c>
      <c r="G652" s="7" t="s">
        <v>262</v>
      </c>
      <c r="H652" s="7"/>
      <c r="I652" s="7"/>
      <c r="J652" s="7" t="s">
        <v>275</v>
      </c>
      <c r="K652" s="7"/>
      <c r="L652" s="7" t="str">
        <f aca="false">IFERROR(VLOOKUP(IF(ISNUMBER(SEARCH("(",F652)),LEFT(F652,SEARCH("(",F652)-1),F652),Tipos!$A:$B,2,FALSE()),"outro")</f>
        <v>uuid</v>
      </c>
      <c r="M652" s="7" t="str">
        <f aca="false">IF(COUNTIF(Comparação!$H:$H,A652)&gt;0,"sim",IF(AND(G652="sim",H652=""),"FALTA (obrigatória)","não"))</f>
        <v>FALTA (obrigatória)</v>
      </c>
    </row>
    <row r="653" customFormat="false" ht="15" hidden="false" customHeight="false" outlineLevel="0" collapsed="false">
      <c r="A653" s="7" t="str">
        <f aca="false">B653&amp;"."&amp;E653</f>
        <v>funis.nome</v>
      </c>
      <c r="B653" s="7" t="s">
        <v>127</v>
      </c>
      <c r="C653" s="7" t="s">
        <v>31</v>
      </c>
      <c r="D653" s="7" t="n">
        <v>3</v>
      </c>
      <c r="E653" s="7" t="s">
        <v>265</v>
      </c>
      <c r="F653" s="7" t="s">
        <v>261</v>
      </c>
      <c r="G653" s="7" t="s">
        <v>262</v>
      </c>
      <c r="H653" s="7"/>
      <c r="I653" s="7"/>
      <c r="J653" s="7"/>
      <c r="K653" s="7"/>
      <c r="L653" s="7" t="str">
        <f aca="false">IFERROR(VLOOKUP(IF(ISNUMBER(SEARCH("(",F653)),LEFT(F653,SEARCH("(",F653)-1),F653),Tipos!$A:$B,2,FALSE()),"outro")</f>
        <v>texto</v>
      </c>
      <c r="M653" s="7" t="str">
        <f aca="false">IF(COUNTIF(Comparação!$H:$H,A653)&gt;0,"sim",IF(AND(G653="sim",H653=""),"FALTA (obrigatória)","não"))</f>
        <v>FALTA (obrigatória)</v>
      </c>
    </row>
    <row r="654" customFormat="false" ht="15" hidden="false" customHeight="false" outlineLevel="0" collapsed="false">
      <c r="A654" s="7" t="str">
        <f aca="false">B654&amp;"."&amp;E654</f>
        <v>funis.tipo</v>
      </c>
      <c r="B654" s="7" t="s">
        <v>127</v>
      </c>
      <c r="C654" s="7" t="s">
        <v>31</v>
      </c>
      <c r="D654" s="7" t="n">
        <v>4</v>
      </c>
      <c r="E654" s="7" t="s">
        <v>280</v>
      </c>
      <c r="F654" s="7" t="s">
        <v>261</v>
      </c>
      <c r="G654" s="7" t="s">
        <v>262</v>
      </c>
      <c r="H654" s="7" t="s">
        <v>752</v>
      </c>
      <c r="I654" s="7"/>
      <c r="J654" s="7"/>
      <c r="K654" s="7" t="s">
        <v>753</v>
      </c>
      <c r="L654" s="7" t="str">
        <f aca="false">IFERROR(VLOOKUP(IF(ISNUMBER(SEARCH("(",F654)),LEFT(F654,SEARCH("(",F654)-1),F654),Tipos!$A:$B,2,FALSE()),"outro")</f>
        <v>texto</v>
      </c>
      <c r="M654" s="7" t="str">
        <f aca="false">IF(COUNTIF(Comparação!$H:$H,A654)&gt;0,"sim",IF(AND(G654="sim",H654=""),"FALTA (obrigatória)","não"))</f>
        <v>não</v>
      </c>
    </row>
    <row r="655" customFormat="false" ht="15" hidden="false" customHeight="false" outlineLevel="0" collapsed="false">
      <c r="A655" s="7" t="str">
        <f aca="false">B655&amp;"."&amp;E655</f>
        <v>funis.produto_id</v>
      </c>
      <c r="B655" s="7" t="s">
        <v>127</v>
      </c>
      <c r="C655" s="7" t="s">
        <v>31</v>
      </c>
      <c r="D655" s="7" t="n">
        <v>5</v>
      </c>
      <c r="E655" s="7" t="s">
        <v>287</v>
      </c>
      <c r="F655" s="7" t="s">
        <v>272</v>
      </c>
      <c r="G655" s="7" t="s">
        <v>267</v>
      </c>
      <c r="H655" s="7"/>
      <c r="I655" s="7"/>
      <c r="J655" s="7" t="s">
        <v>288</v>
      </c>
      <c r="K655" s="7"/>
      <c r="L655" s="7" t="str">
        <f aca="false">IFERROR(VLOOKUP(IF(ISNUMBER(SEARCH("(",F655)),LEFT(F655,SEARCH("(",F655)-1),F655),Tipos!$A:$B,2,FALSE()),"outro")</f>
        <v>uuid</v>
      </c>
      <c r="M655" s="7" t="str">
        <f aca="false">IF(COUNTIF(Comparação!$H:$H,A655)&gt;0,"sim",IF(AND(G655="sim",H655=""),"FALTA (obrigatória)","não"))</f>
        <v>não</v>
      </c>
    </row>
    <row r="656" customFormat="false" ht="15" hidden="false" customHeight="false" outlineLevel="0" collapsed="false">
      <c r="A656" s="7" t="str">
        <f aca="false">B656&amp;"."&amp;E656</f>
        <v>funis.descricao</v>
      </c>
      <c r="B656" s="7" t="s">
        <v>127</v>
      </c>
      <c r="C656" s="7" t="s">
        <v>31</v>
      </c>
      <c r="D656" s="7" t="n">
        <v>6</v>
      </c>
      <c r="E656" s="7" t="s">
        <v>427</v>
      </c>
      <c r="F656" s="7" t="s">
        <v>261</v>
      </c>
      <c r="G656" s="7" t="s">
        <v>267</v>
      </c>
      <c r="H656" s="7"/>
      <c r="I656" s="7"/>
      <c r="J656" s="7"/>
      <c r="K656" s="7"/>
      <c r="L656" s="7" t="str">
        <f aca="false">IFERROR(VLOOKUP(IF(ISNUMBER(SEARCH("(",F656)),LEFT(F656,SEARCH("(",F656)-1),F656),Tipos!$A:$B,2,FALSE()),"outro")</f>
        <v>texto</v>
      </c>
      <c r="M656" s="7" t="str">
        <f aca="false">IF(COUNTIF(Comparação!$H:$H,A656)&gt;0,"sim",IF(AND(G656="sim",H656=""),"FALTA (obrigatória)","não"))</f>
        <v>não</v>
      </c>
    </row>
    <row r="657" customFormat="false" ht="15" hidden="false" customHeight="false" outlineLevel="0" collapsed="false">
      <c r="A657" s="7" t="str">
        <f aca="false">B657&amp;"."&amp;E657</f>
        <v>funis.ativo</v>
      </c>
      <c r="B657" s="7" t="s">
        <v>127</v>
      </c>
      <c r="C657" s="7" t="s">
        <v>31</v>
      </c>
      <c r="D657" s="7" t="n">
        <v>7</v>
      </c>
      <c r="E657" s="7" t="s">
        <v>309</v>
      </c>
      <c r="F657" s="7" t="s">
        <v>310</v>
      </c>
      <c r="G657" s="7" t="s">
        <v>262</v>
      </c>
      <c r="H657" s="7" t="s">
        <v>311</v>
      </c>
      <c r="I657" s="7"/>
      <c r="J657" s="7"/>
      <c r="K657" s="7"/>
      <c r="L657" s="7" t="str">
        <f aca="false">IFERROR(VLOOKUP(IF(ISNUMBER(SEARCH("(",F657)),LEFT(F657,SEARCH("(",F657)-1),F657),Tipos!$A:$B,2,FALSE()),"outro")</f>
        <v>booleano</v>
      </c>
      <c r="M657" s="7" t="str">
        <f aca="false">IF(COUNTIF(Comparação!$H:$H,A657)&gt;0,"sim",IF(AND(G657="sim",H657=""),"FALTA (obrigatória)","não"))</f>
        <v>não</v>
      </c>
    </row>
    <row r="658" customFormat="false" ht="15" hidden="false" customHeight="false" outlineLevel="0" collapsed="false">
      <c r="A658" s="7" t="str">
        <f aca="false">B658&amp;"."&amp;E658</f>
        <v>funis.modelo_pronto</v>
      </c>
      <c r="B658" s="7" t="s">
        <v>127</v>
      </c>
      <c r="C658" s="7" t="s">
        <v>31</v>
      </c>
      <c r="D658" s="7" t="n">
        <v>8</v>
      </c>
      <c r="E658" s="7" t="s">
        <v>754</v>
      </c>
      <c r="F658" s="7" t="s">
        <v>261</v>
      </c>
      <c r="G658" s="7" t="s">
        <v>267</v>
      </c>
      <c r="H658" s="7"/>
      <c r="I658" s="7"/>
      <c r="J658" s="7"/>
      <c r="K658" s="7" t="s">
        <v>755</v>
      </c>
      <c r="L658" s="7" t="str">
        <f aca="false">IFERROR(VLOOKUP(IF(ISNUMBER(SEARCH("(",F658)),LEFT(F658,SEARCH("(",F658)-1),F658),Tipos!$A:$B,2,FALSE()),"outro")</f>
        <v>texto</v>
      </c>
      <c r="M658" s="7" t="str">
        <f aca="false">IF(COUNTIF(Comparação!$H:$H,A658)&gt;0,"sim",IF(AND(G658="sim",H658=""),"FALTA (obrigatória)","não"))</f>
        <v>não</v>
      </c>
    </row>
    <row r="659" customFormat="false" ht="15" hidden="false" customHeight="false" outlineLevel="0" collapsed="false">
      <c r="A659" s="7" t="str">
        <f aca="false">B659&amp;"."&amp;E659</f>
        <v>gm_alavancas.id</v>
      </c>
      <c r="B659" s="7" t="s">
        <v>129</v>
      </c>
      <c r="C659" s="7" t="s">
        <v>115</v>
      </c>
      <c r="D659" s="7" t="n">
        <v>1</v>
      </c>
      <c r="E659" s="7" t="s">
        <v>271</v>
      </c>
      <c r="F659" s="7" t="s">
        <v>272</v>
      </c>
      <c r="G659" s="7" t="s">
        <v>262</v>
      </c>
      <c r="H659" s="7" t="s">
        <v>273</v>
      </c>
      <c r="I659" s="7" t="s">
        <v>263</v>
      </c>
      <c r="J659" s="7"/>
      <c r="K659" s="7"/>
      <c r="L659" s="7" t="str">
        <f aca="false">IFERROR(VLOOKUP(IF(ISNUMBER(SEARCH("(",F659)),LEFT(F659,SEARCH("(",F659)-1),F659),Tipos!$A:$B,2,FALSE()),"outro")</f>
        <v>uuid</v>
      </c>
      <c r="M659" s="7" t="str">
        <f aca="false">IF(COUNTIF(Comparação!$H:$H,A659)&gt;0,"sim",IF(AND(G659="sim",H659=""),"FALTA (obrigatória)","não"))</f>
        <v>não</v>
      </c>
    </row>
    <row r="660" customFormat="false" ht="15" hidden="false" customHeight="false" outlineLevel="0" collapsed="false">
      <c r="A660" s="7" t="str">
        <f aca="false">B660&amp;"."&amp;E660</f>
        <v>gm_alavancas.workspace_id</v>
      </c>
      <c r="B660" s="7" t="s">
        <v>129</v>
      </c>
      <c r="C660" s="7" t="s">
        <v>115</v>
      </c>
      <c r="D660" s="7" t="n">
        <v>2</v>
      </c>
      <c r="E660" s="7" t="s">
        <v>274</v>
      </c>
      <c r="F660" s="7" t="s">
        <v>272</v>
      </c>
      <c r="G660" s="7" t="s">
        <v>262</v>
      </c>
      <c r="H660" s="7"/>
      <c r="I660" s="7"/>
      <c r="J660" s="7" t="s">
        <v>275</v>
      </c>
      <c r="K660" s="7"/>
      <c r="L660" s="7" t="str">
        <f aca="false">IFERROR(VLOOKUP(IF(ISNUMBER(SEARCH("(",F660)),LEFT(F660,SEARCH("(",F660)-1),F660),Tipos!$A:$B,2,FALSE()),"outro")</f>
        <v>uuid</v>
      </c>
      <c r="M660" s="7" t="str">
        <f aca="false">IF(COUNTIF(Comparação!$H:$H,A660)&gt;0,"sim",IF(AND(G660="sim",H660=""),"FALTA (obrigatória)","não"))</f>
        <v>FALTA (obrigatória)</v>
      </c>
    </row>
    <row r="661" customFormat="false" ht="15" hidden="false" customHeight="false" outlineLevel="0" collapsed="false">
      <c r="A661" s="7" t="str">
        <f aca="false">B661&amp;"."&amp;E661</f>
        <v>gm_alavancas.loop_chave</v>
      </c>
      <c r="B661" s="7" t="s">
        <v>129</v>
      </c>
      <c r="C661" s="7" t="s">
        <v>115</v>
      </c>
      <c r="D661" s="7" t="n">
        <v>3</v>
      </c>
      <c r="E661" s="7" t="s">
        <v>756</v>
      </c>
      <c r="F661" s="7" t="s">
        <v>261</v>
      </c>
      <c r="G661" s="7" t="s">
        <v>262</v>
      </c>
      <c r="H661" s="7"/>
      <c r="I661" s="7"/>
      <c r="J661" s="7"/>
      <c r="K661" s="7"/>
      <c r="L661" s="7" t="str">
        <f aca="false">IFERROR(VLOOKUP(IF(ISNUMBER(SEARCH("(",F661)),LEFT(F661,SEARCH("(",F661)-1),F661),Tipos!$A:$B,2,FALSE()),"outro")</f>
        <v>texto</v>
      </c>
      <c r="M661" s="7" t="str">
        <f aca="false">IF(COUNTIF(Comparação!$H:$H,A661)&gt;0,"sim",IF(AND(G661="sim",H661=""),"FALTA (obrigatória)","não"))</f>
        <v>FALTA (obrigatória)</v>
      </c>
    </row>
    <row r="662" customFormat="false" ht="15" hidden="false" customHeight="false" outlineLevel="0" collapsed="false">
      <c r="A662" s="7" t="str">
        <f aca="false">B662&amp;"."&amp;E662</f>
        <v>gm_alavancas.produto_id</v>
      </c>
      <c r="B662" s="7" t="s">
        <v>129</v>
      </c>
      <c r="C662" s="7" t="s">
        <v>115</v>
      </c>
      <c r="D662" s="7" t="n">
        <v>4</v>
      </c>
      <c r="E662" s="7" t="s">
        <v>287</v>
      </c>
      <c r="F662" s="7" t="s">
        <v>272</v>
      </c>
      <c r="G662" s="7" t="s">
        <v>267</v>
      </c>
      <c r="H662" s="7"/>
      <c r="I662" s="7"/>
      <c r="J662" s="7" t="s">
        <v>288</v>
      </c>
      <c r="K662" s="7"/>
      <c r="L662" s="7" t="str">
        <f aca="false">IFERROR(VLOOKUP(IF(ISNUMBER(SEARCH("(",F662)),LEFT(F662,SEARCH("(",F662)-1),F662),Tipos!$A:$B,2,FALSE()),"outro")</f>
        <v>uuid</v>
      </c>
      <c r="M662" s="7" t="str">
        <f aca="false">IF(COUNTIF(Comparação!$H:$H,A662)&gt;0,"sim",IF(AND(G662="sim",H662=""),"FALTA (obrigatória)","não"))</f>
        <v>não</v>
      </c>
    </row>
    <row r="663" customFormat="false" ht="15" hidden="false" customHeight="false" outlineLevel="0" collapsed="false">
      <c r="A663" s="7" t="str">
        <f aca="false">B663&amp;"."&amp;E663</f>
        <v>gm_alavancas.alavanca</v>
      </c>
      <c r="B663" s="7" t="s">
        <v>129</v>
      </c>
      <c r="C663" s="7" t="s">
        <v>115</v>
      </c>
      <c r="D663" s="7" t="n">
        <v>5</v>
      </c>
      <c r="E663" s="7" t="s">
        <v>757</v>
      </c>
      <c r="F663" s="7" t="s">
        <v>261</v>
      </c>
      <c r="G663" s="7" t="s">
        <v>262</v>
      </c>
      <c r="H663" s="7"/>
      <c r="I663" s="7"/>
      <c r="J663" s="7"/>
      <c r="K663" s="7"/>
      <c r="L663" s="7" t="str">
        <f aca="false">IFERROR(VLOOKUP(IF(ISNUMBER(SEARCH("(",F663)),LEFT(F663,SEARCH("(",F663)-1),F663),Tipos!$A:$B,2,FALSE()),"outro")</f>
        <v>texto</v>
      </c>
      <c r="M663" s="7" t="str">
        <f aca="false">IF(COUNTIF(Comparação!$H:$H,A663)&gt;0,"sim",IF(AND(G663="sim",H663=""),"FALTA (obrigatória)","não"))</f>
        <v>FALTA (obrigatória)</v>
      </c>
    </row>
    <row r="664" customFormat="false" ht="15" hidden="false" customHeight="false" outlineLevel="0" collapsed="false">
      <c r="A664" s="7" t="str">
        <f aca="false">B664&amp;"."&amp;E664</f>
        <v>gm_alavancas.mes</v>
      </c>
      <c r="B664" s="7" t="s">
        <v>129</v>
      </c>
      <c r="C664" s="7" t="s">
        <v>115</v>
      </c>
      <c r="D664" s="7" t="n">
        <v>6</v>
      </c>
      <c r="E664" s="7" t="s">
        <v>440</v>
      </c>
      <c r="F664" s="7" t="s">
        <v>379</v>
      </c>
      <c r="G664" s="7" t="s">
        <v>262</v>
      </c>
      <c r="H664" s="7"/>
      <c r="I664" s="7"/>
      <c r="J664" s="7"/>
      <c r="K664" s="7"/>
      <c r="L664" s="7" t="str">
        <f aca="false">IFERROR(VLOOKUP(IF(ISNUMBER(SEARCH("(",F664)),LEFT(F664,SEARCH("(",F664)-1),F664),Tipos!$A:$B,2,FALSE()),"outro")</f>
        <v>data</v>
      </c>
      <c r="M664" s="7" t="str">
        <f aca="false">IF(COUNTIF(Comparação!$H:$H,A664)&gt;0,"sim",IF(AND(G664="sim",H664=""),"FALTA (obrigatória)","não"))</f>
        <v>FALTA (obrigatória)</v>
      </c>
    </row>
    <row r="665" customFormat="false" ht="15" hidden="false" customHeight="false" outlineLevel="0" collapsed="false">
      <c r="A665" s="7" t="str">
        <f aca="false">B665&amp;"."&amp;E665</f>
        <v>gm_alavancas.cenario</v>
      </c>
      <c r="B665" s="7" t="s">
        <v>129</v>
      </c>
      <c r="C665" s="7" t="s">
        <v>115</v>
      </c>
      <c r="D665" s="7" t="n">
        <v>7</v>
      </c>
      <c r="E665" s="7" t="s">
        <v>758</v>
      </c>
      <c r="F665" s="7" t="s">
        <v>261</v>
      </c>
      <c r="G665" s="7" t="s">
        <v>262</v>
      </c>
      <c r="H665" s="7"/>
      <c r="I665" s="7"/>
      <c r="J665" s="7"/>
      <c r="K665" s="7" t="s">
        <v>759</v>
      </c>
      <c r="L665" s="7" t="str">
        <f aca="false">IFERROR(VLOOKUP(IF(ISNUMBER(SEARCH("(",F665)),LEFT(F665,SEARCH("(",F665)-1),F665),Tipos!$A:$B,2,FALSE()),"outro")</f>
        <v>texto</v>
      </c>
      <c r="M665" s="7" t="str">
        <f aca="false">IF(COUNTIF(Comparação!$H:$H,A665)&gt;0,"sim",IF(AND(G665="sim",H665=""),"FALTA (obrigatória)","não"))</f>
        <v>FALTA (obrigatória)</v>
      </c>
    </row>
    <row r="666" customFormat="false" ht="15" hidden="false" customHeight="false" outlineLevel="0" collapsed="false">
      <c r="A666" s="7" t="str">
        <f aca="false">B666&amp;"."&amp;E666</f>
        <v>gm_alavancas.valor</v>
      </c>
      <c r="B666" s="7" t="s">
        <v>129</v>
      </c>
      <c r="C666" s="7" t="s">
        <v>115</v>
      </c>
      <c r="D666" s="7" t="n">
        <v>8</v>
      </c>
      <c r="E666" s="7" t="s">
        <v>330</v>
      </c>
      <c r="F666" s="7" t="s">
        <v>380</v>
      </c>
      <c r="G666" s="7" t="s">
        <v>262</v>
      </c>
      <c r="H666" s="7"/>
      <c r="I666" s="7"/>
      <c r="J666" s="7"/>
      <c r="K666" s="7"/>
      <c r="L666" s="7" t="str">
        <f aca="false">IFERROR(VLOOKUP(IF(ISNUMBER(SEARCH("(",F666)),LEFT(F666,SEARCH("(",F666)-1),F666),Tipos!$A:$B,2,FALSE()),"outro")</f>
        <v>decimal</v>
      </c>
      <c r="M666" s="7" t="str">
        <f aca="false">IF(COUNTIF(Comparação!$H:$H,A666)&gt;0,"sim",IF(AND(G666="sim",H666=""),"FALTA (obrigatória)","não"))</f>
        <v>FALTA (obrigatória)</v>
      </c>
    </row>
    <row r="667" customFormat="false" ht="15" hidden="false" customHeight="false" outlineLevel="0" collapsed="false">
      <c r="A667" s="7" t="str">
        <f aca="false">B667&amp;"."&amp;E667</f>
        <v>gm_alavancas.criado_em</v>
      </c>
      <c r="B667" s="7" t="s">
        <v>129</v>
      </c>
      <c r="C667" s="7" t="s">
        <v>115</v>
      </c>
      <c r="D667" s="7" t="n">
        <v>9</v>
      </c>
      <c r="E667" s="7" t="s">
        <v>344</v>
      </c>
      <c r="F667" s="7" t="s">
        <v>285</v>
      </c>
      <c r="G667" s="7" t="s">
        <v>262</v>
      </c>
      <c r="H667" s="7" t="s">
        <v>286</v>
      </c>
      <c r="I667" s="7"/>
      <c r="J667" s="7"/>
      <c r="K667" s="7"/>
      <c r="L667" s="7" t="str">
        <f aca="false">IFERROR(VLOOKUP(IF(ISNUMBER(SEARCH("(",F667)),LEFT(F667,SEARCH("(",F667)-1),F667),Tipos!$A:$B,2,FALSE()),"outro")</f>
        <v>data e hora</v>
      </c>
      <c r="M667" s="7" t="str">
        <f aca="false">IF(COUNTIF(Comparação!$H:$H,A667)&gt;0,"sim",IF(AND(G667="sim",H667=""),"FALTA (obrigatória)","não"))</f>
        <v>não</v>
      </c>
    </row>
    <row r="668" customFormat="false" ht="15" hidden="false" customHeight="false" outlineLevel="0" collapsed="false">
      <c r="A668" s="7" t="str">
        <f aca="false">B668&amp;"."&amp;E668</f>
        <v>gm_cenarios.id</v>
      </c>
      <c r="B668" s="7" t="s">
        <v>130</v>
      </c>
      <c r="C668" s="7" t="s">
        <v>115</v>
      </c>
      <c r="D668" s="7" t="n">
        <v>1</v>
      </c>
      <c r="E668" s="7" t="s">
        <v>271</v>
      </c>
      <c r="F668" s="7" t="s">
        <v>272</v>
      </c>
      <c r="G668" s="7" t="s">
        <v>262</v>
      </c>
      <c r="H668" s="7" t="s">
        <v>273</v>
      </c>
      <c r="I668" s="7" t="s">
        <v>263</v>
      </c>
      <c r="J668" s="7"/>
      <c r="K668" s="7"/>
      <c r="L668" s="7" t="str">
        <f aca="false">IFERROR(VLOOKUP(IF(ISNUMBER(SEARCH("(",F668)),LEFT(F668,SEARCH("(",F668)-1),F668),Tipos!$A:$B,2,FALSE()),"outro")</f>
        <v>uuid</v>
      </c>
      <c r="M668" s="7" t="str">
        <f aca="false">IF(COUNTIF(Comparação!$H:$H,A668)&gt;0,"sim",IF(AND(G668="sim",H668=""),"FALTA (obrigatória)","não"))</f>
        <v>não</v>
      </c>
    </row>
    <row r="669" customFormat="false" ht="15" hidden="false" customHeight="false" outlineLevel="0" collapsed="false">
      <c r="A669" s="7" t="str">
        <f aca="false">B669&amp;"."&amp;E669</f>
        <v>gm_cenarios.workspace_id</v>
      </c>
      <c r="B669" s="7" t="s">
        <v>130</v>
      </c>
      <c r="C669" s="7" t="s">
        <v>115</v>
      </c>
      <c r="D669" s="7" t="n">
        <v>2</v>
      </c>
      <c r="E669" s="7" t="s">
        <v>274</v>
      </c>
      <c r="F669" s="7" t="s">
        <v>272</v>
      </c>
      <c r="G669" s="7" t="s">
        <v>262</v>
      </c>
      <c r="H669" s="7"/>
      <c r="I669" s="7"/>
      <c r="J669" s="7" t="s">
        <v>275</v>
      </c>
      <c r="K669" s="7"/>
      <c r="L669" s="7" t="str">
        <f aca="false">IFERROR(VLOOKUP(IF(ISNUMBER(SEARCH("(",F669)),LEFT(F669,SEARCH("(",F669)-1),F669),Tipos!$A:$B,2,FALSE()),"outro")</f>
        <v>uuid</v>
      </c>
      <c r="M669" s="7" t="str">
        <f aca="false">IF(COUNTIF(Comparação!$H:$H,A669)&gt;0,"sim",IF(AND(G669="sim",H669=""),"FALTA (obrigatória)","não"))</f>
        <v>FALTA (obrigatória)</v>
      </c>
    </row>
    <row r="670" customFormat="false" ht="15" hidden="false" customHeight="false" outlineLevel="0" collapsed="false">
      <c r="A670" s="7" t="str">
        <f aca="false">B670&amp;"."&amp;E670</f>
        <v>gm_cenarios.nome</v>
      </c>
      <c r="B670" s="7" t="s">
        <v>130</v>
      </c>
      <c r="C670" s="7" t="s">
        <v>115</v>
      </c>
      <c r="D670" s="7" t="n">
        <v>3</v>
      </c>
      <c r="E670" s="7" t="s">
        <v>265</v>
      </c>
      <c r="F670" s="7" t="s">
        <v>261</v>
      </c>
      <c r="G670" s="7" t="s">
        <v>262</v>
      </c>
      <c r="H670" s="7"/>
      <c r="I670" s="7"/>
      <c r="J670" s="7"/>
      <c r="K670" s="7" t="s">
        <v>345</v>
      </c>
      <c r="L670" s="7" t="str">
        <f aca="false">IFERROR(VLOOKUP(IF(ISNUMBER(SEARCH("(",F670)),LEFT(F670,SEARCH("(",F670)-1),F670),Tipos!$A:$B,2,FALSE()),"outro")</f>
        <v>texto</v>
      </c>
      <c r="M670" s="7" t="str">
        <f aca="false">IF(COUNTIF(Comparação!$H:$H,A670)&gt;0,"sim",IF(AND(G670="sim",H670=""),"FALTA (obrigatória)","não"))</f>
        <v>FALTA (obrigatória)</v>
      </c>
    </row>
    <row r="671" customFormat="false" ht="15" hidden="false" customHeight="false" outlineLevel="0" collapsed="false">
      <c r="A671" s="7" t="str">
        <f aca="false">B671&amp;"."&amp;E671</f>
        <v>gm_cenarios.hipotese</v>
      </c>
      <c r="B671" s="7" t="s">
        <v>130</v>
      </c>
      <c r="C671" s="7" t="s">
        <v>115</v>
      </c>
      <c r="D671" s="7" t="n">
        <v>4</v>
      </c>
      <c r="E671" s="7" t="s">
        <v>760</v>
      </c>
      <c r="F671" s="7" t="s">
        <v>261</v>
      </c>
      <c r="G671" s="7" t="s">
        <v>267</v>
      </c>
      <c r="H671" s="7"/>
      <c r="I671" s="7"/>
      <c r="J671" s="7"/>
      <c r="K671" s="7"/>
      <c r="L671" s="7" t="str">
        <f aca="false">IFERROR(VLOOKUP(IF(ISNUMBER(SEARCH("(",F671)),LEFT(F671,SEARCH("(",F671)-1),F671),Tipos!$A:$B,2,FALSE()),"outro")</f>
        <v>texto</v>
      </c>
      <c r="M671" s="7" t="str">
        <f aca="false">IF(COUNTIF(Comparação!$H:$H,A671)&gt;0,"sim",IF(AND(G671="sim",H671=""),"FALTA (obrigatória)","não"))</f>
        <v>não</v>
      </c>
    </row>
    <row r="672" customFormat="false" ht="15" hidden="false" customHeight="false" outlineLevel="0" collapsed="false">
      <c r="A672" s="7" t="str">
        <f aca="false">B672&amp;"."&amp;E672</f>
        <v>gm_cenarios.autor</v>
      </c>
      <c r="B672" s="7" t="s">
        <v>130</v>
      </c>
      <c r="C672" s="7" t="s">
        <v>115</v>
      </c>
      <c r="D672" s="7" t="n">
        <v>5</v>
      </c>
      <c r="E672" s="7" t="s">
        <v>761</v>
      </c>
      <c r="F672" s="7" t="s">
        <v>272</v>
      </c>
      <c r="G672" s="7" t="s">
        <v>267</v>
      </c>
      <c r="H672" s="7" t="s">
        <v>406</v>
      </c>
      <c r="I672" s="7"/>
      <c r="J672" s="7"/>
      <c r="K672" s="7"/>
      <c r="L672" s="7" t="str">
        <f aca="false">IFERROR(VLOOKUP(IF(ISNUMBER(SEARCH("(",F672)),LEFT(F672,SEARCH("(",F672)-1),F672),Tipos!$A:$B,2,FALSE()),"outro")</f>
        <v>uuid</v>
      </c>
      <c r="M672" s="7" t="str">
        <f aca="false">IF(COUNTIF(Comparação!$H:$H,A672)&gt;0,"sim",IF(AND(G672="sim",H672=""),"FALTA (obrigatória)","não"))</f>
        <v>não</v>
      </c>
    </row>
    <row r="673" customFormat="false" ht="15" hidden="false" customHeight="false" outlineLevel="0" collapsed="false">
      <c r="A673" s="7" t="str">
        <f aca="false">B673&amp;"."&amp;E673</f>
        <v>gm_cenarios.escopo</v>
      </c>
      <c r="B673" s="7" t="s">
        <v>130</v>
      </c>
      <c r="C673" s="7" t="s">
        <v>115</v>
      </c>
      <c r="D673" s="7" t="n">
        <v>6</v>
      </c>
      <c r="E673" s="7" t="s">
        <v>506</v>
      </c>
      <c r="F673" s="7" t="s">
        <v>324</v>
      </c>
      <c r="G673" s="7" t="s">
        <v>262</v>
      </c>
      <c r="H673" s="7" t="s">
        <v>347</v>
      </c>
      <c r="I673" s="7"/>
      <c r="J673" s="7"/>
      <c r="K673" s="7" t="s">
        <v>762</v>
      </c>
      <c r="L673" s="7" t="str">
        <f aca="false">IFERROR(VLOOKUP(IF(ISNUMBER(SEARCH("(",F673)),LEFT(F673,SEARCH("(",F673)-1),F673),Tipos!$A:$B,2,FALSE()),"outro")</f>
        <v>json</v>
      </c>
      <c r="M673" s="7" t="str">
        <f aca="false">IF(COUNTIF(Comparação!$H:$H,A673)&gt;0,"sim",IF(AND(G673="sim",H673=""),"FALTA (obrigatória)","não"))</f>
        <v>não</v>
      </c>
    </row>
    <row r="674" customFormat="false" ht="15" hidden="false" customHeight="false" outlineLevel="0" collapsed="false">
      <c r="A674" s="7" t="str">
        <f aca="false">B674&amp;"."&amp;E674</f>
        <v>gm_cenarios.status</v>
      </c>
      <c r="B674" s="7" t="s">
        <v>130</v>
      </c>
      <c r="C674" s="7" t="s">
        <v>115</v>
      </c>
      <c r="D674" s="7" t="n">
        <v>7</v>
      </c>
      <c r="E674" s="7" t="s">
        <v>293</v>
      </c>
      <c r="F674" s="7" t="s">
        <v>261</v>
      </c>
      <c r="G674" s="7" t="s">
        <v>262</v>
      </c>
      <c r="H674" s="7" t="s">
        <v>652</v>
      </c>
      <c r="I674" s="7"/>
      <c r="J674" s="7"/>
      <c r="K674" s="7" t="s">
        <v>763</v>
      </c>
      <c r="L674" s="7" t="str">
        <f aca="false">IFERROR(VLOOKUP(IF(ISNUMBER(SEARCH("(",F674)),LEFT(F674,SEARCH("(",F674)-1),F674),Tipos!$A:$B,2,FALSE()),"outro")</f>
        <v>texto</v>
      </c>
      <c r="M674" s="7" t="str">
        <f aca="false">IF(COUNTIF(Comparação!$H:$H,A674)&gt;0,"sim",IF(AND(G674="sim",H674=""),"FALTA (obrigatória)","não"))</f>
        <v>não</v>
      </c>
    </row>
    <row r="675" customFormat="false" ht="15" hidden="false" customHeight="false" outlineLevel="0" collapsed="false">
      <c r="A675" s="7" t="str">
        <f aca="false">B675&amp;"."&amp;E675</f>
        <v>gm_cenarios.versao</v>
      </c>
      <c r="B675" s="7" t="s">
        <v>130</v>
      </c>
      <c r="C675" s="7" t="s">
        <v>115</v>
      </c>
      <c r="D675" s="7" t="n">
        <v>8</v>
      </c>
      <c r="E675" s="7" t="s">
        <v>410</v>
      </c>
      <c r="F675" s="7" t="s">
        <v>269</v>
      </c>
      <c r="G675" s="7" t="s">
        <v>262</v>
      </c>
      <c r="H675" s="7" t="s">
        <v>468</v>
      </c>
      <c r="I675" s="7"/>
      <c r="J675" s="7"/>
      <c r="K675" s="7"/>
      <c r="L675" s="7" t="str">
        <f aca="false">IFERROR(VLOOKUP(IF(ISNUMBER(SEARCH("(",F675)),LEFT(F675,SEARCH("(",F675)-1),F675),Tipos!$A:$B,2,FALSE()),"outro")</f>
        <v>inteiro</v>
      </c>
      <c r="M675" s="7" t="str">
        <f aca="false">IF(COUNTIF(Comparação!$H:$H,A675)&gt;0,"sim",IF(AND(G675="sim",H675=""),"FALTA (obrigatória)","não"))</f>
        <v>não</v>
      </c>
    </row>
    <row r="676" customFormat="false" ht="15" hidden="false" customHeight="false" outlineLevel="0" collapsed="false">
      <c r="A676" s="7" t="str">
        <f aca="false">B676&amp;"."&amp;E676</f>
        <v>gm_cenarios.substitui_id</v>
      </c>
      <c r="B676" s="7" t="s">
        <v>130</v>
      </c>
      <c r="C676" s="7" t="s">
        <v>115</v>
      </c>
      <c r="D676" s="7" t="n">
        <v>9</v>
      </c>
      <c r="E676" s="7" t="s">
        <v>414</v>
      </c>
      <c r="F676" s="7" t="s">
        <v>272</v>
      </c>
      <c r="G676" s="7" t="s">
        <v>267</v>
      </c>
      <c r="H676" s="7"/>
      <c r="I676" s="7"/>
      <c r="J676" s="7" t="s">
        <v>764</v>
      </c>
      <c r="K676" s="7"/>
      <c r="L676" s="7" t="str">
        <f aca="false">IFERROR(VLOOKUP(IF(ISNUMBER(SEARCH("(",F676)),LEFT(F676,SEARCH("(",F676)-1),F676),Tipos!$A:$B,2,FALSE()),"outro")</f>
        <v>uuid</v>
      </c>
      <c r="M676" s="7" t="str">
        <f aca="false">IF(COUNTIF(Comparação!$H:$H,A676)&gt;0,"sim",IF(AND(G676="sim",H676=""),"FALTA (obrigatória)","não"))</f>
        <v>não</v>
      </c>
    </row>
    <row r="677" customFormat="false" ht="15" hidden="false" customHeight="false" outlineLevel="0" collapsed="false">
      <c r="A677" s="7" t="str">
        <f aca="false">B677&amp;"."&amp;E677</f>
        <v>gm_cenarios.baseline</v>
      </c>
      <c r="B677" s="7" t="s">
        <v>130</v>
      </c>
      <c r="C677" s="7" t="s">
        <v>115</v>
      </c>
      <c r="D677" s="7" t="n">
        <v>10</v>
      </c>
      <c r="E677" s="7" t="s">
        <v>765</v>
      </c>
      <c r="F677" s="7" t="s">
        <v>324</v>
      </c>
      <c r="G677" s="7" t="s">
        <v>267</v>
      </c>
      <c r="H677" s="7"/>
      <c r="I677" s="7"/>
      <c r="J677" s="7"/>
      <c r="K677" s="7"/>
      <c r="L677" s="7" t="str">
        <f aca="false">IFERROR(VLOOKUP(IF(ISNUMBER(SEARCH("(",F677)),LEFT(F677,SEARCH("(",F677)-1),F677),Tipos!$A:$B,2,FALSE()),"outro")</f>
        <v>json</v>
      </c>
      <c r="M677" s="7" t="str">
        <f aca="false">IF(COUNTIF(Comparação!$H:$H,A677)&gt;0,"sim",IF(AND(G677="sim",H677=""),"FALTA (obrigatória)","não"))</f>
        <v>não</v>
      </c>
    </row>
    <row r="678" customFormat="false" ht="15" hidden="false" customHeight="false" outlineLevel="0" collapsed="false">
      <c r="A678" s="7" t="str">
        <f aca="false">B678&amp;"."&amp;E678</f>
        <v>gm_cenarios.resultados</v>
      </c>
      <c r="B678" s="7" t="s">
        <v>130</v>
      </c>
      <c r="C678" s="7" t="s">
        <v>115</v>
      </c>
      <c r="D678" s="7" t="n">
        <v>11</v>
      </c>
      <c r="E678" s="7" t="s">
        <v>766</v>
      </c>
      <c r="F678" s="7" t="s">
        <v>324</v>
      </c>
      <c r="G678" s="7" t="s">
        <v>267</v>
      </c>
      <c r="H678" s="7"/>
      <c r="I678" s="7"/>
      <c r="J678" s="7"/>
      <c r="K678" s="7"/>
      <c r="L678" s="7" t="str">
        <f aca="false">IFERROR(VLOOKUP(IF(ISNUMBER(SEARCH("(",F678)),LEFT(F678,SEARCH("(",F678)-1),F678),Tipos!$A:$B,2,FALSE()),"outro")</f>
        <v>json</v>
      </c>
      <c r="M678" s="7" t="str">
        <f aca="false">IF(COUNTIF(Comparação!$H:$H,A678)&gt;0,"sim",IF(AND(G678="sim",H678=""),"FALTA (obrigatória)","não"))</f>
        <v>não</v>
      </c>
    </row>
    <row r="679" customFormat="false" ht="15" hidden="false" customHeight="false" outlineLevel="0" collapsed="false">
      <c r="A679" s="7" t="str">
        <f aca="false">B679&amp;"."&amp;E679</f>
        <v>gm_cenarios.financeiro</v>
      </c>
      <c r="B679" s="7" t="s">
        <v>130</v>
      </c>
      <c r="C679" s="7" t="s">
        <v>115</v>
      </c>
      <c r="D679" s="7" t="n">
        <v>12</v>
      </c>
      <c r="E679" s="7" t="s">
        <v>767</v>
      </c>
      <c r="F679" s="7" t="s">
        <v>324</v>
      </c>
      <c r="G679" s="7" t="s">
        <v>262</v>
      </c>
      <c r="H679" s="7" t="s">
        <v>347</v>
      </c>
      <c r="I679" s="7"/>
      <c r="J679" s="7"/>
      <c r="K679" s="7" t="s">
        <v>768</v>
      </c>
      <c r="L679" s="7" t="str">
        <f aca="false">IFERROR(VLOOKUP(IF(ISNUMBER(SEARCH("(",F679)),LEFT(F679,SEARCH("(",F679)-1),F679),Tipos!$A:$B,2,FALSE()),"outro")</f>
        <v>json</v>
      </c>
      <c r="M679" s="7" t="str">
        <f aca="false">IF(COUNTIF(Comparação!$H:$H,A679)&gt;0,"sim",IF(AND(G679="sim",H679=""),"FALTA (obrigatória)","não"))</f>
        <v>não</v>
      </c>
    </row>
    <row r="680" customFormat="false" ht="15" hidden="false" customHeight="false" outlineLevel="0" collapsed="false">
      <c r="A680" s="7" t="str">
        <f aca="false">B680&amp;"."&amp;E680</f>
        <v>gm_cenarios.ue</v>
      </c>
      <c r="B680" s="7" t="s">
        <v>130</v>
      </c>
      <c r="C680" s="7" t="s">
        <v>115</v>
      </c>
      <c r="D680" s="7" t="n">
        <v>13</v>
      </c>
      <c r="E680" s="7" t="s">
        <v>769</v>
      </c>
      <c r="F680" s="7" t="s">
        <v>324</v>
      </c>
      <c r="G680" s="7" t="s">
        <v>267</v>
      </c>
      <c r="H680" s="7"/>
      <c r="I680" s="7"/>
      <c r="J680" s="7"/>
      <c r="K680" s="7"/>
      <c r="L680" s="7" t="str">
        <f aca="false">IFERROR(VLOOKUP(IF(ISNUMBER(SEARCH("(",F680)),LEFT(F680,SEARCH("(",F680)-1),F680),Tipos!$A:$B,2,FALSE()),"outro")</f>
        <v>json</v>
      </c>
      <c r="M680" s="7" t="str">
        <f aca="false">IF(COUNTIF(Comparação!$H:$H,A680)&gt;0,"sim",IF(AND(G680="sim",H680=""),"FALTA (obrigatória)","não"))</f>
        <v>não</v>
      </c>
    </row>
    <row r="681" customFormat="false" ht="15" hidden="false" customHeight="false" outlineLevel="0" collapsed="false">
      <c r="A681" s="7" t="str">
        <f aca="false">B681&amp;"."&amp;E681</f>
        <v>gm_cenarios.impacto</v>
      </c>
      <c r="B681" s="7" t="s">
        <v>130</v>
      </c>
      <c r="C681" s="7" t="s">
        <v>115</v>
      </c>
      <c r="D681" s="7" t="n">
        <v>14</v>
      </c>
      <c r="E681" s="7" t="s">
        <v>770</v>
      </c>
      <c r="F681" s="7" t="s">
        <v>269</v>
      </c>
      <c r="G681" s="7" t="s">
        <v>267</v>
      </c>
      <c r="H681" s="7"/>
      <c r="I681" s="7"/>
      <c r="J681" s="7"/>
      <c r="K681" s="7" t="s">
        <v>771</v>
      </c>
      <c r="L681" s="7" t="str">
        <f aca="false">IFERROR(VLOOKUP(IF(ISNUMBER(SEARCH("(",F681)),LEFT(F681,SEARCH("(",F681)-1),F681),Tipos!$A:$B,2,FALSE()),"outro")</f>
        <v>inteiro</v>
      </c>
      <c r="M681" s="7" t="str">
        <f aca="false">IF(COUNTIF(Comparação!$H:$H,A681)&gt;0,"sim",IF(AND(G681="sim",H681=""),"FALTA (obrigatória)","não"))</f>
        <v>não</v>
      </c>
    </row>
    <row r="682" customFormat="false" ht="15" hidden="false" customHeight="false" outlineLevel="0" collapsed="false">
      <c r="A682" s="7" t="str">
        <f aca="false">B682&amp;"."&amp;E682</f>
        <v>gm_cenarios.confianca</v>
      </c>
      <c r="B682" s="7" t="s">
        <v>130</v>
      </c>
      <c r="C682" s="7" t="s">
        <v>115</v>
      </c>
      <c r="D682" s="7" t="n">
        <v>15</v>
      </c>
      <c r="E682" s="7" t="s">
        <v>772</v>
      </c>
      <c r="F682" s="7" t="s">
        <v>269</v>
      </c>
      <c r="G682" s="7" t="s">
        <v>267</v>
      </c>
      <c r="H682" s="7"/>
      <c r="I682" s="7"/>
      <c r="J682" s="7"/>
      <c r="K682" s="7" t="s">
        <v>773</v>
      </c>
      <c r="L682" s="7" t="str">
        <f aca="false">IFERROR(VLOOKUP(IF(ISNUMBER(SEARCH("(",F682)),LEFT(F682,SEARCH("(",F682)-1),F682),Tipos!$A:$B,2,FALSE()),"outro")</f>
        <v>inteiro</v>
      </c>
      <c r="M682" s="7" t="str">
        <f aca="false">IF(COUNTIF(Comparação!$H:$H,A682)&gt;0,"sim",IF(AND(G682="sim",H682=""),"FALTA (obrigatória)","não"))</f>
        <v>não</v>
      </c>
    </row>
    <row r="683" customFormat="false" ht="15" hidden="false" customHeight="false" outlineLevel="0" collapsed="false">
      <c r="A683" s="7" t="str">
        <f aca="false">B683&amp;"."&amp;E683</f>
        <v>gm_cenarios.facilidade</v>
      </c>
      <c r="B683" s="7" t="s">
        <v>130</v>
      </c>
      <c r="C683" s="7" t="s">
        <v>115</v>
      </c>
      <c r="D683" s="7" t="n">
        <v>16</v>
      </c>
      <c r="E683" s="7" t="s">
        <v>774</v>
      </c>
      <c r="F683" s="7" t="s">
        <v>269</v>
      </c>
      <c r="G683" s="7" t="s">
        <v>267</v>
      </c>
      <c r="H683" s="7"/>
      <c r="I683" s="7"/>
      <c r="J683" s="7"/>
      <c r="K683" s="7" t="s">
        <v>775</v>
      </c>
      <c r="L683" s="7" t="str">
        <f aca="false">IFERROR(VLOOKUP(IF(ISNUMBER(SEARCH("(",F683)),LEFT(F683,SEARCH("(",F683)-1),F683),Tipos!$A:$B,2,FALSE()),"outro")</f>
        <v>inteiro</v>
      </c>
      <c r="M683" s="7" t="str">
        <f aca="false">IF(COUNTIF(Comparação!$H:$H,A683)&gt;0,"sim",IF(AND(G683="sim",H683=""),"FALTA (obrigatória)","não"))</f>
        <v>não</v>
      </c>
    </row>
    <row r="684" customFormat="false" ht="15" hidden="false" customHeight="false" outlineLevel="0" collapsed="false">
      <c r="A684" s="7" t="str">
        <f aca="false">B684&amp;"."&amp;E684</f>
        <v>gm_cenarios.ice_justificativa</v>
      </c>
      <c r="B684" s="7" t="s">
        <v>130</v>
      </c>
      <c r="C684" s="7" t="s">
        <v>115</v>
      </c>
      <c r="D684" s="7" t="n">
        <v>17</v>
      </c>
      <c r="E684" s="7" t="s">
        <v>776</v>
      </c>
      <c r="F684" s="7" t="s">
        <v>261</v>
      </c>
      <c r="G684" s="7" t="s">
        <v>267</v>
      </c>
      <c r="H684" s="7"/>
      <c r="I684" s="7"/>
      <c r="J684" s="7"/>
      <c r="K684" s="7"/>
      <c r="L684" s="7" t="str">
        <f aca="false">IFERROR(VLOOKUP(IF(ISNUMBER(SEARCH("(",F684)),LEFT(F684,SEARCH("(",F684)-1),F684),Tipos!$A:$B,2,FALSE()),"outro")</f>
        <v>texto</v>
      </c>
      <c r="M684" s="7" t="str">
        <f aca="false">IF(COUNTIF(Comparação!$H:$H,A684)&gt;0,"sim",IF(AND(G684="sim",H684=""),"FALTA (obrigatória)","não"))</f>
        <v>não</v>
      </c>
    </row>
    <row r="685" customFormat="false" ht="15" hidden="false" customHeight="false" outlineLevel="0" collapsed="false">
      <c r="A685" s="7" t="str">
        <f aca="false">B685&amp;"."&amp;E685</f>
        <v>gm_cenarios.aprovado_em</v>
      </c>
      <c r="B685" s="7" t="s">
        <v>130</v>
      </c>
      <c r="C685" s="7" t="s">
        <v>115</v>
      </c>
      <c r="D685" s="7" t="n">
        <v>18</v>
      </c>
      <c r="E685" s="7" t="s">
        <v>777</v>
      </c>
      <c r="F685" s="7" t="s">
        <v>285</v>
      </c>
      <c r="G685" s="7" t="s">
        <v>267</v>
      </c>
      <c r="H685" s="7"/>
      <c r="I685" s="7"/>
      <c r="J685" s="7"/>
      <c r="K685" s="7"/>
      <c r="L685" s="7" t="str">
        <f aca="false">IFERROR(VLOOKUP(IF(ISNUMBER(SEARCH("(",F685)),LEFT(F685,SEARCH("(",F685)-1),F685),Tipos!$A:$B,2,FALSE()),"outro")</f>
        <v>data e hora</v>
      </c>
      <c r="M685" s="7" t="str">
        <f aca="false">IF(COUNTIF(Comparação!$H:$H,A685)&gt;0,"sim",IF(AND(G685="sim",H685=""),"FALTA (obrigatória)","não"))</f>
        <v>não</v>
      </c>
    </row>
    <row r="686" customFormat="false" ht="15" hidden="false" customHeight="false" outlineLevel="0" collapsed="false">
      <c r="A686" s="7" t="str">
        <f aca="false">B686&amp;"."&amp;E686</f>
        <v>gm_cenarios.aprovado_por</v>
      </c>
      <c r="B686" s="7" t="s">
        <v>130</v>
      </c>
      <c r="C686" s="7" t="s">
        <v>115</v>
      </c>
      <c r="D686" s="7" t="n">
        <v>19</v>
      </c>
      <c r="E686" s="7" t="s">
        <v>778</v>
      </c>
      <c r="F686" s="7" t="s">
        <v>272</v>
      </c>
      <c r="G686" s="7" t="s">
        <v>267</v>
      </c>
      <c r="H686" s="7"/>
      <c r="I686" s="7"/>
      <c r="J686" s="7"/>
      <c r="K686" s="7"/>
      <c r="L686" s="7" t="str">
        <f aca="false">IFERROR(VLOOKUP(IF(ISNUMBER(SEARCH("(",F686)),LEFT(F686,SEARCH("(",F686)-1),F686),Tipos!$A:$B,2,FALSE()),"outro")</f>
        <v>uuid</v>
      </c>
      <c r="M686" s="7" t="str">
        <f aca="false">IF(COUNTIF(Comparação!$H:$H,A686)&gt;0,"sim",IF(AND(G686="sim",H686=""),"FALTA (obrigatória)","não"))</f>
        <v>não</v>
      </c>
    </row>
    <row r="687" customFormat="false" ht="15" hidden="false" customHeight="false" outlineLevel="0" collapsed="false">
      <c r="A687" s="7" t="str">
        <f aca="false">B687&amp;"."&amp;E687</f>
        <v>gm_cenarios.criado_em</v>
      </c>
      <c r="B687" s="7" t="s">
        <v>130</v>
      </c>
      <c r="C687" s="7" t="s">
        <v>115</v>
      </c>
      <c r="D687" s="7" t="n">
        <v>20</v>
      </c>
      <c r="E687" s="7" t="s">
        <v>344</v>
      </c>
      <c r="F687" s="7" t="s">
        <v>285</v>
      </c>
      <c r="G687" s="7" t="s">
        <v>262</v>
      </c>
      <c r="H687" s="7" t="s">
        <v>286</v>
      </c>
      <c r="I687" s="7"/>
      <c r="J687" s="7"/>
      <c r="K687" s="7"/>
      <c r="L687" s="7" t="str">
        <f aca="false">IFERROR(VLOOKUP(IF(ISNUMBER(SEARCH("(",F687)),LEFT(F687,SEARCH("(",F687)-1),F687),Tipos!$A:$B,2,FALSE()),"outro")</f>
        <v>data e hora</v>
      </c>
      <c r="M687" s="7" t="str">
        <f aca="false">IF(COUNTIF(Comparação!$H:$H,A687)&gt;0,"sim",IF(AND(G687="sim",H687=""),"FALTA (obrigatória)","não"))</f>
        <v>não</v>
      </c>
    </row>
    <row r="688" customFormat="false" ht="15" hidden="false" customHeight="false" outlineLevel="0" collapsed="false">
      <c r="A688" s="7" t="str">
        <f aca="false">B688&amp;"."&amp;E688</f>
        <v>gm_cenarios.atualizado_em</v>
      </c>
      <c r="B688" s="7" t="s">
        <v>130</v>
      </c>
      <c r="C688" s="7" t="s">
        <v>115</v>
      </c>
      <c r="D688" s="7" t="n">
        <v>21</v>
      </c>
      <c r="E688" s="7" t="s">
        <v>335</v>
      </c>
      <c r="F688" s="7" t="s">
        <v>285</v>
      </c>
      <c r="G688" s="7" t="s">
        <v>262</v>
      </c>
      <c r="H688" s="7" t="s">
        <v>286</v>
      </c>
      <c r="I688" s="7"/>
      <c r="J688" s="7"/>
      <c r="K688" s="7"/>
      <c r="L688" s="7" t="str">
        <f aca="false">IFERROR(VLOOKUP(IF(ISNUMBER(SEARCH("(",F688)),LEFT(F688,SEARCH("(",F688)-1),F688),Tipos!$A:$B,2,FALSE()),"outro")</f>
        <v>data e hora</v>
      </c>
      <c r="M688" s="7" t="str">
        <f aca="false">IF(COUNTIF(Comparação!$H:$H,A688)&gt;0,"sim",IF(AND(G688="sim",H688=""),"FALTA (obrigatória)","não"))</f>
        <v>não</v>
      </c>
    </row>
    <row r="689" customFormat="false" ht="15" hidden="false" customHeight="false" outlineLevel="0" collapsed="false">
      <c r="A689" s="7" t="str">
        <f aca="false">B689&amp;"."&amp;E689</f>
        <v>gm_cenarios.descarte</v>
      </c>
      <c r="B689" s="7" t="s">
        <v>130</v>
      </c>
      <c r="C689" s="7" t="s">
        <v>115</v>
      </c>
      <c r="D689" s="7" t="n">
        <v>22</v>
      </c>
      <c r="E689" s="7" t="s">
        <v>779</v>
      </c>
      <c r="F689" s="7" t="s">
        <v>324</v>
      </c>
      <c r="G689" s="7" t="s">
        <v>267</v>
      </c>
      <c r="H689" s="7"/>
      <c r="I689" s="7"/>
      <c r="J689" s="7"/>
      <c r="K689" s="7" t="s">
        <v>780</v>
      </c>
      <c r="L689" s="7" t="str">
        <f aca="false">IFERROR(VLOOKUP(IF(ISNUMBER(SEARCH("(",F689)),LEFT(F689,SEARCH("(",F689)-1),F689),Tipos!$A:$B,2,FALSE()),"outro")</f>
        <v>json</v>
      </c>
      <c r="M689" s="7" t="str">
        <f aca="false">IF(COUNTIF(Comparação!$H:$H,A689)&gt;0,"sim",IF(AND(G689="sim",H689=""),"FALTA (obrigatória)","não"))</f>
        <v>não</v>
      </c>
    </row>
    <row r="690" customFormat="false" ht="15" hidden="false" customHeight="false" outlineLevel="0" collapsed="false">
      <c r="A690" s="7" t="str">
        <f aca="false">B690&amp;"."&amp;E690</f>
        <v>gm_config.workspace_id</v>
      </c>
      <c r="B690" s="7" t="s">
        <v>132</v>
      </c>
      <c r="C690" s="7" t="s">
        <v>115</v>
      </c>
      <c r="D690" s="7" t="n">
        <v>1</v>
      </c>
      <c r="E690" s="7" t="s">
        <v>274</v>
      </c>
      <c r="F690" s="7" t="s">
        <v>272</v>
      </c>
      <c r="G690" s="7" t="s">
        <v>262</v>
      </c>
      <c r="H690" s="7"/>
      <c r="I690" s="7" t="s">
        <v>263</v>
      </c>
      <c r="J690" s="7" t="s">
        <v>275</v>
      </c>
      <c r="K690" s="7"/>
      <c r="L690" s="7" t="str">
        <f aca="false">IFERROR(VLOOKUP(IF(ISNUMBER(SEARCH("(",F690)),LEFT(F690,SEARCH("(",F690)-1),F690),Tipos!$A:$B,2,FALSE()),"outro")</f>
        <v>uuid</v>
      </c>
      <c r="M690" s="7" t="str">
        <f aca="false">IF(COUNTIF(Comparação!$H:$H,A690)&gt;0,"sim",IF(AND(G690="sim",H690=""),"FALTA (obrigatória)","não"))</f>
        <v>FALTA (obrigatória)</v>
      </c>
    </row>
    <row r="691" customFormat="false" ht="15" hidden="false" customHeight="false" outlineLevel="0" collapsed="false">
      <c r="A691" s="7" t="str">
        <f aca="false">B691&amp;"."&amp;E691</f>
        <v>gm_config.inicio</v>
      </c>
      <c r="B691" s="7" t="s">
        <v>132</v>
      </c>
      <c r="C691" s="7" t="s">
        <v>115</v>
      </c>
      <c r="D691" s="7" t="n">
        <v>2</v>
      </c>
      <c r="E691" s="7" t="s">
        <v>781</v>
      </c>
      <c r="F691" s="7" t="s">
        <v>379</v>
      </c>
      <c r="G691" s="7" t="s">
        <v>262</v>
      </c>
      <c r="H691" s="7"/>
      <c r="I691" s="7"/>
      <c r="J691" s="7"/>
      <c r="K691" s="7"/>
      <c r="L691" s="7" t="str">
        <f aca="false">IFERROR(VLOOKUP(IF(ISNUMBER(SEARCH("(",F691)),LEFT(F691,SEARCH("(",F691)-1),F691),Tipos!$A:$B,2,FALSE()),"outro")</f>
        <v>data</v>
      </c>
      <c r="M691" s="7" t="str">
        <f aca="false">IF(COUNTIF(Comparação!$H:$H,A691)&gt;0,"sim",IF(AND(G691="sim",H691=""),"FALTA (obrigatória)","não"))</f>
        <v>FALTA (obrigatória)</v>
      </c>
    </row>
    <row r="692" customFormat="false" ht="15" hidden="false" customHeight="false" outlineLevel="0" collapsed="false">
      <c r="A692" s="7" t="str">
        <f aca="false">B692&amp;"."&amp;E692</f>
        <v>gm_config.meses</v>
      </c>
      <c r="B692" s="7" t="s">
        <v>132</v>
      </c>
      <c r="C692" s="7" t="s">
        <v>115</v>
      </c>
      <c r="D692" s="7" t="n">
        <v>3</v>
      </c>
      <c r="E692" s="7" t="s">
        <v>782</v>
      </c>
      <c r="F692" s="7" t="s">
        <v>269</v>
      </c>
      <c r="G692" s="7" t="s">
        <v>262</v>
      </c>
      <c r="H692" s="7" t="s">
        <v>783</v>
      </c>
      <c r="I692" s="7"/>
      <c r="J692" s="7"/>
      <c r="K692" s="7" t="s">
        <v>784</v>
      </c>
      <c r="L692" s="7" t="str">
        <f aca="false">IFERROR(VLOOKUP(IF(ISNUMBER(SEARCH("(",F692)),LEFT(F692,SEARCH("(",F692)-1),F692),Tipos!$A:$B,2,FALSE()),"outro")</f>
        <v>inteiro</v>
      </c>
      <c r="M692" s="7" t="str">
        <f aca="false">IF(COUNTIF(Comparação!$H:$H,A692)&gt;0,"sim",IF(AND(G692="sim",H692=""),"FALTA (obrigatória)","não"))</f>
        <v>não</v>
      </c>
    </row>
    <row r="693" customFormat="false" ht="15" hidden="false" customHeight="false" outlineLevel="0" collapsed="false">
      <c r="A693" s="7" t="str">
        <f aca="false">B693&amp;"."&amp;E693</f>
        <v>gm_decisoes.id</v>
      </c>
      <c r="B693" s="7" t="s">
        <v>133</v>
      </c>
      <c r="C693" s="7" t="s">
        <v>115</v>
      </c>
      <c r="D693" s="7" t="n">
        <v>1</v>
      </c>
      <c r="E693" s="7" t="s">
        <v>271</v>
      </c>
      <c r="F693" s="7" t="s">
        <v>272</v>
      </c>
      <c r="G693" s="7" t="s">
        <v>262</v>
      </c>
      <c r="H693" s="7" t="s">
        <v>273</v>
      </c>
      <c r="I693" s="7" t="s">
        <v>263</v>
      </c>
      <c r="J693" s="7"/>
      <c r="K693" s="7"/>
      <c r="L693" s="7" t="str">
        <f aca="false">IFERROR(VLOOKUP(IF(ISNUMBER(SEARCH("(",F693)),LEFT(F693,SEARCH("(",F693)-1),F693),Tipos!$A:$B,2,FALSE()),"outro")</f>
        <v>uuid</v>
      </c>
      <c r="M693" s="7" t="str">
        <f aca="false">IF(COUNTIF(Comparação!$H:$H,A693)&gt;0,"sim",IF(AND(G693="sim",H693=""),"FALTA (obrigatória)","não"))</f>
        <v>não</v>
      </c>
    </row>
    <row r="694" customFormat="false" ht="15" hidden="false" customHeight="false" outlineLevel="0" collapsed="false">
      <c r="A694" s="7" t="str">
        <f aca="false">B694&amp;"."&amp;E694</f>
        <v>gm_decisoes.workspace_id</v>
      </c>
      <c r="B694" s="7" t="s">
        <v>133</v>
      </c>
      <c r="C694" s="7" t="s">
        <v>115</v>
      </c>
      <c r="D694" s="7" t="n">
        <v>2</v>
      </c>
      <c r="E694" s="7" t="s">
        <v>274</v>
      </c>
      <c r="F694" s="7" t="s">
        <v>272</v>
      </c>
      <c r="G694" s="7" t="s">
        <v>262</v>
      </c>
      <c r="H694" s="7"/>
      <c r="I694" s="7"/>
      <c r="J694" s="7" t="s">
        <v>275</v>
      </c>
      <c r="K694" s="7"/>
      <c r="L694" s="7" t="str">
        <f aca="false">IFERROR(VLOOKUP(IF(ISNUMBER(SEARCH("(",F694)),LEFT(F694,SEARCH("(",F694)-1),F694),Tipos!$A:$B,2,FALSE()),"outro")</f>
        <v>uuid</v>
      </c>
      <c r="M694" s="7" t="str">
        <f aca="false">IF(COUNTIF(Comparação!$H:$H,A694)&gt;0,"sim",IF(AND(G694="sim",H694=""),"FALTA (obrigatória)","não"))</f>
        <v>FALTA (obrigatória)</v>
      </c>
    </row>
    <row r="695" customFormat="false" ht="15" hidden="false" customHeight="false" outlineLevel="0" collapsed="false">
      <c r="A695" s="7" t="str">
        <f aca="false">B695&amp;"."&amp;E695</f>
        <v>gm_decisoes.cenario_id</v>
      </c>
      <c r="B695" s="7" t="s">
        <v>133</v>
      </c>
      <c r="C695" s="7" t="s">
        <v>115</v>
      </c>
      <c r="D695" s="7" t="n">
        <v>3</v>
      </c>
      <c r="E695" s="7" t="s">
        <v>785</v>
      </c>
      <c r="F695" s="7" t="s">
        <v>272</v>
      </c>
      <c r="G695" s="7" t="s">
        <v>262</v>
      </c>
      <c r="H695" s="7"/>
      <c r="I695" s="7"/>
      <c r="J695" s="7" t="s">
        <v>764</v>
      </c>
      <c r="K695" s="7"/>
      <c r="L695" s="7" t="str">
        <f aca="false">IFERROR(VLOOKUP(IF(ISNUMBER(SEARCH("(",F695)),LEFT(F695,SEARCH("(",F695)-1),F695),Tipos!$A:$B,2,FALSE()),"outro")</f>
        <v>uuid</v>
      </c>
      <c r="M695" s="7" t="str">
        <f aca="false">IF(COUNTIF(Comparação!$H:$H,A695)&gt;0,"sim",IF(AND(G695="sim",H695=""),"FALTA (obrigatória)","não"))</f>
        <v>FALTA (obrigatória)</v>
      </c>
    </row>
    <row r="696" customFormat="false" ht="15" hidden="false" customHeight="false" outlineLevel="0" collapsed="false">
      <c r="A696" s="7" t="str">
        <f aca="false">B696&amp;"."&amp;E696</f>
        <v>gm_decisoes.versao</v>
      </c>
      <c r="B696" s="7" t="s">
        <v>133</v>
      </c>
      <c r="C696" s="7" t="s">
        <v>115</v>
      </c>
      <c r="D696" s="7" t="n">
        <v>4</v>
      </c>
      <c r="E696" s="7" t="s">
        <v>410</v>
      </c>
      <c r="F696" s="7" t="s">
        <v>269</v>
      </c>
      <c r="G696" s="7" t="s">
        <v>262</v>
      </c>
      <c r="H696" s="7" t="s">
        <v>468</v>
      </c>
      <c r="I696" s="7"/>
      <c r="J696" s="7"/>
      <c r="K696" s="7"/>
      <c r="L696" s="7" t="str">
        <f aca="false">IFERROR(VLOOKUP(IF(ISNUMBER(SEARCH("(",F696)),LEFT(F696,SEARCH("(",F696)-1),F696),Tipos!$A:$B,2,FALSE()),"outro")</f>
        <v>inteiro</v>
      </c>
      <c r="M696" s="7" t="str">
        <f aca="false">IF(COUNTIF(Comparação!$H:$H,A696)&gt;0,"sim",IF(AND(G696="sim",H696=""),"FALTA (obrigatória)","não"))</f>
        <v>não</v>
      </c>
    </row>
    <row r="697" customFormat="false" ht="15" hidden="false" customHeight="false" outlineLevel="0" collapsed="false">
      <c r="A697" s="7" t="str">
        <f aca="false">B697&amp;"."&amp;E697</f>
        <v>gm_decisoes.titulo</v>
      </c>
      <c r="B697" s="7" t="s">
        <v>133</v>
      </c>
      <c r="C697" s="7" t="s">
        <v>115</v>
      </c>
      <c r="D697" s="7" t="n">
        <v>5</v>
      </c>
      <c r="E697" s="7" t="s">
        <v>425</v>
      </c>
      <c r="F697" s="7" t="s">
        <v>261</v>
      </c>
      <c r="G697" s="7" t="s">
        <v>262</v>
      </c>
      <c r="H697" s="7"/>
      <c r="I697" s="7"/>
      <c r="J697" s="7"/>
      <c r="K697" s="7"/>
      <c r="L697" s="7" t="str">
        <f aca="false">IFERROR(VLOOKUP(IF(ISNUMBER(SEARCH("(",F697)),LEFT(F697,SEARCH("(",F697)-1),F697),Tipos!$A:$B,2,FALSE()),"outro")</f>
        <v>texto</v>
      </c>
      <c r="M697" s="7" t="str">
        <f aca="false">IF(COUNTIF(Comparação!$H:$H,A697)&gt;0,"sim",IF(AND(G697="sim",H697=""),"FALTA (obrigatória)","não"))</f>
        <v>FALTA (obrigatória)</v>
      </c>
    </row>
    <row r="698" customFormat="false" ht="15" hidden="false" customHeight="false" outlineLevel="0" collapsed="false">
      <c r="A698" s="7" t="str">
        <f aca="false">B698&amp;"."&amp;E698</f>
        <v>gm_decisoes.documento</v>
      </c>
      <c r="B698" s="7" t="s">
        <v>133</v>
      </c>
      <c r="C698" s="7" t="s">
        <v>115</v>
      </c>
      <c r="D698" s="7" t="n">
        <v>6</v>
      </c>
      <c r="E698" s="7" t="s">
        <v>730</v>
      </c>
      <c r="F698" s="7" t="s">
        <v>324</v>
      </c>
      <c r="G698" s="7" t="s">
        <v>262</v>
      </c>
      <c r="H698" s="7"/>
      <c r="I698" s="7"/>
      <c r="J698" s="7"/>
      <c r="K698" s="7" t="s">
        <v>786</v>
      </c>
      <c r="L698" s="7" t="str">
        <f aca="false">IFERROR(VLOOKUP(IF(ISNUMBER(SEARCH("(",F698)),LEFT(F698,SEARCH("(",F698)-1),F698),Tipos!$A:$B,2,FALSE()),"outro")</f>
        <v>json</v>
      </c>
      <c r="M698" s="7" t="str">
        <f aca="false">IF(COUNTIF(Comparação!$H:$H,A698)&gt;0,"sim",IF(AND(G698="sim",H698=""),"FALTA (obrigatória)","não"))</f>
        <v>FALTA (obrigatória)</v>
      </c>
    </row>
    <row r="699" customFormat="false" ht="15" hidden="false" customHeight="false" outlineLevel="0" collapsed="false">
      <c r="A699" s="7" t="str">
        <f aca="false">B699&amp;"."&amp;E699</f>
        <v>gm_decisoes.responsavel</v>
      </c>
      <c r="B699" s="7" t="s">
        <v>133</v>
      </c>
      <c r="C699" s="7" t="s">
        <v>115</v>
      </c>
      <c r="D699" s="7" t="n">
        <v>7</v>
      </c>
      <c r="E699" s="7" t="s">
        <v>433</v>
      </c>
      <c r="F699" s="7" t="s">
        <v>261</v>
      </c>
      <c r="G699" s="7" t="s">
        <v>267</v>
      </c>
      <c r="H699" s="7"/>
      <c r="I699" s="7"/>
      <c r="J699" s="7"/>
      <c r="K699" s="7"/>
      <c r="L699" s="7" t="str">
        <f aca="false">IFERROR(VLOOKUP(IF(ISNUMBER(SEARCH("(",F699)),LEFT(F699,SEARCH("(",F699)-1),F699),Tipos!$A:$B,2,FALSE()),"outro")</f>
        <v>texto</v>
      </c>
      <c r="M699" s="7" t="str">
        <f aca="false">IF(COUNTIF(Comparação!$H:$H,A699)&gt;0,"sim",IF(AND(G699="sim",H699=""),"FALTA (obrigatória)","não"))</f>
        <v>não</v>
      </c>
    </row>
    <row r="700" customFormat="false" ht="15" hidden="false" customHeight="false" outlineLevel="0" collapsed="false">
      <c r="A700" s="7" t="str">
        <f aca="false">B700&amp;"."&amp;E700</f>
        <v>gm_decisoes.proximos_passos</v>
      </c>
      <c r="B700" s="7" t="s">
        <v>133</v>
      </c>
      <c r="C700" s="7" t="s">
        <v>115</v>
      </c>
      <c r="D700" s="7" t="n">
        <v>8</v>
      </c>
      <c r="E700" s="7" t="s">
        <v>373</v>
      </c>
      <c r="F700" s="7" t="s">
        <v>261</v>
      </c>
      <c r="G700" s="7" t="s">
        <v>267</v>
      </c>
      <c r="H700" s="7"/>
      <c r="I700" s="7"/>
      <c r="J700" s="7"/>
      <c r="K700" s="7"/>
      <c r="L700" s="7" t="str">
        <f aca="false">IFERROR(VLOOKUP(IF(ISNUMBER(SEARCH("(",F700)),LEFT(F700,SEARCH("(",F700)-1),F700),Tipos!$A:$B,2,FALSE()),"outro")</f>
        <v>texto</v>
      </c>
      <c r="M700" s="7" t="str">
        <f aca="false">IF(COUNTIF(Comparação!$H:$H,A700)&gt;0,"sim",IF(AND(G700="sim",H700=""),"FALTA (obrigatória)","não"))</f>
        <v>não</v>
      </c>
    </row>
    <row r="701" customFormat="false" ht="15" hidden="false" customHeight="false" outlineLevel="0" collapsed="false">
      <c r="A701" s="7" t="str">
        <f aca="false">B701&amp;"."&amp;E701</f>
        <v>gm_decisoes.aprovado_por</v>
      </c>
      <c r="B701" s="7" t="s">
        <v>133</v>
      </c>
      <c r="C701" s="7" t="s">
        <v>115</v>
      </c>
      <c r="D701" s="7" t="n">
        <v>9</v>
      </c>
      <c r="E701" s="7" t="s">
        <v>778</v>
      </c>
      <c r="F701" s="7" t="s">
        <v>272</v>
      </c>
      <c r="G701" s="7" t="s">
        <v>267</v>
      </c>
      <c r="H701" s="7" t="s">
        <v>406</v>
      </c>
      <c r="I701" s="7"/>
      <c r="J701" s="7"/>
      <c r="K701" s="7"/>
      <c r="L701" s="7" t="str">
        <f aca="false">IFERROR(VLOOKUP(IF(ISNUMBER(SEARCH("(",F701)),LEFT(F701,SEARCH("(",F701)-1),F701),Tipos!$A:$B,2,FALSE()),"outro")</f>
        <v>uuid</v>
      </c>
      <c r="M701" s="7" t="str">
        <f aca="false">IF(COUNTIF(Comparação!$H:$H,A701)&gt;0,"sim",IF(AND(G701="sim",H701=""),"FALTA (obrigatória)","não"))</f>
        <v>não</v>
      </c>
    </row>
    <row r="702" customFormat="false" ht="15" hidden="false" customHeight="false" outlineLevel="0" collapsed="false">
      <c r="A702" s="7" t="str">
        <f aca="false">B702&amp;"."&amp;E702</f>
        <v>gm_decisoes.aprovado_por_email</v>
      </c>
      <c r="B702" s="7" t="s">
        <v>133</v>
      </c>
      <c r="C702" s="7" t="s">
        <v>115</v>
      </c>
      <c r="D702" s="7" t="n">
        <v>10</v>
      </c>
      <c r="E702" s="7" t="s">
        <v>787</v>
      </c>
      <c r="F702" s="7" t="s">
        <v>261</v>
      </c>
      <c r="G702" s="7" t="s">
        <v>267</v>
      </c>
      <c r="H702" s="7"/>
      <c r="I702" s="7"/>
      <c r="J702" s="7"/>
      <c r="K702" s="7"/>
      <c r="L702" s="7" t="str">
        <f aca="false">IFERROR(VLOOKUP(IF(ISNUMBER(SEARCH("(",F702)),LEFT(F702,SEARCH("(",F702)-1),F702),Tipos!$A:$B,2,FALSE()),"outro")</f>
        <v>texto</v>
      </c>
      <c r="M702" s="7" t="str">
        <f aca="false">IF(COUNTIF(Comparação!$H:$H,A702)&gt;0,"sim",IF(AND(G702="sim",H702=""),"FALTA (obrigatória)","não"))</f>
        <v>não</v>
      </c>
    </row>
    <row r="703" customFormat="false" ht="15" hidden="false" customHeight="false" outlineLevel="0" collapsed="false">
      <c r="A703" s="7" t="str">
        <f aca="false">B703&amp;"."&amp;E703</f>
        <v>gm_decisoes.criado_em</v>
      </c>
      <c r="B703" s="7" t="s">
        <v>133</v>
      </c>
      <c r="C703" s="7" t="s">
        <v>115</v>
      </c>
      <c r="D703" s="7" t="n">
        <v>11</v>
      </c>
      <c r="E703" s="7" t="s">
        <v>344</v>
      </c>
      <c r="F703" s="7" t="s">
        <v>285</v>
      </c>
      <c r="G703" s="7" t="s">
        <v>262</v>
      </c>
      <c r="H703" s="7" t="s">
        <v>286</v>
      </c>
      <c r="I703" s="7"/>
      <c r="J703" s="7"/>
      <c r="K703" s="7"/>
      <c r="L703" s="7" t="str">
        <f aca="false">IFERROR(VLOOKUP(IF(ISNUMBER(SEARCH("(",F703)),LEFT(F703,SEARCH("(",F703)-1),F703),Tipos!$A:$B,2,FALSE()),"outro")</f>
        <v>data e hora</v>
      </c>
      <c r="M703" s="7" t="str">
        <f aca="false">IF(COUNTIF(Comparação!$H:$H,A703)&gt;0,"sim",IF(AND(G703="sim",H703=""),"FALTA (obrigatória)","não"))</f>
        <v>não</v>
      </c>
    </row>
    <row r="704" customFormat="false" ht="15" hidden="false" customHeight="false" outlineLevel="0" collapsed="false">
      <c r="A704" s="7" t="str">
        <f aca="false">B704&amp;"."&amp;E704</f>
        <v>gm_etapas.id</v>
      </c>
      <c r="B704" s="7" t="s">
        <v>134</v>
      </c>
      <c r="C704" s="7" t="s">
        <v>115</v>
      </c>
      <c r="D704" s="7" t="n">
        <v>1</v>
      </c>
      <c r="E704" s="7" t="s">
        <v>271</v>
      </c>
      <c r="F704" s="7" t="s">
        <v>272</v>
      </c>
      <c r="G704" s="7" t="s">
        <v>262</v>
      </c>
      <c r="H704" s="7" t="s">
        <v>273</v>
      </c>
      <c r="I704" s="7" t="s">
        <v>263</v>
      </c>
      <c r="J704" s="7"/>
      <c r="K704" s="7"/>
      <c r="L704" s="7" t="str">
        <f aca="false">IFERROR(VLOOKUP(IF(ISNUMBER(SEARCH("(",F704)),LEFT(F704,SEARCH("(",F704)-1),F704),Tipos!$A:$B,2,FALSE()),"outro")</f>
        <v>uuid</v>
      </c>
      <c r="M704" s="7" t="str">
        <f aca="false">IF(COUNTIF(Comparação!$H:$H,A704)&gt;0,"sim",IF(AND(G704="sim",H704=""),"FALTA (obrigatória)","não"))</f>
        <v>não</v>
      </c>
    </row>
    <row r="705" customFormat="false" ht="15" hidden="false" customHeight="false" outlineLevel="0" collapsed="false">
      <c r="A705" s="7" t="str">
        <f aca="false">B705&amp;"."&amp;E705</f>
        <v>gm_etapas.workspace_id</v>
      </c>
      <c r="B705" s="7" t="s">
        <v>134</v>
      </c>
      <c r="C705" s="7" t="s">
        <v>115</v>
      </c>
      <c r="D705" s="7" t="n">
        <v>2</v>
      </c>
      <c r="E705" s="7" t="s">
        <v>274</v>
      </c>
      <c r="F705" s="7" t="s">
        <v>272</v>
      </c>
      <c r="G705" s="7" t="s">
        <v>262</v>
      </c>
      <c r="H705" s="7"/>
      <c r="I705" s="7"/>
      <c r="J705" s="7" t="s">
        <v>275</v>
      </c>
      <c r="K705" s="7"/>
      <c r="L705" s="7" t="str">
        <f aca="false">IFERROR(VLOOKUP(IF(ISNUMBER(SEARCH("(",F705)),LEFT(F705,SEARCH("(",F705)-1),F705),Tipos!$A:$B,2,FALSE()),"outro")</f>
        <v>uuid</v>
      </c>
      <c r="M705" s="7" t="str">
        <f aca="false">IF(COUNTIF(Comparação!$H:$H,A705)&gt;0,"sim",IF(AND(G705="sim",H705=""),"FALTA (obrigatória)","não"))</f>
        <v>FALTA (obrigatória)</v>
      </c>
    </row>
    <row r="706" customFormat="false" ht="15" hidden="false" customHeight="false" outlineLevel="0" collapsed="false">
      <c r="A706" s="7" t="str">
        <f aca="false">B706&amp;"."&amp;E706</f>
        <v>gm_etapas.funil_id</v>
      </c>
      <c r="B706" s="7" t="s">
        <v>134</v>
      </c>
      <c r="C706" s="7" t="s">
        <v>115</v>
      </c>
      <c r="D706" s="7" t="n">
        <v>3</v>
      </c>
      <c r="E706" s="7" t="s">
        <v>364</v>
      </c>
      <c r="F706" s="7" t="s">
        <v>272</v>
      </c>
      <c r="G706" s="7" t="s">
        <v>262</v>
      </c>
      <c r="H706" s="7"/>
      <c r="I706" s="7"/>
      <c r="J706" s="7" t="s">
        <v>788</v>
      </c>
      <c r="K706" s="7"/>
      <c r="L706" s="7" t="str">
        <f aca="false">IFERROR(VLOOKUP(IF(ISNUMBER(SEARCH("(",F706)),LEFT(F706,SEARCH("(",F706)-1),F706),Tipos!$A:$B,2,FALSE()),"outro")</f>
        <v>uuid</v>
      </c>
      <c r="M706" s="7" t="str">
        <f aca="false">IF(COUNTIF(Comparação!$H:$H,A706)&gt;0,"sim",IF(AND(G706="sim",H706=""),"FALTA (obrigatória)","não"))</f>
        <v>FALTA (obrigatória)</v>
      </c>
    </row>
    <row r="707" customFormat="false" ht="15" hidden="false" customHeight="false" outlineLevel="0" collapsed="false">
      <c r="A707" s="7" t="str">
        <f aca="false">B707&amp;"."&amp;E707</f>
        <v>gm_etapas.ordem</v>
      </c>
      <c r="B707" s="7" t="s">
        <v>134</v>
      </c>
      <c r="C707" s="7" t="s">
        <v>115</v>
      </c>
      <c r="D707" s="7" t="n">
        <v>4</v>
      </c>
      <c r="E707" s="7" t="s">
        <v>268</v>
      </c>
      <c r="F707" s="7" t="s">
        <v>269</v>
      </c>
      <c r="G707" s="7" t="s">
        <v>262</v>
      </c>
      <c r="H707" s="7" t="s">
        <v>270</v>
      </c>
      <c r="I707" s="7"/>
      <c r="J707" s="7"/>
      <c r="K707" s="7"/>
      <c r="L707" s="7" t="str">
        <f aca="false">IFERROR(VLOOKUP(IF(ISNUMBER(SEARCH("(",F707)),LEFT(F707,SEARCH("(",F707)-1),F707),Tipos!$A:$B,2,FALSE()),"outro")</f>
        <v>inteiro</v>
      </c>
      <c r="M707" s="7" t="str">
        <f aca="false">IF(COUNTIF(Comparação!$H:$H,A707)&gt;0,"sim",IF(AND(G707="sim",H707=""),"FALTA (obrigatória)","não"))</f>
        <v>não</v>
      </c>
    </row>
    <row r="708" customFormat="false" ht="15" hidden="false" customHeight="false" outlineLevel="0" collapsed="false">
      <c r="A708" s="7" t="str">
        <f aca="false">B708&amp;"."&amp;E708</f>
        <v>gm_etapas.nome</v>
      </c>
      <c r="B708" s="7" t="s">
        <v>134</v>
      </c>
      <c r="C708" s="7" t="s">
        <v>115</v>
      </c>
      <c r="D708" s="7" t="n">
        <v>5</v>
      </c>
      <c r="E708" s="7" t="s">
        <v>265</v>
      </c>
      <c r="F708" s="7" t="s">
        <v>261</v>
      </c>
      <c r="G708" s="7" t="s">
        <v>262</v>
      </c>
      <c r="H708" s="7"/>
      <c r="I708" s="7"/>
      <c r="J708" s="7"/>
      <c r="K708" s="7"/>
      <c r="L708" s="7" t="str">
        <f aca="false">IFERROR(VLOOKUP(IF(ISNUMBER(SEARCH("(",F708)),LEFT(F708,SEARCH("(",F708)-1),F708),Tipos!$A:$B,2,FALSE()),"outro")</f>
        <v>texto</v>
      </c>
      <c r="M708" s="7" t="str">
        <f aca="false">IF(COUNTIF(Comparação!$H:$H,A708)&gt;0,"sim",IF(AND(G708="sim",H708=""),"FALTA (obrigatória)","não"))</f>
        <v>FALTA (obrigatória)</v>
      </c>
    </row>
    <row r="709" customFormat="false" ht="15" hidden="false" customHeight="false" outlineLevel="0" collapsed="false">
      <c r="A709" s="7" t="str">
        <f aca="false">B709&amp;"."&amp;E709</f>
        <v>gm_etapas.unidade</v>
      </c>
      <c r="B709" s="7" t="s">
        <v>134</v>
      </c>
      <c r="C709" s="7" t="s">
        <v>115</v>
      </c>
      <c r="D709" s="7" t="n">
        <v>6</v>
      </c>
      <c r="E709" s="7" t="s">
        <v>390</v>
      </c>
      <c r="F709" s="7" t="s">
        <v>261</v>
      </c>
      <c r="G709" s="7" t="s">
        <v>262</v>
      </c>
      <c r="H709" s="7" t="s">
        <v>391</v>
      </c>
      <c r="I709" s="7"/>
      <c r="J709" s="7"/>
      <c r="K709" s="7" t="s">
        <v>789</v>
      </c>
      <c r="L709" s="7" t="str">
        <f aca="false">IFERROR(VLOOKUP(IF(ISNUMBER(SEARCH("(",F709)),LEFT(F709,SEARCH("(",F709)-1),F709),Tipos!$A:$B,2,FALSE()),"outro")</f>
        <v>texto</v>
      </c>
      <c r="M709" s="7" t="str">
        <f aca="false">IF(COUNTIF(Comparação!$H:$H,A709)&gt;0,"sim",IF(AND(G709="sim",H709=""),"FALTA (obrigatória)","não"))</f>
        <v>não</v>
      </c>
    </row>
    <row r="710" customFormat="false" ht="15" hidden="false" customHeight="false" outlineLevel="0" collapsed="false">
      <c r="A710" s="7" t="str">
        <f aca="false">B710&amp;"."&amp;E710</f>
        <v>gm_etapas.op</v>
      </c>
      <c r="B710" s="7" t="s">
        <v>134</v>
      </c>
      <c r="C710" s="7" t="s">
        <v>115</v>
      </c>
      <c r="D710" s="7" t="n">
        <v>7</v>
      </c>
      <c r="E710" s="7" t="s">
        <v>790</v>
      </c>
      <c r="F710" s="7" t="s">
        <v>261</v>
      </c>
      <c r="G710" s="7" t="s">
        <v>262</v>
      </c>
      <c r="H710" s="7" t="s">
        <v>791</v>
      </c>
      <c r="I710" s="7"/>
      <c r="J710" s="7"/>
      <c r="K710" s="7" t="s">
        <v>792</v>
      </c>
      <c r="L710" s="7" t="str">
        <f aca="false">IFERROR(VLOOKUP(IF(ISNUMBER(SEARCH("(",F710)),LEFT(F710,SEARCH("(",F710)-1),F710),Tipos!$A:$B,2,FALSE()),"outro")</f>
        <v>texto</v>
      </c>
      <c r="M710" s="7" t="str">
        <f aca="false">IF(COUNTIF(Comparação!$H:$H,A710)&gt;0,"sim",IF(AND(G710="sim",H710=""),"FALTA (obrigatória)","não"))</f>
        <v>não</v>
      </c>
    </row>
    <row r="711" customFormat="false" ht="15" hidden="false" customHeight="false" outlineLevel="0" collapsed="false">
      <c r="A711" s="7" t="str">
        <f aca="false">B711&amp;"."&amp;E711</f>
        <v>gm_etapas.ref_id</v>
      </c>
      <c r="B711" s="7" t="s">
        <v>134</v>
      </c>
      <c r="C711" s="7" t="s">
        <v>115</v>
      </c>
      <c r="D711" s="7" t="n">
        <v>8</v>
      </c>
      <c r="E711" s="7" t="s">
        <v>793</v>
      </c>
      <c r="F711" s="7" t="s">
        <v>272</v>
      </c>
      <c r="G711" s="7" t="s">
        <v>267</v>
      </c>
      <c r="H711" s="7"/>
      <c r="I711" s="7"/>
      <c r="J711" s="7" t="s">
        <v>794</v>
      </c>
      <c r="K711" s="7"/>
      <c r="L711" s="7" t="str">
        <f aca="false">IFERROR(VLOOKUP(IF(ISNUMBER(SEARCH("(",F711)),LEFT(F711,SEARCH("(",F711)-1),F711),Tipos!$A:$B,2,FALSE()),"outro")</f>
        <v>uuid</v>
      </c>
      <c r="M711" s="7" t="str">
        <f aca="false">IF(COUNTIF(Comparação!$H:$H,A711)&gt;0,"sim",IF(AND(G711="sim",H711=""),"FALTA (obrigatória)","não"))</f>
        <v>não</v>
      </c>
    </row>
    <row r="712" customFormat="false" ht="15" hidden="false" customHeight="false" outlineLevel="0" collapsed="false">
      <c r="A712" s="7" t="str">
        <f aca="false">B712&amp;"."&amp;E712</f>
        <v>gm_etapas.ref2_id</v>
      </c>
      <c r="B712" s="7" t="s">
        <v>134</v>
      </c>
      <c r="C712" s="7" t="s">
        <v>115</v>
      </c>
      <c r="D712" s="7" t="n">
        <v>9</v>
      </c>
      <c r="E712" s="7" t="s">
        <v>795</v>
      </c>
      <c r="F712" s="7" t="s">
        <v>272</v>
      </c>
      <c r="G712" s="7" t="s">
        <v>267</v>
      </c>
      <c r="H712" s="7"/>
      <c r="I712" s="7"/>
      <c r="J712" s="7" t="s">
        <v>794</v>
      </c>
      <c r="K712" s="7"/>
      <c r="L712" s="7" t="str">
        <f aca="false">IFERROR(VLOOKUP(IF(ISNUMBER(SEARCH("(",F712)),LEFT(F712,SEARCH("(",F712)-1),F712),Tipos!$A:$B,2,FALSE()),"outro")</f>
        <v>uuid</v>
      </c>
      <c r="M712" s="7" t="str">
        <f aca="false">IF(COUNTIF(Comparação!$H:$H,A712)&gt;0,"sim",IF(AND(G712="sim",H712=""),"FALTA (obrigatória)","não"))</f>
        <v>não</v>
      </c>
    </row>
    <row r="713" customFormat="false" ht="15" hidden="false" customHeight="false" outlineLevel="0" collapsed="false">
      <c r="A713" s="7" t="str">
        <f aca="false">B713&amp;"."&amp;E713</f>
        <v>gm_etapas.refs</v>
      </c>
      <c r="B713" s="7" t="s">
        <v>134</v>
      </c>
      <c r="C713" s="7" t="s">
        <v>115</v>
      </c>
      <c r="D713" s="7" t="n">
        <v>10</v>
      </c>
      <c r="E713" s="7" t="s">
        <v>796</v>
      </c>
      <c r="F713" s="7" t="s">
        <v>797</v>
      </c>
      <c r="G713" s="7" t="s">
        <v>262</v>
      </c>
      <c r="H713" s="7" t="s">
        <v>798</v>
      </c>
      <c r="I713" s="7"/>
      <c r="J713" s="7"/>
      <c r="K713" s="7"/>
      <c r="L713" s="7" t="str">
        <f aca="false">IFERROR(VLOOKUP(IF(ISNUMBER(SEARCH("(",F713)),LEFT(F713,SEARCH("(",F713)-1),F713),Tipos!$A:$B,2,FALSE()),"outro")</f>
        <v>lista</v>
      </c>
      <c r="M713" s="7" t="str">
        <f aca="false">IF(COUNTIF(Comparação!$H:$H,A713)&gt;0,"sim",IF(AND(G713="sim",H713=""),"FALTA (obrigatória)","não"))</f>
        <v>não</v>
      </c>
    </row>
    <row r="714" customFormat="false" ht="15" hidden="false" customHeight="false" outlineLevel="0" collapsed="false">
      <c r="A714" s="7" t="str">
        <f aca="false">B714&amp;"."&amp;E714</f>
        <v>gm_etapas.curva</v>
      </c>
      <c r="B714" s="7" t="s">
        <v>134</v>
      </c>
      <c r="C714" s="7" t="s">
        <v>115</v>
      </c>
      <c r="D714" s="7" t="n">
        <v>11</v>
      </c>
      <c r="E714" s="7" t="s">
        <v>799</v>
      </c>
      <c r="F714" s="7" t="s">
        <v>800</v>
      </c>
      <c r="G714" s="7" t="s">
        <v>262</v>
      </c>
      <c r="H714" s="7" t="s">
        <v>801</v>
      </c>
      <c r="I714" s="7"/>
      <c r="J714" s="7"/>
      <c r="K714" s="7"/>
      <c r="L714" s="7" t="str">
        <f aca="false">IFERROR(VLOOKUP(IF(ISNUMBER(SEARCH("(",F714)),LEFT(F714,SEARCH("(",F714)-1),F714),Tipos!$A:$B,2,FALSE()),"outro")</f>
        <v>outro</v>
      </c>
      <c r="M714" s="7" t="str">
        <f aca="false">IF(COUNTIF(Comparação!$H:$H,A714)&gt;0,"sim",IF(AND(G714="sim",H714=""),"FALTA (obrigatória)","não"))</f>
        <v>não</v>
      </c>
    </row>
    <row r="715" customFormat="false" ht="15" hidden="false" customHeight="false" outlineLevel="0" collapsed="false">
      <c r="A715" s="7" t="str">
        <f aca="false">B715&amp;"."&amp;E715</f>
        <v>gm_etapas.carrega</v>
      </c>
      <c r="B715" s="7" t="s">
        <v>134</v>
      </c>
      <c r="C715" s="7" t="s">
        <v>115</v>
      </c>
      <c r="D715" s="7" t="n">
        <v>12</v>
      </c>
      <c r="E715" s="7" t="s">
        <v>802</v>
      </c>
      <c r="F715" s="7" t="s">
        <v>310</v>
      </c>
      <c r="G715" s="7" t="s">
        <v>262</v>
      </c>
      <c r="H715" s="7" t="s">
        <v>311</v>
      </c>
      <c r="I715" s="7"/>
      <c r="J715" s="7"/>
      <c r="K715" s="7"/>
      <c r="L715" s="7" t="str">
        <f aca="false">IFERROR(VLOOKUP(IF(ISNUMBER(SEARCH("(",F715)),LEFT(F715,SEARCH("(",F715)-1),F715),Tipos!$A:$B,2,FALSE()),"outro")</f>
        <v>booleano</v>
      </c>
      <c r="M715" s="7" t="str">
        <f aca="false">IF(COUNTIF(Comparação!$H:$H,A715)&gt;0,"sim",IF(AND(G715="sim",H715=""),"FALTA (obrigatória)","não"))</f>
        <v>não</v>
      </c>
    </row>
    <row r="716" customFormat="false" ht="15" hidden="false" customHeight="false" outlineLevel="0" collapsed="false">
      <c r="A716" s="7" t="str">
        <f aca="false">B716&amp;"."&amp;E716</f>
        <v>gm_etapas.papel</v>
      </c>
      <c r="B716" s="7" t="s">
        <v>134</v>
      </c>
      <c r="C716" s="7" t="s">
        <v>115</v>
      </c>
      <c r="D716" s="7" t="n">
        <v>13</v>
      </c>
      <c r="E716" s="7" t="s">
        <v>402</v>
      </c>
      <c r="F716" s="7" t="s">
        <v>261</v>
      </c>
      <c r="G716" s="7" t="s">
        <v>267</v>
      </c>
      <c r="H716" s="7"/>
      <c r="I716" s="7"/>
      <c r="J716" s="7"/>
      <c r="K716" s="7" t="s">
        <v>803</v>
      </c>
      <c r="L716" s="7" t="str">
        <f aca="false">IFERROR(VLOOKUP(IF(ISNUMBER(SEARCH("(",F716)),LEFT(F716,SEARCH("(",F716)-1),F716),Tipos!$A:$B,2,FALSE()),"outro")</f>
        <v>texto</v>
      </c>
      <c r="M716" s="7" t="str">
        <f aca="false">IF(COUNTIF(Comparação!$H:$H,A716)&gt;0,"sim",IF(AND(G716="sim",H716=""),"FALTA (obrigatória)","não"))</f>
        <v>não</v>
      </c>
    </row>
    <row r="717" customFormat="false" ht="15" hidden="false" customHeight="false" outlineLevel="0" collapsed="false">
      <c r="A717" s="7" t="str">
        <f aca="false">B717&amp;"."&amp;E717</f>
        <v>gm_etapas.chave_auto</v>
      </c>
      <c r="B717" s="7" t="s">
        <v>134</v>
      </c>
      <c r="C717" s="7" t="s">
        <v>115</v>
      </c>
      <c r="D717" s="7" t="n">
        <v>14</v>
      </c>
      <c r="E717" s="7" t="s">
        <v>804</v>
      </c>
      <c r="F717" s="7" t="s">
        <v>261</v>
      </c>
      <c r="G717" s="7" t="s">
        <v>267</v>
      </c>
      <c r="H717" s="7"/>
      <c r="I717" s="7"/>
      <c r="J717" s="7"/>
      <c r="K717" s="7" t="s">
        <v>805</v>
      </c>
      <c r="L717" s="7" t="str">
        <f aca="false">IFERROR(VLOOKUP(IF(ISNUMBER(SEARCH("(",F717)),LEFT(F717,SEARCH("(",F717)-1),F717),Tipos!$A:$B,2,FALSE()),"outro")</f>
        <v>texto</v>
      </c>
      <c r="M717" s="7" t="str">
        <f aca="false">IF(COUNTIF(Comparação!$H:$H,A717)&gt;0,"sim",IF(AND(G717="sim",H717=""),"FALTA (obrigatória)","não"))</f>
        <v>não</v>
      </c>
    </row>
    <row r="718" customFormat="false" ht="15" hidden="false" customHeight="false" outlineLevel="0" collapsed="false">
      <c r="A718" s="7" t="str">
        <f aca="false">B718&amp;"."&amp;E718</f>
        <v>gm_etapas.criado_em</v>
      </c>
      <c r="B718" s="7" t="s">
        <v>134</v>
      </c>
      <c r="C718" s="7" t="s">
        <v>115</v>
      </c>
      <c r="D718" s="7" t="n">
        <v>15</v>
      </c>
      <c r="E718" s="7" t="s">
        <v>344</v>
      </c>
      <c r="F718" s="7" t="s">
        <v>285</v>
      </c>
      <c r="G718" s="7" t="s">
        <v>262</v>
      </c>
      <c r="H718" s="7" t="s">
        <v>286</v>
      </c>
      <c r="I718" s="7"/>
      <c r="J718" s="7"/>
      <c r="K718" s="7"/>
      <c r="L718" s="7" t="str">
        <f aca="false">IFERROR(VLOOKUP(IF(ISNUMBER(SEARCH("(",F718)),LEFT(F718,SEARCH("(",F718)-1),F718),Tipos!$A:$B,2,FALSE()),"outro")</f>
        <v>data e hora</v>
      </c>
      <c r="M718" s="7" t="str">
        <f aca="false">IF(COUNTIF(Comparação!$H:$H,A718)&gt;0,"sim",IF(AND(G718="sim",H718=""),"FALTA (obrigatória)","não"))</f>
        <v>não</v>
      </c>
    </row>
    <row r="719" customFormat="false" ht="15" hidden="false" customHeight="false" outlineLevel="0" collapsed="false">
      <c r="A719" s="7" t="str">
        <f aca="false">B719&amp;"."&amp;E719</f>
        <v>gm_funis.id</v>
      </c>
      <c r="B719" s="7" t="s">
        <v>136</v>
      </c>
      <c r="C719" s="7" t="s">
        <v>115</v>
      </c>
      <c r="D719" s="7" t="n">
        <v>1</v>
      </c>
      <c r="E719" s="7" t="s">
        <v>271</v>
      </c>
      <c r="F719" s="7" t="s">
        <v>272</v>
      </c>
      <c r="G719" s="7" t="s">
        <v>262</v>
      </c>
      <c r="H719" s="7" t="s">
        <v>273</v>
      </c>
      <c r="I719" s="7" t="s">
        <v>263</v>
      </c>
      <c r="J719" s="7"/>
      <c r="K719" s="7"/>
      <c r="L719" s="7" t="str">
        <f aca="false">IFERROR(VLOOKUP(IF(ISNUMBER(SEARCH("(",F719)),LEFT(F719,SEARCH("(",F719)-1),F719),Tipos!$A:$B,2,FALSE()),"outro")</f>
        <v>uuid</v>
      </c>
      <c r="M719" s="7" t="str">
        <f aca="false">IF(COUNTIF(Comparação!$H:$H,A719)&gt;0,"sim",IF(AND(G719="sim",H719=""),"FALTA (obrigatória)","não"))</f>
        <v>não</v>
      </c>
    </row>
    <row r="720" customFormat="false" ht="15" hidden="false" customHeight="false" outlineLevel="0" collapsed="false">
      <c r="A720" s="7" t="str">
        <f aca="false">B720&amp;"."&amp;E720</f>
        <v>gm_funis.workspace_id</v>
      </c>
      <c r="B720" s="7" t="s">
        <v>136</v>
      </c>
      <c r="C720" s="7" t="s">
        <v>115</v>
      </c>
      <c r="D720" s="7" t="n">
        <v>2</v>
      </c>
      <c r="E720" s="7" t="s">
        <v>274</v>
      </c>
      <c r="F720" s="7" t="s">
        <v>272</v>
      </c>
      <c r="G720" s="7" t="s">
        <v>262</v>
      </c>
      <c r="H720" s="7"/>
      <c r="I720" s="7"/>
      <c r="J720" s="7" t="s">
        <v>275</v>
      </c>
      <c r="K720" s="7"/>
      <c r="L720" s="7" t="str">
        <f aca="false">IFERROR(VLOOKUP(IF(ISNUMBER(SEARCH("(",F720)),LEFT(F720,SEARCH("(",F720)-1),F720),Tipos!$A:$B,2,FALSE()),"outro")</f>
        <v>uuid</v>
      </c>
      <c r="M720" s="7" t="str">
        <f aca="false">IF(COUNTIF(Comparação!$H:$H,A720)&gt;0,"sim",IF(AND(G720="sim",H720=""),"FALTA (obrigatória)","não"))</f>
        <v>FALTA (obrigatória)</v>
      </c>
    </row>
    <row r="721" customFormat="false" ht="15" hidden="false" customHeight="false" outlineLevel="0" collapsed="false">
      <c r="A721" s="7" t="str">
        <f aca="false">B721&amp;"."&amp;E721</f>
        <v>gm_funis.nome</v>
      </c>
      <c r="B721" s="7" t="s">
        <v>136</v>
      </c>
      <c r="C721" s="7" t="s">
        <v>115</v>
      </c>
      <c r="D721" s="7" t="n">
        <v>3</v>
      </c>
      <c r="E721" s="7" t="s">
        <v>265</v>
      </c>
      <c r="F721" s="7" t="s">
        <v>261</v>
      </c>
      <c r="G721" s="7" t="s">
        <v>262</v>
      </c>
      <c r="H721" s="7"/>
      <c r="I721" s="7"/>
      <c r="J721" s="7"/>
      <c r="K721" s="7"/>
      <c r="L721" s="7" t="str">
        <f aca="false">IFERROR(VLOOKUP(IF(ISNUMBER(SEARCH("(",F721)),LEFT(F721,SEARCH("(",F721)-1),F721),Tipos!$A:$B,2,FALSE()),"outro")</f>
        <v>texto</v>
      </c>
      <c r="M721" s="7" t="str">
        <f aca="false">IF(COUNTIF(Comparação!$H:$H,A721)&gt;0,"sim",IF(AND(G721="sim",H721=""),"FALTA (obrigatória)","não"))</f>
        <v>FALTA (obrigatória)</v>
      </c>
    </row>
    <row r="722" customFormat="false" ht="15" hidden="false" customHeight="false" outlineLevel="0" collapsed="false">
      <c r="A722" s="7" t="str">
        <f aca="false">B722&amp;"."&amp;E722</f>
        <v>gm_funis.fase</v>
      </c>
      <c r="B722" s="7" t="s">
        <v>136</v>
      </c>
      <c r="C722" s="7" t="s">
        <v>115</v>
      </c>
      <c r="D722" s="7" t="n">
        <v>4</v>
      </c>
      <c r="E722" s="7" t="s">
        <v>340</v>
      </c>
      <c r="F722" s="7" t="s">
        <v>261</v>
      </c>
      <c r="G722" s="7" t="s">
        <v>262</v>
      </c>
      <c r="H722" s="7" t="s">
        <v>341</v>
      </c>
      <c r="I722" s="7"/>
      <c r="J722" s="7"/>
      <c r="K722" s="7" t="s">
        <v>806</v>
      </c>
      <c r="L722" s="7" t="str">
        <f aca="false">IFERROR(VLOOKUP(IF(ISNUMBER(SEARCH("(",F722)),LEFT(F722,SEARCH("(",F722)-1),F722),Tipos!$A:$B,2,FALSE()),"outro")</f>
        <v>texto</v>
      </c>
      <c r="M722" s="7" t="str">
        <f aca="false">IF(COUNTIF(Comparação!$H:$H,A722)&gt;0,"sim",IF(AND(G722="sim",H722=""),"FALTA (obrigatória)","não"))</f>
        <v>não</v>
      </c>
    </row>
    <row r="723" customFormat="false" ht="15" hidden="false" customHeight="false" outlineLevel="0" collapsed="false">
      <c r="A723" s="7" t="str">
        <f aca="false">B723&amp;"."&amp;E723</f>
        <v>gm_funis.produto_id</v>
      </c>
      <c r="B723" s="7" t="s">
        <v>136</v>
      </c>
      <c r="C723" s="7" t="s">
        <v>115</v>
      </c>
      <c r="D723" s="7" t="n">
        <v>5</v>
      </c>
      <c r="E723" s="7" t="s">
        <v>287</v>
      </c>
      <c r="F723" s="7" t="s">
        <v>272</v>
      </c>
      <c r="G723" s="7" t="s">
        <v>267</v>
      </c>
      <c r="H723" s="7"/>
      <c r="I723" s="7"/>
      <c r="J723" s="7" t="s">
        <v>288</v>
      </c>
      <c r="K723" s="7"/>
      <c r="L723" s="7" t="str">
        <f aca="false">IFERROR(VLOOKUP(IF(ISNUMBER(SEARCH("(",F723)),LEFT(F723,SEARCH("(",F723)-1),F723),Tipos!$A:$B,2,FALSE()),"outro")</f>
        <v>uuid</v>
      </c>
      <c r="M723" s="7" t="str">
        <f aca="false">IF(COUNTIF(Comparação!$H:$H,A723)&gt;0,"sim",IF(AND(G723="sim",H723=""),"FALTA (obrigatória)","não"))</f>
        <v>não</v>
      </c>
    </row>
    <row r="724" customFormat="false" ht="15" hidden="false" customHeight="false" outlineLevel="0" collapsed="false">
      <c r="A724" s="7" t="str">
        <f aca="false">B724&amp;"."&amp;E724</f>
        <v>gm_funis.ordem</v>
      </c>
      <c r="B724" s="7" t="s">
        <v>136</v>
      </c>
      <c r="C724" s="7" t="s">
        <v>115</v>
      </c>
      <c r="D724" s="7" t="n">
        <v>6</v>
      </c>
      <c r="E724" s="7" t="s">
        <v>268</v>
      </c>
      <c r="F724" s="7" t="s">
        <v>269</v>
      </c>
      <c r="G724" s="7" t="s">
        <v>262</v>
      </c>
      <c r="H724" s="7" t="s">
        <v>270</v>
      </c>
      <c r="I724" s="7"/>
      <c r="J724" s="7"/>
      <c r="K724" s="7"/>
      <c r="L724" s="7" t="str">
        <f aca="false">IFERROR(VLOOKUP(IF(ISNUMBER(SEARCH("(",F724)),LEFT(F724,SEARCH("(",F724)-1),F724),Tipos!$A:$B,2,FALSE()),"outro")</f>
        <v>inteiro</v>
      </c>
      <c r="M724" s="7" t="str">
        <f aca="false">IF(COUNTIF(Comparação!$H:$H,A724)&gt;0,"sim",IF(AND(G724="sim",H724=""),"FALTA (obrigatória)","não"))</f>
        <v>não</v>
      </c>
    </row>
    <row r="725" customFormat="false" ht="15" hidden="false" customHeight="false" outlineLevel="0" collapsed="false">
      <c r="A725" s="7" t="str">
        <f aca="false">B725&amp;"."&amp;E725</f>
        <v>gm_funis.ativo</v>
      </c>
      <c r="B725" s="7" t="s">
        <v>136</v>
      </c>
      <c r="C725" s="7" t="s">
        <v>115</v>
      </c>
      <c r="D725" s="7" t="n">
        <v>7</v>
      </c>
      <c r="E725" s="7" t="s">
        <v>309</v>
      </c>
      <c r="F725" s="7" t="s">
        <v>310</v>
      </c>
      <c r="G725" s="7" t="s">
        <v>262</v>
      </c>
      <c r="H725" s="7" t="s">
        <v>311</v>
      </c>
      <c r="I725" s="7"/>
      <c r="J725" s="7"/>
      <c r="K725" s="7"/>
      <c r="L725" s="7" t="str">
        <f aca="false">IFERROR(VLOOKUP(IF(ISNUMBER(SEARCH("(",F725)),LEFT(F725,SEARCH("(",F725)-1),F725),Tipos!$A:$B,2,FALSE()),"outro")</f>
        <v>booleano</v>
      </c>
      <c r="M725" s="7" t="str">
        <f aca="false">IF(COUNTIF(Comparação!$H:$H,A725)&gt;0,"sim",IF(AND(G725="sim",H725=""),"FALTA (obrigatória)","não"))</f>
        <v>não</v>
      </c>
    </row>
    <row r="726" customFormat="false" ht="15" hidden="false" customHeight="false" outlineLevel="0" collapsed="false">
      <c r="A726" s="7" t="str">
        <f aca="false">B726&amp;"."&amp;E726</f>
        <v>gm_funis.criado_em</v>
      </c>
      <c r="B726" s="7" t="s">
        <v>136</v>
      </c>
      <c r="C726" s="7" t="s">
        <v>115</v>
      </c>
      <c r="D726" s="7" t="n">
        <v>8</v>
      </c>
      <c r="E726" s="7" t="s">
        <v>344</v>
      </c>
      <c r="F726" s="7" t="s">
        <v>285</v>
      </c>
      <c r="G726" s="7" t="s">
        <v>262</v>
      </c>
      <c r="H726" s="7" t="s">
        <v>286</v>
      </c>
      <c r="I726" s="7"/>
      <c r="J726" s="7"/>
      <c r="K726" s="7"/>
      <c r="L726" s="7" t="str">
        <f aca="false">IFERROR(VLOOKUP(IF(ISNUMBER(SEARCH("(",F726)),LEFT(F726,SEARCH("(",F726)-1),F726),Tipos!$A:$B,2,FALSE()),"outro")</f>
        <v>data e hora</v>
      </c>
      <c r="M726" s="7" t="str">
        <f aca="false">IF(COUNTIF(Comparação!$H:$H,A726)&gt;0,"sim",IF(AND(G726="sim",H726=""),"FALTA (obrigatória)","não"))</f>
        <v>não</v>
      </c>
    </row>
    <row r="727" customFormat="false" ht="15" hidden="false" customHeight="false" outlineLevel="0" collapsed="false">
      <c r="A727" s="7" t="str">
        <f aca="false">B727&amp;"."&amp;E727</f>
        <v>gm_modelos.id</v>
      </c>
      <c r="B727" s="7" t="s">
        <v>137</v>
      </c>
      <c r="C727" s="7" t="s">
        <v>115</v>
      </c>
      <c r="D727" s="7" t="n">
        <v>1</v>
      </c>
      <c r="E727" s="7" t="s">
        <v>271</v>
      </c>
      <c r="F727" s="7" t="s">
        <v>272</v>
      </c>
      <c r="G727" s="7" t="s">
        <v>262</v>
      </c>
      <c r="H727" s="7" t="s">
        <v>273</v>
      </c>
      <c r="I727" s="7" t="s">
        <v>263</v>
      </c>
      <c r="J727" s="7"/>
      <c r="K727" s="7"/>
      <c r="L727" s="7" t="str">
        <f aca="false">IFERROR(VLOOKUP(IF(ISNUMBER(SEARCH("(",F727)),LEFT(F727,SEARCH("(",F727)-1),F727),Tipos!$A:$B,2,FALSE()),"outro")</f>
        <v>uuid</v>
      </c>
      <c r="M727" s="7" t="str">
        <f aca="false">IF(COUNTIF(Comparação!$H:$H,A727)&gt;0,"sim",IF(AND(G727="sim",H727=""),"FALTA (obrigatória)","não"))</f>
        <v>não</v>
      </c>
    </row>
    <row r="728" customFormat="false" ht="15" hidden="false" customHeight="false" outlineLevel="0" collapsed="false">
      <c r="A728" s="7" t="str">
        <f aca="false">B728&amp;"."&amp;E728</f>
        <v>gm_modelos.workspace_id</v>
      </c>
      <c r="B728" s="7" t="s">
        <v>137</v>
      </c>
      <c r="C728" s="7" t="s">
        <v>115</v>
      </c>
      <c r="D728" s="7" t="n">
        <v>2</v>
      </c>
      <c r="E728" s="7" t="s">
        <v>274</v>
      </c>
      <c r="F728" s="7" t="s">
        <v>272</v>
      </c>
      <c r="G728" s="7" t="s">
        <v>262</v>
      </c>
      <c r="H728" s="7"/>
      <c r="I728" s="7" t="s">
        <v>290</v>
      </c>
      <c r="J728" s="7" t="s">
        <v>275</v>
      </c>
      <c r="K728" s="7"/>
      <c r="L728" s="7" t="str">
        <f aca="false">IFERROR(VLOOKUP(IF(ISNUMBER(SEARCH("(",F728)),LEFT(F728,SEARCH("(",F728)-1),F728),Tipos!$A:$B,2,FALSE()),"outro")</f>
        <v>uuid</v>
      </c>
      <c r="M728" s="7" t="str">
        <f aca="false">IF(COUNTIF(Comparação!$H:$H,A728)&gt;0,"sim",IF(AND(G728="sim",H728=""),"FALTA (obrigatória)","não"))</f>
        <v>FALTA (obrigatória)</v>
      </c>
    </row>
    <row r="729" customFormat="false" ht="15" hidden="false" customHeight="false" outlineLevel="0" collapsed="false">
      <c r="A729" s="7" t="str">
        <f aca="false">B729&amp;"."&amp;E729</f>
        <v>gm_modelos.nome</v>
      </c>
      <c r="B729" s="7" t="s">
        <v>137</v>
      </c>
      <c r="C729" s="7" t="s">
        <v>115</v>
      </c>
      <c r="D729" s="7" t="n">
        <v>3</v>
      </c>
      <c r="E729" s="7" t="s">
        <v>265</v>
      </c>
      <c r="F729" s="7" t="s">
        <v>261</v>
      </c>
      <c r="G729" s="7" t="s">
        <v>262</v>
      </c>
      <c r="H729" s="7" t="s">
        <v>807</v>
      </c>
      <c r="I729" s="7"/>
      <c r="J729" s="7"/>
      <c r="K729" s="7" t="s">
        <v>808</v>
      </c>
      <c r="L729" s="7" t="str">
        <f aca="false">IFERROR(VLOOKUP(IF(ISNUMBER(SEARCH("(",F729)),LEFT(F729,SEARCH("(",F729)-1),F729),Tipos!$A:$B,2,FALSE()),"outro")</f>
        <v>texto</v>
      </c>
      <c r="M729" s="7" t="str">
        <f aca="false">IF(COUNTIF(Comparação!$H:$H,A729)&gt;0,"sim",IF(AND(G729="sim",H729=""),"FALTA (obrigatória)","não"))</f>
        <v>não</v>
      </c>
    </row>
    <row r="730" customFormat="false" ht="15" hidden="false" customHeight="false" outlineLevel="0" collapsed="false">
      <c r="A730" s="7" t="str">
        <f aca="false">B730&amp;"."&amp;E730</f>
        <v>gm_modelos.dados</v>
      </c>
      <c r="B730" s="7" t="s">
        <v>137</v>
      </c>
      <c r="C730" s="7" t="s">
        <v>115</v>
      </c>
      <c r="D730" s="7" t="n">
        <v>4</v>
      </c>
      <c r="E730" s="7" t="s">
        <v>809</v>
      </c>
      <c r="F730" s="7" t="s">
        <v>324</v>
      </c>
      <c r="G730" s="7" t="s">
        <v>262</v>
      </c>
      <c r="H730" s="7" t="s">
        <v>347</v>
      </c>
      <c r="I730" s="7"/>
      <c r="J730" s="7"/>
      <c r="K730" s="7"/>
      <c r="L730" s="7" t="str">
        <f aca="false">IFERROR(VLOOKUP(IF(ISNUMBER(SEARCH("(",F730)),LEFT(F730,SEARCH("(",F730)-1),F730),Tipos!$A:$B,2,FALSE()),"outro")</f>
        <v>json</v>
      </c>
      <c r="M730" s="7" t="str">
        <f aca="false">IF(COUNTIF(Comparação!$H:$H,A730)&gt;0,"sim",IF(AND(G730="sim",H730=""),"FALTA (obrigatória)","não"))</f>
        <v>não</v>
      </c>
    </row>
    <row r="731" customFormat="false" ht="15" hidden="false" customHeight="false" outlineLevel="0" collapsed="false">
      <c r="A731" s="7" t="str">
        <f aca="false">B731&amp;"."&amp;E731</f>
        <v>gm_modelos.criado_em</v>
      </c>
      <c r="B731" s="7" t="s">
        <v>137</v>
      </c>
      <c r="C731" s="7" t="s">
        <v>115</v>
      </c>
      <c r="D731" s="7" t="n">
        <v>5</v>
      </c>
      <c r="E731" s="7" t="s">
        <v>344</v>
      </c>
      <c r="F731" s="7" t="s">
        <v>285</v>
      </c>
      <c r="G731" s="7" t="s">
        <v>262</v>
      </c>
      <c r="H731" s="7" t="s">
        <v>286</v>
      </c>
      <c r="I731" s="7"/>
      <c r="J731" s="7"/>
      <c r="K731" s="7"/>
      <c r="L731" s="7" t="str">
        <f aca="false">IFERROR(VLOOKUP(IF(ISNUMBER(SEARCH("(",F731)),LEFT(F731,SEARCH("(",F731)-1),F731),Tipos!$A:$B,2,FALSE()),"outro")</f>
        <v>data e hora</v>
      </c>
      <c r="M731" s="7" t="str">
        <f aca="false">IF(COUNTIF(Comparação!$H:$H,A731)&gt;0,"sim",IF(AND(G731="sim",H731=""),"FALTA (obrigatória)","não"))</f>
        <v>não</v>
      </c>
    </row>
    <row r="732" customFormat="false" ht="15" hidden="false" customHeight="false" outlineLevel="0" collapsed="false">
      <c r="A732" s="7" t="str">
        <f aca="false">B732&amp;"."&amp;E732</f>
        <v>gm_modelos.atualizado_em</v>
      </c>
      <c r="B732" s="7" t="s">
        <v>137</v>
      </c>
      <c r="C732" s="7" t="s">
        <v>115</v>
      </c>
      <c r="D732" s="7" t="n">
        <v>6</v>
      </c>
      <c r="E732" s="7" t="s">
        <v>335</v>
      </c>
      <c r="F732" s="7" t="s">
        <v>285</v>
      </c>
      <c r="G732" s="7" t="s">
        <v>262</v>
      </c>
      <c r="H732" s="7" t="s">
        <v>286</v>
      </c>
      <c r="I732" s="7"/>
      <c r="J732" s="7"/>
      <c r="K732" s="7"/>
      <c r="L732" s="7" t="str">
        <f aca="false">IFERROR(VLOOKUP(IF(ISNUMBER(SEARCH("(",F732)),LEFT(F732,SEARCH("(",F732)-1),F732),Tipos!$A:$B,2,FALSE()),"outro")</f>
        <v>data e hora</v>
      </c>
      <c r="M732" s="7" t="str">
        <f aca="false">IF(COUNTIF(Comparação!$H:$H,A732)&gt;0,"sim",IF(AND(G732="sim",H732=""),"FALTA (obrigatória)","não"))</f>
        <v>não</v>
      </c>
    </row>
    <row r="733" customFormat="false" ht="15" hidden="false" customHeight="false" outlineLevel="0" collapsed="false">
      <c r="A733" s="7" t="str">
        <f aca="false">B733&amp;"."&amp;E733</f>
        <v>gm_valores.id</v>
      </c>
      <c r="B733" s="7" t="s">
        <v>138</v>
      </c>
      <c r="C733" s="7" t="s">
        <v>115</v>
      </c>
      <c r="D733" s="7" t="n">
        <v>1</v>
      </c>
      <c r="E733" s="7" t="s">
        <v>271</v>
      </c>
      <c r="F733" s="7" t="s">
        <v>272</v>
      </c>
      <c r="G733" s="7" t="s">
        <v>262</v>
      </c>
      <c r="H733" s="7" t="s">
        <v>273</v>
      </c>
      <c r="I733" s="7" t="s">
        <v>263</v>
      </c>
      <c r="J733" s="7"/>
      <c r="K733" s="7"/>
      <c r="L733" s="7" t="str">
        <f aca="false">IFERROR(VLOOKUP(IF(ISNUMBER(SEARCH("(",F733)),LEFT(F733,SEARCH("(",F733)-1),F733),Tipos!$A:$B,2,FALSE()),"outro")</f>
        <v>uuid</v>
      </c>
      <c r="M733" s="7" t="str">
        <f aca="false">IF(COUNTIF(Comparação!$H:$H,A733)&gt;0,"sim",IF(AND(G733="sim",H733=""),"FALTA (obrigatória)","não"))</f>
        <v>não</v>
      </c>
    </row>
    <row r="734" customFormat="false" ht="15" hidden="false" customHeight="false" outlineLevel="0" collapsed="false">
      <c r="A734" s="7" t="str">
        <f aca="false">B734&amp;"."&amp;E734</f>
        <v>gm_valores.workspace_id</v>
      </c>
      <c r="B734" s="7" t="s">
        <v>138</v>
      </c>
      <c r="C734" s="7" t="s">
        <v>115</v>
      </c>
      <c r="D734" s="7" t="n">
        <v>2</v>
      </c>
      <c r="E734" s="7" t="s">
        <v>274</v>
      </c>
      <c r="F734" s="7" t="s">
        <v>272</v>
      </c>
      <c r="G734" s="7" t="s">
        <v>262</v>
      </c>
      <c r="H734" s="7"/>
      <c r="I734" s="7"/>
      <c r="J734" s="7" t="s">
        <v>275</v>
      </c>
      <c r="K734" s="7"/>
      <c r="L734" s="7" t="str">
        <f aca="false">IFERROR(VLOOKUP(IF(ISNUMBER(SEARCH("(",F734)),LEFT(F734,SEARCH("(",F734)-1),F734),Tipos!$A:$B,2,FALSE()),"outro")</f>
        <v>uuid</v>
      </c>
      <c r="M734" s="7" t="str">
        <f aca="false">IF(COUNTIF(Comparação!$H:$H,A734)&gt;0,"sim",IF(AND(G734="sim",H734=""),"FALTA (obrigatória)","não"))</f>
        <v>FALTA (obrigatória)</v>
      </c>
    </row>
    <row r="735" customFormat="false" ht="15" hidden="false" customHeight="false" outlineLevel="0" collapsed="false">
      <c r="A735" s="7" t="str">
        <f aca="false">B735&amp;"."&amp;E735</f>
        <v>gm_valores.etapa_id</v>
      </c>
      <c r="B735" s="7" t="s">
        <v>138</v>
      </c>
      <c r="C735" s="7" t="s">
        <v>115</v>
      </c>
      <c r="D735" s="7" t="n">
        <v>3</v>
      </c>
      <c r="E735" s="7" t="s">
        <v>810</v>
      </c>
      <c r="F735" s="7" t="s">
        <v>272</v>
      </c>
      <c r="G735" s="7" t="s">
        <v>262</v>
      </c>
      <c r="H735" s="7"/>
      <c r="I735" s="7" t="s">
        <v>290</v>
      </c>
      <c r="J735" s="7" t="s">
        <v>794</v>
      </c>
      <c r="K735" s="7"/>
      <c r="L735" s="7" t="str">
        <f aca="false">IFERROR(VLOOKUP(IF(ISNUMBER(SEARCH("(",F735)),LEFT(F735,SEARCH("(",F735)-1),F735),Tipos!$A:$B,2,FALSE()),"outro")</f>
        <v>uuid</v>
      </c>
      <c r="M735" s="7" t="str">
        <f aca="false">IF(COUNTIF(Comparação!$H:$H,A735)&gt;0,"sim",IF(AND(G735="sim",H735=""),"FALTA (obrigatória)","não"))</f>
        <v>FALTA (obrigatória)</v>
      </c>
    </row>
    <row r="736" customFormat="false" ht="15" hidden="false" customHeight="false" outlineLevel="0" collapsed="false">
      <c r="A736" s="7" t="str">
        <f aca="false">B736&amp;"."&amp;E736</f>
        <v>gm_valores.mes</v>
      </c>
      <c r="B736" s="7" t="s">
        <v>138</v>
      </c>
      <c r="C736" s="7" t="s">
        <v>115</v>
      </c>
      <c r="D736" s="7" t="n">
        <v>4</v>
      </c>
      <c r="E736" s="7" t="s">
        <v>440</v>
      </c>
      <c r="F736" s="7" t="s">
        <v>379</v>
      </c>
      <c r="G736" s="7" t="s">
        <v>262</v>
      </c>
      <c r="H736" s="7"/>
      <c r="I736" s="7" t="s">
        <v>290</v>
      </c>
      <c r="J736" s="7"/>
      <c r="K736" s="7"/>
      <c r="L736" s="7" t="str">
        <f aca="false">IFERROR(VLOOKUP(IF(ISNUMBER(SEARCH("(",F736)),LEFT(F736,SEARCH("(",F736)-1),F736),Tipos!$A:$B,2,FALSE()),"outro")</f>
        <v>data</v>
      </c>
      <c r="M736" s="7" t="str">
        <f aca="false">IF(COUNTIF(Comparação!$H:$H,A736)&gt;0,"sim",IF(AND(G736="sim",H736=""),"FALTA (obrigatória)","não"))</f>
        <v>FALTA (obrigatória)</v>
      </c>
    </row>
    <row r="737" customFormat="false" ht="15" hidden="false" customHeight="false" outlineLevel="0" collapsed="false">
      <c r="A737" s="7" t="str">
        <f aca="false">B737&amp;"."&amp;E737</f>
        <v>gm_valores.cenario</v>
      </c>
      <c r="B737" s="7" t="s">
        <v>138</v>
      </c>
      <c r="C737" s="7" t="s">
        <v>115</v>
      </c>
      <c r="D737" s="7" t="n">
        <v>5</v>
      </c>
      <c r="E737" s="7" t="s">
        <v>758</v>
      </c>
      <c r="F737" s="7" t="s">
        <v>261</v>
      </c>
      <c r="G737" s="7" t="s">
        <v>262</v>
      </c>
      <c r="H737" s="7"/>
      <c r="I737" s="7" t="s">
        <v>290</v>
      </c>
      <c r="J737" s="7"/>
      <c r="K737" s="7" t="s">
        <v>811</v>
      </c>
      <c r="L737" s="7" t="str">
        <f aca="false">IFERROR(VLOOKUP(IF(ISNUMBER(SEARCH("(",F737)),LEFT(F737,SEARCH("(",F737)-1),F737),Tipos!$A:$B,2,FALSE()),"outro")</f>
        <v>texto</v>
      </c>
      <c r="M737" s="7" t="str">
        <f aca="false">IF(COUNTIF(Comparação!$H:$H,A737)&gt;0,"sim",IF(AND(G737="sim",H737=""),"FALTA (obrigatória)","não"))</f>
        <v>FALTA (obrigatória)</v>
      </c>
    </row>
    <row r="738" customFormat="false" ht="15" hidden="false" customHeight="false" outlineLevel="0" collapsed="false">
      <c r="A738" s="7" t="str">
        <f aca="false">B738&amp;"."&amp;E738</f>
        <v>gm_valores.valor</v>
      </c>
      <c r="B738" s="7" t="s">
        <v>138</v>
      </c>
      <c r="C738" s="7" t="s">
        <v>115</v>
      </c>
      <c r="D738" s="7" t="n">
        <v>6</v>
      </c>
      <c r="E738" s="7" t="s">
        <v>330</v>
      </c>
      <c r="F738" s="7" t="s">
        <v>380</v>
      </c>
      <c r="G738" s="7" t="s">
        <v>262</v>
      </c>
      <c r="H738" s="7"/>
      <c r="I738" s="7"/>
      <c r="J738" s="7"/>
      <c r="K738" s="7"/>
      <c r="L738" s="7" t="str">
        <f aca="false">IFERROR(VLOOKUP(IF(ISNUMBER(SEARCH("(",F738)),LEFT(F738,SEARCH("(",F738)-1),F738),Tipos!$A:$B,2,FALSE()),"outro")</f>
        <v>decimal</v>
      </c>
      <c r="M738" s="7" t="str">
        <f aca="false">IF(COUNTIF(Comparação!$H:$H,A738)&gt;0,"sim",IF(AND(G738="sim",H738=""),"FALTA (obrigatória)","não"))</f>
        <v>FALTA (obrigatória)</v>
      </c>
    </row>
    <row r="739" customFormat="false" ht="15" hidden="false" customHeight="false" outlineLevel="0" collapsed="false">
      <c r="A739" s="7" t="str">
        <f aca="false">B739&amp;"."&amp;E739</f>
        <v>growth_experimentos.id</v>
      </c>
      <c r="B739" s="7" t="s">
        <v>140</v>
      </c>
      <c r="C739" s="7" t="s">
        <v>115</v>
      </c>
      <c r="D739" s="7" t="n">
        <v>1</v>
      </c>
      <c r="E739" s="7" t="s">
        <v>271</v>
      </c>
      <c r="F739" s="7" t="s">
        <v>272</v>
      </c>
      <c r="G739" s="7" t="s">
        <v>262</v>
      </c>
      <c r="H739" s="7" t="s">
        <v>273</v>
      </c>
      <c r="I739" s="7" t="s">
        <v>263</v>
      </c>
      <c r="J739" s="7"/>
      <c r="K739" s="7"/>
      <c r="L739" s="7" t="str">
        <f aca="false">IFERROR(VLOOKUP(IF(ISNUMBER(SEARCH("(",F739)),LEFT(F739,SEARCH("(",F739)-1),F739),Tipos!$A:$B,2,FALSE()),"outro")</f>
        <v>uuid</v>
      </c>
      <c r="M739" s="7" t="str">
        <f aca="false">IF(COUNTIF(Comparação!$H:$H,A739)&gt;0,"sim",IF(AND(G739="sim",H739=""),"FALTA (obrigatória)","não"))</f>
        <v>não</v>
      </c>
    </row>
    <row r="740" customFormat="false" ht="15" hidden="false" customHeight="false" outlineLevel="0" collapsed="false">
      <c r="A740" s="7" t="str">
        <f aca="false">B740&amp;"."&amp;E740</f>
        <v>growth_experimentos.workspace_id</v>
      </c>
      <c r="B740" s="7" t="s">
        <v>140</v>
      </c>
      <c r="C740" s="7" t="s">
        <v>115</v>
      </c>
      <c r="D740" s="7" t="n">
        <v>2</v>
      </c>
      <c r="E740" s="7" t="s">
        <v>274</v>
      </c>
      <c r="F740" s="7" t="s">
        <v>272</v>
      </c>
      <c r="G740" s="7" t="s">
        <v>262</v>
      </c>
      <c r="H740" s="7"/>
      <c r="I740" s="7"/>
      <c r="J740" s="7" t="s">
        <v>275</v>
      </c>
      <c r="K740" s="7"/>
      <c r="L740" s="7" t="str">
        <f aca="false">IFERROR(VLOOKUP(IF(ISNUMBER(SEARCH("(",F740)),LEFT(F740,SEARCH("(",F740)-1),F740),Tipos!$A:$B,2,FALSE()),"outro")</f>
        <v>uuid</v>
      </c>
      <c r="M740" s="7" t="str">
        <f aca="false">IF(COUNTIF(Comparação!$H:$H,A740)&gt;0,"sim",IF(AND(G740="sim",H740=""),"FALTA (obrigatória)","não"))</f>
        <v>FALTA (obrigatória)</v>
      </c>
    </row>
    <row r="741" customFormat="false" ht="15" hidden="false" customHeight="false" outlineLevel="0" collapsed="false">
      <c r="A741" s="7" t="str">
        <f aca="false">B741&amp;"."&amp;E741</f>
        <v>growth_experimentos.metrica_id</v>
      </c>
      <c r="B741" s="7" t="s">
        <v>140</v>
      </c>
      <c r="C741" s="7" t="s">
        <v>115</v>
      </c>
      <c r="D741" s="7" t="n">
        <v>3</v>
      </c>
      <c r="E741" s="7" t="s">
        <v>812</v>
      </c>
      <c r="F741" s="7" t="s">
        <v>272</v>
      </c>
      <c r="G741" s="7" t="s">
        <v>267</v>
      </c>
      <c r="H741" s="7"/>
      <c r="I741" s="7"/>
      <c r="J741" s="7" t="s">
        <v>813</v>
      </c>
      <c r="K741" s="7"/>
      <c r="L741" s="7" t="str">
        <f aca="false">IFERROR(VLOOKUP(IF(ISNUMBER(SEARCH("(",F741)),LEFT(F741,SEARCH("(",F741)-1),F741),Tipos!$A:$B,2,FALSE()),"outro")</f>
        <v>uuid</v>
      </c>
      <c r="M741" s="7" t="str">
        <f aca="false">IF(COUNTIF(Comparação!$H:$H,A741)&gt;0,"sim",IF(AND(G741="sim",H741=""),"FALTA (obrigatória)","não"))</f>
        <v>não</v>
      </c>
    </row>
    <row r="742" customFormat="false" ht="15" hidden="false" customHeight="false" outlineLevel="0" collapsed="false">
      <c r="A742" s="7" t="str">
        <f aca="false">B742&amp;"."&amp;E742</f>
        <v>growth_experimentos.titulo</v>
      </c>
      <c r="B742" s="7" t="s">
        <v>140</v>
      </c>
      <c r="C742" s="7" t="s">
        <v>115</v>
      </c>
      <c r="D742" s="7" t="n">
        <v>4</v>
      </c>
      <c r="E742" s="7" t="s">
        <v>425</v>
      </c>
      <c r="F742" s="7" t="s">
        <v>261</v>
      </c>
      <c r="G742" s="7" t="s">
        <v>262</v>
      </c>
      <c r="H742" s="7"/>
      <c r="I742" s="7"/>
      <c r="J742" s="7"/>
      <c r="K742" s="7"/>
      <c r="L742" s="7" t="str">
        <f aca="false">IFERROR(VLOOKUP(IF(ISNUMBER(SEARCH("(",F742)),LEFT(F742,SEARCH("(",F742)-1),F742),Tipos!$A:$B,2,FALSE()),"outro")</f>
        <v>texto</v>
      </c>
      <c r="M742" s="7" t="str">
        <f aca="false">IF(COUNTIF(Comparação!$H:$H,A742)&gt;0,"sim",IF(AND(G742="sim",H742=""),"FALTA (obrigatória)","não"))</f>
        <v>FALTA (obrigatória)</v>
      </c>
    </row>
    <row r="743" customFormat="false" ht="15" hidden="false" customHeight="false" outlineLevel="0" collapsed="false">
      <c r="A743" s="7" t="str">
        <f aca="false">B743&amp;"."&amp;E743</f>
        <v>growth_experimentos.hipotese</v>
      </c>
      <c r="B743" s="7" t="s">
        <v>140</v>
      </c>
      <c r="C743" s="7" t="s">
        <v>115</v>
      </c>
      <c r="D743" s="7" t="n">
        <v>5</v>
      </c>
      <c r="E743" s="7" t="s">
        <v>760</v>
      </c>
      <c r="F743" s="7" t="s">
        <v>261</v>
      </c>
      <c r="G743" s="7" t="s">
        <v>267</v>
      </c>
      <c r="H743" s="7"/>
      <c r="I743" s="7"/>
      <c r="J743" s="7"/>
      <c r="K743" s="7"/>
      <c r="L743" s="7" t="str">
        <f aca="false">IFERROR(VLOOKUP(IF(ISNUMBER(SEARCH("(",F743)),LEFT(F743,SEARCH("(",F743)-1),F743),Tipos!$A:$B,2,FALSE()),"outro")</f>
        <v>texto</v>
      </c>
      <c r="M743" s="7" t="str">
        <f aca="false">IF(COUNTIF(Comparação!$H:$H,A743)&gt;0,"sim",IF(AND(G743="sim",H743=""),"FALTA (obrigatória)","não"))</f>
        <v>não</v>
      </c>
    </row>
    <row r="744" customFormat="false" ht="15" hidden="false" customHeight="false" outlineLevel="0" collapsed="false">
      <c r="A744" s="7" t="str">
        <f aca="false">B744&amp;"."&amp;E744</f>
        <v>growth_experimentos.criterio_sucesso</v>
      </c>
      <c r="B744" s="7" t="s">
        <v>140</v>
      </c>
      <c r="C744" s="7" t="s">
        <v>115</v>
      </c>
      <c r="D744" s="7" t="n">
        <v>6</v>
      </c>
      <c r="E744" s="7" t="s">
        <v>814</v>
      </c>
      <c r="F744" s="7" t="s">
        <v>261</v>
      </c>
      <c r="G744" s="7" t="s">
        <v>267</v>
      </c>
      <c r="H744" s="7"/>
      <c r="I744" s="7"/>
      <c r="J744" s="7"/>
      <c r="K744" s="7"/>
      <c r="L744" s="7" t="str">
        <f aca="false">IFERROR(VLOOKUP(IF(ISNUMBER(SEARCH("(",F744)),LEFT(F744,SEARCH("(",F744)-1),F744),Tipos!$A:$B,2,FALSE()),"outro")</f>
        <v>texto</v>
      </c>
      <c r="M744" s="7" t="str">
        <f aca="false">IF(COUNTIF(Comparação!$H:$H,A744)&gt;0,"sim",IF(AND(G744="sim",H744=""),"FALTA (obrigatória)","não"))</f>
        <v>não</v>
      </c>
    </row>
    <row r="745" customFormat="false" ht="15" hidden="false" customHeight="false" outlineLevel="0" collapsed="false">
      <c r="A745" s="7" t="str">
        <f aca="false">B745&amp;"."&amp;E745</f>
        <v>growth_experimentos.responsavel</v>
      </c>
      <c r="B745" s="7" t="s">
        <v>140</v>
      </c>
      <c r="C745" s="7" t="s">
        <v>115</v>
      </c>
      <c r="D745" s="7" t="n">
        <v>7</v>
      </c>
      <c r="E745" s="7" t="s">
        <v>433</v>
      </c>
      <c r="F745" s="7" t="s">
        <v>261</v>
      </c>
      <c r="G745" s="7" t="s">
        <v>267</v>
      </c>
      <c r="H745" s="7"/>
      <c r="I745" s="7"/>
      <c r="J745" s="7"/>
      <c r="K745" s="7"/>
      <c r="L745" s="7" t="str">
        <f aca="false">IFERROR(VLOOKUP(IF(ISNUMBER(SEARCH("(",F745)),LEFT(F745,SEARCH("(",F745)-1),F745),Tipos!$A:$B,2,FALSE()),"outro")</f>
        <v>texto</v>
      </c>
      <c r="M745" s="7" t="str">
        <f aca="false">IF(COUNTIF(Comparação!$H:$H,A745)&gt;0,"sim",IF(AND(G745="sim",H745=""),"FALTA (obrigatória)","não"))</f>
        <v>não</v>
      </c>
    </row>
    <row r="746" customFormat="false" ht="15" hidden="false" customHeight="false" outlineLevel="0" collapsed="false">
      <c r="A746" s="7" t="str">
        <f aca="false">B746&amp;"."&amp;E746</f>
        <v>growth_experimentos.etapa</v>
      </c>
      <c r="B746" s="7" t="s">
        <v>140</v>
      </c>
      <c r="C746" s="7" t="s">
        <v>115</v>
      </c>
      <c r="D746" s="7" t="n">
        <v>8</v>
      </c>
      <c r="E746" s="7" t="s">
        <v>815</v>
      </c>
      <c r="F746" s="7" t="s">
        <v>261</v>
      </c>
      <c r="G746" s="7" t="s">
        <v>262</v>
      </c>
      <c r="H746" s="7" t="s">
        <v>612</v>
      </c>
      <c r="I746" s="7"/>
      <c r="J746" s="7"/>
      <c r="K746" s="7" t="s">
        <v>816</v>
      </c>
      <c r="L746" s="7" t="str">
        <f aca="false">IFERROR(VLOOKUP(IF(ISNUMBER(SEARCH("(",F746)),LEFT(F746,SEARCH("(",F746)-1),F746),Tipos!$A:$B,2,FALSE()),"outro")</f>
        <v>texto</v>
      </c>
      <c r="M746" s="7" t="str">
        <f aca="false">IF(COUNTIF(Comparação!$H:$H,A746)&gt;0,"sim",IF(AND(G746="sim",H746=""),"FALTA (obrigatória)","não"))</f>
        <v>não</v>
      </c>
    </row>
    <row r="747" customFormat="false" ht="15" hidden="false" customHeight="false" outlineLevel="0" collapsed="false">
      <c r="A747" s="7" t="str">
        <f aca="false">B747&amp;"."&amp;E747</f>
        <v>growth_experimentos.impacto</v>
      </c>
      <c r="B747" s="7" t="s">
        <v>140</v>
      </c>
      <c r="C747" s="7" t="s">
        <v>115</v>
      </c>
      <c r="D747" s="7" t="n">
        <v>9</v>
      </c>
      <c r="E747" s="7" t="s">
        <v>770</v>
      </c>
      <c r="F747" s="7" t="s">
        <v>269</v>
      </c>
      <c r="G747" s="7" t="s">
        <v>267</v>
      </c>
      <c r="H747" s="7"/>
      <c r="I747" s="7"/>
      <c r="J747" s="7"/>
      <c r="K747" s="7" t="s">
        <v>817</v>
      </c>
      <c r="L747" s="7" t="str">
        <f aca="false">IFERROR(VLOOKUP(IF(ISNUMBER(SEARCH("(",F747)),LEFT(F747,SEARCH("(",F747)-1),F747),Tipos!$A:$B,2,FALSE()),"outro")</f>
        <v>inteiro</v>
      </c>
      <c r="M747" s="7" t="str">
        <f aca="false">IF(COUNTIF(Comparação!$H:$H,A747)&gt;0,"sim",IF(AND(G747="sim",H747=""),"FALTA (obrigatória)","não"))</f>
        <v>não</v>
      </c>
    </row>
    <row r="748" customFormat="false" ht="15" hidden="false" customHeight="false" outlineLevel="0" collapsed="false">
      <c r="A748" s="7" t="str">
        <f aca="false">B748&amp;"."&amp;E748</f>
        <v>growth_experimentos.confianca</v>
      </c>
      <c r="B748" s="7" t="s">
        <v>140</v>
      </c>
      <c r="C748" s="7" t="s">
        <v>115</v>
      </c>
      <c r="D748" s="7" t="n">
        <v>10</v>
      </c>
      <c r="E748" s="7" t="s">
        <v>772</v>
      </c>
      <c r="F748" s="7" t="s">
        <v>269</v>
      </c>
      <c r="G748" s="7" t="s">
        <v>267</v>
      </c>
      <c r="H748" s="7"/>
      <c r="I748" s="7"/>
      <c r="J748" s="7"/>
      <c r="K748" s="7" t="s">
        <v>818</v>
      </c>
      <c r="L748" s="7" t="str">
        <f aca="false">IFERROR(VLOOKUP(IF(ISNUMBER(SEARCH("(",F748)),LEFT(F748,SEARCH("(",F748)-1),F748),Tipos!$A:$B,2,FALSE()),"outro")</f>
        <v>inteiro</v>
      </c>
      <c r="M748" s="7" t="str">
        <f aca="false">IF(COUNTIF(Comparação!$H:$H,A748)&gt;0,"sim",IF(AND(G748="sim",H748=""),"FALTA (obrigatória)","não"))</f>
        <v>não</v>
      </c>
    </row>
    <row r="749" customFormat="false" ht="15" hidden="false" customHeight="false" outlineLevel="0" collapsed="false">
      <c r="A749" s="7" t="str">
        <f aca="false">B749&amp;"."&amp;E749</f>
        <v>growth_experimentos.facilidade</v>
      </c>
      <c r="B749" s="7" t="s">
        <v>140</v>
      </c>
      <c r="C749" s="7" t="s">
        <v>115</v>
      </c>
      <c r="D749" s="7" t="n">
        <v>11</v>
      </c>
      <c r="E749" s="7" t="s">
        <v>774</v>
      </c>
      <c r="F749" s="7" t="s">
        <v>269</v>
      </c>
      <c r="G749" s="7" t="s">
        <v>267</v>
      </c>
      <c r="H749" s="7"/>
      <c r="I749" s="7"/>
      <c r="J749" s="7"/>
      <c r="K749" s="7" t="s">
        <v>819</v>
      </c>
      <c r="L749" s="7" t="str">
        <f aca="false">IFERROR(VLOOKUP(IF(ISNUMBER(SEARCH("(",F749)),LEFT(F749,SEARCH("(",F749)-1),F749),Tipos!$A:$B,2,FALSE()),"outro")</f>
        <v>inteiro</v>
      </c>
      <c r="M749" s="7" t="str">
        <f aca="false">IF(COUNTIF(Comparação!$H:$H,A749)&gt;0,"sim",IF(AND(G749="sim",H749=""),"FALTA (obrigatória)","não"))</f>
        <v>não</v>
      </c>
    </row>
    <row r="750" customFormat="false" ht="15" hidden="false" customHeight="false" outlineLevel="0" collapsed="false">
      <c r="A750" s="7" t="str">
        <f aca="false">B750&amp;"."&amp;E750</f>
        <v>growth_experimentos.score</v>
      </c>
      <c r="B750" s="7" t="s">
        <v>140</v>
      </c>
      <c r="C750" s="7" t="s">
        <v>115</v>
      </c>
      <c r="D750" s="7" t="n">
        <v>12</v>
      </c>
      <c r="E750" s="7" t="s">
        <v>820</v>
      </c>
      <c r="F750" s="7" t="s">
        <v>821</v>
      </c>
      <c r="G750" s="7" t="s">
        <v>267</v>
      </c>
      <c r="H750" s="7" t="s">
        <v>822</v>
      </c>
      <c r="I750" s="7"/>
      <c r="J750" s="7"/>
      <c r="K750" s="7"/>
      <c r="L750" s="7" t="str">
        <f aca="false">IFERROR(VLOOKUP(IF(ISNUMBER(SEARCH("(",F750)),LEFT(F750,SEARCH("(",F750)-1),F750),Tipos!$A:$B,2,FALSE()),"outro")</f>
        <v>decimal</v>
      </c>
      <c r="M750" s="7" t="str">
        <f aca="false">IF(COUNTIF(Comparação!$H:$H,A750)&gt;0,"sim",IF(AND(G750="sim",H750=""),"FALTA (obrigatória)","não"))</f>
        <v>não</v>
      </c>
    </row>
    <row r="751" customFormat="false" ht="15" hidden="false" customHeight="false" outlineLevel="0" collapsed="false">
      <c r="A751" s="7" t="str">
        <f aca="false">B751&amp;"."&amp;E751</f>
        <v>growth_experimentos.inicio</v>
      </c>
      <c r="B751" s="7" t="s">
        <v>140</v>
      </c>
      <c r="C751" s="7" t="s">
        <v>115</v>
      </c>
      <c r="D751" s="7" t="n">
        <v>13</v>
      </c>
      <c r="E751" s="7" t="s">
        <v>781</v>
      </c>
      <c r="F751" s="7" t="s">
        <v>379</v>
      </c>
      <c r="G751" s="7" t="s">
        <v>267</v>
      </c>
      <c r="H751" s="7"/>
      <c r="I751" s="7"/>
      <c r="J751" s="7"/>
      <c r="K751" s="7"/>
      <c r="L751" s="7" t="str">
        <f aca="false">IFERROR(VLOOKUP(IF(ISNUMBER(SEARCH("(",F751)),LEFT(F751,SEARCH("(",F751)-1),F751),Tipos!$A:$B,2,FALSE()),"outro")</f>
        <v>data</v>
      </c>
      <c r="M751" s="7" t="str">
        <f aca="false">IF(COUNTIF(Comparação!$H:$H,A751)&gt;0,"sim",IF(AND(G751="sim",H751=""),"FALTA (obrigatória)","não"))</f>
        <v>não</v>
      </c>
    </row>
    <row r="752" customFormat="false" ht="15" hidden="false" customHeight="false" outlineLevel="0" collapsed="false">
      <c r="A752" s="7" t="str">
        <f aca="false">B752&amp;"."&amp;E752</f>
        <v>growth_experimentos.fim_previsto</v>
      </c>
      <c r="B752" s="7" t="s">
        <v>140</v>
      </c>
      <c r="C752" s="7" t="s">
        <v>115</v>
      </c>
      <c r="D752" s="7" t="n">
        <v>14</v>
      </c>
      <c r="E752" s="7" t="s">
        <v>823</v>
      </c>
      <c r="F752" s="7" t="s">
        <v>379</v>
      </c>
      <c r="G752" s="7" t="s">
        <v>267</v>
      </c>
      <c r="H752" s="7"/>
      <c r="I752" s="7"/>
      <c r="J752" s="7"/>
      <c r="K752" s="7"/>
      <c r="L752" s="7" t="str">
        <f aca="false">IFERROR(VLOOKUP(IF(ISNUMBER(SEARCH("(",F752)),LEFT(F752,SEARCH("(",F752)-1),F752),Tipos!$A:$B,2,FALSE()),"outro")</f>
        <v>data</v>
      </c>
      <c r="M752" s="7" t="str">
        <f aca="false">IF(COUNTIF(Comparação!$H:$H,A752)&gt;0,"sim",IF(AND(G752="sim",H752=""),"FALTA (obrigatória)","não"))</f>
        <v>não</v>
      </c>
    </row>
    <row r="753" customFormat="false" ht="15" hidden="false" customHeight="false" outlineLevel="0" collapsed="false">
      <c r="A753" s="7" t="str">
        <f aca="false">B753&amp;"."&amp;E753</f>
        <v>growth_experimentos.valor_base</v>
      </c>
      <c r="B753" s="7" t="s">
        <v>140</v>
      </c>
      <c r="C753" s="7" t="s">
        <v>115</v>
      </c>
      <c r="D753" s="7" t="n">
        <v>15</v>
      </c>
      <c r="E753" s="7" t="s">
        <v>824</v>
      </c>
      <c r="F753" s="7" t="s">
        <v>380</v>
      </c>
      <c r="G753" s="7" t="s">
        <v>267</v>
      </c>
      <c r="H753" s="7"/>
      <c r="I753" s="7"/>
      <c r="J753" s="7"/>
      <c r="K753" s="7"/>
      <c r="L753" s="7" t="str">
        <f aca="false">IFERROR(VLOOKUP(IF(ISNUMBER(SEARCH("(",F753)),LEFT(F753,SEARCH("(",F753)-1),F753),Tipos!$A:$B,2,FALSE()),"outro")</f>
        <v>decimal</v>
      </c>
      <c r="M753" s="7" t="str">
        <f aca="false">IF(COUNTIF(Comparação!$H:$H,A753)&gt;0,"sim",IF(AND(G753="sim",H753=""),"FALTA (obrigatória)","não"))</f>
        <v>não</v>
      </c>
    </row>
    <row r="754" customFormat="false" ht="15" hidden="false" customHeight="false" outlineLevel="0" collapsed="false">
      <c r="A754" s="7" t="str">
        <f aca="false">B754&amp;"."&amp;E754</f>
        <v>growth_experimentos.valor_resultado</v>
      </c>
      <c r="B754" s="7" t="s">
        <v>140</v>
      </c>
      <c r="C754" s="7" t="s">
        <v>115</v>
      </c>
      <c r="D754" s="7" t="n">
        <v>16</v>
      </c>
      <c r="E754" s="7" t="s">
        <v>825</v>
      </c>
      <c r="F754" s="7" t="s">
        <v>380</v>
      </c>
      <c r="G754" s="7" t="s">
        <v>267</v>
      </c>
      <c r="H754" s="7"/>
      <c r="I754" s="7"/>
      <c r="J754" s="7"/>
      <c r="K754" s="7"/>
      <c r="L754" s="7" t="str">
        <f aca="false">IFERROR(VLOOKUP(IF(ISNUMBER(SEARCH("(",F754)),LEFT(F754,SEARCH("(",F754)-1),F754),Tipos!$A:$B,2,FALSE()),"outro")</f>
        <v>decimal</v>
      </c>
      <c r="M754" s="7" t="str">
        <f aca="false">IF(COUNTIF(Comparação!$H:$H,A754)&gt;0,"sim",IF(AND(G754="sim",H754=""),"FALTA (obrigatória)","não"))</f>
        <v>não</v>
      </c>
    </row>
    <row r="755" customFormat="false" ht="15" hidden="false" customHeight="false" outlineLevel="0" collapsed="false">
      <c r="A755" s="7" t="str">
        <f aca="false">B755&amp;"."&amp;E755</f>
        <v>growth_experimentos.resultado</v>
      </c>
      <c r="B755" s="7" t="s">
        <v>140</v>
      </c>
      <c r="C755" s="7" t="s">
        <v>115</v>
      </c>
      <c r="D755" s="7" t="n">
        <v>17</v>
      </c>
      <c r="E755" s="7" t="s">
        <v>369</v>
      </c>
      <c r="F755" s="7" t="s">
        <v>261</v>
      </c>
      <c r="G755" s="7" t="s">
        <v>267</v>
      </c>
      <c r="H755" s="7"/>
      <c r="I755" s="7"/>
      <c r="J755" s="7"/>
      <c r="K755" s="7" t="s">
        <v>826</v>
      </c>
      <c r="L755" s="7" t="str">
        <f aca="false">IFERROR(VLOOKUP(IF(ISNUMBER(SEARCH("(",F755)),LEFT(F755,SEARCH("(",F755)-1),F755),Tipos!$A:$B,2,FALSE()),"outro")</f>
        <v>texto</v>
      </c>
      <c r="M755" s="7" t="str">
        <f aca="false">IF(COUNTIF(Comparação!$H:$H,A755)&gt;0,"sim",IF(AND(G755="sim",H755=""),"FALTA (obrigatória)","não"))</f>
        <v>não</v>
      </c>
    </row>
    <row r="756" customFormat="false" ht="15" hidden="false" customHeight="false" outlineLevel="0" collapsed="false">
      <c r="A756" s="7" t="str">
        <f aca="false">B756&amp;"."&amp;E756</f>
        <v>growth_experimentos.decisao</v>
      </c>
      <c r="B756" s="7" t="s">
        <v>140</v>
      </c>
      <c r="C756" s="7" t="s">
        <v>115</v>
      </c>
      <c r="D756" s="7" t="n">
        <v>18</v>
      </c>
      <c r="E756" s="7" t="s">
        <v>827</v>
      </c>
      <c r="F756" s="7" t="s">
        <v>261</v>
      </c>
      <c r="G756" s="7" t="s">
        <v>267</v>
      </c>
      <c r="H756" s="7"/>
      <c r="I756" s="7"/>
      <c r="J756" s="7"/>
      <c r="K756" s="7" t="s">
        <v>828</v>
      </c>
      <c r="L756" s="7" t="str">
        <f aca="false">IFERROR(VLOOKUP(IF(ISNUMBER(SEARCH("(",F756)),LEFT(F756,SEARCH("(",F756)-1),F756),Tipos!$A:$B,2,FALSE()),"outro")</f>
        <v>texto</v>
      </c>
      <c r="M756" s="7" t="str">
        <f aca="false">IF(COUNTIF(Comparação!$H:$H,A756)&gt;0,"sim",IF(AND(G756="sim",H756=""),"FALTA (obrigatória)","não"))</f>
        <v>não</v>
      </c>
    </row>
    <row r="757" customFormat="false" ht="15" hidden="false" customHeight="false" outlineLevel="0" collapsed="false">
      <c r="A757" s="7" t="str">
        <f aca="false">B757&amp;"."&amp;E757</f>
        <v>growth_experimentos.aprendizado</v>
      </c>
      <c r="B757" s="7" t="s">
        <v>140</v>
      </c>
      <c r="C757" s="7" t="s">
        <v>115</v>
      </c>
      <c r="D757" s="7" t="n">
        <v>19</v>
      </c>
      <c r="E757" s="7" t="s">
        <v>829</v>
      </c>
      <c r="F757" s="7" t="s">
        <v>261</v>
      </c>
      <c r="G757" s="7" t="s">
        <v>267</v>
      </c>
      <c r="H757" s="7"/>
      <c r="I757" s="7"/>
      <c r="J757" s="7"/>
      <c r="K757" s="7"/>
      <c r="L757" s="7" t="str">
        <f aca="false">IFERROR(VLOOKUP(IF(ISNUMBER(SEARCH("(",F757)),LEFT(F757,SEARCH("(",F757)-1),F757),Tipos!$A:$B,2,FALSE()),"outro")</f>
        <v>texto</v>
      </c>
      <c r="M757" s="7" t="str">
        <f aca="false">IF(COUNTIF(Comparação!$H:$H,A757)&gt;0,"sim",IF(AND(G757="sim",H757=""),"FALTA (obrigatória)","não"))</f>
        <v>não</v>
      </c>
    </row>
    <row r="758" customFormat="false" ht="15" hidden="false" customHeight="false" outlineLevel="0" collapsed="false">
      <c r="A758" s="7" t="str">
        <f aca="false">B758&amp;"."&amp;E758</f>
        <v>growth_experimentos.concluido_em</v>
      </c>
      <c r="B758" s="7" t="s">
        <v>140</v>
      </c>
      <c r="C758" s="7" t="s">
        <v>115</v>
      </c>
      <c r="D758" s="7" t="n">
        <v>20</v>
      </c>
      <c r="E758" s="7" t="s">
        <v>830</v>
      </c>
      <c r="F758" s="7" t="s">
        <v>379</v>
      </c>
      <c r="G758" s="7" t="s">
        <v>267</v>
      </c>
      <c r="H758" s="7"/>
      <c r="I758" s="7"/>
      <c r="J758" s="7"/>
      <c r="K758" s="7"/>
      <c r="L758" s="7" t="str">
        <f aca="false">IFERROR(VLOOKUP(IF(ISNUMBER(SEARCH("(",F758)),LEFT(F758,SEARCH("(",F758)-1),F758),Tipos!$A:$B,2,FALSE()),"outro")</f>
        <v>data</v>
      </c>
      <c r="M758" s="7" t="str">
        <f aca="false">IF(COUNTIF(Comparação!$H:$H,A758)&gt;0,"sim",IF(AND(G758="sim",H758=""),"FALTA (obrigatória)","não"))</f>
        <v>não</v>
      </c>
    </row>
    <row r="759" customFormat="false" ht="15" hidden="false" customHeight="false" outlineLevel="0" collapsed="false">
      <c r="A759" s="7" t="str">
        <f aca="false">B759&amp;"."&amp;E759</f>
        <v>growth_experimentos.criado_em</v>
      </c>
      <c r="B759" s="7" t="s">
        <v>140</v>
      </c>
      <c r="C759" s="7" t="s">
        <v>115</v>
      </c>
      <c r="D759" s="7" t="n">
        <v>21</v>
      </c>
      <c r="E759" s="7" t="s">
        <v>344</v>
      </c>
      <c r="F759" s="7" t="s">
        <v>285</v>
      </c>
      <c r="G759" s="7" t="s">
        <v>262</v>
      </c>
      <c r="H759" s="7" t="s">
        <v>286</v>
      </c>
      <c r="I759" s="7"/>
      <c r="J759" s="7"/>
      <c r="K759" s="7"/>
      <c r="L759" s="7" t="str">
        <f aca="false">IFERROR(VLOOKUP(IF(ISNUMBER(SEARCH("(",F759)),LEFT(F759,SEARCH("(",F759)-1),F759),Tipos!$A:$B,2,FALSE()),"outro")</f>
        <v>data e hora</v>
      </c>
      <c r="M759" s="7" t="str">
        <f aca="false">IF(COUNTIF(Comparação!$H:$H,A759)&gt;0,"sim",IF(AND(G759="sim",H759=""),"FALTA (obrigatória)","não"))</f>
        <v>não</v>
      </c>
    </row>
    <row r="760" customFormat="false" ht="15" hidden="false" customHeight="false" outlineLevel="0" collapsed="false">
      <c r="A760" s="7" t="str">
        <f aca="false">B760&amp;"."&amp;E760</f>
        <v>growth_experimentos.atualizado_em</v>
      </c>
      <c r="B760" s="7" t="s">
        <v>140</v>
      </c>
      <c r="C760" s="7" t="s">
        <v>115</v>
      </c>
      <c r="D760" s="7" t="n">
        <v>22</v>
      </c>
      <c r="E760" s="7" t="s">
        <v>335</v>
      </c>
      <c r="F760" s="7" t="s">
        <v>285</v>
      </c>
      <c r="G760" s="7" t="s">
        <v>262</v>
      </c>
      <c r="H760" s="7" t="s">
        <v>286</v>
      </c>
      <c r="I760" s="7"/>
      <c r="J760" s="7"/>
      <c r="K760" s="7"/>
      <c r="L760" s="7" t="str">
        <f aca="false">IFERROR(VLOOKUP(IF(ISNUMBER(SEARCH("(",F760)),LEFT(F760,SEARCH("(",F760)-1),F760),Tipos!$A:$B,2,FALSE()),"outro")</f>
        <v>data e hora</v>
      </c>
      <c r="M760" s="7" t="str">
        <f aca="false">IF(COUNTIF(Comparação!$H:$H,A760)&gt;0,"sim",IF(AND(G760="sim",H760=""),"FALTA (obrigatória)","não"))</f>
        <v>não</v>
      </c>
    </row>
    <row r="761" customFormat="false" ht="15" hidden="false" customHeight="false" outlineLevel="0" collapsed="false">
      <c r="A761" s="7" t="str">
        <f aca="false">B761&amp;"."&amp;E761</f>
        <v>growth_experimentos.pesquisa_id</v>
      </c>
      <c r="B761" s="7" t="s">
        <v>140</v>
      </c>
      <c r="C761" s="7" t="s">
        <v>115</v>
      </c>
      <c r="D761" s="7" t="n">
        <v>23</v>
      </c>
      <c r="E761" s="7" t="s">
        <v>831</v>
      </c>
      <c r="F761" s="7" t="s">
        <v>272</v>
      </c>
      <c r="G761" s="7" t="s">
        <v>267</v>
      </c>
      <c r="H761" s="7"/>
      <c r="I761" s="7"/>
      <c r="J761" s="7" t="s">
        <v>832</v>
      </c>
      <c r="K761" s="7"/>
      <c r="L761" s="7" t="str">
        <f aca="false">IFERROR(VLOOKUP(IF(ISNUMBER(SEARCH("(",F761)),LEFT(F761,SEARCH("(",F761)-1),F761),Tipos!$A:$B,2,FALSE()),"outro")</f>
        <v>uuid</v>
      </c>
      <c r="M761" s="7" t="str">
        <f aca="false">IF(COUNTIF(Comparação!$H:$H,A761)&gt;0,"sim",IF(AND(G761="sim",H761=""),"FALTA (obrigatória)","não"))</f>
        <v>não</v>
      </c>
    </row>
    <row r="762" customFormat="false" ht="15" hidden="false" customHeight="false" outlineLevel="0" collapsed="false">
      <c r="A762" s="7" t="str">
        <f aca="false">B762&amp;"."&amp;E762</f>
        <v>growth_experimentos.insight</v>
      </c>
      <c r="B762" s="7" t="s">
        <v>140</v>
      </c>
      <c r="C762" s="7" t="s">
        <v>115</v>
      </c>
      <c r="D762" s="7" t="n">
        <v>24</v>
      </c>
      <c r="E762" s="7" t="s">
        <v>833</v>
      </c>
      <c r="F762" s="7" t="s">
        <v>261</v>
      </c>
      <c r="G762" s="7" t="s">
        <v>267</v>
      </c>
      <c r="H762" s="7"/>
      <c r="I762" s="7"/>
      <c r="J762" s="7"/>
      <c r="K762" s="7"/>
      <c r="L762" s="7" t="str">
        <f aca="false">IFERROR(VLOOKUP(IF(ISNUMBER(SEARCH("(",F762)),LEFT(F762,SEARCH("(",F762)-1),F762),Tipos!$A:$B,2,FALSE()),"outro")</f>
        <v>texto</v>
      </c>
      <c r="M762" s="7" t="str">
        <f aca="false">IF(COUNTIF(Comparação!$H:$H,A762)&gt;0,"sim",IF(AND(G762="sim",H762=""),"FALTA (obrigatória)","não"))</f>
        <v>não</v>
      </c>
    </row>
    <row r="763" customFormat="false" ht="15" hidden="false" customHeight="false" outlineLevel="0" collapsed="false">
      <c r="A763" s="7" t="str">
        <f aca="false">B763&amp;"."&amp;E763</f>
        <v>growth_experimentos.cenario_id</v>
      </c>
      <c r="B763" s="7" t="s">
        <v>140</v>
      </c>
      <c r="C763" s="7" t="s">
        <v>115</v>
      </c>
      <c r="D763" s="7" t="n">
        <v>25</v>
      </c>
      <c r="E763" s="7" t="s">
        <v>785</v>
      </c>
      <c r="F763" s="7" t="s">
        <v>272</v>
      </c>
      <c r="G763" s="7" t="s">
        <v>267</v>
      </c>
      <c r="H763" s="7"/>
      <c r="I763" s="7"/>
      <c r="J763" s="7" t="s">
        <v>764</v>
      </c>
      <c r="K763" s="7"/>
      <c r="L763" s="7" t="str">
        <f aca="false">IFERROR(VLOOKUP(IF(ISNUMBER(SEARCH("(",F763)),LEFT(F763,SEARCH("(",F763)-1),F763),Tipos!$A:$B,2,FALSE()),"outro")</f>
        <v>uuid</v>
      </c>
      <c r="M763" s="7" t="str">
        <f aca="false">IF(COUNTIF(Comparação!$H:$H,A763)&gt;0,"sim",IF(AND(G763="sim",H763=""),"FALTA (obrigatória)","não"))</f>
        <v>não</v>
      </c>
    </row>
    <row r="764" customFormat="false" ht="15" hidden="false" customHeight="false" outlineLevel="0" collapsed="false">
      <c r="A764" s="7" t="str">
        <f aca="false">B764&amp;"."&amp;E764</f>
        <v>growth_experimentos.decisao_id</v>
      </c>
      <c r="B764" s="7" t="s">
        <v>140</v>
      </c>
      <c r="C764" s="7" t="s">
        <v>115</v>
      </c>
      <c r="D764" s="7" t="n">
        <v>26</v>
      </c>
      <c r="E764" s="7" t="s">
        <v>834</v>
      </c>
      <c r="F764" s="7" t="s">
        <v>272</v>
      </c>
      <c r="G764" s="7" t="s">
        <v>267</v>
      </c>
      <c r="H764" s="7"/>
      <c r="I764" s="7"/>
      <c r="J764" s="7" t="s">
        <v>835</v>
      </c>
      <c r="K764" s="7"/>
      <c r="L764" s="7" t="str">
        <f aca="false">IFERROR(VLOOKUP(IF(ISNUMBER(SEARCH("(",F764)),LEFT(F764,SEARCH("(",F764)-1),F764),Tipos!$A:$B,2,FALSE()),"outro")</f>
        <v>uuid</v>
      </c>
      <c r="M764" s="7" t="str">
        <f aca="false">IF(COUNTIF(Comparação!$H:$H,A764)&gt;0,"sim",IF(AND(G764="sim",H764=""),"FALTA (obrigatória)","não"))</f>
        <v>não</v>
      </c>
    </row>
    <row r="765" customFormat="false" ht="15" hidden="false" customHeight="false" outlineLevel="0" collapsed="false">
      <c r="A765" s="7" t="str">
        <f aca="false">B765&amp;"."&amp;E765</f>
        <v>growth_experimentos.tipo</v>
      </c>
      <c r="B765" s="7" t="s">
        <v>140</v>
      </c>
      <c r="C765" s="7" t="s">
        <v>115</v>
      </c>
      <c r="D765" s="7" t="n">
        <v>27</v>
      </c>
      <c r="E765" s="7" t="s">
        <v>280</v>
      </c>
      <c r="F765" s="7" t="s">
        <v>261</v>
      </c>
      <c r="G765" s="7" t="s">
        <v>262</v>
      </c>
      <c r="H765" s="7" t="s">
        <v>836</v>
      </c>
      <c r="I765" s="7"/>
      <c r="J765" s="7"/>
      <c r="K765" s="7" t="s">
        <v>837</v>
      </c>
      <c r="L765" s="7" t="str">
        <f aca="false">IFERROR(VLOOKUP(IF(ISNUMBER(SEARCH("(",F765)),LEFT(F765,SEARCH("(",F765)-1),F765),Tipos!$A:$B,2,FALSE()),"outro")</f>
        <v>texto</v>
      </c>
      <c r="M765" s="7" t="str">
        <f aca="false">IF(COUNTIF(Comparação!$H:$H,A765)&gt;0,"sim",IF(AND(G765="sim",H765=""),"FALTA (obrigatória)","não"))</f>
        <v>não</v>
      </c>
    </row>
    <row r="766" customFormat="false" ht="15" hidden="false" customHeight="false" outlineLevel="0" collapsed="false">
      <c r="A766" s="7" t="str">
        <f aca="false">B766&amp;"."&amp;E766</f>
        <v>growth_experimentos.projeto_id</v>
      </c>
      <c r="B766" s="7" t="s">
        <v>140</v>
      </c>
      <c r="C766" s="7" t="s">
        <v>115</v>
      </c>
      <c r="D766" s="7" t="n">
        <v>28</v>
      </c>
      <c r="E766" s="7" t="s">
        <v>838</v>
      </c>
      <c r="F766" s="7" t="s">
        <v>272</v>
      </c>
      <c r="G766" s="7" t="s">
        <v>267</v>
      </c>
      <c r="H766" s="7"/>
      <c r="I766" s="7"/>
      <c r="J766" s="7" t="s">
        <v>839</v>
      </c>
      <c r="K766" s="7"/>
      <c r="L766" s="7" t="str">
        <f aca="false">IFERROR(VLOOKUP(IF(ISNUMBER(SEARCH("(",F766)),LEFT(F766,SEARCH("(",F766)-1),F766),Tipos!$A:$B,2,FALSE()),"outro")</f>
        <v>uuid</v>
      </c>
      <c r="M766" s="7" t="str">
        <f aca="false">IF(COUNTIF(Comparação!$H:$H,A766)&gt;0,"sim",IF(AND(G766="sim",H766=""),"FALTA (obrigatória)","não"))</f>
        <v>não</v>
      </c>
    </row>
    <row r="767" customFormat="false" ht="15" hidden="false" customHeight="false" outlineLevel="0" collapsed="false">
      <c r="A767" s="7" t="str">
        <f aca="false">B767&amp;"."&amp;E767</f>
        <v>growth_experimentos.publico</v>
      </c>
      <c r="B767" s="7" t="s">
        <v>140</v>
      </c>
      <c r="C767" s="7" t="s">
        <v>115</v>
      </c>
      <c r="D767" s="7" t="n">
        <v>29</v>
      </c>
      <c r="E767" s="7" t="s">
        <v>840</v>
      </c>
      <c r="F767" s="7" t="s">
        <v>261</v>
      </c>
      <c r="G767" s="7" t="s">
        <v>267</v>
      </c>
      <c r="H767" s="7"/>
      <c r="I767" s="7"/>
      <c r="J767" s="7"/>
      <c r="K767" s="7"/>
      <c r="L767" s="7" t="str">
        <f aca="false">IFERROR(VLOOKUP(IF(ISNUMBER(SEARCH("(",F767)),LEFT(F767,SEARCH("(",F767)-1),F767),Tipos!$A:$B,2,FALSE()),"outro")</f>
        <v>texto</v>
      </c>
      <c r="M767" s="7" t="str">
        <f aca="false">IF(COUNTIF(Comparação!$H:$H,A767)&gt;0,"sim",IF(AND(G767="sim",H767=""),"FALTA (obrigatória)","não"))</f>
        <v>não</v>
      </c>
    </row>
    <row r="768" customFormat="false" ht="15" hidden="false" customHeight="false" outlineLevel="0" collapsed="false">
      <c r="A768" s="7" t="str">
        <f aca="false">B768&amp;"."&amp;E768</f>
        <v>growth_experimentos.intervencao</v>
      </c>
      <c r="B768" s="7" t="s">
        <v>140</v>
      </c>
      <c r="C768" s="7" t="s">
        <v>115</v>
      </c>
      <c r="D768" s="7" t="n">
        <v>30</v>
      </c>
      <c r="E768" s="7" t="s">
        <v>841</v>
      </c>
      <c r="F768" s="7" t="s">
        <v>261</v>
      </c>
      <c r="G768" s="7" t="s">
        <v>267</v>
      </c>
      <c r="H768" s="7"/>
      <c r="I768" s="7"/>
      <c r="J768" s="7"/>
      <c r="K768" s="7"/>
      <c r="L768" s="7" t="str">
        <f aca="false">IFERROR(VLOOKUP(IF(ISNUMBER(SEARCH("(",F768)),LEFT(F768,SEARCH("(",F768)-1),F768),Tipos!$A:$B,2,FALSE()),"outro")</f>
        <v>texto</v>
      </c>
      <c r="M768" s="7" t="str">
        <f aca="false">IF(COUNTIF(Comparação!$H:$H,A768)&gt;0,"sim",IF(AND(G768="sim",H768=""),"FALTA (obrigatória)","não"))</f>
        <v>não</v>
      </c>
    </row>
    <row r="769" customFormat="false" ht="15" hidden="false" customHeight="false" outlineLevel="0" collapsed="false">
      <c r="A769" s="7" t="str">
        <f aca="false">B769&amp;"."&amp;E769</f>
        <v>growth_experimentos.instrumentacao</v>
      </c>
      <c r="B769" s="7" t="s">
        <v>140</v>
      </c>
      <c r="C769" s="7" t="s">
        <v>115</v>
      </c>
      <c r="D769" s="7" t="n">
        <v>31</v>
      </c>
      <c r="E769" s="7" t="s">
        <v>842</v>
      </c>
      <c r="F769" s="7" t="s">
        <v>261</v>
      </c>
      <c r="G769" s="7" t="s">
        <v>267</v>
      </c>
      <c r="H769" s="7"/>
      <c r="I769" s="7"/>
      <c r="J769" s="7"/>
      <c r="K769" s="7"/>
      <c r="L769" s="7" t="str">
        <f aca="false">IFERROR(VLOOKUP(IF(ISNUMBER(SEARCH("(",F769)),LEFT(F769,SEARCH("(",F769)-1),F769),Tipos!$A:$B,2,FALSE()),"outro")</f>
        <v>texto</v>
      </c>
      <c r="M769" s="7" t="str">
        <f aca="false">IF(COUNTIF(Comparação!$H:$H,A769)&gt;0,"sim",IF(AND(G769="sim",H769=""),"FALTA (obrigatória)","não"))</f>
        <v>não</v>
      </c>
    </row>
    <row r="770" customFormat="false" ht="15" hidden="false" customHeight="false" outlineLevel="0" collapsed="false">
      <c r="A770" s="7" t="str">
        <f aca="false">B770&amp;"."&amp;E770</f>
        <v>growth_experimentos.custo_previsto</v>
      </c>
      <c r="B770" s="7" t="s">
        <v>140</v>
      </c>
      <c r="C770" s="7" t="s">
        <v>115</v>
      </c>
      <c r="D770" s="7" t="n">
        <v>32</v>
      </c>
      <c r="E770" s="7" t="s">
        <v>843</v>
      </c>
      <c r="F770" s="7" t="s">
        <v>360</v>
      </c>
      <c r="G770" s="7" t="s">
        <v>267</v>
      </c>
      <c r="H770" s="7"/>
      <c r="I770" s="7"/>
      <c r="J770" s="7"/>
      <c r="K770" s="7" t="s">
        <v>844</v>
      </c>
      <c r="L770" s="7" t="str">
        <f aca="false">IFERROR(VLOOKUP(IF(ISNUMBER(SEARCH("(",F770)),LEFT(F770,SEARCH("(",F770)-1),F770),Tipos!$A:$B,2,FALSE()),"outro")</f>
        <v>decimal</v>
      </c>
      <c r="M770" s="7" t="str">
        <f aca="false">IF(COUNTIF(Comparação!$H:$H,A770)&gt;0,"sim",IF(AND(G770="sim",H770=""),"FALTA (obrigatória)","não"))</f>
        <v>não</v>
      </c>
    </row>
    <row r="771" customFormat="false" ht="15" hidden="false" customHeight="false" outlineLevel="0" collapsed="false">
      <c r="A771" s="7" t="str">
        <f aca="false">B771&amp;"."&amp;E771</f>
        <v>growth_experimentos.metrica_alvo</v>
      </c>
      <c r="B771" s="7" t="s">
        <v>140</v>
      </c>
      <c r="C771" s="7" t="s">
        <v>115</v>
      </c>
      <c r="D771" s="7" t="n">
        <v>33</v>
      </c>
      <c r="E771" s="7" t="s">
        <v>845</v>
      </c>
      <c r="F771" s="7" t="s">
        <v>261</v>
      </c>
      <c r="G771" s="7" t="s">
        <v>267</v>
      </c>
      <c r="H771" s="7"/>
      <c r="I771" s="7"/>
      <c r="J771" s="7"/>
      <c r="K771" s="7"/>
      <c r="L771" s="7" t="str">
        <f aca="false">IFERROR(VLOOKUP(IF(ISNUMBER(SEARCH("(",F771)),LEFT(F771,SEARCH("(",F771)-1),F771),Tipos!$A:$B,2,FALSE()),"outro")</f>
        <v>texto</v>
      </c>
      <c r="M771" s="7" t="str">
        <f aca="false">IF(COUNTIF(Comparação!$H:$H,A771)&gt;0,"sim",IF(AND(G771="sim",H771=""),"FALTA (obrigatória)","não"))</f>
        <v>não</v>
      </c>
    </row>
    <row r="772" customFormat="false" ht="15" hidden="false" customHeight="false" outlineLevel="0" collapsed="false">
      <c r="A772" s="7" t="str">
        <f aca="false">B772&amp;"."&amp;E772</f>
        <v>growth_experimentos.ice_justificativa</v>
      </c>
      <c r="B772" s="7" t="s">
        <v>140</v>
      </c>
      <c r="C772" s="7" t="s">
        <v>115</v>
      </c>
      <c r="D772" s="7" t="n">
        <v>34</v>
      </c>
      <c r="E772" s="7" t="s">
        <v>776</v>
      </c>
      <c r="F772" s="7" t="s">
        <v>261</v>
      </c>
      <c r="G772" s="7" t="s">
        <v>267</v>
      </c>
      <c r="H772" s="7"/>
      <c r="I772" s="7"/>
      <c r="J772" s="7"/>
      <c r="K772" s="7"/>
      <c r="L772" s="7" t="str">
        <f aca="false">IFERROR(VLOOKUP(IF(ISNUMBER(SEARCH("(",F772)),LEFT(F772,SEARCH("(",F772)-1),F772),Tipos!$A:$B,2,FALSE()),"outro")</f>
        <v>texto</v>
      </c>
      <c r="M772" s="7" t="str">
        <f aca="false">IF(COUNTIF(Comparação!$H:$H,A772)&gt;0,"sim",IF(AND(G772="sim",H772=""),"FALTA (obrigatória)","não"))</f>
        <v>não</v>
      </c>
    </row>
    <row r="773" customFormat="false" ht="15" hidden="false" customHeight="false" outlineLevel="0" collapsed="false">
      <c r="A773" s="7" t="str">
        <f aca="false">B773&amp;"."&amp;E773</f>
        <v>growth_experimentos.link_doc</v>
      </c>
      <c r="B773" s="7" t="s">
        <v>140</v>
      </c>
      <c r="C773" s="7" t="s">
        <v>115</v>
      </c>
      <c r="D773" s="7" t="n">
        <v>35</v>
      </c>
      <c r="E773" s="7" t="s">
        <v>846</v>
      </c>
      <c r="F773" s="7" t="s">
        <v>261</v>
      </c>
      <c r="G773" s="7" t="s">
        <v>267</v>
      </c>
      <c r="H773" s="7"/>
      <c r="I773" s="7"/>
      <c r="J773" s="7"/>
      <c r="K773" s="7" t="s">
        <v>847</v>
      </c>
      <c r="L773" s="7" t="str">
        <f aca="false">IFERROR(VLOOKUP(IF(ISNUMBER(SEARCH("(",F773)),LEFT(F773,SEARCH("(",F773)-1),F773),Tipos!$A:$B,2,FALSE()),"outro")</f>
        <v>texto</v>
      </c>
      <c r="M773" s="7" t="str">
        <f aca="false">IF(COUNTIF(Comparação!$H:$H,A773)&gt;0,"sim",IF(AND(G773="sim",H773=""),"FALTA (obrigatória)","não"))</f>
        <v>não</v>
      </c>
    </row>
    <row r="774" customFormat="false" ht="15" hidden="false" customHeight="false" outlineLevel="0" collapsed="false">
      <c r="A774" s="7" t="str">
        <f aca="false">B774&amp;"."&amp;E774</f>
        <v>growth_metricas.id</v>
      </c>
      <c r="B774" s="7" t="s">
        <v>142</v>
      </c>
      <c r="C774" s="7" t="s">
        <v>115</v>
      </c>
      <c r="D774" s="7" t="n">
        <v>1</v>
      </c>
      <c r="E774" s="7" t="s">
        <v>271</v>
      </c>
      <c r="F774" s="7" t="s">
        <v>272</v>
      </c>
      <c r="G774" s="7" t="s">
        <v>262</v>
      </c>
      <c r="H774" s="7" t="s">
        <v>273</v>
      </c>
      <c r="I774" s="7" t="s">
        <v>263</v>
      </c>
      <c r="J774" s="7"/>
      <c r="K774" s="7"/>
      <c r="L774" s="7" t="str">
        <f aca="false">IFERROR(VLOOKUP(IF(ISNUMBER(SEARCH("(",F774)),LEFT(F774,SEARCH("(",F774)-1),F774),Tipos!$A:$B,2,FALSE()),"outro")</f>
        <v>uuid</v>
      </c>
      <c r="M774" s="7" t="str">
        <f aca="false">IF(COUNTIF(Comparação!$H:$H,A774)&gt;0,"sim",IF(AND(G774="sim",H774=""),"FALTA (obrigatória)","não"))</f>
        <v>não</v>
      </c>
    </row>
    <row r="775" customFormat="false" ht="15" hidden="false" customHeight="false" outlineLevel="0" collapsed="false">
      <c r="A775" s="7" t="str">
        <f aca="false">B775&amp;"."&amp;E775</f>
        <v>growth_metricas.workspace_id</v>
      </c>
      <c r="B775" s="7" t="s">
        <v>142</v>
      </c>
      <c r="C775" s="7" t="s">
        <v>115</v>
      </c>
      <c r="D775" s="7" t="n">
        <v>2</v>
      </c>
      <c r="E775" s="7" t="s">
        <v>274</v>
      </c>
      <c r="F775" s="7" t="s">
        <v>272</v>
      </c>
      <c r="G775" s="7" t="s">
        <v>262</v>
      </c>
      <c r="H775" s="7"/>
      <c r="I775" s="7"/>
      <c r="J775" s="7" t="s">
        <v>275</v>
      </c>
      <c r="K775" s="7"/>
      <c r="L775" s="7" t="str">
        <f aca="false">IFERROR(VLOOKUP(IF(ISNUMBER(SEARCH("(",F775)),LEFT(F775,SEARCH("(",F775)-1),F775),Tipos!$A:$B,2,FALSE()),"outro")</f>
        <v>uuid</v>
      </c>
      <c r="M775" s="7" t="str">
        <f aca="false">IF(COUNTIF(Comparação!$H:$H,A775)&gt;0,"sim",IF(AND(G775="sim",H775=""),"FALTA (obrigatória)","não"))</f>
        <v>FALTA (obrigatória)</v>
      </c>
    </row>
    <row r="776" customFormat="false" ht="15" hidden="false" customHeight="false" outlineLevel="0" collapsed="false">
      <c r="A776" s="7" t="str">
        <f aca="false">B776&amp;"."&amp;E776</f>
        <v>growth_metricas.pai_id</v>
      </c>
      <c r="B776" s="7" t="s">
        <v>142</v>
      </c>
      <c r="C776" s="7" t="s">
        <v>115</v>
      </c>
      <c r="D776" s="7" t="n">
        <v>3</v>
      </c>
      <c r="E776" s="7" t="s">
        <v>453</v>
      </c>
      <c r="F776" s="7" t="s">
        <v>272</v>
      </c>
      <c r="G776" s="7" t="s">
        <v>267</v>
      </c>
      <c r="H776" s="7"/>
      <c r="I776" s="7"/>
      <c r="J776" s="7" t="s">
        <v>813</v>
      </c>
      <c r="K776" s="7"/>
      <c r="L776" s="7" t="str">
        <f aca="false">IFERROR(VLOOKUP(IF(ISNUMBER(SEARCH("(",F776)),LEFT(F776,SEARCH("(",F776)-1),F776),Tipos!$A:$B,2,FALSE()),"outro")</f>
        <v>uuid</v>
      </c>
      <c r="M776" s="7" t="str">
        <f aca="false">IF(COUNTIF(Comparação!$H:$H,A776)&gt;0,"sim",IF(AND(G776="sim",H776=""),"FALTA (obrigatória)","não"))</f>
        <v>não</v>
      </c>
    </row>
    <row r="777" customFormat="false" ht="15" hidden="false" customHeight="false" outlineLevel="0" collapsed="false">
      <c r="A777" s="7" t="str">
        <f aca="false">B777&amp;"."&amp;E777</f>
        <v>growth_metricas.nome</v>
      </c>
      <c r="B777" s="7" t="s">
        <v>142</v>
      </c>
      <c r="C777" s="7" t="s">
        <v>115</v>
      </c>
      <c r="D777" s="7" t="n">
        <v>4</v>
      </c>
      <c r="E777" s="7" t="s">
        <v>265</v>
      </c>
      <c r="F777" s="7" t="s">
        <v>261</v>
      </c>
      <c r="G777" s="7" t="s">
        <v>262</v>
      </c>
      <c r="H777" s="7"/>
      <c r="I777" s="7"/>
      <c r="J777" s="7"/>
      <c r="K777" s="7"/>
      <c r="L777" s="7" t="str">
        <f aca="false">IFERROR(VLOOKUP(IF(ISNUMBER(SEARCH("(",F777)),LEFT(F777,SEARCH("(",F777)-1),F777),Tipos!$A:$B,2,FALSE()),"outro")</f>
        <v>texto</v>
      </c>
      <c r="M777" s="7" t="str">
        <f aca="false">IF(COUNTIF(Comparação!$H:$H,A777)&gt;0,"sim",IF(AND(G777="sim",H777=""),"FALTA (obrigatória)","não"))</f>
        <v>FALTA (obrigatória)</v>
      </c>
    </row>
    <row r="778" customFormat="false" ht="15" hidden="false" customHeight="false" outlineLevel="0" collapsed="false">
      <c r="A778" s="7" t="str">
        <f aca="false">B778&amp;"."&amp;E778</f>
        <v>growth_metricas.descricao</v>
      </c>
      <c r="B778" s="7" t="s">
        <v>142</v>
      </c>
      <c r="C778" s="7" t="s">
        <v>115</v>
      </c>
      <c r="D778" s="7" t="n">
        <v>5</v>
      </c>
      <c r="E778" s="7" t="s">
        <v>427</v>
      </c>
      <c r="F778" s="7" t="s">
        <v>261</v>
      </c>
      <c r="G778" s="7" t="s">
        <v>267</v>
      </c>
      <c r="H778" s="7"/>
      <c r="I778" s="7"/>
      <c r="J778" s="7"/>
      <c r="K778" s="7"/>
      <c r="L778" s="7" t="str">
        <f aca="false">IFERROR(VLOOKUP(IF(ISNUMBER(SEARCH("(",F778)),LEFT(F778,SEARCH("(",F778)-1),F778),Tipos!$A:$B,2,FALSE()),"outro")</f>
        <v>texto</v>
      </c>
      <c r="M778" s="7" t="str">
        <f aca="false">IF(COUNTIF(Comparação!$H:$H,A778)&gt;0,"sim",IF(AND(G778="sim",H778=""),"FALTA (obrigatória)","não"))</f>
        <v>não</v>
      </c>
    </row>
    <row r="779" customFormat="false" ht="15" hidden="false" customHeight="false" outlineLevel="0" collapsed="false">
      <c r="A779" s="7" t="str">
        <f aca="false">B779&amp;"."&amp;E779</f>
        <v>growth_metricas.formula</v>
      </c>
      <c r="B779" s="7" t="s">
        <v>142</v>
      </c>
      <c r="C779" s="7" t="s">
        <v>115</v>
      </c>
      <c r="D779" s="7" t="n">
        <v>6</v>
      </c>
      <c r="E779" s="7" t="s">
        <v>848</v>
      </c>
      <c r="F779" s="7" t="s">
        <v>261</v>
      </c>
      <c r="G779" s="7" t="s">
        <v>267</v>
      </c>
      <c r="H779" s="7"/>
      <c r="I779" s="7"/>
      <c r="J779" s="7"/>
      <c r="K779" s="7"/>
      <c r="L779" s="7" t="str">
        <f aca="false">IFERROR(VLOOKUP(IF(ISNUMBER(SEARCH("(",F779)),LEFT(F779,SEARCH("(",F779)-1),F779),Tipos!$A:$B,2,FALSE()),"outro")</f>
        <v>texto</v>
      </c>
      <c r="M779" s="7" t="str">
        <f aca="false">IF(COUNTIF(Comparação!$H:$H,A779)&gt;0,"sim",IF(AND(G779="sim",H779=""),"FALTA (obrigatória)","não"))</f>
        <v>não</v>
      </c>
    </row>
    <row r="780" customFormat="false" ht="15" hidden="false" customHeight="false" outlineLevel="0" collapsed="false">
      <c r="A780" s="7" t="str">
        <f aca="false">B780&amp;"."&amp;E780</f>
        <v>growth_metricas.tipo</v>
      </c>
      <c r="B780" s="7" t="s">
        <v>142</v>
      </c>
      <c r="C780" s="7" t="s">
        <v>115</v>
      </c>
      <c r="D780" s="7" t="n">
        <v>7</v>
      </c>
      <c r="E780" s="7" t="s">
        <v>280</v>
      </c>
      <c r="F780" s="7" t="s">
        <v>261</v>
      </c>
      <c r="G780" s="7" t="s">
        <v>262</v>
      </c>
      <c r="H780" s="7" t="s">
        <v>849</v>
      </c>
      <c r="I780" s="7"/>
      <c r="J780" s="7"/>
      <c r="K780" s="7" t="s">
        <v>850</v>
      </c>
      <c r="L780" s="7" t="str">
        <f aca="false">IFERROR(VLOOKUP(IF(ISNUMBER(SEARCH("(",F780)),LEFT(F780,SEARCH("(",F780)-1),F780),Tipos!$A:$B,2,FALSE()),"outro")</f>
        <v>texto</v>
      </c>
      <c r="M780" s="7" t="str">
        <f aca="false">IF(COUNTIF(Comparação!$H:$H,A780)&gt;0,"sim",IF(AND(G780="sim",H780=""),"FALTA (obrigatória)","não"))</f>
        <v>não</v>
      </c>
    </row>
    <row r="781" customFormat="false" ht="15" hidden="false" customHeight="false" outlineLevel="0" collapsed="false">
      <c r="A781" s="7" t="str">
        <f aca="false">B781&amp;"."&amp;E781</f>
        <v>growth_metricas.fonte</v>
      </c>
      <c r="B781" s="7" t="s">
        <v>142</v>
      </c>
      <c r="C781" s="7" t="s">
        <v>115</v>
      </c>
      <c r="D781" s="7" t="n">
        <v>8</v>
      </c>
      <c r="E781" s="7" t="s">
        <v>333</v>
      </c>
      <c r="F781" s="7" t="s">
        <v>261</v>
      </c>
      <c r="G781" s="7" t="s">
        <v>262</v>
      </c>
      <c r="H781" s="7" t="s">
        <v>381</v>
      </c>
      <c r="I781" s="7"/>
      <c r="J781" s="7"/>
      <c r="K781" s="7" t="s">
        <v>851</v>
      </c>
      <c r="L781" s="7" t="str">
        <f aca="false">IFERROR(VLOOKUP(IF(ISNUMBER(SEARCH("(",F781)),LEFT(F781,SEARCH("(",F781)-1),F781),Tipos!$A:$B,2,FALSE()),"outro")</f>
        <v>texto</v>
      </c>
      <c r="M781" s="7" t="str">
        <f aca="false">IF(COUNTIF(Comparação!$H:$H,A781)&gt;0,"sim",IF(AND(G781="sim",H781=""),"FALTA (obrigatória)","não"))</f>
        <v>não</v>
      </c>
    </row>
    <row r="782" customFormat="false" ht="15" hidden="false" customHeight="false" outlineLevel="0" collapsed="false">
      <c r="A782" s="7" t="str">
        <f aca="false">B782&amp;"."&amp;E782</f>
        <v>growth_metricas.chave_auto</v>
      </c>
      <c r="B782" s="7" t="s">
        <v>142</v>
      </c>
      <c r="C782" s="7" t="s">
        <v>115</v>
      </c>
      <c r="D782" s="7" t="n">
        <v>9</v>
      </c>
      <c r="E782" s="7" t="s">
        <v>804</v>
      </c>
      <c r="F782" s="7" t="s">
        <v>261</v>
      </c>
      <c r="G782" s="7" t="s">
        <v>267</v>
      </c>
      <c r="H782" s="7"/>
      <c r="I782" s="7"/>
      <c r="J782" s="7"/>
      <c r="K782" s="7" t="s">
        <v>852</v>
      </c>
      <c r="L782" s="7" t="str">
        <f aca="false">IFERROR(VLOOKUP(IF(ISNUMBER(SEARCH("(",F782)),LEFT(F782,SEARCH("(",F782)-1),F782),Tipos!$A:$B,2,FALSE()),"outro")</f>
        <v>texto</v>
      </c>
      <c r="M782" s="7" t="str">
        <f aca="false">IF(COUNTIF(Comparação!$H:$H,A782)&gt;0,"sim",IF(AND(G782="sim",H782=""),"FALTA (obrigatória)","não"))</f>
        <v>não</v>
      </c>
    </row>
    <row r="783" customFormat="false" ht="15" hidden="false" customHeight="false" outlineLevel="0" collapsed="false">
      <c r="A783" s="7" t="str">
        <f aca="false">B783&amp;"."&amp;E783</f>
        <v>growth_metricas.unidade</v>
      </c>
      <c r="B783" s="7" t="s">
        <v>142</v>
      </c>
      <c r="C783" s="7" t="s">
        <v>115</v>
      </c>
      <c r="D783" s="7" t="n">
        <v>10</v>
      </c>
      <c r="E783" s="7" t="s">
        <v>390</v>
      </c>
      <c r="F783" s="7" t="s">
        <v>261</v>
      </c>
      <c r="G783" s="7" t="s">
        <v>262</v>
      </c>
      <c r="H783" s="7" t="s">
        <v>391</v>
      </c>
      <c r="I783" s="7"/>
      <c r="J783" s="7"/>
      <c r="K783" s="7" t="s">
        <v>853</v>
      </c>
      <c r="L783" s="7" t="str">
        <f aca="false">IFERROR(VLOOKUP(IF(ISNUMBER(SEARCH("(",F783)),LEFT(F783,SEARCH("(",F783)-1),F783),Tipos!$A:$B,2,FALSE()),"outro")</f>
        <v>texto</v>
      </c>
      <c r="M783" s="7" t="str">
        <f aca="false">IF(COUNTIF(Comparação!$H:$H,A783)&gt;0,"sim",IF(AND(G783="sim",H783=""),"FALTA (obrigatória)","não"))</f>
        <v>não</v>
      </c>
    </row>
    <row r="784" customFormat="false" ht="15" hidden="false" customHeight="false" outlineLevel="0" collapsed="false">
      <c r="A784" s="7" t="str">
        <f aca="false">B784&amp;"."&amp;E784</f>
        <v>growth_metricas.direcao</v>
      </c>
      <c r="B784" s="7" t="s">
        <v>142</v>
      </c>
      <c r="C784" s="7" t="s">
        <v>115</v>
      </c>
      <c r="D784" s="7" t="n">
        <v>11</v>
      </c>
      <c r="E784" s="7" t="s">
        <v>854</v>
      </c>
      <c r="F784" s="7" t="s">
        <v>261</v>
      </c>
      <c r="G784" s="7" t="s">
        <v>262</v>
      </c>
      <c r="H784" s="7" t="s">
        <v>855</v>
      </c>
      <c r="I784" s="7"/>
      <c r="J784" s="7"/>
      <c r="K784" s="7" t="s">
        <v>856</v>
      </c>
      <c r="L784" s="7" t="str">
        <f aca="false">IFERROR(VLOOKUP(IF(ISNUMBER(SEARCH("(",F784)),LEFT(F784,SEARCH("(",F784)-1),F784),Tipos!$A:$B,2,FALSE()),"outro")</f>
        <v>texto</v>
      </c>
      <c r="M784" s="7" t="str">
        <f aca="false">IF(COUNTIF(Comparação!$H:$H,A784)&gt;0,"sim",IF(AND(G784="sim",H784=""),"FALTA (obrigatória)","não"))</f>
        <v>não</v>
      </c>
    </row>
    <row r="785" customFormat="false" ht="15" hidden="false" customHeight="false" outlineLevel="0" collapsed="false">
      <c r="A785" s="7" t="str">
        <f aca="false">B785&amp;"."&amp;E785</f>
        <v>growth_metricas.meta</v>
      </c>
      <c r="B785" s="7" t="s">
        <v>142</v>
      </c>
      <c r="C785" s="7" t="s">
        <v>115</v>
      </c>
      <c r="D785" s="7" t="n">
        <v>12</v>
      </c>
      <c r="E785" s="7" t="s">
        <v>857</v>
      </c>
      <c r="F785" s="7" t="s">
        <v>380</v>
      </c>
      <c r="G785" s="7" t="s">
        <v>267</v>
      </c>
      <c r="H785" s="7"/>
      <c r="I785" s="7"/>
      <c r="J785" s="7"/>
      <c r="K785" s="7"/>
      <c r="L785" s="7" t="str">
        <f aca="false">IFERROR(VLOOKUP(IF(ISNUMBER(SEARCH("(",F785)),LEFT(F785,SEARCH("(",F785)-1),F785),Tipos!$A:$B,2,FALSE()),"outro")</f>
        <v>decimal</v>
      </c>
      <c r="M785" s="7" t="str">
        <f aca="false">IF(COUNTIF(Comparação!$H:$H,A785)&gt;0,"sim",IF(AND(G785="sim",H785=""),"FALTA (obrigatória)","não"))</f>
        <v>não</v>
      </c>
    </row>
    <row r="786" customFormat="false" ht="15" hidden="false" customHeight="false" outlineLevel="0" collapsed="false">
      <c r="A786" s="7" t="str">
        <f aca="false">B786&amp;"."&amp;E786</f>
        <v>growth_metricas.valor_manual</v>
      </c>
      <c r="B786" s="7" t="s">
        <v>142</v>
      </c>
      <c r="C786" s="7" t="s">
        <v>115</v>
      </c>
      <c r="D786" s="7" t="n">
        <v>13</v>
      </c>
      <c r="E786" s="7" t="s">
        <v>858</v>
      </c>
      <c r="F786" s="7" t="s">
        <v>380</v>
      </c>
      <c r="G786" s="7" t="s">
        <v>267</v>
      </c>
      <c r="H786" s="7"/>
      <c r="I786" s="7"/>
      <c r="J786" s="7"/>
      <c r="K786" s="7"/>
      <c r="L786" s="7" t="str">
        <f aca="false">IFERROR(VLOOKUP(IF(ISNUMBER(SEARCH("(",F786)),LEFT(F786,SEARCH("(",F786)-1),F786),Tipos!$A:$B,2,FALSE()),"outro")</f>
        <v>decimal</v>
      </c>
      <c r="M786" s="7" t="str">
        <f aca="false">IF(COUNTIF(Comparação!$H:$H,A786)&gt;0,"sim",IF(AND(G786="sim",H786=""),"FALTA (obrigatória)","não"))</f>
        <v>não</v>
      </c>
    </row>
    <row r="787" customFormat="false" ht="15" hidden="false" customHeight="false" outlineLevel="0" collapsed="false">
      <c r="A787" s="7" t="str">
        <f aca="false">B787&amp;"."&amp;E787</f>
        <v>growth_metricas.valor_manual_anterior</v>
      </c>
      <c r="B787" s="7" t="s">
        <v>142</v>
      </c>
      <c r="C787" s="7" t="s">
        <v>115</v>
      </c>
      <c r="D787" s="7" t="n">
        <v>14</v>
      </c>
      <c r="E787" s="7" t="s">
        <v>859</v>
      </c>
      <c r="F787" s="7" t="s">
        <v>380</v>
      </c>
      <c r="G787" s="7" t="s">
        <v>267</v>
      </c>
      <c r="H787" s="7"/>
      <c r="I787" s="7"/>
      <c r="J787" s="7"/>
      <c r="K787" s="7"/>
      <c r="L787" s="7" t="str">
        <f aca="false">IFERROR(VLOOKUP(IF(ISNUMBER(SEARCH("(",F787)),LEFT(F787,SEARCH("(",F787)-1),F787),Tipos!$A:$B,2,FALSE()),"outro")</f>
        <v>decimal</v>
      </c>
      <c r="M787" s="7" t="str">
        <f aca="false">IF(COUNTIF(Comparação!$H:$H,A787)&gt;0,"sim",IF(AND(G787="sim",H787=""),"FALTA (obrigatória)","não"))</f>
        <v>não</v>
      </c>
    </row>
    <row r="788" customFormat="false" ht="15" hidden="false" customHeight="false" outlineLevel="0" collapsed="false">
      <c r="A788" s="7" t="str">
        <f aca="false">B788&amp;"."&amp;E788</f>
        <v>growth_metricas.ordem</v>
      </c>
      <c r="B788" s="7" t="s">
        <v>142</v>
      </c>
      <c r="C788" s="7" t="s">
        <v>115</v>
      </c>
      <c r="D788" s="7" t="n">
        <v>15</v>
      </c>
      <c r="E788" s="7" t="s">
        <v>268</v>
      </c>
      <c r="F788" s="7" t="s">
        <v>269</v>
      </c>
      <c r="G788" s="7" t="s">
        <v>262</v>
      </c>
      <c r="H788" s="7" t="s">
        <v>270</v>
      </c>
      <c r="I788" s="7"/>
      <c r="J788" s="7"/>
      <c r="K788" s="7"/>
      <c r="L788" s="7" t="str">
        <f aca="false">IFERROR(VLOOKUP(IF(ISNUMBER(SEARCH("(",F788)),LEFT(F788,SEARCH("(",F788)-1),F788),Tipos!$A:$B,2,FALSE()),"outro")</f>
        <v>inteiro</v>
      </c>
      <c r="M788" s="7" t="str">
        <f aca="false">IF(COUNTIF(Comparação!$H:$H,A788)&gt;0,"sim",IF(AND(G788="sim",H788=""),"FALTA (obrigatória)","não"))</f>
        <v>não</v>
      </c>
    </row>
    <row r="789" customFormat="false" ht="15" hidden="false" customHeight="false" outlineLevel="0" collapsed="false">
      <c r="A789" s="7" t="str">
        <f aca="false">B789&amp;"."&amp;E789</f>
        <v>growth_metricas.criado_em</v>
      </c>
      <c r="B789" s="7" t="s">
        <v>142</v>
      </c>
      <c r="C789" s="7" t="s">
        <v>115</v>
      </c>
      <c r="D789" s="7" t="n">
        <v>16</v>
      </c>
      <c r="E789" s="7" t="s">
        <v>344</v>
      </c>
      <c r="F789" s="7" t="s">
        <v>285</v>
      </c>
      <c r="G789" s="7" t="s">
        <v>262</v>
      </c>
      <c r="H789" s="7" t="s">
        <v>286</v>
      </c>
      <c r="I789" s="7"/>
      <c r="J789" s="7"/>
      <c r="K789" s="7"/>
      <c r="L789" s="7" t="str">
        <f aca="false">IFERROR(VLOOKUP(IF(ISNUMBER(SEARCH("(",F789)),LEFT(F789,SEARCH("(",F789)-1),F789),Tipos!$A:$B,2,FALSE()),"outro")</f>
        <v>data e hora</v>
      </c>
      <c r="M789" s="7" t="str">
        <f aca="false">IF(COUNTIF(Comparação!$H:$H,A789)&gt;0,"sim",IF(AND(G789="sim",H789=""),"FALTA (obrigatória)","não"))</f>
        <v>não</v>
      </c>
    </row>
    <row r="790" customFormat="false" ht="15" hidden="false" customHeight="false" outlineLevel="0" collapsed="false">
      <c r="A790" s="7" t="str">
        <f aca="false">B790&amp;"."&amp;E790</f>
        <v>growth_metricas.nsm_evento</v>
      </c>
      <c r="B790" s="7" t="s">
        <v>142</v>
      </c>
      <c r="C790" s="7" t="s">
        <v>115</v>
      </c>
      <c r="D790" s="7" t="n">
        <v>17</v>
      </c>
      <c r="E790" s="7" t="s">
        <v>860</v>
      </c>
      <c r="F790" s="7" t="s">
        <v>261</v>
      </c>
      <c r="G790" s="7" t="s">
        <v>267</v>
      </c>
      <c r="H790" s="7"/>
      <c r="I790" s="7"/>
      <c r="J790" s="7"/>
      <c r="K790" s="7"/>
      <c r="L790" s="7" t="str">
        <f aca="false">IFERROR(VLOOKUP(IF(ISNUMBER(SEARCH("(",F790)),LEFT(F790,SEARCH("(",F790)-1),F790),Tipos!$A:$B,2,FALSE()),"outro")</f>
        <v>texto</v>
      </c>
      <c r="M790" s="7" t="str">
        <f aca="false">IF(COUNTIF(Comparação!$H:$H,A790)&gt;0,"sim",IF(AND(G790="sim",H790=""),"FALTA (obrigatória)","não"))</f>
        <v>não</v>
      </c>
    </row>
    <row r="791" customFormat="false" ht="15" hidden="false" customHeight="false" outlineLevel="0" collapsed="false">
      <c r="A791" s="7" t="str">
        <f aca="false">B791&amp;"."&amp;E791</f>
        <v>growth_metricas.nsm_populacao</v>
      </c>
      <c r="B791" s="7" t="s">
        <v>142</v>
      </c>
      <c r="C791" s="7" t="s">
        <v>115</v>
      </c>
      <c r="D791" s="7" t="n">
        <v>18</v>
      </c>
      <c r="E791" s="7" t="s">
        <v>861</v>
      </c>
      <c r="F791" s="7" t="s">
        <v>261</v>
      </c>
      <c r="G791" s="7" t="s">
        <v>267</v>
      </c>
      <c r="H791" s="7"/>
      <c r="I791" s="7"/>
      <c r="J791" s="7"/>
      <c r="K791" s="7"/>
      <c r="L791" s="7" t="str">
        <f aca="false">IFERROR(VLOOKUP(IF(ISNUMBER(SEARCH("(",F791)),LEFT(F791,SEARCH("(",F791)-1),F791),Tipos!$A:$B,2,FALSE()),"outro")</f>
        <v>texto</v>
      </c>
      <c r="M791" s="7" t="str">
        <f aca="false">IF(COUNTIF(Comparação!$H:$H,A791)&gt;0,"sim",IF(AND(G791="sim",H791=""),"FALTA (obrigatória)","não"))</f>
        <v>não</v>
      </c>
    </row>
    <row r="792" customFormat="false" ht="15" hidden="false" customHeight="false" outlineLevel="0" collapsed="false">
      <c r="A792" s="7" t="str">
        <f aca="false">B792&amp;"."&amp;E792</f>
        <v>growth_metricas.nsm_frequencia</v>
      </c>
      <c r="B792" s="7" t="s">
        <v>142</v>
      </c>
      <c r="C792" s="7" t="s">
        <v>115</v>
      </c>
      <c r="D792" s="7" t="n">
        <v>19</v>
      </c>
      <c r="E792" s="7" t="s">
        <v>862</v>
      </c>
      <c r="F792" s="7" t="s">
        <v>261</v>
      </c>
      <c r="G792" s="7" t="s">
        <v>267</v>
      </c>
      <c r="H792" s="7"/>
      <c r="I792" s="7"/>
      <c r="J792" s="7"/>
      <c r="K792" s="7"/>
      <c r="L792" s="7" t="str">
        <f aca="false">IFERROR(VLOOKUP(IF(ISNUMBER(SEARCH("(",F792)),LEFT(F792,SEARCH("(",F792)-1),F792),Tipos!$A:$B,2,FALSE()),"outro")</f>
        <v>texto</v>
      </c>
      <c r="M792" s="7" t="str">
        <f aca="false">IF(COUNTIF(Comparação!$H:$H,A792)&gt;0,"sim",IF(AND(G792="sim",H792=""),"FALTA (obrigatória)","não"))</f>
        <v>não</v>
      </c>
    </row>
    <row r="793" customFormat="false" ht="15" hidden="false" customHeight="false" outlineLevel="0" collapsed="false">
      <c r="A793" s="7" t="str">
        <f aca="false">B793&amp;"."&amp;E793</f>
        <v>growth_metricas.nsm_fonte</v>
      </c>
      <c r="B793" s="7" t="s">
        <v>142</v>
      </c>
      <c r="C793" s="7" t="s">
        <v>115</v>
      </c>
      <c r="D793" s="7" t="n">
        <v>20</v>
      </c>
      <c r="E793" s="7" t="s">
        <v>863</v>
      </c>
      <c r="F793" s="7" t="s">
        <v>261</v>
      </c>
      <c r="G793" s="7" t="s">
        <v>267</v>
      </c>
      <c r="H793" s="7"/>
      <c r="I793" s="7"/>
      <c r="J793" s="7"/>
      <c r="K793" s="7"/>
      <c r="L793" s="7" t="str">
        <f aca="false">IFERROR(VLOOKUP(IF(ISNUMBER(SEARCH("(",F793)),LEFT(F793,SEARCH("(",F793)-1),F793),Tipos!$A:$B,2,FALSE()),"outro")</f>
        <v>texto</v>
      </c>
      <c r="M793" s="7" t="str">
        <f aca="false">IF(COUNTIF(Comparação!$H:$H,A793)&gt;0,"sim",IF(AND(G793="sim",H793=""),"FALTA (obrigatória)","não"))</f>
        <v>não</v>
      </c>
    </row>
    <row r="794" customFormat="false" ht="15" hidden="false" customHeight="false" outlineLevel="0" collapsed="false">
      <c r="A794" s="7" t="str">
        <f aca="false">B794&amp;"."&amp;E794</f>
        <v>growth_metricas.produto_id</v>
      </c>
      <c r="B794" s="7" t="s">
        <v>142</v>
      </c>
      <c r="C794" s="7" t="s">
        <v>115</v>
      </c>
      <c r="D794" s="7" t="n">
        <v>21</v>
      </c>
      <c r="E794" s="7" t="s">
        <v>287</v>
      </c>
      <c r="F794" s="7" t="s">
        <v>272</v>
      </c>
      <c r="G794" s="7" t="s">
        <v>267</v>
      </c>
      <c r="H794" s="7"/>
      <c r="I794" s="7"/>
      <c r="J794" s="7" t="s">
        <v>288</v>
      </c>
      <c r="K794" s="7"/>
      <c r="L794" s="7" t="str">
        <f aca="false">IFERROR(VLOOKUP(IF(ISNUMBER(SEARCH("(",F794)),LEFT(F794,SEARCH("(",F794)-1),F794),Tipos!$A:$B,2,FALSE()),"outro")</f>
        <v>uuid</v>
      </c>
      <c r="M794" s="7" t="str">
        <f aca="false">IF(COUNTIF(Comparação!$H:$H,A794)&gt;0,"sim",IF(AND(G794="sim",H794=""),"FALTA (obrigatória)","não"))</f>
        <v>não</v>
      </c>
    </row>
    <row r="795" customFormat="false" ht="15" hidden="false" customHeight="false" outlineLevel="0" collapsed="false">
      <c r="A795" s="7" t="str">
        <f aca="false">B795&amp;"."&amp;E795</f>
        <v>guardrail_alertas.id</v>
      </c>
      <c r="B795" s="7" t="s">
        <v>144</v>
      </c>
      <c r="C795" s="7" t="s">
        <v>115</v>
      </c>
      <c r="D795" s="7" t="n">
        <v>1</v>
      </c>
      <c r="E795" s="7" t="s">
        <v>271</v>
      </c>
      <c r="F795" s="7" t="s">
        <v>272</v>
      </c>
      <c r="G795" s="7" t="s">
        <v>262</v>
      </c>
      <c r="H795" s="7" t="s">
        <v>273</v>
      </c>
      <c r="I795" s="7" t="s">
        <v>263</v>
      </c>
      <c r="J795" s="7"/>
      <c r="K795" s="7"/>
      <c r="L795" s="7" t="str">
        <f aca="false">IFERROR(VLOOKUP(IF(ISNUMBER(SEARCH("(",F795)),LEFT(F795,SEARCH("(",F795)-1),F795),Tipos!$A:$B,2,FALSE()),"outro")</f>
        <v>uuid</v>
      </c>
      <c r="M795" s="7" t="str">
        <f aca="false">IF(COUNTIF(Comparação!$H:$H,A795)&gt;0,"sim",IF(AND(G795="sim",H795=""),"FALTA (obrigatória)","não"))</f>
        <v>não</v>
      </c>
    </row>
    <row r="796" customFormat="false" ht="15" hidden="false" customHeight="false" outlineLevel="0" collapsed="false">
      <c r="A796" s="7" t="str">
        <f aca="false">B796&amp;"."&amp;E796</f>
        <v>guardrail_alertas.workspace_id</v>
      </c>
      <c r="B796" s="7" t="s">
        <v>144</v>
      </c>
      <c r="C796" s="7" t="s">
        <v>115</v>
      </c>
      <c r="D796" s="7" t="n">
        <v>2</v>
      </c>
      <c r="E796" s="7" t="s">
        <v>274</v>
      </c>
      <c r="F796" s="7" t="s">
        <v>272</v>
      </c>
      <c r="G796" s="7" t="s">
        <v>262</v>
      </c>
      <c r="H796" s="7"/>
      <c r="I796" s="7"/>
      <c r="J796" s="7" t="s">
        <v>275</v>
      </c>
      <c r="K796" s="7"/>
      <c r="L796" s="7" t="str">
        <f aca="false">IFERROR(VLOOKUP(IF(ISNUMBER(SEARCH("(",F796)),LEFT(F796,SEARCH("(",F796)-1),F796),Tipos!$A:$B,2,FALSE()),"outro")</f>
        <v>uuid</v>
      </c>
      <c r="M796" s="7" t="str">
        <f aca="false">IF(COUNTIF(Comparação!$H:$H,A796)&gt;0,"sim",IF(AND(G796="sim",H796=""),"FALTA (obrigatória)","não"))</f>
        <v>FALTA (obrigatória)</v>
      </c>
    </row>
    <row r="797" customFormat="false" ht="15" hidden="false" customHeight="false" outlineLevel="0" collapsed="false">
      <c r="A797" s="7" t="str">
        <f aca="false">B797&amp;"."&amp;E797</f>
        <v>guardrail_alertas.experimento_id</v>
      </c>
      <c r="B797" s="7" t="s">
        <v>144</v>
      </c>
      <c r="C797" s="7" t="s">
        <v>115</v>
      </c>
      <c r="D797" s="7" t="n">
        <v>3</v>
      </c>
      <c r="E797" s="7" t="s">
        <v>719</v>
      </c>
      <c r="F797" s="7" t="s">
        <v>272</v>
      </c>
      <c r="G797" s="7" t="s">
        <v>267</v>
      </c>
      <c r="H797" s="7"/>
      <c r="I797" s="7"/>
      <c r="J797" s="7" t="s">
        <v>720</v>
      </c>
      <c r="K797" s="7"/>
      <c r="L797" s="7" t="str">
        <f aca="false">IFERROR(VLOOKUP(IF(ISNUMBER(SEARCH("(",F797)),LEFT(F797,SEARCH("(",F797)-1),F797),Tipos!$A:$B,2,FALSE()),"outro")</f>
        <v>uuid</v>
      </c>
      <c r="M797" s="7" t="str">
        <f aca="false">IF(COUNTIF(Comparação!$H:$H,A797)&gt;0,"sim",IF(AND(G797="sim",H797=""),"FALTA (obrigatória)","não"))</f>
        <v>não</v>
      </c>
    </row>
    <row r="798" customFormat="false" ht="15" hidden="false" customHeight="false" outlineLevel="0" collapsed="false">
      <c r="A798" s="7" t="str">
        <f aca="false">B798&amp;"."&amp;E798</f>
        <v>guardrail_alertas.guardrail_id</v>
      </c>
      <c r="B798" s="7" t="s">
        <v>144</v>
      </c>
      <c r="C798" s="7" t="s">
        <v>115</v>
      </c>
      <c r="D798" s="7" t="n">
        <v>4</v>
      </c>
      <c r="E798" s="7" t="s">
        <v>721</v>
      </c>
      <c r="F798" s="7" t="s">
        <v>272</v>
      </c>
      <c r="G798" s="7" t="s">
        <v>262</v>
      </c>
      <c r="H798" s="7"/>
      <c r="I798" s="7"/>
      <c r="J798" s="7" t="s">
        <v>722</v>
      </c>
      <c r="K798" s="7"/>
      <c r="L798" s="7" t="str">
        <f aca="false">IFERROR(VLOOKUP(IF(ISNUMBER(SEARCH("(",F798)),LEFT(F798,SEARCH("(",F798)-1),F798),Tipos!$A:$B,2,FALSE()),"outro")</f>
        <v>uuid</v>
      </c>
      <c r="M798" s="7" t="str">
        <f aca="false">IF(COUNTIF(Comparação!$H:$H,A798)&gt;0,"sim",IF(AND(G798="sim",H798=""),"FALTA (obrigatória)","não"))</f>
        <v>FALTA (obrigatória)</v>
      </c>
    </row>
    <row r="799" customFormat="false" ht="15" hidden="false" customHeight="false" outlineLevel="0" collapsed="false">
      <c r="A799" s="7" t="str">
        <f aca="false">B799&amp;"."&amp;E799</f>
        <v>guardrail_alertas.data</v>
      </c>
      <c r="B799" s="7" t="s">
        <v>144</v>
      </c>
      <c r="C799" s="7" t="s">
        <v>115</v>
      </c>
      <c r="D799" s="7" t="n">
        <v>5</v>
      </c>
      <c r="E799" s="7" t="s">
        <v>378</v>
      </c>
      <c r="F799" s="7" t="s">
        <v>379</v>
      </c>
      <c r="G799" s="7" t="s">
        <v>262</v>
      </c>
      <c r="H799" s="7"/>
      <c r="I799" s="7"/>
      <c r="J799" s="7"/>
      <c r="K799" s="7"/>
      <c r="L799" s="7" t="str">
        <f aca="false">IFERROR(VLOOKUP(IF(ISNUMBER(SEARCH("(",F799)),LEFT(F799,SEARCH("(",F799)-1),F799),Tipos!$A:$B,2,FALSE()),"outro")</f>
        <v>data</v>
      </c>
      <c r="M799" s="7" t="str">
        <f aca="false">IF(COUNTIF(Comparação!$H:$H,A799)&gt;0,"sim",IF(AND(G799="sim",H799=""),"FALTA (obrigatória)","não"))</f>
        <v>FALTA (obrigatória)</v>
      </c>
    </row>
    <row r="800" customFormat="false" ht="15" hidden="false" customHeight="false" outlineLevel="0" collapsed="false">
      <c r="A800" s="7" t="str">
        <f aca="false">B800&amp;"."&amp;E800</f>
        <v>guardrail_alertas.valor</v>
      </c>
      <c r="B800" s="7" t="s">
        <v>144</v>
      </c>
      <c r="C800" s="7" t="s">
        <v>115</v>
      </c>
      <c r="D800" s="7" t="n">
        <v>6</v>
      </c>
      <c r="E800" s="7" t="s">
        <v>330</v>
      </c>
      <c r="F800" s="7" t="s">
        <v>380</v>
      </c>
      <c r="G800" s="7" t="s">
        <v>267</v>
      </c>
      <c r="H800" s="7"/>
      <c r="I800" s="7"/>
      <c r="J800" s="7"/>
      <c r="K800" s="7"/>
      <c r="L800" s="7" t="str">
        <f aca="false">IFERROR(VLOOKUP(IF(ISNUMBER(SEARCH("(",F800)),LEFT(F800,SEARCH("(",F800)-1),F800),Tipos!$A:$B,2,FALSE()),"outro")</f>
        <v>decimal</v>
      </c>
      <c r="M800" s="7" t="str">
        <f aca="false">IF(COUNTIF(Comparação!$H:$H,A800)&gt;0,"sim",IF(AND(G800="sim",H800=""),"FALTA (obrigatória)","não"))</f>
        <v>não</v>
      </c>
    </row>
    <row r="801" customFormat="false" ht="15" hidden="false" customHeight="false" outlineLevel="0" collapsed="false">
      <c r="A801" s="7" t="str">
        <f aca="false">B801&amp;"."&amp;E801</f>
        <v>guardrail_alertas.limite</v>
      </c>
      <c r="B801" s="7" t="s">
        <v>144</v>
      </c>
      <c r="C801" s="7" t="s">
        <v>115</v>
      </c>
      <c r="D801" s="7" t="n">
        <v>7</v>
      </c>
      <c r="E801" s="7" t="s">
        <v>864</v>
      </c>
      <c r="F801" s="7" t="s">
        <v>380</v>
      </c>
      <c r="G801" s="7" t="s">
        <v>262</v>
      </c>
      <c r="H801" s="7"/>
      <c r="I801" s="7"/>
      <c r="J801" s="7"/>
      <c r="K801" s="7"/>
      <c r="L801" s="7" t="str">
        <f aca="false">IFERROR(VLOOKUP(IF(ISNUMBER(SEARCH("(",F801)),LEFT(F801,SEARCH("(",F801)-1),F801),Tipos!$A:$B,2,FALSE()),"outro")</f>
        <v>decimal</v>
      </c>
      <c r="M801" s="7" t="str">
        <f aca="false">IF(COUNTIF(Comparação!$H:$H,A801)&gt;0,"sim",IF(AND(G801="sim",H801=""),"FALTA (obrigatória)","não"))</f>
        <v>FALTA (obrigatória)</v>
      </c>
    </row>
    <row r="802" customFormat="false" ht="15" hidden="false" customHeight="false" outlineLevel="0" collapsed="false">
      <c r="A802" s="7" t="str">
        <f aca="false">B802&amp;"."&amp;E802</f>
        <v>guardrail_alertas.severidade</v>
      </c>
      <c r="B802" s="7" t="s">
        <v>144</v>
      </c>
      <c r="C802" s="7" t="s">
        <v>115</v>
      </c>
      <c r="D802" s="7" t="n">
        <v>8</v>
      </c>
      <c r="E802" s="7" t="s">
        <v>865</v>
      </c>
      <c r="F802" s="7" t="s">
        <v>261</v>
      </c>
      <c r="G802" s="7" t="s">
        <v>262</v>
      </c>
      <c r="H802" s="7"/>
      <c r="I802" s="7"/>
      <c r="J802" s="7"/>
      <c r="K802" s="7" t="s">
        <v>866</v>
      </c>
      <c r="L802" s="7" t="str">
        <f aca="false">IFERROR(VLOOKUP(IF(ISNUMBER(SEARCH("(",F802)),LEFT(F802,SEARCH("(",F802)-1),F802),Tipos!$A:$B,2,FALSE()),"outro")</f>
        <v>texto</v>
      </c>
      <c r="M802" s="7" t="str">
        <f aca="false">IF(COUNTIF(Comparação!$H:$H,A802)&gt;0,"sim",IF(AND(G802="sim",H802=""),"FALTA (obrigatória)","não"))</f>
        <v>FALTA (obrigatória)</v>
      </c>
    </row>
    <row r="803" customFormat="false" ht="15" hidden="false" customHeight="false" outlineLevel="0" collapsed="false">
      <c r="A803" s="7" t="str">
        <f aca="false">B803&amp;"."&amp;E803</f>
        <v>guardrail_alertas.mensagem</v>
      </c>
      <c r="B803" s="7" t="s">
        <v>144</v>
      </c>
      <c r="C803" s="7" t="s">
        <v>115</v>
      </c>
      <c r="D803" s="7" t="n">
        <v>9</v>
      </c>
      <c r="E803" s="7" t="s">
        <v>867</v>
      </c>
      <c r="F803" s="7" t="s">
        <v>261</v>
      </c>
      <c r="G803" s="7" t="s">
        <v>262</v>
      </c>
      <c r="H803" s="7"/>
      <c r="I803" s="7"/>
      <c r="J803" s="7"/>
      <c r="K803" s="7"/>
      <c r="L803" s="7" t="str">
        <f aca="false">IFERROR(VLOOKUP(IF(ISNUMBER(SEARCH("(",F803)),LEFT(F803,SEARCH("(",F803)-1),F803),Tipos!$A:$B,2,FALSE()),"outro")</f>
        <v>texto</v>
      </c>
      <c r="M803" s="7" t="str">
        <f aca="false">IF(COUNTIF(Comparação!$H:$H,A803)&gt;0,"sim",IF(AND(G803="sim",H803=""),"FALTA (obrigatória)","não"))</f>
        <v>FALTA (obrigatória)</v>
      </c>
    </row>
    <row r="804" customFormat="false" ht="15" hidden="false" customHeight="false" outlineLevel="0" collapsed="false">
      <c r="A804" s="7" t="str">
        <f aca="false">B804&amp;"."&amp;E804</f>
        <v>guardrail_alertas.acao_sugerida</v>
      </c>
      <c r="B804" s="7" t="s">
        <v>144</v>
      </c>
      <c r="C804" s="7" t="s">
        <v>115</v>
      </c>
      <c r="D804" s="7" t="n">
        <v>10</v>
      </c>
      <c r="E804" s="7" t="s">
        <v>868</v>
      </c>
      <c r="F804" s="7" t="s">
        <v>261</v>
      </c>
      <c r="G804" s="7" t="s">
        <v>267</v>
      </c>
      <c r="H804" s="7"/>
      <c r="I804" s="7"/>
      <c r="J804" s="7"/>
      <c r="K804" s="7"/>
      <c r="L804" s="7" t="str">
        <f aca="false">IFERROR(VLOOKUP(IF(ISNUMBER(SEARCH("(",F804)),LEFT(F804,SEARCH("(",F804)-1),F804),Tipos!$A:$B,2,FALSE()),"outro")</f>
        <v>texto</v>
      </c>
      <c r="M804" s="7" t="str">
        <f aca="false">IF(COUNTIF(Comparação!$H:$H,A804)&gt;0,"sim",IF(AND(G804="sim",H804=""),"FALTA (obrigatória)","não"))</f>
        <v>não</v>
      </c>
    </row>
    <row r="805" customFormat="false" ht="15" hidden="false" customHeight="false" outlineLevel="0" collapsed="false">
      <c r="A805" s="7" t="str">
        <f aca="false">B805&amp;"."&amp;E805</f>
        <v>guardrail_alertas.status</v>
      </c>
      <c r="B805" s="7" t="s">
        <v>144</v>
      </c>
      <c r="C805" s="7" t="s">
        <v>115</v>
      </c>
      <c r="D805" s="7" t="n">
        <v>11</v>
      </c>
      <c r="E805" s="7" t="s">
        <v>293</v>
      </c>
      <c r="F805" s="7" t="s">
        <v>261</v>
      </c>
      <c r="G805" s="7" t="s">
        <v>262</v>
      </c>
      <c r="H805" s="7" t="s">
        <v>869</v>
      </c>
      <c r="I805" s="7"/>
      <c r="J805" s="7"/>
      <c r="K805" s="7" t="s">
        <v>870</v>
      </c>
      <c r="L805" s="7" t="str">
        <f aca="false">IFERROR(VLOOKUP(IF(ISNUMBER(SEARCH("(",F805)),LEFT(F805,SEARCH("(",F805)-1),F805),Tipos!$A:$B,2,FALSE()),"outro")</f>
        <v>texto</v>
      </c>
      <c r="M805" s="7" t="str">
        <f aca="false">IF(COUNTIF(Comparação!$H:$H,A805)&gt;0,"sim",IF(AND(G805="sim",H805=""),"FALTA (obrigatória)","não"))</f>
        <v>não</v>
      </c>
    </row>
    <row r="806" customFormat="false" ht="15" hidden="false" customHeight="false" outlineLevel="0" collapsed="false">
      <c r="A806" s="7" t="str">
        <f aca="false">B806&amp;"."&amp;E806</f>
        <v>guardrail_alertas.responsavel</v>
      </c>
      <c r="B806" s="7" t="s">
        <v>144</v>
      </c>
      <c r="C806" s="7" t="s">
        <v>115</v>
      </c>
      <c r="D806" s="7" t="n">
        <v>12</v>
      </c>
      <c r="E806" s="7" t="s">
        <v>433</v>
      </c>
      <c r="F806" s="7" t="s">
        <v>261</v>
      </c>
      <c r="G806" s="7" t="s">
        <v>267</v>
      </c>
      <c r="H806" s="7"/>
      <c r="I806" s="7"/>
      <c r="J806" s="7"/>
      <c r="K806" s="7"/>
      <c r="L806" s="7" t="str">
        <f aca="false">IFERROR(VLOOKUP(IF(ISNUMBER(SEARCH("(",F806)),LEFT(F806,SEARCH("(",F806)-1),F806),Tipos!$A:$B,2,FALSE()),"outro")</f>
        <v>texto</v>
      </c>
      <c r="M806" s="7" t="str">
        <f aca="false">IF(COUNTIF(Comparação!$H:$H,A806)&gt;0,"sim",IF(AND(G806="sim",H806=""),"FALTA (obrigatória)","não"))</f>
        <v>não</v>
      </c>
    </row>
    <row r="807" customFormat="false" ht="15" hidden="false" customHeight="false" outlineLevel="0" collapsed="false">
      <c r="A807" s="7" t="str">
        <f aca="false">B807&amp;"."&amp;E807</f>
        <v>guardrail_alertas.nota</v>
      </c>
      <c r="B807" s="7" t="s">
        <v>144</v>
      </c>
      <c r="C807" s="7" t="s">
        <v>115</v>
      </c>
      <c r="D807" s="7" t="n">
        <v>13</v>
      </c>
      <c r="E807" s="7" t="s">
        <v>871</v>
      </c>
      <c r="F807" s="7" t="s">
        <v>261</v>
      </c>
      <c r="G807" s="7" t="s">
        <v>267</v>
      </c>
      <c r="H807" s="7"/>
      <c r="I807" s="7"/>
      <c r="J807" s="7"/>
      <c r="K807" s="7"/>
      <c r="L807" s="7" t="str">
        <f aca="false">IFERROR(VLOOKUP(IF(ISNUMBER(SEARCH("(",F807)),LEFT(F807,SEARCH("(",F807)-1),F807),Tipos!$A:$B,2,FALSE()),"outro")</f>
        <v>texto</v>
      </c>
      <c r="M807" s="7" t="str">
        <f aca="false">IF(COUNTIF(Comparação!$H:$H,A807)&gt;0,"sim",IF(AND(G807="sim",H807=""),"FALTA (obrigatória)","não"))</f>
        <v>não</v>
      </c>
    </row>
    <row r="808" customFormat="false" ht="15" hidden="false" customHeight="false" outlineLevel="0" collapsed="false">
      <c r="A808" s="7" t="str">
        <f aca="false">B808&amp;"."&amp;E808</f>
        <v>guardrail_alertas.criado_em</v>
      </c>
      <c r="B808" s="7" t="s">
        <v>144</v>
      </c>
      <c r="C808" s="7" t="s">
        <v>115</v>
      </c>
      <c r="D808" s="7" t="n">
        <v>14</v>
      </c>
      <c r="E808" s="7" t="s">
        <v>344</v>
      </c>
      <c r="F808" s="7" t="s">
        <v>285</v>
      </c>
      <c r="G808" s="7" t="s">
        <v>262</v>
      </c>
      <c r="H808" s="7" t="s">
        <v>286</v>
      </c>
      <c r="I808" s="7"/>
      <c r="J808" s="7"/>
      <c r="K808" s="7"/>
      <c r="L808" s="7" t="str">
        <f aca="false">IFERROR(VLOOKUP(IF(ISNUMBER(SEARCH("(",F808)),LEFT(F808,SEARCH("(",F808)-1),F808),Tipos!$A:$B,2,FALSE()),"outro")</f>
        <v>data e hora</v>
      </c>
      <c r="M808" s="7" t="str">
        <f aca="false">IF(COUNTIF(Comparação!$H:$H,A808)&gt;0,"sim",IF(AND(G808="sim",H808=""),"FALTA (obrigatória)","não"))</f>
        <v>não</v>
      </c>
    </row>
    <row r="809" customFormat="false" ht="15" hidden="false" customHeight="false" outlineLevel="0" collapsed="false">
      <c r="A809" s="7" t="str">
        <f aca="false">B809&amp;"."&amp;E809</f>
        <v>guardrail_alertas.resolvido_em</v>
      </c>
      <c r="B809" s="7" t="s">
        <v>144</v>
      </c>
      <c r="C809" s="7" t="s">
        <v>115</v>
      </c>
      <c r="D809" s="7" t="n">
        <v>15</v>
      </c>
      <c r="E809" s="7" t="s">
        <v>872</v>
      </c>
      <c r="F809" s="7" t="s">
        <v>285</v>
      </c>
      <c r="G809" s="7" t="s">
        <v>267</v>
      </c>
      <c r="H809" s="7"/>
      <c r="I809" s="7"/>
      <c r="J809" s="7"/>
      <c r="K809" s="7"/>
      <c r="L809" s="7" t="str">
        <f aca="false">IFERROR(VLOOKUP(IF(ISNUMBER(SEARCH("(",F809)),LEFT(F809,SEARCH("(",F809)-1),F809),Tipos!$A:$B,2,FALSE()),"outro")</f>
        <v>data e hora</v>
      </c>
      <c r="M809" s="7" t="str">
        <f aca="false">IF(COUNTIF(Comparação!$H:$H,A809)&gt;0,"sim",IF(AND(G809="sim",H809=""),"FALTA (obrigatória)","não"))</f>
        <v>não</v>
      </c>
    </row>
    <row r="810" customFormat="false" ht="15" hidden="false" customHeight="false" outlineLevel="0" collapsed="false">
      <c r="A810" s="7" t="str">
        <f aca="false">B810&amp;"."&amp;E810</f>
        <v>guardrail_definicoes.id</v>
      </c>
      <c r="B810" s="7" t="s">
        <v>145</v>
      </c>
      <c r="C810" s="7" t="s">
        <v>115</v>
      </c>
      <c r="D810" s="7" t="n">
        <v>1</v>
      </c>
      <c r="E810" s="7" t="s">
        <v>271</v>
      </c>
      <c r="F810" s="7" t="s">
        <v>272</v>
      </c>
      <c r="G810" s="7" t="s">
        <v>262</v>
      </c>
      <c r="H810" s="7" t="s">
        <v>273</v>
      </c>
      <c r="I810" s="7" t="s">
        <v>263</v>
      </c>
      <c r="J810" s="7"/>
      <c r="K810" s="7"/>
      <c r="L810" s="7" t="str">
        <f aca="false">IFERROR(VLOOKUP(IF(ISNUMBER(SEARCH("(",F810)),LEFT(F810,SEARCH("(",F810)-1),F810),Tipos!$A:$B,2,FALSE()),"outro")</f>
        <v>uuid</v>
      </c>
      <c r="M810" s="7" t="str">
        <f aca="false">IF(COUNTIF(Comparação!$H:$H,A810)&gt;0,"sim",IF(AND(G810="sim",H810=""),"FALTA (obrigatória)","não"))</f>
        <v>não</v>
      </c>
    </row>
    <row r="811" customFormat="false" ht="15" hidden="false" customHeight="false" outlineLevel="0" collapsed="false">
      <c r="A811" s="7" t="str">
        <f aca="false">B811&amp;"."&amp;E811</f>
        <v>guardrail_definicoes.workspace_id</v>
      </c>
      <c r="B811" s="7" t="s">
        <v>145</v>
      </c>
      <c r="C811" s="7" t="s">
        <v>115</v>
      </c>
      <c r="D811" s="7" t="n">
        <v>2</v>
      </c>
      <c r="E811" s="7" t="s">
        <v>274</v>
      </c>
      <c r="F811" s="7" t="s">
        <v>272</v>
      </c>
      <c r="G811" s="7" t="s">
        <v>262</v>
      </c>
      <c r="H811" s="7"/>
      <c r="I811" s="7"/>
      <c r="J811" s="7" t="s">
        <v>275</v>
      </c>
      <c r="K811" s="7"/>
      <c r="L811" s="7" t="str">
        <f aca="false">IFERROR(VLOOKUP(IF(ISNUMBER(SEARCH("(",F811)),LEFT(F811,SEARCH("(",F811)-1),F811),Tipos!$A:$B,2,FALSE()),"outro")</f>
        <v>uuid</v>
      </c>
      <c r="M811" s="7" t="str">
        <f aca="false">IF(COUNTIF(Comparação!$H:$H,A811)&gt;0,"sim",IF(AND(G811="sim",H811=""),"FALTA (obrigatória)","não"))</f>
        <v>FALTA (obrigatória)</v>
      </c>
    </row>
    <row r="812" customFormat="false" ht="15" hidden="false" customHeight="false" outlineLevel="0" collapsed="false">
      <c r="A812" s="7" t="str">
        <f aca="false">B812&amp;"."&amp;E812</f>
        <v>guardrail_definicoes.nome</v>
      </c>
      <c r="B812" s="7" t="s">
        <v>145</v>
      </c>
      <c r="C812" s="7" t="s">
        <v>115</v>
      </c>
      <c r="D812" s="7" t="n">
        <v>3</v>
      </c>
      <c r="E812" s="7" t="s">
        <v>265</v>
      </c>
      <c r="F812" s="7" t="s">
        <v>261</v>
      </c>
      <c r="G812" s="7" t="s">
        <v>262</v>
      </c>
      <c r="H812" s="7"/>
      <c r="I812" s="7"/>
      <c r="J812" s="7"/>
      <c r="K812" s="7" t="s">
        <v>345</v>
      </c>
      <c r="L812" s="7" t="str">
        <f aca="false">IFERROR(VLOOKUP(IF(ISNUMBER(SEARCH("(",F812)),LEFT(F812,SEARCH("(",F812)-1),F812),Tipos!$A:$B,2,FALSE()),"outro")</f>
        <v>texto</v>
      </c>
      <c r="M812" s="7" t="str">
        <f aca="false">IF(COUNTIF(Comparação!$H:$H,A812)&gt;0,"sim",IF(AND(G812="sim",H812=""),"FALTA (obrigatória)","não"))</f>
        <v>FALTA (obrigatória)</v>
      </c>
    </row>
    <row r="813" customFormat="false" ht="15" hidden="false" customHeight="false" outlineLevel="0" collapsed="false">
      <c r="A813" s="7" t="str">
        <f aca="false">B813&amp;"."&amp;E813</f>
        <v>guardrail_definicoes.metrica</v>
      </c>
      <c r="B813" s="7" t="s">
        <v>145</v>
      </c>
      <c r="C813" s="7" t="s">
        <v>115</v>
      </c>
      <c r="D813" s="7" t="n">
        <v>4</v>
      </c>
      <c r="E813" s="7" t="s">
        <v>328</v>
      </c>
      <c r="F813" s="7" t="s">
        <v>261</v>
      </c>
      <c r="G813" s="7" t="s">
        <v>262</v>
      </c>
      <c r="H813" s="7"/>
      <c r="I813" s="7"/>
      <c r="J813" s="7"/>
      <c r="K813" s="7" t="s">
        <v>873</v>
      </c>
      <c r="L813" s="7" t="str">
        <f aca="false">IFERROR(VLOOKUP(IF(ISNUMBER(SEARCH("(",F813)),LEFT(F813,SEARCH("(",F813)-1),F813),Tipos!$A:$B,2,FALSE()),"outro")</f>
        <v>texto</v>
      </c>
      <c r="M813" s="7" t="str">
        <f aca="false">IF(COUNTIF(Comparação!$H:$H,A813)&gt;0,"sim",IF(AND(G813="sim",H813=""),"FALTA (obrigatória)","não"))</f>
        <v>FALTA (obrigatória)</v>
      </c>
    </row>
    <row r="814" customFormat="false" ht="15" hidden="false" customHeight="false" outlineLevel="0" collapsed="false">
      <c r="A814" s="7" t="str">
        <f aca="false">B814&amp;"."&amp;E814</f>
        <v>guardrail_definicoes.operador</v>
      </c>
      <c r="B814" s="7" t="s">
        <v>145</v>
      </c>
      <c r="C814" s="7" t="s">
        <v>115</v>
      </c>
      <c r="D814" s="7" t="n">
        <v>5</v>
      </c>
      <c r="E814" s="7" t="s">
        <v>874</v>
      </c>
      <c r="F814" s="7" t="s">
        <v>261</v>
      </c>
      <c r="G814" s="7" t="s">
        <v>262</v>
      </c>
      <c r="H814" s="7"/>
      <c r="I814" s="7"/>
      <c r="J814" s="7"/>
      <c r="K814" s="7" t="s">
        <v>875</v>
      </c>
      <c r="L814" s="7" t="str">
        <f aca="false">IFERROR(VLOOKUP(IF(ISNUMBER(SEARCH("(",F814)),LEFT(F814,SEARCH("(",F814)-1),F814),Tipos!$A:$B,2,FALSE()),"outro")</f>
        <v>texto</v>
      </c>
      <c r="M814" s="7" t="str">
        <f aca="false">IF(COUNTIF(Comparação!$H:$H,A814)&gt;0,"sim",IF(AND(G814="sim",H814=""),"FALTA (obrigatória)","não"))</f>
        <v>FALTA (obrigatória)</v>
      </c>
    </row>
    <row r="815" customFormat="false" ht="15" hidden="false" customHeight="false" outlineLevel="0" collapsed="false">
      <c r="A815" s="7" t="str">
        <f aca="false">B815&amp;"."&amp;E815</f>
        <v>guardrail_definicoes.limite</v>
      </c>
      <c r="B815" s="7" t="s">
        <v>145</v>
      </c>
      <c r="C815" s="7" t="s">
        <v>115</v>
      </c>
      <c r="D815" s="7" t="n">
        <v>6</v>
      </c>
      <c r="E815" s="7" t="s">
        <v>864</v>
      </c>
      <c r="F815" s="7" t="s">
        <v>380</v>
      </c>
      <c r="G815" s="7" t="s">
        <v>262</v>
      </c>
      <c r="H815" s="7"/>
      <c r="I815" s="7"/>
      <c r="J815" s="7"/>
      <c r="K815" s="7"/>
      <c r="L815" s="7" t="str">
        <f aca="false">IFERROR(VLOOKUP(IF(ISNUMBER(SEARCH("(",F815)),LEFT(F815,SEARCH("(",F815)-1),F815),Tipos!$A:$B,2,FALSE()),"outro")</f>
        <v>decimal</v>
      </c>
      <c r="M815" s="7" t="str">
        <f aca="false">IF(COUNTIF(Comparação!$H:$H,A815)&gt;0,"sim",IF(AND(G815="sim",H815=""),"FALTA (obrigatória)","não"))</f>
        <v>FALTA (obrigatória)</v>
      </c>
    </row>
    <row r="816" customFormat="false" ht="15" hidden="false" customHeight="false" outlineLevel="0" collapsed="false">
      <c r="A816" s="7" t="str">
        <f aca="false">B816&amp;"."&amp;E816</f>
        <v>guardrail_definicoes.severidade</v>
      </c>
      <c r="B816" s="7" t="s">
        <v>145</v>
      </c>
      <c r="C816" s="7" t="s">
        <v>115</v>
      </c>
      <c r="D816" s="7" t="n">
        <v>7</v>
      </c>
      <c r="E816" s="7" t="s">
        <v>865</v>
      </c>
      <c r="F816" s="7" t="s">
        <v>261</v>
      </c>
      <c r="G816" s="7" t="s">
        <v>262</v>
      </c>
      <c r="H816" s="7" t="s">
        <v>876</v>
      </c>
      <c r="I816" s="7"/>
      <c r="J816" s="7"/>
      <c r="K816" s="7" t="s">
        <v>866</v>
      </c>
      <c r="L816" s="7" t="str">
        <f aca="false">IFERROR(VLOOKUP(IF(ISNUMBER(SEARCH("(",F816)),LEFT(F816,SEARCH("(",F816)-1),F816),Tipos!$A:$B,2,FALSE()),"outro")</f>
        <v>texto</v>
      </c>
      <c r="M816" s="7" t="str">
        <f aca="false">IF(COUNTIF(Comparação!$H:$H,A816)&gt;0,"sim",IF(AND(G816="sim",H816=""),"FALTA (obrigatória)","não"))</f>
        <v>não</v>
      </c>
    </row>
    <row r="817" customFormat="false" ht="15" hidden="false" customHeight="false" outlineLevel="0" collapsed="false">
      <c r="A817" s="7" t="str">
        <f aca="false">B817&amp;"."&amp;E817</f>
        <v>guardrail_definicoes.escopo</v>
      </c>
      <c r="B817" s="7" t="s">
        <v>145</v>
      </c>
      <c r="C817" s="7" t="s">
        <v>115</v>
      </c>
      <c r="D817" s="7" t="n">
        <v>8</v>
      </c>
      <c r="E817" s="7" t="s">
        <v>506</v>
      </c>
      <c r="F817" s="7" t="s">
        <v>261</v>
      </c>
      <c r="G817" s="7" t="s">
        <v>262</v>
      </c>
      <c r="H817" s="7" t="s">
        <v>877</v>
      </c>
      <c r="I817" s="7"/>
      <c r="J817" s="7"/>
      <c r="K817" s="7" t="s">
        <v>878</v>
      </c>
      <c r="L817" s="7" t="str">
        <f aca="false">IFERROR(VLOOKUP(IF(ISNUMBER(SEARCH("(",F817)),LEFT(F817,SEARCH("(",F817)-1),F817),Tipos!$A:$B,2,FALSE()),"outro")</f>
        <v>texto</v>
      </c>
      <c r="M817" s="7" t="str">
        <f aca="false">IF(COUNTIF(Comparação!$H:$H,A817)&gt;0,"sim",IF(AND(G817="sim",H817=""),"FALTA (obrigatória)","não"))</f>
        <v>não</v>
      </c>
    </row>
    <row r="818" customFormat="false" ht="15" hidden="false" customHeight="false" outlineLevel="0" collapsed="false">
      <c r="A818" s="7" t="str">
        <f aca="false">B818&amp;"."&amp;E818</f>
        <v>guardrail_definicoes.produto_id</v>
      </c>
      <c r="B818" s="7" t="s">
        <v>145</v>
      </c>
      <c r="C818" s="7" t="s">
        <v>115</v>
      </c>
      <c r="D818" s="7" t="n">
        <v>9</v>
      </c>
      <c r="E818" s="7" t="s">
        <v>287</v>
      </c>
      <c r="F818" s="7" t="s">
        <v>272</v>
      </c>
      <c r="G818" s="7" t="s">
        <v>267</v>
      </c>
      <c r="H818" s="7"/>
      <c r="I818" s="7"/>
      <c r="J818" s="7" t="s">
        <v>288</v>
      </c>
      <c r="K818" s="7"/>
      <c r="L818" s="7" t="str">
        <f aca="false">IFERROR(VLOOKUP(IF(ISNUMBER(SEARCH("(",F818)),LEFT(F818,SEARCH("(",F818)-1),F818),Tipos!$A:$B,2,FALSE()),"outro")</f>
        <v>uuid</v>
      </c>
      <c r="M818" s="7" t="str">
        <f aca="false">IF(COUNTIF(Comparação!$H:$H,A818)&gt;0,"sim",IF(AND(G818="sim",H818=""),"FALTA (obrigatória)","não"))</f>
        <v>não</v>
      </c>
    </row>
    <row r="819" customFormat="false" ht="15" hidden="false" customHeight="false" outlineLevel="0" collapsed="false">
      <c r="A819" s="7" t="str">
        <f aca="false">B819&amp;"."&amp;E819</f>
        <v>guardrail_definicoes.janela_dias</v>
      </c>
      <c r="B819" s="7" t="s">
        <v>145</v>
      </c>
      <c r="C819" s="7" t="s">
        <v>115</v>
      </c>
      <c r="D819" s="7" t="n">
        <v>10</v>
      </c>
      <c r="E819" s="7" t="s">
        <v>879</v>
      </c>
      <c r="F819" s="7" t="s">
        <v>269</v>
      </c>
      <c r="G819" s="7" t="s">
        <v>262</v>
      </c>
      <c r="H819" s="7" t="s">
        <v>880</v>
      </c>
      <c r="I819" s="7"/>
      <c r="J819" s="7"/>
      <c r="K819" s="7" t="s">
        <v>881</v>
      </c>
      <c r="L819" s="7" t="str">
        <f aca="false">IFERROR(VLOOKUP(IF(ISNUMBER(SEARCH("(",F819)),LEFT(F819,SEARCH("(",F819)-1),F819),Tipos!$A:$B,2,FALSE()),"outro")</f>
        <v>inteiro</v>
      </c>
      <c r="M819" s="7" t="str">
        <f aca="false">IF(COUNTIF(Comparação!$H:$H,A819)&gt;0,"sim",IF(AND(G819="sim",H819=""),"FALTA (obrigatória)","não"))</f>
        <v>não</v>
      </c>
    </row>
    <row r="820" customFormat="false" ht="15" hidden="false" customHeight="false" outlineLevel="0" collapsed="false">
      <c r="A820" s="7" t="str">
        <f aca="false">B820&amp;"."&amp;E820</f>
        <v>guardrail_definicoes.frequencia</v>
      </c>
      <c r="B820" s="7" t="s">
        <v>145</v>
      </c>
      <c r="C820" s="7" t="s">
        <v>115</v>
      </c>
      <c r="D820" s="7" t="n">
        <v>11</v>
      </c>
      <c r="E820" s="7" t="s">
        <v>882</v>
      </c>
      <c r="F820" s="7" t="s">
        <v>261</v>
      </c>
      <c r="G820" s="7" t="s">
        <v>262</v>
      </c>
      <c r="H820" s="7" t="s">
        <v>883</v>
      </c>
      <c r="I820" s="7"/>
      <c r="J820" s="7"/>
      <c r="K820" s="7" t="s">
        <v>884</v>
      </c>
      <c r="L820" s="7" t="str">
        <f aca="false">IFERROR(VLOOKUP(IF(ISNUMBER(SEARCH("(",F820)),LEFT(F820,SEARCH("(",F820)-1),F820),Tipos!$A:$B,2,FALSE()),"outro")</f>
        <v>texto</v>
      </c>
      <c r="M820" s="7" t="str">
        <f aca="false">IF(COUNTIF(Comparação!$H:$H,A820)&gt;0,"sim",IF(AND(G820="sim",H820=""),"FALTA (obrigatória)","não"))</f>
        <v>não</v>
      </c>
    </row>
    <row r="821" customFormat="false" ht="15" hidden="false" customHeight="false" outlineLevel="0" collapsed="false">
      <c r="A821" s="7" t="str">
        <f aca="false">B821&amp;"."&amp;E821</f>
        <v>guardrail_definicoes.acao_sugerida</v>
      </c>
      <c r="B821" s="7" t="s">
        <v>145</v>
      </c>
      <c r="C821" s="7" t="s">
        <v>115</v>
      </c>
      <c r="D821" s="7" t="n">
        <v>12</v>
      </c>
      <c r="E821" s="7" t="s">
        <v>868</v>
      </c>
      <c r="F821" s="7" t="s">
        <v>261</v>
      </c>
      <c r="G821" s="7" t="s">
        <v>267</v>
      </c>
      <c r="H821" s="7"/>
      <c r="I821" s="7"/>
      <c r="J821" s="7"/>
      <c r="K821" s="7"/>
      <c r="L821" s="7" t="str">
        <f aca="false">IFERROR(VLOOKUP(IF(ISNUMBER(SEARCH("(",F821)),LEFT(F821,SEARCH("(",F821)-1),F821),Tipos!$A:$B,2,FALSE()),"outro")</f>
        <v>texto</v>
      </c>
      <c r="M821" s="7" t="str">
        <f aca="false">IF(COUNTIF(Comparação!$H:$H,A821)&gt;0,"sim",IF(AND(G821="sim",H821=""),"FALTA (obrigatória)","não"))</f>
        <v>não</v>
      </c>
    </row>
    <row r="822" customFormat="false" ht="15" hidden="false" customHeight="false" outlineLevel="0" collapsed="false">
      <c r="A822" s="7" t="str">
        <f aca="false">B822&amp;"."&amp;E822</f>
        <v>guardrail_definicoes.descricao</v>
      </c>
      <c r="B822" s="7" t="s">
        <v>145</v>
      </c>
      <c r="C822" s="7" t="s">
        <v>115</v>
      </c>
      <c r="D822" s="7" t="n">
        <v>13</v>
      </c>
      <c r="E822" s="7" t="s">
        <v>427</v>
      </c>
      <c r="F822" s="7" t="s">
        <v>261</v>
      </c>
      <c r="G822" s="7" t="s">
        <v>267</v>
      </c>
      <c r="H822" s="7"/>
      <c r="I822" s="7"/>
      <c r="J822" s="7"/>
      <c r="K822" s="7"/>
      <c r="L822" s="7" t="str">
        <f aca="false">IFERROR(VLOOKUP(IF(ISNUMBER(SEARCH("(",F822)),LEFT(F822,SEARCH("(",F822)-1),F822),Tipos!$A:$B,2,FALSE()),"outro")</f>
        <v>texto</v>
      </c>
      <c r="M822" s="7" t="str">
        <f aca="false">IF(COUNTIF(Comparação!$H:$H,A822)&gt;0,"sim",IF(AND(G822="sim",H822=""),"FALTA (obrigatória)","não"))</f>
        <v>não</v>
      </c>
    </row>
    <row r="823" customFormat="false" ht="15" hidden="false" customHeight="false" outlineLevel="0" collapsed="false">
      <c r="A823" s="7" t="str">
        <f aca="false">B823&amp;"."&amp;E823</f>
        <v>guardrail_definicoes.continuo</v>
      </c>
      <c r="B823" s="7" t="s">
        <v>145</v>
      </c>
      <c r="C823" s="7" t="s">
        <v>115</v>
      </c>
      <c r="D823" s="7" t="n">
        <v>14</v>
      </c>
      <c r="E823" s="7" t="s">
        <v>885</v>
      </c>
      <c r="F823" s="7" t="s">
        <v>310</v>
      </c>
      <c r="G823" s="7" t="s">
        <v>262</v>
      </c>
      <c r="H823" s="7" t="s">
        <v>375</v>
      </c>
      <c r="I823" s="7"/>
      <c r="J823" s="7"/>
      <c r="K823" s="7"/>
      <c r="L823" s="7" t="str">
        <f aca="false">IFERROR(VLOOKUP(IF(ISNUMBER(SEARCH("(",F823)),LEFT(F823,SEARCH("(",F823)-1),F823),Tipos!$A:$B,2,FALSE()),"outro")</f>
        <v>booleano</v>
      </c>
      <c r="M823" s="7" t="str">
        <f aca="false">IF(COUNTIF(Comparação!$H:$H,A823)&gt;0,"sim",IF(AND(G823="sim",H823=""),"FALTA (obrigatória)","não"))</f>
        <v>não</v>
      </c>
    </row>
    <row r="824" customFormat="false" ht="15" hidden="false" customHeight="false" outlineLevel="0" collapsed="false">
      <c r="A824" s="7" t="str">
        <f aca="false">B824&amp;"."&amp;E824</f>
        <v>guardrail_definicoes.ativo</v>
      </c>
      <c r="B824" s="7" t="s">
        <v>145</v>
      </c>
      <c r="C824" s="7" t="s">
        <v>115</v>
      </c>
      <c r="D824" s="7" t="n">
        <v>15</v>
      </c>
      <c r="E824" s="7" t="s">
        <v>309</v>
      </c>
      <c r="F824" s="7" t="s">
        <v>310</v>
      </c>
      <c r="G824" s="7" t="s">
        <v>262</v>
      </c>
      <c r="H824" s="7" t="s">
        <v>311</v>
      </c>
      <c r="I824" s="7"/>
      <c r="J824" s="7"/>
      <c r="K824" s="7"/>
      <c r="L824" s="7" t="str">
        <f aca="false">IFERROR(VLOOKUP(IF(ISNUMBER(SEARCH("(",F824)),LEFT(F824,SEARCH("(",F824)-1),F824),Tipos!$A:$B,2,FALSE()),"outro")</f>
        <v>booleano</v>
      </c>
      <c r="M824" s="7" t="str">
        <f aca="false">IF(COUNTIF(Comparação!$H:$H,A824)&gt;0,"sim",IF(AND(G824="sim",H824=""),"FALTA (obrigatória)","não"))</f>
        <v>não</v>
      </c>
    </row>
    <row r="825" customFormat="false" ht="15" hidden="false" customHeight="false" outlineLevel="0" collapsed="false">
      <c r="A825" s="7" t="str">
        <f aca="false">B825&amp;"."&amp;E825</f>
        <v>guardrail_definicoes.criado_em</v>
      </c>
      <c r="B825" s="7" t="s">
        <v>145</v>
      </c>
      <c r="C825" s="7" t="s">
        <v>115</v>
      </c>
      <c r="D825" s="7" t="n">
        <v>16</v>
      </c>
      <c r="E825" s="7" t="s">
        <v>344</v>
      </c>
      <c r="F825" s="7" t="s">
        <v>285</v>
      </c>
      <c r="G825" s="7" t="s">
        <v>262</v>
      </c>
      <c r="H825" s="7" t="s">
        <v>286</v>
      </c>
      <c r="I825" s="7"/>
      <c r="J825" s="7"/>
      <c r="K825" s="7"/>
      <c r="L825" s="7" t="str">
        <f aca="false">IFERROR(VLOOKUP(IF(ISNUMBER(SEARCH("(",F825)),LEFT(F825,SEARCH("(",F825)-1),F825),Tipos!$A:$B,2,FALSE()),"outro")</f>
        <v>data e hora</v>
      </c>
      <c r="M825" s="7" t="str">
        <f aca="false">IF(COUNTIF(Comparação!$H:$H,A825)&gt;0,"sim",IF(AND(G825="sim",H825=""),"FALTA (obrigatória)","não"))</f>
        <v>não</v>
      </c>
    </row>
    <row r="826" customFormat="false" ht="15" hidden="false" customHeight="false" outlineLevel="0" collapsed="false">
      <c r="A826" s="7" t="str">
        <f aca="false">B826&amp;"."&amp;E826</f>
        <v>guardrail_observacoes.id</v>
      </c>
      <c r="B826" s="7" t="s">
        <v>146</v>
      </c>
      <c r="C826" s="7" t="s">
        <v>115</v>
      </c>
      <c r="D826" s="7" t="n">
        <v>1</v>
      </c>
      <c r="E826" s="7" t="s">
        <v>271</v>
      </c>
      <c r="F826" s="7" t="s">
        <v>272</v>
      </c>
      <c r="G826" s="7" t="s">
        <v>262</v>
      </c>
      <c r="H826" s="7" t="s">
        <v>273</v>
      </c>
      <c r="I826" s="7" t="s">
        <v>263</v>
      </c>
      <c r="J826" s="7"/>
      <c r="K826" s="7"/>
      <c r="L826" s="7" t="str">
        <f aca="false">IFERROR(VLOOKUP(IF(ISNUMBER(SEARCH("(",F826)),LEFT(F826,SEARCH("(",F826)-1),F826),Tipos!$A:$B,2,FALSE()),"outro")</f>
        <v>uuid</v>
      </c>
      <c r="M826" s="7" t="str">
        <f aca="false">IF(COUNTIF(Comparação!$H:$H,A826)&gt;0,"sim",IF(AND(G826="sim",H826=""),"FALTA (obrigatória)","não"))</f>
        <v>não</v>
      </c>
    </row>
    <row r="827" customFormat="false" ht="15" hidden="false" customHeight="false" outlineLevel="0" collapsed="false">
      <c r="A827" s="7" t="str">
        <f aca="false">B827&amp;"."&amp;E827</f>
        <v>guardrail_observacoes.workspace_id</v>
      </c>
      <c r="B827" s="7" t="s">
        <v>146</v>
      </c>
      <c r="C827" s="7" t="s">
        <v>115</v>
      </c>
      <c r="D827" s="7" t="n">
        <v>2</v>
      </c>
      <c r="E827" s="7" t="s">
        <v>274</v>
      </c>
      <c r="F827" s="7" t="s">
        <v>272</v>
      </c>
      <c r="G827" s="7" t="s">
        <v>262</v>
      </c>
      <c r="H827" s="7"/>
      <c r="I827" s="7"/>
      <c r="J827" s="7" t="s">
        <v>275</v>
      </c>
      <c r="K827" s="7"/>
      <c r="L827" s="7" t="str">
        <f aca="false">IFERROR(VLOOKUP(IF(ISNUMBER(SEARCH("(",F827)),LEFT(F827,SEARCH("(",F827)-1),F827),Tipos!$A:$B,2,FALSE()),"outro")</f>
        <v>uuid</v>
      </c>
      <c r="M827" s="7" t="str">
        <f aca="false">IF(COUNTIF(Comparação!$H:$H,A827)&gt;0,"sim",IF(AND(G827="sim",H827=""),"FALTA (obrigatória)","não"))</f>
        <v>FALTA (obrigatória)</v>
      </c>
    </row>
    <row r="828" customFormat="false" ht="15" hidden="false" customHeight="false" outlineLevel="0" collapsed="false">
      <c r="A828" s="7" t="str">
        <f aca="false">B828&amp;"."&amp;E828</f>
        <v>guardrail_observacoes.experimento_id</v>
      </c>
      <c r="B828" s="7" t="s">
        <v>146</v>
      </c>
      <c r="C828" s="7" t="s">
        <v>115</v>
      </c>
      <c r="D828" s="7" t="n">
        <v>3</v>
      </c>
      <c r="E828" s="7" t="s">
        <v>719</v>
      </c>
      <c r="F828" s="7" t="s">
        <v>272</v>
      </c>
      <c r="G828" s="7" t="s">
        <v>267</v>
      </c>
      <c r="H828" s="7"/>
      <c r="I828" s="7"/>
      <c r="J828" s="7" t="s">
        <v>720</v>
      </c>
      <c r="K828" s="7"/>
      <c r="L828" s="7" t="str">
        <f aca="false">IFERROR(VLOOKUP(IF(ISNUMBER(SEARCH("(",F828)),LEFT(F828,SEARCH("(",F828)-1),F828),Tipos!$A:$B,2,FALSE()),"outro")</f>
        <v>uuid</v>
      </c>
      <c r="M828" s="7" t="str">
        <f aca="false">IF(COUNTIF(Comparação!$H:$H,A828)&gt;0,"sim",IF(AND(G828="sim",H828=""),"FALTA (obrigatória)","não"))</f>
        <v>não</v>
      </c>
    </row>
    <row r="829" customFormat="false" ht="15" hidden="false" customHeight="false" outlineLevel="0" collapsed="false">
      <c r="A829" s="7" t="str">
        <f aca="false">B829&amp;"."&amp;E829</f>
        <v>guardrail_observacoes.guardrail_id</v>
      </c>
      <c r="B829" s="7" t="s">
        <v>146</v>
      </c>
      <c r="C829" s="7" t="s">
        <v>115</v>
      </c>
      <c r="D829" s="7" t="n">
        <v>4</v>
      </c>
      <c r="E829" s="7" t="s">
        <v>721</v>
      </c>
      <c r="F829" s="7" t="s">
        <v>272</v>
      </c>
      <c r="G829" s="7" t="s">
        <v>262</v>
      </c>
      <c r="H829" s="7"/>
      <c r="I829" s="7"/>
      <c r="J829" s="7" t="s">
        <v>722</v>
      </c>
      <c r="K829" s="7"/>
      <c r="L829" s="7" t="str">
        <f aca="false">IFERROR(VLOOKUP(IF(ISNUMBER(SEARCH("(",F829)),LEFT(F829,SEARCH("(",F829)-1),F829),Tipos!$A:$B,2,FALSE()),"outro")</f>
        <v>uuid</v>
      </c>
      <c r="M829" s="7" t="str">
        <f aca="false">IF(COUNTIF(Comparação!$H:$H,A829)&gt;0,"sim",IF(AND(G829="sim",H829=""),"FALTA (obrigatória)","não"))</f>
        <v>FALTA (obrigatória)</v>
      </c>
    </row>
    <row r="830" customFormat="false" ht="15" hidden="false" customHeight="false" outlineLevel="0" collapsed="false">
      <c r="A830" s="7" t="str">
        <f aca="false">B830&amp;"."&amp;E830</f>
        <v>guardrail_observacoes.data</v>
      </c>
      <c r="B830" s="7" t="s">
        <v>146</v>
      </c>
      <c r="C830" s="7" t="s">
        <v>115</v>
      </c>
      <c r="D830" s="7" t="n">
        <v>5</v>
      </c>
      <c r="E830" s="7" t="s">
        <v>378</v>
      </c>
      <c r="F830" s="7" t="s">
        <v>379</v>
      </c>
      <c r="G830" s="7" t="s">
        <v>262</v>
      </c>
      <c r="H830" s="7"/>
      <c r="I830" s="7"/>
      <c r="J830" s="7"/>
      <c r="K830" s="7"/>
      <c r="L830" s="7" t="str">
        <f aca="false">IFERROR(VLOOKUP(IF(ISNUMBER(SEARCH("(",F830)),LEFT(F830,SEARCH("(",F830)-1),F830),Tipos!$A:$B,2,FALSE()),"outro")</f>
        <v>data</v>
      </c>
      <c r="M830" s="7" t="str">
        <f aca="false">IF(COUNTIF(Comparação!$H:$H,A830)&gt;0,"sim",IF(AND(G830="sim",H830=""),"FALTA (obrigatória)","não"))</f>
        <v>FALTA (obrigatória)</v>
      </c>
    </row>
    <row r="831" customFormat="false" ht="15" hidden="false" customHeight="false" outlineLevel="0" collapsed="false">
      <c r="A831" s="7" t="str">
        <f aca="false">B831&amp;"."&amp;E831</f>
        <v>guardrail_observacoes.periodo</v>
      </c>
      <c r="B831" s="7" t="s">
        <v>146</v>
      </c>
      <c r="C831" s="7" t="s">
        <v>115</v>
      </c>
      <c r="D831" s="7" t="n">
        <v>6</v>
      </c>
      <c r="E831" s="7" t="s">
        <v>886</v>
      </c>
      <c r="F831" s="7" t="s">
        <v>261</v>
      </c>
      <c r="G831" s="7" t="s">
        <v>262</v>
      </c>
      <c r="H831" s="7"/>
      <c r="I831" s="7"/>
      <c r="J831" s="7"/>
      <c r="K831" s="7" t="s">
        <v>887</v>
      </c>
      <c r="L831" s="7" t="str">
        <f aca="false">IFERROR(VLOOKUP(IF(ISNUMBER(SEARCH("(",F831)),LEFT(F831,SEARCH("(",F831)-1),F831),Tipos!$A:$B,2,FALSE()),"outro")</f>
        <v>texto</v>
      </c>
      <c r="M831" s="7" t="str">
        <f aca="false">IF(COUNTIF(Comparação!$H:$H,A831)&gt;0,"sim",IF(AND(G831="sim",H831=""),"FALTA (obrigatória)","não"))</f>
        <v>FALTA (obrigatória)</v>
      </c>
    </row>
    <row r="832" customFormat="false" ht="15" hidden="false" customHeight="false" outlineLevel="0" collapsed="false">
      <c r="A832" s="7" t="str">
        <f aca="false">B832&amp;"."&amp;E832</f>
        <v>guardrail_observacoes.janela_ini</v>
      </c>
      <c r="B832" s="7" t="s">
        <v>146</v>
      </c>
      <c r="C832" s="7" t="s">
        <v>115</v>
      </c>
      <c r="D832" s="7" t="n">
        <v>7</v>
      </c>
      <c r="E832" s="7" t="s">
        <v>888</v>
      </c>
      <c r="F832" s="7" t="s">
        <v>379</v>
      </c>
      <c r="G832" s="7" t="s">
        <v>267</v>
      </c>
      <c r="H832" s="7"/>
      <c r="I832" s="7"/>
      <c r="J832" s="7"/>
      <c r="K832" s="7"/>
      <c r="L832" s="7" t="str">
        <f aca="false">IFERROR(VLOOKUP(IF(ISNUMBER(SEARCH("(",F832)),LEFT(F832,SEARCH("(",F832)-1),F832),Tipos!$A:$B,2,FALSE()),"outro")</f>
        <v>data</v>
      </c>
      <c r="M832" s="7" t="str">
        <f aca="false">IF(COUNTIF(Comparação!$H:$H,A832)&gt;0,"sim",IF(AND(G832="sim",H832=""),"FALTA (obrigatória)","não"))</f>
        <v>não</v>
      </c>
    </row>
    <row r="833" customFormat="false" ht="15" hidden="false" customHeight="false" outlineLevel="0" collapsed="false">
      <c r="A833" s="7" t="str">
        <f aca="false">B833&amp;"."&amp;E833</f>
        <v>guardrail_observacoes.janela_fim</v>
      </c>
      <c r="B833" s="7" t="s">
        <v>146</v>
      </c>
      <c r="C833" s="7" t="s">
        <v>115</v>
      </c>
      <c r="D833" s="7" t="n">
        <v>8</v>
      </c>
      <c r="E833" s="7" t="s">
        <v>889</v>
      </c>
      <c r="F833" s="7" t="s">
        <v>379</v>
      </c>
      <c r="G833" s="7" t="s">
        <v>267</v>
      </c>
      <c r="H833" s="7"/>
      <c r="I833" s="7"/>
      <c r="J833" s="7"/>
      <c r="K833" s="7"/>
      <c r="L833" s="7" t="str">
        <f aca="false">IFERROR(VLOOKUP(IF(ISNUMBER(SEARCH("(",F833)),LEFT(F833,SEARCH("(",F833)-1),F833),Tipos!$A:$B,2,FALSE()),"outro")</f>
        <v>data</v>
      </c>
      <c r="M833" s="7" t="str">
        <f aca="false">IF(COUNTIF(Comparação!$H:$H,A833)&gt;0,"sim",IF(AND(G833="sim",H833=""),"FALTA (obrigatória)","não"))</f>
        <v>não</v>
      </c>
    </row>
    <row r="834" customFormat="false" ht="15" hidden="false" customHeight="false" outlineLevel="0" collapsed="false">
      <c r="A834" s="7" t="str">
        <f aca="false">B834&amp;"."&amp;E834</f>
        <v>guardrail_observacoes.valor</v>
      </c>
      <c r="B834" s="7" t="s">
        <v>146</v>
      </c>
      <c r="C834" s="7" t="s">
        <v>115</v>
      </c>
      <c r="D834" s="7" t="n">
        <v>9</v>
      </c>
      <c r="E834" s="7" t="s">
        <v>330</v>
      </c>
      <c r="F834" s="7" t="s">
        <v>380</v>
      </c>
      <c r="G834" s="7" t="s">
        <v>267</v>
      </c>
      <c r="H834" s="7"/>
      <c r="I834" s="7"/>
      <c r="J834" s="7"/>
      <c r="K834" s="7"/>
      <c r="L834" s="7" t="str">
        <f aca="false">IFERROR(VLOOKUP(IF(ISNUMBER(SEARCH("(",F834)),LEFT(F834,SEARCH("(",F834)-1),F834),Tipos!$A:$B,2,FALSE()),"outro")</f>
        <v>decimal</v>
      </c>
      <c r="M834" s="7" t="str">
        <f aca="false">IF(COUNTIF(Comparação!$H:$H,A834)&gt;0,"sim",IF(AND(G834="sim",H834=""),"FALTA (obrigatória)","não"))</f>
        <v>não</v>
      </c>
    </row>
    <row r="835" customFormat="false" ht="15" hidden="false" customHeight="false" outlineLevel="0" collapsed="false">
      <c r="A835" s="7" t="str">
        <f aca="false">B835&amp;"."&amp;E835</f>
        <v>guardrail_observacoes.limite</v>
      </c>
      <c r="B835" s="7" t="s">
        <v>146</v>
      </c>
      <c r="C835" s="7" t="s">
        <v>115</v>
      </c>
      <c r="D835" s="7" t="n">
        <v>10</v>
      </c>
      <c r="E835" s="7" t="s">
        <v>864</v>
      </c>
      <c r="F835" s="7" t="s">
        <v>380</v>
      </c>
      <c r="G835" s="7" t="s">
        <v>262</v>
      </c>
      <c r="H835" s="7"/>
      <c r="I835" s="7"/>
      <c r="J835" s="7"/>
      <c r="K835" s="7"/>
      <c r="L835" s="7" t="str">
        <f aca="false">IFERROR(VLOOKUP(IF(ISNUMBER(SEARCH("(",F835)),LEFT(F835,SEARCH("(",F835)-1),F835),Tipos!$A:$B,2,FALSE()),"outro")</f>
        <v>decimal</v>
      </c>
      <c r="M835" s="7" t="str">
        <f aca="false">IF(COUNTIF(Comparação!$H:$H,A835)&gt;0,"sim",IF(AND(G835="sim",H835=""),"FALTA (obrigatória)","não"))</f>
        <v>FALTA (obrigatória)</v>
      </c>
    </row>
    <row r="836" customFormat="false" ht="15" hidden="false" customHeight="false" outlineLevel="0" collapsed="false">
      <c r="A836" s="7" t="str">
        <f aca="false">B836&amp;"."&amp;E836</f>
        <v>guardrail_observacoes.situacao</v>
      </c>
      <c r="B836" s="7" t="s">
        <v>146</v>
      </c>
      <c r="C836" s="7" t="s">
        <v>115</v>
      </c>
      <c r="D836" s="7" t="n">
        <v>11</v>
      </c>
      <c r="E836" s="7" t="s">
        <v>890</v>
      </c>
      <c r="F836" s="7" t="s">
        <v>261</v>
      </c>
      <c r="G836" s="7" t="s">
        <v>262</v>
      </c>
      <c r="H836" s="7"/>
      <c r="I836" s="7"/>
      <c r="J836" s="7"/>
      <c r="K836" s="7" t="s">
        <v>891</v>
      </c>
      <c r="L836" s="7" t="str">
        <f aca="false">IFERROR(VLOOKUP(IF(ISNUMBER(SEARCH("(",F836)),LEFT(F836,SEARCH("(",F836)-1),F836),Tipos!$A:$B,2,FALSE()),"outro")</f>
        <v>texto</v>
      </c>
      <c r="M836" s="7" t="str">
        <f aca="false">IF(COUNTIF(Comparação!$H:$H,A836)&gt;0,"sim",IF(AND(G836="sim",H836=""),"FALTA (obrigatória)","não"))</f>
        <v>FALTA (obrigatória)</v>
      </c>
    </row>
    <row r="837" customFormat="false" ht="15" hidden="false" customHeight="false" outlineLevel="0" collapsed="false">
      <c r="A837" s="7" t="str">
        <f aca="false">B837&amp;"."&amp;E837</f>
        <v>guardrail_observacoes.criado_em</v>
      </c>
      <c r="B837" s="7" t="s">
        <v>146</v>
      </c>
      <c r="C837" s="7" t="s">
        <v>115</v>
      </c>
      <c r="D837" s="7" t="n">
        <v>12</v>
      </c>
      <c r="E837" s="7" t="s">
        <v>344</v>
      </c>
      <c r="F837" s="7" t="s">
        <v>285</v>
      </c>
      <c r="G837" s="7" t="s">
        <v>262</v>
      </c>
      <c r="H837" s="7" t="s">
        <v>286</v>
      </c>
      <c r="I837" s="7"/>
      <c r="J837" s="7"/>
      <c r="K837" s="7"/>
      <c r="L837" s="7" t="str">
        <f aca="false">IFERROR(VLOOKUP(IF(ISNUMBER(SEARCH("(",F837)),LEFT(F837,SEARCH("(",F837)-1),F837),Tipos!$A:$B,2,FALSE()),"outro")</f>
        <v>data e hora</v>
      </c>
      <c r="M837" s="7" t="str">
        <f aca="false">IF(COUNTIF(Comparação!$H:$H,A837)&gt;0,"sim",IF(AND(G837="sim",H837=""),"FALTA (obrigatória)","não"))</f>
        <v>não</v>
      </c>
    </row>
    <row r="838" customFormat="false" ht="15" hidden="false" customHeight="false" outlineLevel="0" collapsed="false">
      <c r="A838" s="7" t="str">
        <f aca="false">B838&amp;"."&amp;E838</f>
        <v>heavyops_metas.workspace_id</v>
      </c>
      <c r="B838" s="7" t="s">
        <v>147</v>
      </c>
      <c r="C838" s="7" t="s">
        <v>36</v>
      </c>
      <c r="D838" s="7" t="n">
        <v>1</v>
      </c>
      <c r="E838" s="7" t="s">
        <v>274</v>
      </c>
      <c r="F838" s="7" t="s">
        <v>272</v>
      </c>
      <c r="G838" s="7" t="s">
        <v>262</v>
      </c>
      <c r="H838" s="7"/>
      <c r="I838" s="7" t="s">
        <v>263</v>
      </c>
      <c r="J838" s="7" t="s">
        <v>275</v>
      </c>
      <c r="K838" s="7"/>
      <c r="L838" s="7" t="str">
        <f aca="false">IFERROR(VLOOKUP(IF(ISNUMBER(SEARCH("(",F838)),LEFT(F838,SEARCH("(",F838)-1),F838),Tipos!$A:$B,2,FALSE()),"outro")</f>
        <v>uuid</v>
      </c>
      <c r="M838" s="7" t="str">
        <f aca="false">IF(COUNTIF(Comparação!$H:$H,A838)&gt;0,"sim",IF(AND(G838="sim",H838=""),"FALTA (obrigatória)","não"))</f>
        <v>FALTA (obrigatória)</v>
      </c>
    </row>
    <row r="839" customFormat="false" ht="15" hidden="false" customHeight="false" outlineLevel="0" collapsed="false">
      <c r="A839" s="7" t="str">
        <f aca="false">B839&amp;"."&amp;E839</f>
        <v>heavyops_metas.churn_max</v>
      </c>
      <c r="B839" s="7" t="s">
        <v>147</v>
      </c>
      <c r="C839" s="7" t="s">
        <v>36</v>
      </c>
      <c r="D839" s="7" t="n">
        <v>2</v>
      </c>
      <c r="E839" s="7" t="s">
        <v>892</v>
      </c>
      <c r="F839" s="7" t="s">
        <v>696</v>
      </c>
      <c r="G839" s="7" t="s">
        <v>262</v>
      </c>
      <c r="H839" s="7" t="s">
        <v>893</v>
      </c>
      <c r="I839" s="7"/>
      <c r="J839" s="7"/>
      <c r="K839" s="7" t="s">
        <v>894</v>
      </c>
      <c r="L839" s="7" t="str">
        <f aca="false">IFERROR(VLOOKUP(IF(ISNUMBER(SEARCH("(",F839)),LEFT(F839,SEARCH("(",F839)-1),F839),Tipos!$A:$B,2,FALSE()),"outro")</f>
        <v>decimal</v>
      </c>
      <c r="M839" s="7" t="str">
        <f aca="false">IF(COUNTIF(Comparação!$H:$H,A839)&gt;0,"sim",IF(AND(G839="sim",H839=""),"FALTA (obrigatória)","não"))</f>
        <v>não</v>
      </c>
    </row>
    <row r="840" customFormat="false" ht="15" hidden="false" customHeight="false" outlineLevel="0" collapsed="false">
      <c r="A840" s="7" t="str">
        <f aca="false">B840&amp;"."&amp;E840</f>
        <v>heavyops_metas.retencao_min</v>
      </c>
      <c r="B840" s="7" t="s">
        <v>147</v>
      </c>
      <c r="C840" s="7" t="s">
        <v>36</v>
      </c>
      <c r="D840" s="7" t="n">
        <v>3</v>
      </c>
      <c r="E840" s="7" t="s">
        <v>895</v>
      </c>
      <c r="F840" s="7" t="s">
        <v>696</v>
      </c>
      <c r="G840" s="7" t="s">
        <v>262</v>
      </c>
      <c r="H840" s="7" t="s">
        <v>896</v>
      </c>
      <c r="I840" s="7"/>
      <c r="J840" s="7"/>
      <c r="K840" s="7" t="s">
        <v>897</v>
      </c>
      <c r="L840" s="7" t="str">
        <f aca="false">IFERROR(VLOOKUP(IF(ISNUMBER(SEARCH("(",F840)),LEFT(F840,SEARCH("(",F840)-1),F840),Tipos!$A:$B,2,FALSE()),"outro")</f>
        <v>decimal</v>
      </c>
      <c r="M840" s="7" t="str">
        <f aca="false">IF(COUNTIF(Comparação!$H:$H,A840)&gt;0,"sim",IF(AND(G840="sim",H840=""),"FALTA (obrigatória)","não"))</f>
        <v>não</v>
      </c>
    </row>
    <row r="841" customFormat="false" ht="15" hidden="false" customHeight="false" outlineLevel="0" collapsed="false">
      <c r="A841" s="7" t="str">
        <f aca="false">B841&amp;"."&amp;E841</f>
        <v>heavyops_metas.ltv_min</v>
      </c>
      <c r="B841" s="7" t="s">
        <v>147</v>
      </c>
      <c r="C841" s="7" t="s">
        <v>36</v>
      </c>
      <c r="D841" s="7" t="n">
        <v>4</v>
      </c>
      <c r="E841" s="7" t="s">
        <v>898</v>
      </c>
      <c r="F841" s="7" t="s">
        <v>354</v>
      </c>
      <c r="G841" s="7" t="s">
        <v>262</v>
      </c>
      <c r="H841" s="7" t="s">
        <v>899</v>
      </c>
      <c r="I841" s="7"/>
      <c r="J841" s="7"/>
      <c r="K841" s="7" t="s">
        <v>900</v>
      </c>
      <c r="L841" s="7" t="str">
        <f aca="false">IFERROR(VLOOKUP(IF(ISNUMBER(SEARCH("(",F841)),LEFT(F841,SEARCH("(",F841)-1),F841),Tipos!$A:$B,2,FALSE()),"outro")</f>
        <v>decimal</v>
      </c>
      <c r="M841" s="7" t="str">
        <f aca="false">IF(COUNTIF(Comparação!$H:$H,A841)&gt;0,"sim",IF(AND(G841="sim",H841=""),"FALTA (obrigatória)","não"))</f>
        <v>não</v>
      </c>
    </row>
    <row r="842" customFormat="false" ht="15" hidden="false" customHeight="false" outlineLevel="0" collapsed="false">
      <c r="A842" s="7" t="str">
        <f aca="false">B842&amp;"."&amp;E842</f>
        <v>heavyops_metas.ascensao_min</v>
      </c>
      <c r="B842" s="7" t="s">
        <v>147</v>
      </c>
      <c r="C842" s="7" t="s">
        <v>36</v>
      </c>
      <c r="D842" s="7" t="n">
        <v>5</v>
      </c>
      <c r="E842" s="7" t="s">
        <v>901</v>
      </c>
      <c r="F842" s="7" t="s">
        <v>696</v>
      </c>
      <c r="G842" s="7" t="s">
        <v>262</v>
      </c>
      <c r="H842" s="7" t="s">
        <v>902</v>
      </c>
      <c r="I842" s="7"/>
      <c r="J842" s="7"/>
      <c r="K842" s="7" t="s">
        <v>903</v>
      </c>
      <c r="L842" s="7" t="str">
        <f aca="false">IFERROR(VLOOKUP(IF(ISNUMBER(SEARCH("(",F842)),LEFT(F842,SEARCH("(",F842)-1),F842),Tipos!$A:$B,2,FALSE()),"outro")</f>
        <v>decimal</v>
      </c>
      <c r="M842" s="7" t="str">
        <f aca="false">IF(COUNTIF(Comparação!$H:$H,A842)&gt;0,"sim",IF(AND(G842="sim",H842=""),"FALTA (obrigatória)","não"))</f>
        <v>não</v>
      </c>
    </row>
    <row r="843" customFormat="false" ht="15" hidden="false" customHeight="false" outlineLevel="0" collapsed="false">
      <c r="A843" s="7" t="str">
        <f aca="false">B843&amp;"."&amp;E843</f>
        <v>heavyops_metas.tolerancia</v>
      </c>
      <c r="B843" s="7" t="s">
        <v>147</v>
      </c>
      <c r="C843" s="7" t="s">
        <v>36</v>
      </c>
      <c r="D843" s="7" t="n">
        <v>6</v>
      </c>
      <c r="E843" s="7" t="s">
        <v>904</v>
      </c>
      <c r="F843" s="7" t="s">
        <v>696</v>
      </c>
      <c r="G843" s="7" t="s">
        <v>262</v>
      </c>
      <c r="H843" s="7" t="s">
        <v>902</v>
      </c>
      <c r="I843" s="7"/>
      <c r="J843" s="7"/>
      <c r="K843" s="7" t="s">
        <v>905</v>
      </c>
      <c r="L843" s="7" t="str">
        <f aca="false">IFERROR(VLOOKUP(IF(ISNUMBER(SEARCH("(",F843)),LEFT(F843,SEARCH("(",F843)-1),F843),Tipos!$A:$B,2,FALSE()),"outro")</f>
        <v>decimal</v>
      </c>
      <c r="M843" s="7" t="str">
        <f aca="false">IF(COUNTIF(Comparação!$H:$H,A843)&gt;0,"sim",IF(AND(G843="sim",H843=""),"FALTA (obrigatória)","não"))</f>
        <v>não</v>
      </c>
    </row>
    <row r="844" customFormat="false" ht="15" hidden="false" customHeight="false" outlineLevel="0" collapsed="false">
      <c r="A844" s="7" t="str">
        <f aca="false">B844&amp;"."&amp;E844</f>
        <v>ia_perguntas.id</v>
      </c>
      <c r="B844" s="7" t="s">
        <v>148</v>
      </c>
      <c r="C844" s="7" t="s">
        <v>34</v>
      </c>
      <c r="D844" s="7" t="n">
        <v>1</v>
      </c>
      <c r="E844" s="7" t="s">
        <v>271</v>
      </c>
      <c r="F844" s="7" t="s">
        <v>272</v>
      </c>
      <c r="G844" s="7" t="s">
        <v>262</v>
      </c>
      <c r="H844" s="7" t="s">
        <v>273</v>
      </c>
      <c r="I844" s="7" t="s">
        <v>263</v>
      </c>
      <c r="J844" s="7"/>
      <c r="K844" s="7"/>
      <c r="L844" s="7" t="str">
        <f aca="false">IFERROR(VLOOKUP(IF(ISNUMBER(SEARCH("(",F844)),LEFT(F844,SEARCH("(",F844)-1),F844),Tipos!$A:$B,2,FALSE()),"outro")</f>
        <v>uuid</v>
      </c>
      <c r="M844" s="7" t="str">
        <f aca="false">IF(COUNTIF(Comparação!$H:$H,A844)&gt;0,"sim",IF(AND(G844="sim",H844=""),"FALTA (obrigatória)","não"))</f>
        <v>não</v>
      </c>
    </row>
    <row r="845" customFormat="false" ht="15" hidden="false" customHeight="false" outlineLevel="0" collapsed="false">
      <c r="A845" s="7" t="str">
        <f aca="false">B845&amp;"."&amp;E845</f>
        <v>ia_perguntas.workspace_id</v>
      </c>
      <c r="B845" s="7" t="s">
        <v>148</v>
      </c>
      <c r="C845" s="7" t="s">
        <v>34</v>
      </c>
      <c r="D845" s="7" t="n">
        <v>2</v>
      </c>
      <c r="E845" s="7" t="s">
        <v>274</v>
      </c>
      <c r="F845" s="7" t="s">
        <v>272</v>
      </c>
      <c r="G845" s="7" t="s">
        <v>262</v>
      </c>
      <c r="H845" s="7"/>
      <c r="I845" s="7"/>
      <c r="J845" s="7" t="s">
        <v>275</v>
      </c>
      <c r="K845" s="7"/>
      <c r="L845" s="7" t="str">
        <f aca="false">IFERROR(VLOOKUP(IF(ISNUMBER(SEARCH("(",F845)),LEFT(F845,SEARCH("(",F845)-1),F845),Tipos!$A:$B,2,FALSE()),"outro")</f>
        <v>uuid</v>
      </c>
      <c r="M845" s="7" t="str">
        <f aca="false">IF(COUNTIF(Comparação!$H:$H,A845)&gt;0,"sim",IF(AND(G845="sim",H845=""),"FALTA (obrigatória)","não"))</f>
        <v>FALTA (obrigatória)</v>
      </c>
    </row>
    <row r="846" customFormat="false" ht="15" hidden="false" customHeight="false" outlineLevel="0" collapsed="false">
      <c r="A846" s="7" t="str">
        <f aca="false">B846&amp;"."&amp;E846</f>
        <v>ia_perguntas.user_id</v>
      </c>
      <c r="B846" s="7" t="s">
        <v>148</v>
      </c>
      <c r="C846" s="7" t="s">
        <v>34</v>
      </c>
      <c r="D846" s="7" t="n">
        <v>3</v>
      </c>
      <c r="E846" s="7" t="s">
        <v>667</v>
      </c>
      <c r="F846" s="7" t="s">
        <v>272</v>
      </c>
      <c r="G846" s="7" t="s">
        <v>262</v>
      </c>
      <c r="H846" s="7" t="s">
        <v>406</v>
      </c>
      <c r="I846" s="7"/>
      <c r="J846" s="7"/>
      <c r="K846" s="7"/>
      <c r="L846" s="7" t="str">
        <f aca="false">IFERROR(VLOOKUP(IF(ISNUMBER(SEARCH("(",F846)),LEFT(F846,SEARCH("(",F846)-1),F846),Tipos!$A:$B,2,FALSE()),"outro")</f>
        <v>uuid</v>
      </c>
      <c r="M846" s="7" t="str">
        <f aca="false">IF(COUNTIF(Comparação!$H:$H,A846)&gt;0,"sim",IF(AND(G846="sim",H846=""),"FALTA (obrigatória)","não"))</f>
        <v>não</v>
      </c>
    </row>
    <row r="847" customFormat="false" ht="15" hidden="false" customHeight="false" outlineLevel="0" collapsed="false">
      <c r="A847" s="7" t="str">
        <f aca="false">B847&amp;"."&amp;E847</f>
        <v>ia_perguntas.pergunta</v>
      </c>
      <c r="B847" s="7" t="s">
        <v>148</v>
      </c>
      <c r="C847" s="7" t="s">
        <v>34</v>
      </c>
      <c r="D847" s="7" t="n">
        <v>4</v>
      </c>
      <c r="E847" s="7" t="s">
        <v>906</v>
      </c>
      <c r="F847" s="7" t="s">
        <v>261</v>
      </c>
      <c r="G847" s="7" t="s">
        <v>262</v>
      </c>
      <c r="H847" s="7"/>
      <c r="I847" s="7"/>
      <c r="J847" s="7"/>
      <c r="K847" s="7" t="s">
        <v>907</v>
      </c>
      <c r="L847" s="7" t="str">
        <f aca="false">IFERROR(VLOOKUP(IF(ISNUMBER(SEARCH("(",F847)),LEFT(F847,SEARCH("(",F847)-1),F847),Tipos!$A:$B,2,FALSE()),"outro")</f>
        <v>texto</v>
      </c>
      <c r="M847" s="7" t="str">
        <f aca="false">IF(COUNTIF(Comparação!$H:$H,A847)&gt;0,"sim",IF(AND(G847="sim",H847=""),"FALTA (obrigatória)","não"))</f>
        <v>FALTA (obrigatória)</v>
      </c>
    </row>
    <row r="848" customFormat="false" ht="15" hidden="false" customHeight="false" outlineLevel="0" collapsed="false">
      <c r="A848" s="7" t="str">
        <f aca="false">B848&amp;"."&amp;E848</f>
        <v>ia_perguntas.resposta</v>
      </c>
      <c r="B848" s="7" t="s">
        <v>148</v>
      </c>
      <c r="C848" s="7" t="s">
        <v>34</v>
      </c>
      <c r="D848" s="7" t="n">
        <v>5</v>
      </c>
      <c r="E848" s="7" t="s">
        <v>908</v>
      </c>
      <c r="F848" s="7" t="s">
        <v>261</v>
      </c>
      <c r="G848" s="7" t="s">
        <v>267</v>
      </c>
      <c r="H848" s="7"/>
      <c r="I848" s="7"/>
      <c r="J848" s="7"/>
      <c r="K848" s="7"/>
      <c r="L848" s="7" t="str">
        <f aca="false">IFERROR(VLOOKUP(IF(ISNUMBER(SEARCH("(",F848)),LEFT(F848,SEARCH("(",F848)-1),F848),Tipos!$A:$B,2,FALSE()),"outro")</f>
        <v>texto</v>
      </c>
      <c r="M848" s="7" t="str">
        <f aca="false">IF(COUNTIF(Comparação!$H:$H,A848)&gt;0,"sim",IF(AND(G848="sim",H848=""),"FALTA (obrigatória)","não"))</f>
        <v>não</v>
      </c>
    </row>
    <row r="849" customFormat="false" ht="15" hidden="false" customHeight="false" outlineLevel="0" collapsed="false">
      <c r="A849" s="7" t="str">
        <f aca="false">B849&amp;"."&amp;E849</f>
        <v>ia_perguntas.provedor</v>
      </c>
      <c r="B849" s="7" t="s">
        <v>148</v>
      </c>
      <c r="C849" s="7" t="s">
        <v>34</v>
      </c>
      <c r="D849" s="7" t="n">
        <v>6</v>
      </c>
      <c r="E849" s="7" t="s">
        <v>909</v>
      </c>
      <c r="F849" s="7" t="s">
        <v>261</v>
      </c>
      <c r="G849" s="7" t="s">
        <v>267</v>
      </c>
      <c r="H849" s="7"/>
      <c r="I849" s="7"/>
      <c r="J849" s="7"/>
      <c r="K849" s="7"/>
      <c r="L849" s="7" t="str">
        <f aca="false">IFERROR(VLOOKUP(IF(ISNUMBER(SEARCH("(",F849)),LEFT(F849,SEARCH("(",F849)-1),F849),Tipos!$A:$B,2,FALSE()),"outro")</f>
        <v>texto</v>
      </c>
      <c r="M849" s="7" t="str">
        <f aca="false">IF(COUNTIF(Comparação!$H:$H,A849)&gt;0,"sim",IF(AND(G849="sim",H849=""),"FALTA (obrigatória)","não"))</f>
        <v>não</v>
      </c>
    </row>
    <row r="850" customFormat="false" ht="15" hidden="false" customHeight="false" outlineLevel="0" collapsed="false">
      <c r="A850" s="7" t="str">
        <f aca="false">B850&amp;"."&amp;E850</f>
        <v>ia_perguntas.modelo</v>
      </c>
      <c r="B850" s="7" t="s">
        <v>148</v>
      </c>
      <c r="C850" s="7" t="s">
        <v>34</v>
      </c>
      <c r="D850" s="7" t="n">
        <v>7</v>
      </c>
      <c r="E850" s="7" t="s">
        <v>476</v>
      </c>
      <c r="F850" s="7" t="s">
        <v>261</v>
      </c>
      <c r="G850" s="7" t="s">
        <v>267</v>
      </c>
      <c r="H850" s="7"/>
      <c r="I850" s="7"/>
      <c r="J850" s="7"/>
      <c r="K850" s="7"/>
      <c r="L850" s="7" t="str">
        <f aca="false">IFERROR(VLOOKUP(IF(ISNUMBER(SEARCH("(",F850)),LEFT(F850,SEARCH("(",F850)-1),F850),Tipos!$A:$B,2,FALSE()),"outro")</f>
        <v>texto</v>
      </c>
      <c r="M850" s="7" t="str">
        <f aca="false">IF(COUNTIF(Comparação!$H:$H,A850)&gt;0,"sim",IF(AND(G850="sim",H850=""),"FALTA (obrigatória)","não"))</f>
        <v>não</v>
      </c>
    </row>
    <row r="851" customFormat="false" ht="15" hidden="false" customHeight="false" outlineLevel="0" collapsed="false">
      <c r="A851" s="7" t="str">
        <f aca="false">B851&amp;"."&amp;E851</f>
        <v>ia_perguntas.sem_dado</v>
      </c>
      <c r="B851" s="7" t="s">
        <v>148</v>
      </c>
      <c r="C851" s="7" t="s">
        <v>34</v>
      </c>
      <c r="D851" s="7" t="n">
        <v>8</v>
      </c>
      <c r="E851" s="7" t="s">
        <v>910</v>
      </c>
      <c r="F851" s="7" t="s">
        <v>310</v>
      </c>
      <c r="G851" s="7" t="s">
        <v>267</v>
      </c>
      <c r="H851" s="7"/>
      <c r="I851" s="7"/>
      <c r="J851" s="7"/>
      <c r="K851" s="7"/>
      <c r="L851" s="7" t="str">
        <f aca="false">IFERROR(VLOOKUP(IF(ISNUMBER(SEARCH("(",F851)),LEFT(F851,SEARCH("(",F851)-1),F851),Tipos!$A:$B,2,FALSE()),"outro")</f>
        <v>booleano</v>
      </c>
      <c r="M851" s="7" t="str">
        <f aca="false">IF(COUNTIF(Comparação!$H:$H,A851)&gt;0,"sim",IF(AND(G851="sim",H851=""),"FALTA (obrigatória)","não"))</f>
        <v>não</v>
      </c>
    </row>
    <row r="852" customFormat="false" ht="15" hidden="false" customHeight="false" outlineLevel="0" collapsed="false">
      <c r="A852" s="7" t="str">
        <f aca="false">B852&amp;"."&amp;E852</f>
        <v>ia_perguntas.nao_conferidos</v>
      </c>
      <c r="B852" s="7" t="s">
        <v>148</v>
      </c>
      <c r="C852" s="7" t="s">
        <v>34</v>
      </c>
      <c r="D852" s="7" t="n">
        <v>9</v>
      </c>
      <c r="E852" s="7" t="s">
        <v>911</v>
      </c>
      <c r="F852" s="7" t="s">
        <v>324</v>
      </c>
      <c r="G852" s="7" t="s">
        <v>262</v>
      </c>
      <c r="H852" s="7" t="s">
        <v>912</v>
      </c>
      <c r="I852" s="7"/>
      <c r="J852" s="7"/>
      <c r="K852" s="7"/>
      <c r="L852" s="7" t="str">
        <f aca="false">IFERROR(VLOOKUP(IF(ISNUMBER(SEARCH("(",F852)),LEFT(F852,SEARCH("(",F852)-1),F852),Tipos!$A:$B,2,FALSE()),"outro")</f>
        <v>json</v>
      </c>
      <c r="M852" s="7" t="str">
        <f aca="false">IF(COUNTIF(Comparação!$H:$H,A852)&gt;0,"sim",IF(AND(G852="sim",H852=""),"FALTA (obrigatória)","não"))</f>
        <v>não</v>
      </c>
    </row>
    <row r="853" customFormat="false" ht="15" hidden="false" customHeight="false" outlineLevel="0" collapsed="false">
      <c r="A853" s="7" t="str">
        <f aca="false">B853&amp;"."&amp;E853</f>
        <v>ia_perguntas.criado_em</v>
      </c>
      <c r="B853" s="7" t="s">
        <v>148</v>
      </c>
      <c r="C853" s="7" t="s">
        <v>34</v>
      </c>
      <c r="D853" s="7" t="n">
        <v>10</v>
      </c>
      <c r="E853" s="7" t="s">
        <v>344</v>
      </c>
      <c r="F853" s="7" t="s">
        <v>285</v>
      </c>
      <c r="G853" s="7" t="s">
        <v>262</v>
      </c>
      <c r="H853" s="7" t="s">
        <v>286</v>
      </c>
      <c r="I853" s="7"/>
      <c r="J853" s="7"/>
      <c r="K853" s="7"/>
      <c r="L853" s="7" t="str">
        <f aca="false">IFERROR(VLOOKUP(IF(ISNUMBER(SEARCH("(",F853)),LEFT(F853,SEARCH("(",F853)-1),F853),Tipos!$A:$B,2,FALSE()),"outro")</f>
        <v>data e hora</v>
      </c>
      <c r="M853" s="7" t="str">
        <f aca="false">IF(COUNTIF(Comparação!$H:$H,A853)&gt;0,"sim",IF(AND(G853="sim",H853=""),"FALTA (obrigatória)","não"))</f>
        <v>não</v>
      </c>
    </row>
    <row r="854" customFormat="false" ht="15" hidden="false" customHeight="false" outlineLevel="0" collapsed="false">
      <c r="A854" s="7" t="str">
        <f aca="false">B854&amp;"."&amp;E854</f>
        <v>importacoes.id</v>
      </c>
      <c r="B854" s="7" t="s">
        <v>149</v>
      </c>
      <c r="C854" s="7" t="s">
        <v>34</v>
      </c>
      <c r="D854" s="7" t="n">
        <v>1</v>
      </c>
      <c r="E854" s="7" t="s">
        <v>271</v>
      </c>
      <c r="F854" s="7" t="s">
        <v>272</v>
      </c>
      <c r="G854" s="7" t="s">
        <v>262</v>
      </c>
      <c r="H854" s="7" t="s">
        <v>273</v>
      </c>
      <c r="I854" s="7" t="s">
        <v>263</v>
      </c>
      <c r="J854" s="7"/>
      <c r="K854" s="7"/>
      <c r="L854" s="7" t="str">
        <f aca="false">IFERROR(VLOOKUP(IF(ISNUMBER(SEARCH("(",F854)),LEFT(F854,SEARCH("(",F854)-1),F854),Tipos!$A:$B,2,FALSE()),"outro")</f>
        <v>uuid</v>
      </c>
      <c r="M854" s="7" t="str">
        <f aca="false">IF(COUNTIF(Comparação!$H:$H,A854)&gt;0,"sim",IF(AND(G854="sim",H854=""),"FALTA (obrigatória)","não"))</f>
        <v>não</v>
      </c>
    </row>
    <row r="855" customFormat="false" ht="15" hidden="false" customHeight="false" outlineLevel="0" collapsed="false">
      <c r="A855" s="7" t="str">
        <f aca="false">B855&amp;"."&amp;E855</f>
        <v>importacoes.workspace_id</v>
      </c>
      <c r="B855" s="7" t="s">
        <v>149</v>
      </c>
      <c r="C855" s="7" t="s">
        <v>34</v>
      </c>
      <c r="D855" s="7" t="n">
        <v>2</v>
      </c>
      <c r="E855" s="7" t="s">
        <v>274</v>
      </c>
      <c r="F855" s="7" t="s">
        <v>272</v>
      </c>
      <c r="G855" s="7" t="s">
        <v>262</v>
      </c>
      <c r="H855" s="7"/>
      <c r="I855" s="7"/>
      <c r="J855" s="7" t="s">
        <v>275</v>
      </c>
      <c r="K855" s="7"/>
      <c r="L855" s="7" t="str">
        <f aca="false">IFERROR(VLOOKUP(IF(ISNUMBER(SEARCH("(",F855)),LEFT(F855,SEARCH("(",F855)-1),F855),Tipos!$A:$B,2,FALSE()),"outro")</f>
        <v>uuid</v>
      </c>
      <c r="M855" s="7" t="str">
        <f aca="false">IF(COUNTIF(Comparação!$H:$H,A855)&gt;0,"sim",IF(AND(G855="sim",H855=""),"FALTA (obrigatória)","não"))</f>
        <v>FALTA (obrigatória)</v>
      </c>
    </row>
    <row r="856" customFormat="false" ht="15" hidden="false" customHeight="false" outlineLevel="0" collapsed="false">
      <c r="A856" s="7" t="str">
        <f aca="false">B856&amp;"."&amp;E856</f>
        <v>importacoes.tipo</v>
      </c>
      <c r="B856" s="7" t="s">
        <v>149</v>
      </c>
      <c r="C856" s="7" t="s">
        <v>34</v>
      </c>
      <c r="D856" s="7" t="n">
        <v>3</v>
      </c>
      <c r="E856" s="7" t="s">
        <v>280</v>
      </c>
      <c r="F856" s="7" t="s">
        <v>261</v>
      </c>
      <c r="G856" s="7" t="s">
        <v>262</v>
      </c>
      <c r="H856" s="7"/>
      <c r="I856" s="7"/>
      <c r="J856" s="7"/>
      <c r="K856" s="7" t="s">
        <v>913</v>
      </c>
      <c r="L856" s="7" t="str">
        <f aca="false">IFERROR(VLOOKUP(IF(ISNUMBER(SEARCH("(",F856)),LEFT(F856,SEARCH("(",F856)-1),F856),Tipos!$A:$B,2,FALSE()),"outro")</f>
        <v>texto</v>
      </c>
      <c r="M856" s="7" t="str">
        <f aca="false">IF(COUNTIF(Comparação!$H:$H,A856)&gt;0,"sim",IF(AND(G856="sim",H856=""),"FALTA (obrigatória)","não"))</f>
        <v>FALTA (obrigatória)</v>
      </c>
    </row>
    <row r="857" customFormat="false" ht="15" hidden="false" customHeight="false" outlineLevel="0" collapsed="false">
      <c r="A857" s="7" t="str">
        <f aca="false">B857&amp;"."&amp;E857</f>
        <v>importacoes.escopo_id</v>
      </c>
      <c r="B857" s="7" t="s">
        <v>149</v>
      </c>
      <c r="C857" s="7" t="s">
        <v>34</v>
      </c>
      <c r="D857" s="7" t="n">
        <v>4</v>
      </c>
      <c r="E857" s="7" t="s">
        <v>914</v>
      </c>
      <c r="F857" s="7" t="s">
        <v>272</v>
      </c>
      <c r="G857" s="7" t="s">
        <v>262</v>
      </c>
      <c r="H857" s="7"/>
      <c r="I857" s="7"/>
      <c r="J857" s="7"/>
      <c r="K857" s="7"/>
      <c r="L857" s="7" t="str">
        <f aca="false">IFERROR(VLOOKUP(IF(ISNUMBER(SEARCH("(",F857)),LEFT(F857,SEARCH("(",F857)-1),F857),Tipos!$A:$B,2,FALSE()),"outro")</f>
        <v>uuid</v>
      </c>
      <c r="M857" s="7" t="str">
        <f aca="false">IF(COUNTIF(Comparação!$H:$H,A857)&gt;0,"sim",IF(AND(G857="sim",H857=""),"FALTA (obrigatória)","não"))</f>
        <v>FALTA (obrigatória)</v>
      </c>
    </row>
    <row r="858" customFormat="false" ht="15" hidden="false" customHeight="false" outlineLevel="0" collapsed="false">
      <c r="A858" s="7" t="str">
        <f aca="false">B858&amp;"."&amp;E858</f>
        <v>importacoes.motivo</v>
      </c>
      <c r="B858" s="7" t="s">
        <v>149</v>
      </c>
      <c r="C858" s="7" t="s">
        <v>34</v>
      </c>
      <c r="D858" s="7" t="n">
        <v>5</v>
      </c>
      <c r="E858" s="7" t="s">
        <v>413</v>
      </c>
      <c r="F858" s="7" t="s">
        <v>261</v>
      </c>
      <c r="G858" s="7" t="s">
        <v>262</v>
      </c>
      <c r="H858" s="7"/>
      <c r="I858" s="7"/>
      <c r="J858" s="7"/>
      <c r="K858" s="7" t="s">
        <v>915</v>
      </c>
      <c r="L858" s="7" t="str">
        <f aca="false">IFERROR(VLOOKUP(IF(ISNUMBER(SEARCH("(",F858)),LEFT(F858,SEARCH("(",F858)-1),F858),Tipos!$A:$B,2,FALSE()),"outro")</f>
        <v>texto</v>
      </c>
      <c r="M858" s="7" t="str">
        <f aca="false">IF(COUNTIF(Comparação!$H:$H,A858)&gt;0,"sim",IF(AND(G858="sim",H858=""),"FALTA (obrigatória)","não"))</f>
        <v>FALTA (obrigatória)</v>
      </c>
    </row>
    <row r="859" customFormat="false" ht="15" hidden="false" customHeight="false" outlineLevel="0" collapsed="false">
      <c r="A859" s="7" t="str">
        <f aca="false">B859&amp;"."&amp;E859</f>
        <v>importacoes.justificativa</v>
      </c>
      <c r="B859" s="7" t="s">
        <v>149</v>
      </c>
      <c r="C859" s="7" t="s">
        <v>34</v>
      </c>
      <c r="D859" s="7" t="n">
        <v>6</v>
      </c>
      <c r="E859" s="7" t="s">
        <v>916</v>
      </c>
      <c r="F859" s="7" t="s">
        <v>261</v>
      </c>
      <c r="G859" s="7" t="s">
        <v>262</v>
      </c>
      <c r="H859" s="7"/>
      <c r="I859" s="7"/>
      <c r="J859" s="7"/>
      <c r="K859" s="7"/>
      <c r="L859" s="7" t="str">
        <f aca="false">IFERROR(VLOOKUP(IF(ISNUMBER(SEARCH("(",F859)),LEFT(F859,SEARCH("(",F859)-1),F859),Tipos!$A:$B,2,FALSE()),"outro")</f>
        <v>texto</v>
      </c>
      <c r="M859" s="7" t="str">
        <f aca="false">IF(COUNTIF(Comparação!$H:$H,A859)&gt;0,"sim",IF(AND(G859="sim",H859=""),"FALTA (obrigatória)","não"))</f>
        <v>FALTA (obrigatória)</v>
      </c>
    </row>
    <row r="860" customFormat="false" ht="15" hidden="false" customHeight="false" outlineLevel="0" collapsed="false">
      <c r="A860" s="7" t="str">
        <f aca="false">B860&amp;"."&amp;E860</f>
        <v>importacoes.arquivo_nome</v>
      </c>
      <c r="B860" s="7" t="s">
        <v>149</v>
      </c>
      <c r="C860" s="7" t="s">
        <v>34</v>
      </c>
      <c r="D860" s="7" t="n">
        <v>7</v>
      </c>
      <c r="E860" s="7" t="s">
        <v>917</v>
      </c>
      <c r="F860" s="7" t="s">
        <v>261</v>
      </c>
      <c r="G860" s="7" t="s">
        <v>267</v>
      </c>
      <c r="H860" s="7"/>
      <c r="I860" s="7"/>
      <c r="J860" s="7"/>
      <c r="K860" s="7"/>
      <c r="L860" s="7" t="str">
        <f aca="false">IFERROR(VLOOKUP(IF(ISNUMBER(SEARCH("(",F860)),LEFT(F860,SEARCH("(",F860)-1),F860),Tipos!$A:$B,2,FALSE()),"outro")</f>
        <v>texto</v>
      </c>
      <c r="M860" s="7" t="str">
        <f aca="false">IF(COUNTIF(Comparação!$H:$H,A860)&gt;0,"sim",IF(AND(G860="sim",H860=""),"FALTA (obrigatória)","não"))</f>
        <v>não</v>
      </c>
    </row>
    <row r="861" customFormat="false" ht="15" hidden="false" customHeight="false" outlineLevel="0" collapsed="false">
      <c r="A861" s="7" t="str">
        <f aca="false">B861&amp;"."&amp;E861</f>
        <v>importacoes.arquivo_hash</v>
      </c>
      <c r="B861" s="7" t="s">
        <v>149</v>
      </c>
      <c r="C861" s="7" t="s">
        <v>34</v>
      </c>
      <c r="D861" s="7" t="n">
        <v>8</v>
      </c>
      <c r="E861" s="7" t="s">
        <v>918</v>
      </c>
      <c r="F861" s="7" t="s">
        <v>261</v>
      </c>
      <c r="G861" s="7" t="s">
        <v>262</v>
      </c>
      <c r="H861" s="7"/>
      <c r="I861" s="7"/>
      <c r="J861" s="7"/>
      <c r="K861" s="7"/>
      <c r="L861" s="7" t="str">
        <f aca="false">IFERROR(VLOOKUP(IF(ISNUMBER(SEARCH("(",F861)),LEFT(F861,SEARCH("(",F861)-1),F861),Tipos!$A:$B,2,FALSE()),"outro")</f>
        <v>texto</v>
      </c>
      <c r="M861" s="7" t="str">
        <f aca="false">IF(COUNTIF(Comparação!$H:$H,A861)&gt;0,"sim",IF(AND(G861="sim",H861=""),"FALTA (obrigatória)","não"))</f>
        <v>FALTA (obrigatória)</v>
      </c>
    </row>
    <row r="862" customFormat="false" ht="15" hidden="false" customHeight="false" outlineLevel="0" collapsed="false">
      <c r="A862" s="7" t="str">
        <f aca="false">B862&amp;"."&amp;E862</f>
        <v>importacoes.linhas</v>
      </c>
      <c r="B862" s="7" t="s">
        <v>149</v>
      </c>
      <c r="C862" s="7" t="s">
        <v>34</v>
      </c>
      <c r="D862" s="7" t="n">
        <v>9</v>
      </c>
      <c r="E862" s="7" t="s">
        <v>919</v>
      </c>
      <c r="F862" s="7" t="s">
        <v>269</v>
      </c>
      <c r="G862" s="7" t="s">
        <v>262</v>
      </c>
      <c r="H862" s="7"/>
      <c r="I862" s="7"/>
      <c r="J862" s="7"/>
      <c r="K862" s="7"/>
      <c r="L862" s="7" t="str">
        <f aca="false">IFERROR(VLOOKUP(IF(ISNUMBER(SEARCH("(",F862)),LEFT(F862,SEARCH("(",F862)-1),F862),Tipos!$A:$B,2,FALSE()),"outro")</f>
        <v>inteiro</v>
      </c>
      <c r="M862" s="7" t="str">
        <f aca="false">IF(COUNTIF(Comparação!$H:$H,A862)&gt;0,"sim",IF(AND(G862="sim",H862=""),"FALTA (obrigatória)","não"))</f>
        <v>FALTA (obrigatória)</v>
      </c>
    </row>
    <row r="863" customFormat="false" ht="15" hidden="false" customHeight="false" outlineLevel="0" collapsed="false">
      <c r="A863" s="7" t="str">
        <f aca="false">B863&amp;"."&amp;E863</f>
        <v>importacoes.periodo_ini</v>
      </c>
      <c r="B863" s="7" t="s">
        <v>149</v>
      </c>
      <c r="C863" s="7" t="s">
        <v>34</v>
      </c>
      <c r="D863" s="7" t="n">
        <v>10</v>
      </c>
      <c r="E863" s="7" t="s">
        <v>407</v>
      </c>
      <c r="F863" s="7" t="s">
        <v>379</v>
      </c>
      <c r="G863" s="7" t="s">
        <v>267</v>
      </c>
      <c r="H863" s="7"/>
      <c r="I863" s="7"/>
      <c r="J863" s="7"/>
      <c r="K863" s="7"/>
      <c r="L863" s="7" t="str">
        <f aca="false">IFERROR(VLOOKUP(IF(ISNUMBER(SEARCH("(",F863)),LEFT(F863,SEARCH("(",F863)-1),F863),Tipos!$A:$B,2,FALSE()),"outro")</f>
        <v>data</v>
      </c>
      <c r="M863" s="7" t="str">
        <f aca="false">IF(COUNTIF(Comparação!$H:$H,A863)&gt;0,"sim",IF(AND(G863="sim",H863=""),"FALTA (obrigatória)","não"))</f>
        <v>não</v>
      </c>
    </row>
    <row r="864" customFormat="false" ht="15" hidden="false" customHeight="false" outlineLevel="0" collapsed="false">
      <c r="A864" s="7" t="str">
        <f aca="false">B864&amp;"."&amp;E864</f>
        <v>importacoes.periodo_fim</v>
      </c>
      <c r="B864" s="7" t="s">
        <v>149</v>
      </c>
      <c r="C864" s="7" t="s">
        <v>34</v>
      </c>
      <c r="D864" s="7" t="n">
        <v>11</v>
      </c>
      <c r="E864" s="7" t="s">
        <v>408</v>
      </c>
      <c r="F864" s="7" t="s">
        <v>379</v>
      </c>
      <c r="G864" s="7" t="s">
        <v>267</v>
      </c>
      <c r="H864" s="7"/>
      <c r="I864" s="7"/>
      <c r="J864" s="7"/>
      <c r="K864" s="7"/>
      <c r="L864" s="7" t="str">
        <f aca="false">IFERROR(VLOOKUP(IF(ISNUMBER(SEARCH("(",F864)),LEFT(F864,SEARCH("(",F864)-1),F864),Tipos!$A:$B,2,FALSE()),"outro")</f>
        <v>data</v>
      </c>
      <c r="M864" s="7" t="str">
        <f aca="false">IF(COUNTIF(Comparação!$H:$H,A864)&gt;0,"sim",IF(AND(G864="sim",H864=""),"FALTA (obrigatória)","não"))</f>
        <v>não</v>
      </c>
    </row>
    <row r="865" customFormat="false" ht="15" hidden="false" customHeight="false" outlineLevel="0" collapsed="false">
      <c r="A865" s="7" t="str">
        <f aca="false">B865&amp;"."&amp;E865</f>
        <v>importacoes.totais</v>
      </c>
      <c r="B865" s="7" t="s">
        <v>149</v>
      </c>
      <c r="C865" s="7" t="s">
        <v>34</v>
      </c>
      <c r="D865" s="7" t="n">
        <v>12</v>
      </c>
      <c r="E865" s="7" t="s">
        <v>920</v>
      </c>
      <c r="F865" s="7" t="s">
        <v>324</v>
      </c>
      <c r="G865" s="7" t="s">
        <v>262</v>
      </c>
      <c r="H865" s="7" t="s">
        <v>347</v>
      </c>
      <c r="I865" s="7"/>
      <c r="J865" s="7"/>
      <c r="K865" s="7"/>
      <c r="L865" s="7" t="str">
        <f aca="false">IFERROR(VLOOKUP(IF(ISNUMBER(SEARCH("(",F865)),LEFT(F865,SEARCH("(",F865)-1),F865),Tipos!$A:$B,2,FALSE()),"outro")</f>
        <v>json</v>
      </c>
      <c r="M865" s="7" t="str">
        <f aca="false">IF(COUNTIF(Comparação!$H:$H,A865)&gt;0,"sim",IF(AND(G865="sim",H865=""),"FALTA (obrigatória)","não"))</f>
        <v>não</v>
      </c>
    </row>
    <row r="866" customFormat="false" ht="15" hidden="false" customHeight="false" outlineLevel="0" collapsed="false">
      <c r="A866" s="7" t="str">
        <f aca="false">B866&amp;"."&amp;E866</f>
        <v>importacoes.status</v>
      </c>
      <c r="B866" s="7" t="s">
        <v>149</v>
      </c>
      <c r="C866" s="7" t="s">
        <v>34</v>
      </c>
      <c r="D866" s="7" t="n">
        <v>13</v>
      </c>
      <c r="E866" s="7" t="s">
        <v>293</v>
      </c>
      <c r="F866" s="7" t="s">
        <v>261</v>
      </c>
      <c r="G866" s="7" t="s">
        <v>262</v>
      </c>
      <c r="H866" s="7" t="s">
        <v>921</v>
      </c>
      <c r="I866" s="7"/>
      <c r="J866" s="7"/>
      <c r="K866" s="7" t="s">
        <v>922</v>
      </c>
      <c r="L866" s="7" t="str">
        <f aca="false">IFERROR(VLOOKUP(IF(ISNUMBER(SEARCH("(",F866)),LEFT(F866,SEARCH("(",F866)-1),F866),Tipos!$A:$B,2,FALSE()),"outro")</f>
        <v>texto</v>
      </c>
      <c r="M866" s="7" t="str">
        <f aca="false">IF(COUNTIF(Comparação!$H:$H,A866)&gt;0,"sim",IF(AND(G866="sim",H866=""),"FALTA (obrigatória)","não"))</f>
        <v>não</v>
      </c>
    </row>
    <row r="867" customFormat="false" ht="15" hidden="false" customHeight="false" outlineLevel="0" collapsed="false">
      <c r="A867" s="7" t="str">
        <f aca="false">B867&amp;"."&amp;E867</f>
        <v>importacoes.criado_por</v>
      </c>
      <c r="B867" s="7" t="s">
        <v>149</v>
      </c>
      <c r="C867" s="7" t="s">
        <v>34</v>
      </c>
      <c r="D867" s="7" t="n">
        <v>14</v>
      </c>
      <c r="E867" s="7" t="s">
        <v>511</v>
      </c>
      <c r="F867" s="7" t="s">
        <v>272</v>
      </c>
      <c r="G867" s="7" t="s">
        <v>267</v>
      </c>
      <c r="H867" s="7" t="s">
        <v>406</v>
      </c>
      <c r="I867" s="7"/>
      <c r="J867" s="7"/>
      <c r="K867" s="7"/>
      <c r="L867" s="7" t="str">
        <f aca="false">IFERROR(VLOOKUP(IF(ISNUMBER(SEARCH("(",F867)),LEFT(F867,SEARCH("(",F867)-1),F867),Tipos!$A:$B,2,FALSE()),"outro")</f>
        <v>uuid</v>
      </c>
      <c r="M867" s="7" t="str">
        <f aca="false">IF(COUNTIF(Comparação!$H:$H,A867)&gt;0,"sim",IF(AND(G867="sim",H867=""),"FALTA (obrigatória)","não"))</f>
        <v>não</v>
      </c>
    </row>
    <row r="868" customFormat="false" ht="15" hidden="false" customHeight="false" outlineLevel="0" collapsed="false">
      <c r="A868" s="7" t="str">
        <f aca="false">B868&amp;"."&amp;E868</f>
        <v>importacoes.criado_em</v>
      </c>
      <c r="B868" s="7" t="s">
        <v>149</v>
      </c>
      <c r="C868" s="7" t="s">
        <v>34</v>
      </c>
      <c r="D868" s="7" t="n">
        <v>15</v>
      </c>
      <c r="E868" s="7" t="s">
        <v>344</v>
      </c>
      <c r="F868" s="7" t="s">
        <v>285</v>
      </c>
      <c r="G868" s="7" t="s">
        <v>262</v>
      </c>
      <c r="H868" s="7" t="s">
        <v>286</v>
      </c>
      <c r="I868" s="7"/>
      <c r="J868" s="7"/>
      <c r="K868" s="7"/>
      <c r="L868" s="7" t="str">
        <f aca="false">IFERROR(VLOOKUP(IF(ISNUMBER(SEARCH("(",F868)),LEFT(F868,SEARCH("(",F868)-1),F868),Tipos!$A:$B,2,FALSE()),"outro")</f>
        <v>data e hora</v>
      </c>
      <c r="M868" s="7" t="str">
        <f aca="false">IF(COUNTIF(Comparação!$H:$H,A868)&gt;0,"sim",IF(AND(G868="sim",H868=""),"FALTA (obrigatória)","não"))</f>
        <v>não</v>
      </c>
    </row>
    <row r="869" customFormat="false" ht="15" hidden="false" customHeight="false" outlineLevel="0" collapsed="false">
      <c r="A869" s="7" t="str">
        <f aca="false">B869&amp;"."&amp;E869</f>
        <v>importacoes.revertida_em</v>
      </c>
      <c r="B869" s="7" t="s">
        <v>149</v>
      </c>
      <c r="C869" s="7" t="s">
        <v>34</v>
      </c>
      <c r="D869" s="7" t="n">
        <v>16</v>
      </c>
      <c r="E869" s="7" t="s">
        <v>923</v>
      </c>
      <c r="F869" s="7" t="s">
        <v>285</v>
      </c>
      <c r="G869" s="7" t="s">
        <v>267</v>
      </c>
      <c r="H869" s="7"/>
      <c r="I869" s="7"/>
      <c r="J869" s="7"/>
      <c r="K869" s="7"/>
      <c r="L869" s="7" t="str">
        <f aca="false">IFERROR(VLOOKUP(IF(ISNUMBER(SEARCH("(",F869)),LEFT(F869,SEARCH("(",F869)-1),F869),Tipos!$A:$B,2,FALSE()),"outro")</f>
        <v>data e hora</v>
      </c>
      <c r="M869" s="7" t="str">
        <f aca="false">IF(COUNTIF(Comparação!$H:$H,A869)&gt;0,"sim",IF(AND(G869="sim",H869=""),"FALTA (obrigatória)","não"))</f>
        <v>não</v>
      </c>
    </row>
    <row r="870" customFormat="false" ht="15" hidden="false" customHeight="false" outlineLevel="0" collapsed="false">
      <c r="A870" s="7" t="str">
        <f aca="false">B870&amp;"."&amp;E870</f>
        <v>importacoes.revertida_por</v>
      </c>
      <c r="B870" s="7" t="s">
        <v>149</v>
      </c>
      <c r="C870" s="7" t="s">
        <v>34</v>
      </c>
      <c r="D870" s="7" t="n">
        <v>17</v>
      </c>
      <c r="E870" s="7" t="s">
        <v>924</v>
      </c>
      <c r="F870" s="7" t="s">
        <v>272</v>
      </c>
      <c r="G870" s="7" t="s">
        <v>267</v>
      </c>
      <c r="H870" s="7"/>
      <c r="I870" s="7"/>
      <c r="J870" s="7"/>
      <c r="K870" s="7"/>
      <c r="L870" s="7" t="str">
        <f aca="false">IFERROR(VLOOKUP(IF(ISNUMBER(SEARCH("(",F870)),LEFT(F870,SEARCH("(",F870)-1),F870),Tipos!$A:$B,2,FALSE()),"outro")</f>
        <v>uuid</v>
      </c>
      <c r="M870" s="7" t="str">
        <f aca="false">IF(COUNTIF(Comparação!$H:$H,A870)&gt;0,"sim",IF(AND(G870="sim",H870=""),"FALTA (obrigatória)","não"))</f>
        <v>não</v>
      </c>
    </row>
    <row r="871" customFormat="false" ht="15" hidden="false" customHeight="false" outlineLevel="0" collapsed="false">
      <c r="A871" s="7" t="str">
        <f aca="false">B871&amp;"."&amp;E871</f>
        <v>importacoes.motivo_reversao</v>
      </c>
      <c r="B871" s="7" t="s">
        <v>149</v>
      </c>
      <c r="C871" s="7" t="s">
        <v>34</v>
      </c>
      <c r="D871" s="7" t="n">
        <v>18</v>
      </c>
      <c r="E871" s="7" t="s">
        <v>925</v>
      </c>
      <c r="F871" s="7" t="s">
        <v>261</v>
      </c>
      <c r="G871" s="7" t="s">
        <v>267</v>
      </c>
      <c r="H871" s="7"/>
      <c r="I871" s="7"/>
      <c r="J871" s="7"/>
      <c r="K871" s="7"/>
      <c r="L871" s="7" t="str">
        <f aca="false">IFERROR(VLOOKUP(IF(ISNUMBER(SEARCH("(",F871)),LEFT(F871,SEARCH("(",F871)-1),F871),Tipos!$A:$B,2,FALSE()),"outro")</f>
        <v>texto</v>
      </c>
      <c r="M871" s="7" t="str">
        <f aca="false">IF(COUNTIF(Comparação!$H:$H,A871)&gt;0,"sim",IF(AND(G871="sim",H871=""),"FALTA (obrigatória)","não"))</f>
        <v>não</v>
      </c>
    </row>
    <row r="872" customFormat="false" ht="15" hidden="false" customHeight="false" outlineLevel="0" collapsed="false">
      <c r="A872" s="7" t="str">
        <f aca="false">B872&amp;"."&amp;E872</f>
        <v>impostos_config.id</v>
      </c>
      <c r="B872" s="7" t="s">
        <v>150</v>
      </c>
      <c r="C872" s="7" t="s">
        <v>69</v>
      </c>
      <c r="D872" s="7" t="n">
        <v>1</v>
      </c>
      <c r="E872" s="7" t="s">
        <v>271</v>
      </c>
      <c r="F872" s="7" t="s">
        <v>272</v>
      </c>
      <c r="G872" s="7" t="s">
        <v>262</v>
      </c>
      <c r="H872" s="7" t="s">
        <v>273</v>
      </c>
      <c r="I872" s="7" t="s">
        <v>263</v>
      </c>
      <c r="J872" s="7"/>
      <c r="K872" s="7"/>
      <c r="L872" s="7" t="str">
        <f aca="false">IFERROR(VLOOKUP(IF(ISNUMBER(SEARCH("(",F872)),LEFT(F872,SEARCH("(",F872)-1),F872),Tipos!$A:$B,2,FALSE()),"outro")</f>
        <v>uuid</v>
      </c>
      <c r="M872" s="7" t="str">
        <f aca="false">IF(COUNTIF(Comparação!$H:$H,A872)&gt;0,"sim",IF(AND(G872="sim",H872=""),"FALTA (obrigatória)","não"))</f>
        <v>não</v>
      </c>
    </row>
    <row r="873" customFormat="false" ht="15" hidden="false" customHeight="false" outlineLevel="0" collapsed="false">
      <c r="A873" s="7" t="str">
        <f aca="false">B873&amp;"."&amp;E873</f>
        <v>impostos_config.workspace_id</v>
      </c>
      <c r="B873" s="7" t="s">
        <v>150</v>
      </c>
      <c r="C873" s="7" t="s">
        <v>69</v>
      </c>
      <c r="D873" s="7" t="n">
        <v>2</v>
      </c>
      <c r="E873" s="7" t="s">
        <v>274</v>
      </c>
      <c r="F873" s="7" t="s">
        <v>272</v>
      </c>
      <c r="G873" s="7" t="s">
        <v>262</v>
      </c>
      <c r="H873" s="7"/>
      <c r="I873" s="7"/>
      <c r="J873" s="7" t="s">
        <v>275</v>
      </c>
      <c r="K873" s="7"/>
      <c r="L873" s="7" t="str">
        <f aca="false">IFERROR(VLOOKUP(IF(ISNUMBER(SEARCH("(",F873)),LEFT(F873,SEARCH("(",F873)-1),F873),Tipos!$A:$B,2,FALSE()),"outro")</f>
        <v>uuid</v>
      </c>
      <c r="M873" s="7" t="str">
        <f aca="false">IF(COUNTIF(Comparação!$H:$H,A873)&gt;0,"sim",IF(AND(G873="sim",H873=""),"FALTA (obrigatória)","não"))</f>
        <v>FALTA (obrigatória)</v>
      </c>
    </row>
    <row r="874" customFormat="false" ht="15" hidden="false" customHeight="false" outlineLevel="0" collapsed="false">
      <c r="A874" s="7" t="str">
        <f aca="false">B874&amp;"."&amp;E874</f>
        <v>impostos_config.nome</v>
      </c>
      <c r="B874" s="7" t="s">
        <v>150</v>
      </c>
      <c r="C874" s="7" t="s">
        <v>69</v>
      </c>
      <c r="D874" s="7" t="n">
        <v>3</v>
      </c>
      <c r="E874" s="7" t="s">
        <v>265</v>
      </c>
      <c r="F874" s="7" t="s">
        <v>261</v>
      </c>
      <c r="G874" s="7" t="s">
        <v>262</v>
      </c>
      <c r="H874" s="7"/>
      <c r="I874" s="7"/>
      <c r="J874" s="7"/>
      <c r="K874" s="7"/>
      <c r="L874" s="7" t="str">
        <f aca="false">IFERROR(VLOOKUP(IF(ISNUMBER(SEARCH("(",F874)),LEFT(F874,SEARCH("(",F874)-1),F874),Tipos!$A:$B,2,FALSE()),"outro")</f>
        <v>texto</v>
      </c>
      <c r="M874" s="7" t="str">
        <f aca="false">IF(COUNTIF(Comparação!$H:$H,A874)&gt;0,"sim",IF(AND(G874="sim",H874=""),"FALTA (obrigatória)","não"))</f>
        <v>FALTA (obrigatória)</v>
      </c>
    </row>
    <row r="875" customFormat="false" ht="15" hidden="false" customHeight="false" outlineLevel="0" collapsed="false">
      <c r="A875" s="7" t="str">
        <f aca="false">B875&amp;"."&amp;E875</f>
        <v>impostos_config.aliquota_percentual</v>
      </c>
      <c r="B875" s="7" t="s">
        <v>150</v>
      </c>
      <c r="C875" s="7" t="s">
        <v>69</v>
      </c>
      <c r="D875" s="7" t="n">
        <v>4</v>
      </c>
      <c r="E875" s="7" t="s">
        <v>926</v>
      </c>
      <c r="F875" s="7" t="s">
        <v>356</v>
      </c>
      <c r="G875" s="7" t="s">
        <v>262</v>
      </c>
      <c r="H875" s="7"/>
      <c r="I875" s="7"/>
      <c r="J875" s="7"/>
      <c r="K875" s="7" t="s">
        <v>927</v>
      </c>
      <c r="L875" s="7" t="str">
        <f aca="false">IFERROR(VLOOKUP(IF(ISNUMBER(SEARCH("(",F875)),LEFT(F875,SEARCH("(",F875)-1),F875),Tipos!$A:$B,2,FALSE()),"outro")</f>
        <v>decimal</v>
      </c>
      <c r="M875" s="7" t="str">
        <f aca="false">IF(COUNTIF(Comparação!$H:$H,A875)&gt;0,"sim",IF(AND(G875="sim",H875=""),"FALTA (obrigatória)","não"))</f>
        <v>FALTA (obrigatória)</v>
      </c>
    </row>
    <row r="876" customFormat="false" ht="15" hidden="false" customHeight="false" outlineLevel="0" collapsed="false">
      <c r="A876" s="7" t="str">
        <f aca="false">B876&amp;"."&amp;E876</f>
        <v>impostos_config.base</v>
      </c>
      <c r="B876" s="7" t="s">
        <v>150</v>
      </c>
      <c r="C876" s="7" t="s">
        <v>69</v>
      </c>
      <c r="D876" s="7" t="n">
        <v>5</v>
      </c>
      <c r="E876" s="7" t="s">
        <v>928</v>
      </c>
      <c r="F876" s="7" t="s">
        <v>261</v>
      </c>
      <c r="G876" s="7" t="s">
        <v>262</v>
      </c>
      <c r="H876" s="7" t="s">
        <v>929</v>
      </c>
      <c r="I876" s="7"/>
      <c r="J876" s="7"/>
      <c r="K876" s="7" t="s">
        <v>930</v>
      </c>
      <c r="L876" s="7" t="str">
        <f aca="false">IFERROR(VLOOKUP(IF(ISNUMBER(SEARCH("(",F876)),LEFT(F876,SEARCH("(",F876)-1),F876),Tipos!$A:$B,2,FALSE()),"outro")</f>
        <v>texto</v>
      </c>
      <c r="M876" s="7" t="str">
        <f aca="false">IF(COUNTIF(Comparação!$H:$H,A876)&gt;0,"sim",IF(AND(G876="sim",H876=""),"FALTA (obrigatória)","não"))</f>
        <v>não</v>
      </c>
    </row>
    <row r="877" customFormat="false" ht="15" hidden="false" customHeight="false" outlineLevel="0" collapsed="false">
      <c r="A877" s="7" t="str">
        <f aca="false">B877&amp;"."&amp;E877</f>
        <v>impostos_config.ativo</v>
      </c>
      <c r="B877" s="7" t="s">
        <v>150</v>
      </c>
      <c r="C877" s="7" t="s">
        <v>69</v>
      </c>
      <c r="D877" s="7" t="n">
        <v>6</v>
      </c>
      <c r="E877" s="7" t="s">
        <v>309</v>
      </c>
      <c r="F877" s="7" t="s">
        <v>310</v>
      </c>
      <c r="G877" s="7" t="s">
        <v>262</v>
      </c>
      <c r="H877" s="7" t="s">
        <v>311</v>
      </c>
      <c r="I877" s="7"/>
      <c r="J877" s="7"/>
      <c r="K877" s="7"/>
      <c r="L877" s="7" t="str">
        <f aca="false">IFERROR(VLOOKUP(IF(ISNUMBER(SEARCH("(",F877)),LEFT(F877,SEARCH("(",F877)-1),F877),Tipos!$A:$B,2,FALSE()),"outro")</f>
        <v>booleano</v>
      </c>
      <c r="M877" s="7" t="str">
        <f aca="false">IF(COUNTIF(Comparação!$H:$H,A877)&gt;0,"sim",IF(AND(G877="sim",H877=""),"FALTA (obrigatória)","não"))</f>
        <v>não</v>
      </c>
    </row>
    <row r="878" customFormat="false" ht="15" hidden="false" customHeight="false" outlineLevel="0" collapsed="false">
      <c r="A878" s="7" t="str">
        <f aca="false">B878&amp;"."&amp;E878</f>
        <v>integracoes.id</v>
      </c>
      <c r="B878" s="7" t="s">
        <v>151</v>
      </c>
      <c r="C878" s="7" t="s">
        <v>34</v>
      </c>
      <c r="D878" s="7" t="n">
        <v>1</v>
      </c>
      <c r="E878" s="7" t="s">
        <v>271</v>
      </c>
      <c r="F878" s="7" t="s">
        <v>272</v>
      </c>
      <c r="G878" s="7" t="s">
        <v>262</v>
      </c>
      <c r="H878" s="7" t="s">
        <v>273</v>
      </c>
      <c r="I878" s="7" t="s">
        <v>263</v>
      </c>
      <c r="J878" s="7"/>
      <c r="K878" s="7"/>
      <c r="L878" s="7" t="str">
        <f aca="false">IFERROR(VLOOKUP(IF(ISNUMBER(SEARCH("(",F878)),LEFT(F878,SEARCH("(",F878)-1),F878),Tipos!$A:$B,2,FALSE()),"outro")</f>
        <v>uuid</v>
      </c>
      <c r="M878" s="7" t="str">
        <f aca="false">IF(COUNTIF(Comparação!$H:$H,A878)&gt;0,"sim",IF(AND(G878="sim",H878=""),"FALTA (obrigatória)","não"))</f>
        <v>não</v>
      </c>
    </row>
    <row r="879" customFormat="false" ht="15" hidden="false" customHeight="false" outlineLevel="0" collapsed="false">
      <c r="A879" s="7" t="str">
        <f aca="false">B879&amp;"."&amp;E879</f>
        <v>integracoes.workspace_id</v>
      </c>
      <c r="B879" s="7" t="s">
        <v>151</v>
      </c>
      <c r="C879" s="7" t="s">
        <v>34</v>
      </c>
      <c r="D879" s="7" t="n">
        <v>2</v>
      </c>
      <c r="E879" s="7" t="s">
        <v>274</v>
      </c>
      <c r="F879" s="7" t="s">
        <v>272</v>
      </c>
      <c r="G879" s="7" t="s">
        <v>262</v>
      </c>
      <c r="H879" s="7"/>
      <c r="I879" s="7" t="s">
        <v>290</v>
      </c>
      <c r="J879" s="7" t="s">
        <v>275</v>
      </c>
      <c r="K879" s="7"/>
      <c r="L879" s="7" t="str">
        <f aca="false">IFERROR(VLOOKUP(IF(ISNUMBER(SEARCH("(",F879)),LEFT(F879,SEARCH("(",F879)-1),F879),Tipos!$A:$B,2,FALSE()),"outro")</f>
        <v>uuid</v>
      </c>
      <c r="M879" s="7" t="str">
        <f aca="false">IF(COUNTIF(Comparação!$H:$H,A879)&gt;0,"sim",IF(AND(G879="sim",H879=""),"FALTA (obrigatória)","não"))</f>
        <v>FALTA (obrigatória)</v>
      </c>
    </row>
    <row r="880" customFormat="false" ht="15" hidden="false" customHeight="false" outlineLevel="0" collapsed="false">
      <c r="A880" s="7" t="str">
        <f aca="false">B880&amp;"."&amp;E880</f>
        <v>integracoes.provedor</v>
      </c>
      <c r="B880" s="7" t="s">
        <v>151</v>
      </c>
      <c r="C880" s="7" t="s">
        <v>34</v>
      </c>
      <c r="D880" s="7" t="n">
        <v>3</v>
      </c>
      <c r="E880" s="7" t="s">
        <v>909</v>
      </c>
      <c r="F880" s="7" t="s">
        <v>261</v>
      </c>
      <c r="G880" s="7" t="s">
        <v>262</v>
      </c>
      <c r="H880" s="7"/>
      <c r="I880" s="7" t="s">
        <v>290</v>
      </c>
      <c r="J880" s="7"/>
      <c r="K880" s="7"/>
      <c r="L880" s="7" t="str">
        <f aca="false">IFERROR(VLOOKUP(IF(ISNUMBER(SEARCH("(",F880)),LEFT(F880,SEARCH("(",F880)-1),F880),Tipos!$A:$B,2,FALSE()),"outro")</f>
        <v>texto</v>
      </c>
      <c r="M880" s="7" t="str">
        <f aca="false">IF(COUNTIF(Comparação!$H:$H,A880)&gt;0,"sim",IF(AND(G880="sim",H880=""),"FALTA (obrigatória)","não"))</f>
        <v>FALTA (obrigatória)</v>
      </c>
    </row>
    <row r="881" customFormat="false" ht="15" hidden="false" customHeight="false" outlineLevel="0" collapsed="false">
      <c r="A881" s="7" t="str">
        <f aca="false">B881&amp;"."&amp;E881</f>
        <v>integracoes.categoria</v>
      </c>
      <c r="B881" s="7" t="s">
        <v>151</v>
      </c>
      <c r="C881" s="7" t="s">
        <v>34</v>
      </c>
      <c r="D881" s="7" t="n">
        <v>4</v>
      </c>
      <c r="E881" s="7" t="s">
        <v>731</v>
      </c>
      <c r="F881" s="7" t="s">
        <v>261</v>
      </c>
      <c r="G881" s="7" t="s">
        <v>262</v>
      </c>
      <c r="H881" s="7"/>
      <c r="I881" s="7"/>
      <c r="J881" s="7"/>
      <c r="K881" s="7" t="s">
        <v>931</v>
      </c>
      <c r="L881" s="7" t="str">
        <f aca="false">IFERROR(VLOOKUP(IF(ISNUMBER(SEARCH("(",F881)),LEFT(F881,SEARCH("(",F881)-1),F881),Tipos!$A:$B,2,FALSE()),"outro")</f>
        <v>texto</v>
      </c>
      <c r="M881" s="7" t="str">
        <f aca="false">IF(COUNTIF(Comparação!$H:$H,A881)&gt;0,"sim",IF(AND(G881="sim",H881=""),"FALTA (obrigatória)","não"))</f>
        <v>FALTA (obrigatória)</v>
      </c>
    </row>
    <row r="882" customFormat="false" ht="15" hidden="false" customHeight="false" outlineLevel="0" collapsed="false">
      <c r="A882" s="7" t="str">
        <f aca="false">B882&amp;"."&amp;E882</f>
        <v>integracoes.status</v>
      </c>
      <c r="B882" s="7" t="s">
        <v>151</v>
      </c>
      <c r="C882" s="7" t="s">
        <v>34</v>
      </c>
      <c r="D882" s="7" t="n">
        <v>5</v>
      </c>
      <c r="E882" s="7" t="s">
        <v>293</v>
      </c>
      <c r="F882" s="7" t="s">
        <v>261</v>
      </c>
      <c r="G882" s="7" t="s">
        <v>262</v>
      </c>
      <c r="H882" s="7" t="s">
        <v>932</v>
      </c>
      <c r="I882" s="7"/>
      <c r="J882" s="7"/>
      <c r="K882" s="7" t="s">
        <v>933</v>
      </c>
      <c r="L882" s="7" t="str">
        <f aca="false">IFERROR(VLOOKUP(IF(ISNUMBER(SEARCH("(",F882)),LEFT(F882,SEARCH("(",F882)-1),F882),Tipos!$A:$B,2,FALSE()),"outro")</f>
        <v>texto</v>
      </c>
      <c r="M882" s="7" t="str">
        <f aca="false">IF(COUNTIF(Comparação!$H:$H,A882)&gt;0,"sim",IF(AND(G882="sim",H882=""),"FALTA (obrigatória)","não"))</f>
        <v>não</v>
      </c>
    </row>
    <row r="883" customFormat="false" ht="15" hidden="false" customHeight="false" outlineLevel="0" collapsed="false">
      <c r="A883" s="7" t="str">
        <f aca="false">B883&amp;"."&amp;E883</f>
        <v>integracoes.conta_externa</v>
      </c>
      <c r="B883" s="7" t="s">
        <v>151</v>
      </c>
      <c r="C883" s="7" t="s">
        <v>34</v>
      </c>
      <c r="D883" s="7" t="n">
        <v>6</v>
      </c>
      <c r="E883" s="7" t="s">
        <v>934</v>
      </c>
      <c r="F883" s="7" t="s">
        <v>261</v>
      </c>
      <c r="G883" s="7" t="s">
        <v>267</v>
      </c>
      <c r="H883" s="7"/>
      <c r="I883" s="7"/>
      <c r="J883" s="7"/>
      <c r="K883" s="7"/>
      <c r="L883" s="7" t="str">
        <f aca="false">IFERROR(VLOOKUP(IF(ISNUMBER(SEARCH("(",F883)),LEFT(F883,SEARCH("(",F883)-1),F883),Tipos!$A:$B,2,FALSE()),"outro")</f>
        <v>texto</v>
      </c>
      <c r="M883" s="7" t="str">
        <f aca="false">IF(COUNTIF(Comparação!$H:$H,A883)&gt;0,"sim",IF(AND(G883="sim",H883=""),"FALTA (obrigatória)","não"))</f>
        <v>não</v>
      </c>
    </row>
    <row r="884" customFormat="false" ht="15" hidden="false" customHeight="false" outlineLevel="0" collapsed="false">
      <c r="A884" s="7" t="str">
        <f aca="false">B884&amp;"."&amp;E884</f>
        <v>integracoes.observacao</v>
      </c>
      <c r="B884" s="7" t="s">
        <v>151</v>
      </c>
      <c r="C884" s="7" t="s">
        <v>34</v>
      </c>
      <c r="D884" s="7" t="n">
        <v>7</v>
      </c>
      <c r="E884" s="7" t="s">
        <v>439</v>
      </c>
      <c r="F884" s="7" t="s">
        <v>261</v>
      </c>
      <c r="G884" s="7" t="s">
        <v>267</v>
      </c>
      <c r="H884" s="7"/>
      <c r="I884" s="7"/>
      <c r="J884" s="7"/>
      <c r="K884" s="7"/>
      <c r="L884" s="7" t="str">
        <f aca="false">IFERROR(VLOOKUP(IF(ISNUMBER(SEARCH("(",F884)),LEFT(F884,SEARCH("(",F884)-1),F884),Tipos!$A:$B,2,FALSE()),"outro")</f>
        <v>texto</v>
      </c>
      <c r="M884" s="7" t="str">
        <f aca="false">IF(COUNTIF(Comparação!$H:$H,A884)&gt;0,"sim",IF(AND(G884="sim",H884=""),"FALTA (obrigatória)","não"))</f>
        <v>não</v>
      </c>
    </row>
    <row r="885" customFormat="false" ht="15" hidden="false" customHeight="false" outlineLevel="0" collapsed="false">
      <c r="A885" s="7" t="str">
        <f aca="false">B885&amp;"."&amp;E885</f>
        <v>integracoes.ultima_sincronizacao</v>
      </c>
      <c r="B885" s="7" t="s">
        <v>151</v>
      </c>
      <c r="C885" s="7" t="s">
        <v>34</v>
      </c>
      <c r="D885" s="7" t="n">
        <v>8</v>
      </c>
      <c r="E885" s="7" t="s">
        <v>935</v>
      </c>
      <c r="F885" s="7" t="s">
        <v>285</v>
      </c>
      <c r="G885" s="7" t="s">
        <v>267</v>
      </c>
      <c r="H885" s="7"/>
      <c r="I885" s="7"/>
      <c r="J885" s="7"/>
      <c r="K885" s="7"/>
      <c r="L885" s="7" t="str">
        <f aca="false">IFERROR(VLOOKUP(IF(ISNUMBER(SEARCH("(",F885)),LEFT(F885,SEARCH("(",F885)-1),F885),Tipos!$A:$B,2,FALSE()),"outro")</f>
        <v>data e hora</v>
      </c>
      <c r="M885" s="7" t="str">
        <f aca="false">IF(COUNTIF(Comparação!$H:$H,A885)&gt;0,"sim",IF(AND(G885="sim",H885=""),"FALTA (obrigatória)","não"))</f>
        <v>não</v>
      </c>
    </row>
    <row r="886" customFormat="false" ht="15" hidden="false" customHeight="false" outlineLevel="0" collapsed="false">
      <c r="A886" s="7" t="str">
        <f aca="false">B886&amp;"."&amp;E886</f>
        <v>integracoes.criado_em</v>
      </c>
      <c r="B886" s="7" t="s">
        <v>151</v>
      </c>
      <c r="C886" s="7" t="s">
        <v>34</v>
      </c>
      <c r="D886" s="7" t="n">
        <v>9</v>
      </c>
      <c r="E886" s="7" t="s">
        <v>344</v>
      </c>
      <c r="F886" s="7" t="s">
        <v>285</v>
      </c>
      <c r="G886" s="7" t="s">
        <v>262</v>
      </c>
      <c r="H886" s="7" t="s">
        <v>286</v>
      </c>
      <c r="I886" s="7"/>
      <c r="J886" s="7"/>
      <c r="K886" s="7"/>
      <c r="L886" s="7" t="str">
        <f aca="false">IFERROR(VLOOKUP(IF(ISNUMBER(SEARCH("(",F886)),LEFT(F886,SEARCH("(",F886)-1),F886),Tipos!$A:$B,2,FALSE()),"outro")</f>
        <v>data e hora</v>
      </c>
      <c r="M886" s="7" t="str">
        <f aca="false">IF(COUNTIF(Comparação!$H:$H,A886)&gt;0,"sim",IF(AND(G886="sim",H886=""),"FALTA (obrigatória)","não"))</f>
        <v>não</v>
      </c>
    </row>
    <row r="887" customFormat="false" ht="15" hidden="false" customHeight="false" outlineLevel="0" collapsed="false">
      <c r="A887" s="7" t="str">
        <f aca="false">B887&amp;"."&amp;E887</f>
        <v>lancamentos.id</v>
      </c>
      <c r="B887" s="7" t="s">
        <v>152</v>
      </c>
      <c r="C887" s="7" t="s">
        <v>69</v>
      </c>
      <c r="D887" s="7" t="n">
        <v>1</v>
      </c>
      <c r="E887" s="7" t="s">
        <v>271</v>
      </c>
      <c r="F887" s="7" t="s">
        <v>272</v>
      </c>
      <c r="G887" s="7" t="s">
        <v>262</v>
      </c>
      <c r="H887" s="7" t="s">
        <v>273</v>
      </c>
      <c r="I887" s="7" t="s">
        <v>263</v>
      </c>
      <c r="J887" s="7"/>
      <c r="K887" s="7"/>
      <c r="L887" s="7" t="str">
        <f aca="false">IFERROR(VLOOKUP(IF(ISNUMBER(SEARCH("(",F887)),LEFT(F887,SEARCH("(",F887)-1),F887),Tipos!$A:$B,2,FALSE()),"outro")</f>
        <v>uuid</v>
      </c>
      <c r="M887" s="7" t="str">
        <f aca="false">IF(COUNTIF(Comparação!$H:$H,A887)&gt;0,"sim",IF(AND(G887="sim",H887=""),"FALTA (obrigatória)","não"))</f>
        <v>não</v>
      </c>
    </row>
    <row r="888" customFormat="false" ht="15" hidden="false" customHeight="false" outlineLevel="0" collapsed="false">
      <c r="A888" s="7" t="str">
        <f aca="false">B888&amp;"."&amp;E888</f>
        <v>lancamentos.workspace_id</v>
      </c>
      <c r="B888" s="7" t="s">
        <v>152</v>
      </c>
      <c r="C888" s="7" t="s">
        <v>69</v>
      </c>
      <c r="D888" s="7" t="n">
        <v>2</v>
      </c>
      <c r="E888" s="7" t="s">
        <v>274</v>
      </c>
      <c r="F888" s="7" t="s">
        <v>272</v>
      </c>
      <c r="G888" s="7" t="s">
        <v>262</v>
      </c>
      <c r="H888" s="7"/>
      <c r="I888" s="7"/>
      <c r="J888" s="7" t="s">
        <v>275</v>
      </c>
      <c r="K888" s="7"/>
      <c r="L888" s="7" t="str">
        <f aca="false">IFERROR(VLOOKUP(IF(ISNUMBER(SEARCH("(",F888)),LEFT(F888,SEARCH("(",F888)-1),F888),Tipos!$A:$B,2,FALSE()),"outro")</f>
        <v>uuid</v>
      </c>
      <c r="M888" s="7" t="str">
        <f aca="false">IF(COUNTIF(Comparação!$H:$H,A888)&gt;0,"sim",IF(AND(G888="sim",H888=""),"FALTA (obrigatória)","não"))</f>
        <v>FALTA (obrigatória)</v>
      </c>
    </row>
    <row r="889" customFormat="false" ht="15" hidden="false" customHeight="false" outlineLevel="0" collapsed="false">
      <c r="A889" s="7" t="str">
        <f aca="false">B889&amp;"."&amp;E889</f>
        <v>lancamentos.data_fato</v>
      </c>
      <c r="B889" s="7" t="s">
        <v>152</v>
      </c>
      <c r="C889" s="7" t="s">
        <v>69</v>
      </c>
      <c r="D889" s="7" t="n">
        <v>3</v>
      </c>
      <c r="E889" s="7" t="s">
        <v>936</v>
      </c>
      <c r="F889" s="7" t="s">
        <v>379</v>
      </c>
      <c r="G889" s="7" t="s">
        <v>262</v>
      </c>
      <c r="H889" s="7"/>
      <c r="I889" s="7"/>
      <c r="J889" s="7"/>
      <c r="K889" s="7"/>
      <c r="L889" s="7" t="str">
        <f aca="false">IFERROR(VLOOKUP(IF(ISNUMBER(SEARCH("(",F889)),LEFT(F889,SEARCH("(",F889)-1),F889),Tipos!$A:$B,2,FALSE()),"outro")</f>
        <v>data</v>
      </c>
      <c r="M889" s="7" t="str">
        <f aca="false">IF(COUNTIF(Comparação!$H:$H,A889)&gt;0,"sim",IF(AND(G889="sim",H889=""),"FALTA (obrigatória)","não"))</f>
        <v>FALTA (obrigatória)</v>
      </c>
    </row>
    <row r="890" customFormat="false" ht="15" hidden="false" customHeight="false" outlineLevel="0" collapsed="false">
      <c r="A890" s="7" t="str">
        <f aca="false">B890&amp;"."&amp;E890</f>
        <v>lancamentos.descricao</v>
      </c>
      <c r="B890" s="7" t="s">
        <v>152</v>
      </c>
      <c r="C890" s="7" t="s">
        <v>69</v>
      </c>
      <c r="D890" s="7" t="n">
        <v>4</v>
      </c>
      <c r="E890" s="7" t="s">
        <v>427</v>
      </c>
      <c r="F890" s="7" t="s">
        <v>261</v>
      </c>
      <c r="G890" s="7" t="s">
        <v>267</v>
      </c>
      <c r="H890" s="7"/>
      <c r="I890" s="7"/>
      <c r="J890" s="7"/>
      <c r="K890" s="7"/>
      <c r="L890" s="7" t="str">
        <f aca="false">IFERROR(VLOOKUP(IF(ISNUMBER(SEARCH("(",F890)),LEFT(F890,SEARCH("(",F890)-1),F890),Tipos!$A:$B,2,FALSE()),"outro")</f>
        <v>texto</v>
      </c>
      <c r="M890" s="7" t="str">
        <f aca="false">IF(COUNTIF(Comparação!$H:$H,A890)&gt;0,"sim",IF(AND(G890="sim",H890=""),"FALTA (obrigatória)","não"))</f>
        <v>não</v>
      </c>
    </row>
    <row r="891" customFormat="false" ht="15" hidden="false" customHeight="false" outlineLevel="0" collapsed="false">
      <c r="A891" s="7" t="str">
        <f aca="false">B891&amp;"."&amp;E891</f>
        <v>lancamentos.origem_tipo</v>
      </c>
      <c r="B891" s="7" t="s">
        <v>152</v>
      </c>
      <c r="C891" s="7" t="s">
        <v>69</v>
      </c>
      <c r="D891" s="7" t="n">
        <v>5</v>
      </c>
      <c r="E891" s="7" t="s">
        <v>937</v>
      </c>
      <c r="F891" s="7" t="s">
        <v>261</v>
      </c>
      <c r="G891" s="7" t="s">
        <v>262</v>
      </c>
      <c r="H891" s="7"/>
      <c r="I891" s="7"/>
      <c r="J891" s="7"/>
      <c r="K891" s="7" t="s">
        <v>938</v>
      </c>
      <c r="L891" s="7" t="str">
        <f aca="false">IFERROR(VLOOKUP(IF(ISNUMBER(SEARCH("(",F891)),LEFT(F891,SEARCH("(",F891)-1),F891),Tipos!$A:$B,2,FALSE()),"outro")</f>
        <v>texto</v>
      </c>
      <c r="M891" s="7" t="str">
        <f aca="false">IF(COUNTIF(Comparação!$H:$H,A891)&gt;0,"sim",IF(AND(G891="sim",H891=""),"FALTA (obrigatória)","não"))</f>
        <v>FALTA (obrigatória)</v>
      </c>
    </row>
    <row r="892" customFormat="false" ht="15" hidden="false" customHeight="false" outlineLevel="0" collapsed="false">
      <c r="A892" s="7" t="str">
        <f aca="false">B892&amp;"."&amp;E892</f>
        <v>lancamentos.origem_id</v>
      </c>
      <c r="B892" s="7" t="s">
        <v>152</v>
      </c>
      <c r="C892" s="7" t="s">
        <v>69</v>
      </c>
      <c r="D892" s="7" t="n">
        <v>6</v>
      </c>
      <c r="E892" s="7" t="s">
        <v>939</v>
      </c>
      <c r="F892" s="7" t="s">
        <v>272</v>
      </c>
      <c r="G892" s="7" t="s">
        <v>267</v>
      </c>
      <c r="H892" s="7"/>
      <c r="I892" s="7"/>
      <c r="J892" s="7"/>
      <c r="K892" s="7"/>
      <c r="L892" s="7" t="str">
        <f aca="false">IFERROR(VLOOKUP(IF(ISNUMBER(SEARCH("(",F892)),LEFT(F892,SEARCH("(",F892)-1),F892),Tipos!$A:$B,2,FALSE()),"outro")</f>
        <v>uuid</v>
      </c>
      <c r="M892" s="7" t="str">
        <f aca="false">IF(COUNTIF(Comparação!$H:$H,A892)&gt;0,"sim",IF(AND(G892="sim",H892=""),"FALTA (obrigatória)","não"))</f>
        <v>não</v>
      </c>
    </row>
    <row r="893" customFormat="false" ht="15" hidden="false" customHeight="false" outlineLevel="0" collapsed="false">
      <c r="A893" s="7" t="str">
        <f aca="false">B893&amp;"."&amp;E893</f>
        <v>lancamentos.estorno_de</v>
      </c>
      <c r="B893" s="7" t="s">
        <v>152</v>
      </c>
      <c r="C893" s="7" t="s">
        <v>69</v>
      </c>
      <c r="D893" s="7" t="n">
        <v>7</v>
      </c>
      <c r="E893" s="7" t="s">
        <v>940</v>
      </c>
      <c r="F893" s="7" t="s">
        <v>272</v>
      </c>
      <c r="G893" s="7" t="s">
        <v>267</v>
      </c>
      <c r="H893" s="7"/>
      <c r="I893" s="7"/>
      <c r="J893" s="7" t="s">
        <v>713</v>
      </c>
      <c r="K893" s="7"/>
      <c r="L893" s="7" t="str">
        <f aca="false">IFERROR(VLOOKUP(IF(ISNUMBER(SEARCH("(",F893)),LEFT(F893,SEARCH("(",F893)-1),F893),Tipos!$A:$B,2,FALSE()),"outro")</f>
        <v>uuid</v>
      </c>
      <c r="M893" s="7" t="str">
        <f aca="false">IF(COUNTIF(Comparação!$H:$H,A893)&gt;0,"sim",IF(AND(G893="sim",H893=""),"FALTA (obrigatória)","não"))</f>
        <v>não</v>
      </c>
    </row>
    <row r="894" customFormat="false" ht="15" hidden="false" customHeight="false" outlineLevel="0" collapsed="false">
      <c r="A894" s="7" t="str">
        <f aca="false">B894&amp;"."&amp;E894</f>
        <v>lancamentos.criado_em</v>
      </c>
      <c r="B894" s="7" t="s">
        <v>152</v>
      </c>
      <c r="C894" s="7" t="s">
        <v>69</v>
      </c>
      <c r="D894" s="7" t="n">
        <v>8</v>
      </c>
      <c r="E894" s="7" t="s">
        <v>344</v>
      </c>
      <c r="F894" s="7" t="s">
        <v>285</v>
      </c>
      <c r="G894" s="7" t="s">
        <v>262</v>
      </c>
      <c r="H894" s="7" t="s">
        <v>286</v>
      </c>
      <c r="I894" s="7"/>
      <c r="J894" s="7"/>
      <c r="K894" s="7"/>
      <c r="L894" s="7" t="str">
        <f aca="false">IFERROR(VLOOKUP(IF(ISNUMBER(SEARCH("(",F894)),LEFT(F894,SEARCH("(",F894)-1),F894),Tipos!$A:$B,2,FALSE()),"outro")</f>
        <v>data e hora</v>
      </c>
      <c r="M894" s="7" t="str">
        <f aca="false">IF(COUNTIF(Comparação!$H:$H,A894)&gt;0,"sim",IF(AND(G894="sim",H894=""),"FALTA (obrigatória)","não"))</f>
        <v>não</v>
      </c>
    </row>
    <row r="895" customFormat="false" ht="15" hidden="false" customHeight="false" outlineLevel="0" collapsed="false">
      <c r="A895" s="7" t="str">
        <f aca="false">B895&amp;"."&amp;E895</f>
        <v>metricas_anuncio_dia.id</v>
      </c>
      <c r="B895" s="7" t="s">
        <v>154</v>
      </c>
      <c r="C895" s="7" t="s">
        <v>31</v>
      </c>
      <c r="D895" s="7" t="n">
        <v>1</v>
      </c>
      <c r="E895" s="7" t="s">
        <v>271</v>
      </c>
      <c r="F895" s="7" t="s">
        <v>272</v>
      </c>
      <c r="G895" s="7" t="s">
        <v>262</v>
      </c>
      <c r="H895" s="7" t="s">
        <v>273</v>
      </c>
      <c r="I895" s="7" t="s">
        <v>263</v>
      </c>
      <c r="J895" s="7"/>
      <c r="K895" s="7"/>
      <c r="L895" s="7" t="str">
        <f aca="false">IFERROR(VLOOKUP(IF(ISNUMBER(SEARCH("(",F895)),LEFT(F895,SEARCH("(",F895)-1),F895),Tipos!$A:$B,2,FALSE()),"outro")</f>
        <v>uuid</v>
      </c>
      <c r="M895" s="7" t="str">
        <f aca="false">IF(COUNTIF(Comparação!$H:$H,A895)&gt;0,"sim",IF(AND(G895="sim",H895=""),"FALTA (obrigatória)","não"))</f>
        <v>não</v>
      </c>
    </row>
    <row r="896" customFormat="false" ht="15" hidden="false" customHeight="false" outlineLevel="0" collapsed="false">
      <c r="A896" s="7" t="str">
        <f aca="false">B896&amp;"."&amp;E896</f>
        <v>metricas_anuncio_dia.workspace_id</v>
      </c>
      <c r="B896" s="7" t="s">
        <v>154</v>
      </c>
      <c r="C896" s="7" t="s">
        <v>31</v>
      </c>
      <c r="D896" s="7" t="n">
        <v>2</v>
      </c>
      <c r="E896" s="7" t="s">
        <v>274</v>
      </c>
      <c r="F896" s="7" t="s">
        <v>272</v>
      </c>
      <c r="G896" s="7" t="s">
        <v>262</v>
      </c>
      <c r="H896" s="7"/>
      <c r="I896" s="7"/>
      <c r="J896" s="7" t="s">
        <v>275</v>
      </c>
      <c r="K896" s="7"/>
      <c r="L896" s="7" t="str">
        <f aca="false">IFERROR(VLOOKUP(IF(ISNUMBER(SEARCH("(",F896)),LEFT(F896,SEARCH("(",F896)-1),F896),Tipos!$A:$B,2,FALSE()),"outro")</f>
        <v>uuid</v>
      </c>
      <c r="M896" s="7" t="str">
        <f aca="false">IF(COUNTIF(Comparação!$H:$H,A896)&gt;0,"sim",IF(AND(G896="sim",H896=""),"FALTA (obrigatória)","não"))</f>
        <v>FALTA (obrigatória)</v>
      </c>
    </row>
    <row r="897" customFormat="false" ht="15" hidden="false" customHeight="false" outlineLevel="0" collapsed="false">
      <c r="A897" s="7" t="str">
        <f aca="false">B897&amp;"."&amp;E897</f>
        <v>metricas_anuncio_dia.anuncio_id</v>
      </c>
      <c r="B897" s="7" t="s">
        <v>154</v>
      </c>
      <c r="C897" s="7" t="s">
        <v>31</v>
      </c>
      <c r="D897" s="7" t="n">
        <v>3</v>
      </c>
      <c r="E897" s="7" t="s">
        <v>423</v>
      </c>
      <c r="F897" s="7" t="s">
        <v>272</v>
      </c>
      <c r="G897" s="7" t="s">
        <v>262</v>
      </c>
      <c r="H897" s="7"/>
      <c r="I897" s="7" t="s">
        <v>290</v>
      </c>
      <c r="J897" s="7" t="s">
        <v>424</v>
      </c>
      <c r="K897" s="7"/>
      <c r="L897" s="7" t="str">
        <f aca="false">IFERROR(VLOOKUP(IF(ISNUMBER(SEARCH("(",F897)),LEFT(F897,SEARCH("(",F897)-1),F897),Tipos!$A:$B,2,FALSE()),"outro")</f>
        <v>uuid</v>
      </c>
      <c r="M897" s="7" t="str">
        <f aca="false">IF(COUNTIF(Comparação!$H:$H,A897)&gt;0,"sim",IF(AND(G897="sim",H897=""),"FALTA (obrigatória)","não"))</f>
        <v>FALTA (obrigatória)</v>
      </c>
    </row>
    <row r="898" customFormat="false" ht="15" hidden="false" customHeight="false" outlineLevel="0" collapsed="false">
      <c r="A898" s="7" t="str">
        <f aca="false">B898&amp;"."&amp;E898</f>
        <v>metricas_anuncio_dia.data</v>
      </c>
      <c r="B898" s="7" t="s">
        <v>154</v>
      </c>
      <c r="C898" s="7" t="s">
        <v>31</v>
      </c>
      <c r="D898" s="7" t="n">
        <v>4</v>
      </c>
      <c r="E898" s="7" t="s">
        <v>378</v>
      </c>
      <c r="F898" s="7" t="s">
        <v>379</v>
      </c>
      <c r="G898" s="7" t="s">
        <v>262</v>
      </c>
      <c r="H898" s="7"/>
      <c r="I898" s="7" t="s">
        <v>290</v>
      </c>
      <c r="J898" s="7"/>
      <c r="K898" s="7"/>
      <c r="L898" s="7" t="str">
        <f aca="false">IFERROR(VLOOKUP(IF(ISNUMBER(SEARCH("(",F898)),LEFT(F898,SEARCH("(",F898)-1),F898),Tipos!$A:$B,2,FALSE()),"outro")</f>
        <v>data</v>
      </c>
      <c r="M898" s="7" t="str">
        <f aca="false">IF(COUNTIF(Comparação!$H:$H,A898)&gt;0,"sim",IF(AND(G898="sim",H898=""),"FALTA (obrigatória)","não"))</f>
        <v>FALTA (obrigatória)</v>
      </c>
    </row>
    <row r="899" customFormat="false" ht="15" hidden="false" customHeight="false" outlineLevel="0" collapsed="false">
      <c r="A899" s="7" t="str">
        <f aca="false">B899&amp;"."&amp;E899</f>
        <v>metricas_anuncio_dia.impressoes</v>
      </c>
      <c r="B899" s="7" t="s">
        <v>154</v>
      </c>
      <c r="C899" s="7" t="s">
        <v>31</v>
      </c>
      <c r="D899" s="7" t="n">
        <v>5</v>
      </c>
      <c r="E899" s="7" t="s">
        <v>568</v>
      </c>
      <c r="F899" s="7" t="s">
        <v>269</v>
      </c>
      <c r="G899" s="7" t="s">
        <v>262</v>
      </c>
      <c r="H899" s="7" t="s">
        <v>270</v>
      </c>
      <c r="I899" s="7"/>
      <c r="J899" s="7"/>
      <c r="K899" s="7" t="s">
        <v>569</v>
      </c>
      <c r="L899" s="7" t="str">
        <f aca="false">IFERROR(VLOOKUP(IF(ISNUMBER(SEARCH("(",F899)),LEFT(F899,SEARCH("(",F899)-1),F899),Tipos!$A:$B,2,FALSE()),"outro")</f>
        <v>inteiro</v>
      </c>
      <c r="M899" s="7" t="str">
        <f aca="false">IF(COUNTIF(Comparação!$H:$H,A899)&gt;0,"sim",IF(AND(G899="sim",H899=""),"FALTA (obrigatória)","não"))</f>
        <v>não</v>
      </c>
    </row>
    <row r="900" customFormat="false" ht="15" hidden="false" customHeight="false" outlineLevel="0" collapsed="false">
      <c r="A900" s="7" t="str">
        <f aca="false">B900&amp;"."&amp;E900</f>
        <v>metricas_anuncio_dia.cliques</v>
      </c>
      <c r="B900" s="7" t="s">
        <v>154</v>
      </c>
      <c r="C900" s="7" t="s">
        <v>31</v>
      </c>
      <c r="D900" s="7" t="n">
        <v>6</v>
      </c>
      <c r="E900" s="7" t="s">
        <v>595</v>
      </c>
      <c r="F900" s="7" t="s">
        <v>269</v>
      </c>
      <c r="G900" s="7" t="s">
        <v>262</v>
      </c>
      <c r="H900" s="7" t="s">
        <v>270</v>
      </c>
      <c r="I900" s="7"/>
      <c r="J900" s="7"/>
      <c r="K900" s="7" t="s">
        <v>596</v>
      </c>
      <c r="L900" s="7" t="str">
        <f aca="false">IFERROR(VLOOKUP(IF(ISNUMBER(SEARCH("(",F900)),LEFT(F900,SEARCH("(",F900)-1),F900),Tipos!$A:$B,2,FALSE()),"outro")</f>
        <v>inteiro</v>
      </c>
      <c r="M900" s="7" t="str">
        <f aca="false">IF(COUNTIF(Comparação!$H:$H,A900)&gt;0,"sim",IF(AND(G900="sim",H900=""),"FALTA (obrigatória)","não"))</f>
        <v>não</v>
      </c>
    </row>
    <row r="901" customFormat="false" ht="15" hidden="false" customHeight="false" outlineLevel="0" collapsed="false">
      <c r="A901" s="7" t="str">
        <f aca="false">B901&amp;"."&amp;E901</f>
        <v>metricas_anuncio_dia.custo</v>
      </c>
      <c r="B901" s="7" t="s">
        <v>154</v>
      </c>
      <c r="C901" s="7" t="s">
        <v>31</v>
      </c>
      <c r="D901" s="7" t="n">
        <v>7</v>
      </c>
      <c r="E901" s="7" t="s">
        <v>941</v>
      </c>
      <c r="F901" s="7" t="s">
        <v>354</v>
      </c>
      <c r="G901" s="7" t="s">
        <v>262</v>
      </c>
      <c r="H901" s="7" t="s">
        <v>270</v>
      </c>
      <c r="I901" s="7"/>
      <c r="J901" s="7"/>
      <c r="K901" s="7" t="s">
        <v>942</v>
      </c>
      <c r="L901" s="7" t="str">
        <f aca="false">IFERROR(VLOOKUP(IF(ISNUMBER(SEARCH("(",F901)),LEFT(F901,SEARCH("(",F901)-1),F901),Tipos!$A:$B,2,FALSE()),"outro")</f>
        <v>decimal</v>
      </c>
      <c r="M901" s="7" t="str">
        <f aca="false">IF(COUNTIF(Comparação!$H:$H,A901)&gt;0,"sim",IF(AND(G901="sim",H901=""),"FALTA (obrigatória)","não"))</f>
        <v>não</v>
      </c>
    </row>
    <row r="902" customFormat="false" ht="15" hidden="false" customHeight="false" outlineLevel="0" collapsed="false">
      <c r="A902" s="7" t="str">
        <f aca="false">B902&amp;"."&amp;E902</f>
        <v>metricas_anuncio_dia.visualizacoes_pagina</v>
      </c>
      <c r="B902" s="7" t="s">
        <v>154</v>
      </c>
      <c r="C902" s="7" t="s">
        <v>31</v>
      </c>
      <c r="D902" s="7" t="n">
        <v>8</v>
      </c>
      <c r="E902" s="7" t="s">
        <v>943</v>
      </c>
      <c r="F902" s="7" t="s">
        <v>269</v>
      </c>
      <c r="G902" s="7" t="s">
        <v>262</v>
      </c>
      <c r="H902" s="7" t="s">
        <v>270</v>
      </c>
      <c r="I902" s="7"/>
      <c r="J902" s="7"/>
      <c r="K902" s="7" t="s">
        <v>944</v>
      </c>
      <c r="L902" s="7" t="str">
        <f aca="false">IFERROR(VLOOKUP(IF(ISNUMBER(SEARCH("(",F902)),LEFT(F902,SEARCH("(",F902)-1),F902),Tipos!$A:$B,2,FALSE()),"outro")</f>
        <v>inteiro</v>
      </c>
      <c r="M902" s="7" t="str">
        <f aca="false">IF(COUNTIF(Comparação!$H:$H,A902)&gt;0,"sim",IF(AND(G902="sim",H902=""),"FALTA (obrigatória)","não"))</f>
        <v>não</v>
      </c>
    </row>
    <row r="903" customFormat="false" ht="15" hidden="false" customHeight="false" outlineLevel="0" collapsed="false">
      <c r="A903" s="7" t="str">
        <f aca="false">B903&amp;"."&amp;E903</f>
        <v>metricas_anuncio_dia.alcance</v>
      </c>
      <c r="B903" s="7" t="s">
        <v>154</v>
      </c>
      <c r="C903" s="7" t="s">
        <v>31</v>
      </c>
      <c r="D903" s="7" t="n">
        <v>9</v>
      </c>
      <c r="E903" s="7" t="s">
        <v>566</v>
      </c>
      <c r="F903" s="7" t="s">
        <v>269</v>
      </c>
      <c r="G903" s="7" t="s">
        <v>267</v>
      </c>
      <c r="H903" s="7"/>
      <c r="I903" s="7"/>
      <c r="J903" s="7"/>
      <c r="K903" s="7" t="s">
        <v>567</v>
      </c>
      <c r="L903" s="7" t="str">
        <f aca="false">IFERROR(VLOOKUP(IF(ISNUMBER(SEARCH("(",F903)),LEFT(F903,SEARCH("(",F903)-1),F903),Tipos!$A:$B,2,FALSE()),"outro")</f>
        <v>inteiro</v>
      </c>
      <c r="M903" s="7" t="str">
        <f aca="false">IF(COUNTIF(Comparação!$H:$H,A903)&gt;0,"sim",IF(AND(G903="sim",H903=""),"FALTA (obrigatória)","não"))</f>
        <v>não</v>
      </c>
    </row>
    <row r="904" customFormat="false" ht="15" hidden="false" customHeight="false" outlineLevel="0" collapsed="false">
      <c r="A904" s="7" t="str">
        <f aca="false">B904&amp;"."&amp;E904</f>
        <v>metricas_anuncio_dia.origem</v>
      </c>
      <c r="B904" s="7" t="s">
        <v>154</v>
      </c>
      <c r="C904" s="7" t="s">
        <v>31</v>
      </c>
      <c r="D904" s="7" t="n">
        <v>10</v>
      </c>
      <c r="E904" s="7" t="s">
        <v>302</v>
      </c>
      <c r="F904" s="7" t="s">
        <v>261</v>
      </c>
      <c r="G904" s="7" t="s">
        <v>262</v>
      </c>
      <c r="H904" s="7" t="s">
        <v>945</v>
      </c>
      <c r="I904" s="7"/>
      <c r="J904" s="7"/>
      <c r="K904" s="7" t="s">
        <v>946</v>
      </c>
      <c r="L904" s="7" t="str">
        <f aca="false">IFERROR(VLOOKUP(IF(ISNUMBER(SEARCH("(",F904)),LEFT(F904,SEARCH("(",F904)-1),F904),Tipos!$A:$B,2,FALSE()),"outro")</f>
        <v>texto</v>
      </c>
      <c r="M904" s="7" t="str">
        <f aca="false">IF(COUNTIF(Comparação!$H:$H,A904)&gt;0,"sim",IF(AND(G904="sim",H904=""),"FALTA (obrigatória)","não"))</f>
        <v>não</v>
      </c>
    </row>
    <row r="905" customFormat="false" ht="15" hidden="false" customHeight="false" outlineLevel="0" collapsed="false">
      <c r="A905" s="7" t="str">
        <f aca="false">B905&amp;"."&amp;E905</f>
        <v>metricas_anuncio_dia.importacao_id</v>
      </c>
      <c r="B905" s="7" t="s">
        <v>154</v>
      </c>
      <c r="C905" s="7" t="s">
        <v>31</v>
      </c>
      <c r="D905" s="7" t="n">
        <v>11</v>
      </c>
      <c r="E905" s="7" t="s">
        <v>947</v>
      </c>
      <c r="F905" s="7" t="s">
        <v>272</v>
      </c>
      <c r="G905" s="7" t="s">
        <v>267</v>
      </c>
      <c r="H905" s="7"/>
      <c r="I905" s="7"/>
      <c r="J905" s="7" t="s">
        <v>948</v>
      </c>
      <c r="K905" s="7"/>
      <c r="L905" s="7" t="str">
        <f aca="false">IFERROR(VLOOKUP(IF(ISNUMBER(SEARCH("(",F905)),LEFT(F905,SEARCH("(",F905)-1),F905),Tipos!$A:$B,2,FALSE()),"outro")</f>
        <v>uuid</v>
      </c>
      <c r="M905" s="7" t="str">
        <f aca="false">IF(COUNTIF(Comparação!$H:$H,A905)&gt;0,"sim",IF(AND(G905="sim",H905=""),"FALTA (obrigatória)","não"))</f>
        <v>não</v>
      </c>
    </row>
    <row r="906" customFormat="false" ht="15" hidden="false" customHeight="false" outlineLevel="0" collapsed="false">
      <c r="A906" s="7" t="str">
        <f aca="false">B906&amp;"."&amp;E906</f>
        <v>metricas_anuncio_dia.disponibilidade</v>
      </c>
      <c r="B906" s="7" t="s">
        <v>154</v>
      </c>
      <c r="C906" s="7" t="s">
        <v>31</v>
      </c>
      <c r="D906" s="7" t="n">
        <v>12</v>
      </c>
      <c r="E906" s="7" t="s">
        <v>383</v>
      </c>
      <c r="F906" s="7" t="s">
        <v>261</v>
      </c>
      <c r="G906" s="7" t="s">
        <v>262</v>
      </c>
      <c r="H906" s="7" t="s">
        <v>384</v>
      </c>
      <c r="I906" s="7"/>
      <c r="J906" s="7"/>
      <c r="K906" s="7" t="s">
        <v>385</v>
      </c>
      <c r="L906" s="7" t="str">
        <f aca="false">IFERROR(VLOOKUP(IF(ISNUMBER(SEARCH("(",F906)),LEFT(F906,SEARCH("(",F906)-1),F906),Tipos!$A:$B,2,FALSE()),"outro")</f>
        <v>texto</v>
      </c>
      <c r="M906" s="7" t="str">
        <f aca="false">IF(COUNTIF(Comparação!$H:$H,A906)&gt;0,"sim",IF(AND(G906="sim",H906=""),"FALTA (obrigatória)","não"))</f>
        <v>não</v>
      </c>
    </row>
    <row r="907" customFormat="false" ht="15" hidden="false" customHeight="false" outlineLevel="0" collapsed="false">
      <c r="A907" s="7" t="str">
        <f aca="false">B907&amp;"."&amp;E907</f>
        <v>metricas_anuncio_dia.atualizado_na_origem</v>
      </c>
      <c r="B907" s="7" t="s">
        <v>154</v>
      </c>
      <c r="C907" s="7" t="s">
        <v>31</v>
      </c>
      <c r="D907" s="7" t="n">
        <v>13</v>
      </c>
      <c r="E907" s="7" t="s">
        <v>386</v>
      </c>
      <c r="F907" s="7" t="s">
        <v>285</v>
      </c>
      <c r="G907" s="7" t="s">
        <v>267</v>
      </c>
      <c r="H907" s="7"/>
      <c r="I907" s="7"/>
      <c r="J907" s="7"/>
      <c r="K907" s="7"/>
      <c r="L907" s="7" t="str">
        <f aca="false">IFERROR(VLOOKUP(IF(ISNUMBER(SEARCH("(",F907)),LEFT(F907,SEARCH("(",F907)-1),F907),Tipos!$A:$B,2,FALSE()),"outro")</f>
        <v>data e hora</v>
      </c>
      <c r="M907" s="7" t="str">
        <f aca="false">IF(COUNTIF(Comparação!$H:$H,A907)&gt;0,"sim",IF(AND(G907="sim",H907=""),"FALTA (obrigatória)","não"))</f>
        <v>não</v>
      </c>
    </row>
    <row r="908" customFormat="false" ht="15" hidden="false" customHeight="false" outlineLevel="0" collapsed="false">
      <c r="A908" s="7" t="str">
        <f aca="false">B908&amp;"."&amp;E908</f>
        <v>metricas_definicoes.codigo</v>
      </c>
      <c r="B908" s="7" t="s">
        <v>156</v>
      </c>
      <c r="C908" s="7" t="s">
        <v>34</v>
      </c>
      <c r="D908" s="7" t="n">
        <v>1</v>
      </c>
      <c r="E908" s="7" t="s">
        <v>502</v>
      </c>
      <c r="F908" s="7" t="s">
        <v>261</v>
      </c>
      <c r="G908" s="7" t="s">
        <v>262</v>
      </c>
      <c r="H908" s="7"/>
      <c r="I908" s="7" t="s">
        <v>263</v>
      </c>
      <c r="J908" s="7"/>
      <c r="K908" s="7"/>
      <c r="L908" s="7" t="str">
        <f aca="false">IFERROR(VLOOKUP(IF(ISNUMBER(SEARCH("(",F908)),LEFT(F908,SEARCH("(",F908)-1),F908),Tipos!$A:$B,2,FALSE()),"outro")</f>
        <v>texto</v>
      </c>
      <c r="M908" s="7" t="str">
        <f aca="false">IF(COUNTIF(Comparação!$H:$H,A908)&gt;0,"sim",IF(AND(G908="sim",H908=""),"FALTA (obrigatória)","não"))</f>
        <v>FALTA (obrigatória)</v>
      </c>
    </row>
    <row r="909" customFormat="false" ht="15" hidden="false" customHeight="false" outlineLevel="0" collapsed="false">
      <c r="A909" s="7" t="str">
        <f aca="false">B909&amp;"."&amp;E909</f>
        <v>metricas_definicoes.nome</v>
      </c>
      <c r="B909" s="7" t="s">
        <v>156</v>
      </c>
      <c r="C909" s="7" t="s">
        <v>34</v>
      </c>
      <c r="D909" s="7" t="n">
        <v>2</v>
      </c>
      <c r="E909" s="7" t="s">
        <v>265</v>
      </c>
      <c r="F909" s="7" t="s">
        <v>261</v>
      </c>
      <c r="G909" s="7" t="s">
        <v>262</v>
      </c>
      <c r="H909" s="7"/>
      <c r="I909" s="7"/>
      <c r="J909" s="7"/>
      <c r="K909" s="7"/>
      <c r="L909" s="7" t="str">
        <f aca="false">IFERROR(VLOOKUP(IF(ISNUMBER(SEARCH("(",F909)),LEFT(F909,SEARCH("(",F909)-1),F909),Tipos!$A:$B,2,FALSE()),"outro")</f>
        <v>texto</v>
      </c>
      <c r="M909" s="7" t="str">
        <f aca="false">IF(COUNTIF(Comparação!$H:$H,A909)&gt;0,"sim",IF(AND(G909="sim",H909=""),"FALTA (obrigatória)","não"))</f>
        <v>FALTA (obrigatória)</v>
      </c>
    </row>
    <row r="910" customFormat="false" ht="15" hidden="false" customHeight="false" outlineLevel="0" collapsed="false">
      <c r="A910" s="7" t="str">
        <f aca="false">B910&amp;"."&amp;E910</f>
        <v>metricas_definicoes.formula</v>
      </c>
      <c r="B910" s="7" t="s">
        <v>156</v>
      </c>
      <c r="C910" s="7" t="s">
        <v>34</v>
      </c>
      <c r="D910" s="7" t="n">
        <v>3</v>
      </c>
      <c r="E910" s="7" t="s">
        <v>848</v>
      </c>
      <c r="F910" s="7" t="s">
        <v>261</v>
      </c>
      <c r="G910" s="7" t="s">
        <v>262</v>
      </c>
      <c r="H910" s="7"/>
      <c r="I910" s="7"/>
      <c r="J910" s="7"/>
      <c r="K910" s="7"/>
      <c r="L910" s="7" t="str">
        <f aca="false">IFERROR(VLOOKUP(IF(ISNUMBER(SEARCH("(",F910)),LEFT(F910,SEARCH("(",F910)-1),F910),Tipos!$A:$B,2,FALSE()),"outro")</f>
        <v>texto</v>
      </c>
      <c r="M910" s="7" t="str">
        <f aca="false">IF(COUNTIF(Comparação!$H:$H,A910)&gt;0,"sim",IF(AND(G910="sim",H910=""),"FALTA (obrigatória)","não"))</f>
        <v>FALTA (obrigatória)</v>
      </c>
    </row>
    <row r="911" customFormat="false" ht="15" hidden="false" customHeight="false" outlineLevel="0" collapsed="false">
      <c r="A911" s="7" t="str">
        <f aca="false">B911&amp;"."&amp;E911</f>
        <v>metricas_definicoes.fonte</v>
      </c>
      <c r="B911" s="7" t="s">
        <v>156</v>
      </c>
      <c r="C911" s="7" t="s">
        <v>34</v>
      </c>
      <c r="D911" s="7" t="n">
        <v>4</v>
      </c>
      <c r="E911" s="7" t="s">
        <v>333</v>
      </c>
      <c r="F911" s="7" t="s">
        <v>261</v>
      </c>
      <c r="G911" s="7" t="s">
        <v>262</v>
      </c>
      <c r="H911" s="7"/>
      <c r="I911" s="7"/>
      <c r="J911" s="7"/>
      <c r="K911" s="7"/>
      <c r="L911" s="7" t="str">
        <f aca="false">IFERROR(VLOOKUP(IF(ISNUMBER(SEARCH("(",F911)),LEFT(F911,SEARCH("(",F911)-1),F911),Tipos!$A:$B,2,FALSE()),"outro")</f>
        <v>texto</v>
      </c>
      <c r="M911" s="7" t="str">
        <f aca="false">IF(COUNTIF(Comparação!$H:$H,A911)&gt;0,"sim",IF(AND(G911="sim",H911=""),"FALTA (obrigatória)","não"))</f>
        <v>FALTA (obrigatória)</v>
      </c>
    </row>
    <row r="912" customFormat="false" ht="15" hidden="false" customHeight="false" outlineLevel="0" collapsed="false">
      <c r="A912" s="7" t="str">
        <f aca="false">B912&amp;"."&amp;E912</f>
        <v>metricas_definicoes.sem_dado</v>
      </c>
      <c r="B912" s="7" t="s">
        <v>156</v>
      </c>
      <c r="C912" s="7" t="s">
        <v>34</v>
      </c>
      <c r="D912" s="7" t="n">
        <v>5</v>
      </c>
      <c r="E912" s="7" t="s">
        <v>910</v>
      </c>
      <c r="F912" s="7" t="s">
        <v>261</v>
      </c>
      <c r="G912" s="7" t="s">
        <v>262</v>
      </c>
      <c r="H912" s="7"/>
      <c r="I912" s="7"/>
      <c r="J912" s="7"/>
      <c r="K912" s="7"/>
      <c r="L912" s="7" t="str">
        <f aca="false">IFERROR(VLOOKUP(IF(ISNUMBER(SEARCH("(",F912)),LEFT(F912,SEARCH("(",F912)-1),F912),Tipos!$A:$B,2,FALSE()),"outro")</f>
        <v>texto</v>
      </c>
      <c r="M912" s="7" t="str">
        <f aca="false">IF(COUNTIF(Comparação!$H:$H,A912)&gt;0,"sim",IF(AND(G912="sim",H912=""),"FALTA (obrigatória)","não"))</f>
        <v>FALTA (obrigatória)</v>
      </c>
    </row>
    <row r="913" customFormat="false" ht="15" hidden="false" customHeight="false" outlineLevel="0" collapsed="false">
      <c r="A913" s="7" t="str">
        <f aca="false">B913&amp;"."&amp;E913</f>
        <v>metricas_definicoes.observacao</v>
      </c>
      <c r="B913" s="7" t="s">
        <v>156</v>
      </c>
      <c r="C913" s="7" t="s">
        <v>34</v>
      </c>
      <c r="D913" s="7" t="n">
        <v>6</v>
      </c>
      <c r="E913" s="7" t="s">
        <v>439</v>
      </c>
      <c r="F913" s="7" t="s">
        <v>261</v>
      </c>
      <c r="G913" s="7" t="s">
        <v>267</v>
      </c>
      <c r="H913" s="7"/>
      <c r="I913" s="7"/>
      <c r="J913" s="7"/>
      <c r="K913" s="7"/>
      <c r="L913" s="7" t="str">
        <f aca="false">IFERROR(VLOOKUP(IF(ISNUMBER(SEARCH("(",F913)),LEFT(F913,SEARCH("(",F913)-1),F913),Tipos!$A:$B,2,FALSE()),"outro")</f>
        <v>texto</v>
      </c>
      <c r="M913" s="7" t="str">
        <f aca="false">IF(COUNTIF(Comparação!$H:$H,A913)&gt;0,"sim",IF(AND(G913="sim",H913=""),"FALTA (obrigatória)","não"))</f>
        <v>não</v>
      </c>
    </row>
    <row r="914" customFormat="false" ht="15" hidden="false" customHeight="false" outlineLevel="0" collapsed="false">
      <c r="A914" s="7" t="str">
        <f aca="false">B914&amp;"."&amp;E914</f>
        <v>metricas_definicoes.versao</v>
      </c>
      <c r="B914" s="7" t="s">
        <v>156</v>
      </c>
      <c r="C914" s="7" t="s">
        <v>34</v>
      </c>
      <c r="D914" s="7" t="n">
        <v>7</v>
      </c>
      <c r="E914" s="7" t="s">
        <v>410</v>
      </c>
      <c r="F914" s="7" t="s">
        <v>269</v>
      </c>
      <c r="G914" s="7" t="s">
        <v>262</v>
      </c>
      <c r="H914" s="7" t="s">
        <v>468</v>
      </c>
      <c r="I914" s="7"/>
      <c r="J914" s="7"/>
      <c r="K914" s="7"/>
      <c r="L914" s="7" t="str">
        <f aca="false">IFERROR(VLOOKUP(IF(ISNUMBER(SEARCH("(",F914)),LEFT(F914,SEARCH("(",F914)-1),F914),Tipos!$A:$B,2,FALSE()),"outro")</f>
        <v>inteiro</v>
      </c>
      <c r="M914" s="7" t="str">
        <f aca="false">IF(COUNTIF(Comparação!$H:$H,A914)&gt;0,"sim",IF(AND(G914="sim",H914=""),"FALTA (obrigatória)","não"))</f>
        <v>não</v>
      </c>
    </row>
    <row r="915" customFormat="false" ht="15" hidden="false" customHeight="false" outlineLevel="0" collapsed="false">
      <c r="A915" s="7" t="str">
        <f aca="false">B915&amp;"."&amp;E915</f>
        <v>metricas_definicoes.atualizado_em</v>
      </c>
      <c r="B915" s="7" t="s">
        <v>156</v>
      </c>
      <c r="C915" s="7" t="s">
        <v>34</v>
      </c>
      <c r="D915" s="7" t="n">
        <v>8</v>
      </c>
      <c r="E915" s="7" t="s">
        <v>335</v>
      </c>
      <c r="F915" s="7" t="s">
        <v>285</v>
      </c>
      <c r="G915" s="7" t="s">
        <v>262</v>
      </c>
      <c r="H915" s="7" t="s">
        <v>286</v>
      </c>
      <c r="I915" s="7"/>
      <c r="J915" s="7"/>
      <c r="K915" s="7"/>
      <c r="L915" s="7" t="str">
        <f aca="false">IFERROR(VLOOKUP(IF(ISNUMBER(SEARCH("(",F915)),LEFT(F915,SEARCH("(",F915)-1),F915),Tipos!$A:$B,2,FALSE()),"outro")</f>
        <v>data e hora</v>
      </c>
      <c r="M915" s="7" t="str">
        <f aca="false">IF(COUNTIF(Comparação!$H:$H,A915)&gt;0,"sim",IF(AND(G915="sim",H915=""),"FALTA (obrigatória)","não"))</f>
        <v>não</v>
      </c>
    </row>
    <row r="916" customFormat="false" ht="15" hidden="false" customHeight="false" outlineLevel="0" collapsed="false">
      <c r="A916" s="7" t="str">
        <f aca="false">B916&amp;"."&amp;E916</f>
        <v>motivos_resultado.id</v>
      </c>
      <c r="B916" s="7" t="s">
        <v>157</v>
      </c>
      <c r="C916" s="7" t="s">
        <v>66</v>
      </c>
      <c r="D916" s="7" t="n">
        <v>1</v>
      </c>
      <c r="E916" s="7" t="s">
        <v>271</v>
      </c>
      <c r="F916" s="7" t="s">
        <v>272</v>
      </c>
      <c r="G916" s="7" t="s">
        <v>262</v>
      </c>
      <c r="H916" s="7" t="s">
        <v>273</v>
      </c>
      <c r="I916" s="7" t="s">
        <v>263</v>
      </c>
      <c r="J916" s="7"/>
      <c r="K916" s="7"/>
      <c r="L916" s="7" t="str">
        <f aca="false">IFERROR(VLOOKUP(IF(ISNUMBER(SEARCH("(",F916)),LEFT(F916,SEARCH("(",F916)-1),F916),Tipos!$A:$B,2,FALSE()),"outro")</f>
        <v>uuid</v>
      </c>
      <c r="M916" s="7" t="str">
        <f aca="false">IF(COUNTIF(Comparação!$H:$H,A916)&gt;0,"sim",IF(AND(G916="sim",H916=""),"FALTA (obrigatória)","não"))</f>
        <v>não</v>
      </c>
    </row>
    <row r="917" customFormat="false" ht="15" hidden="false" customHeight="false" outlineLevel="0" collapsed="false">
      <c r="A917" s="7" t="str">
        <f aca="false">B917&amp;"."&amp;E917</f>
        <v>motivos_resultado.workspace_id</v>
      </c>
      <c r="B917" s="7" t="s">
        <v>157</v>
      </c>
      <c r="C917" s="7" t="s">
        <v>66</v>
      </c>
      <c r="D917" s="7" t="n">
        <v>2</v>
      </c>
      <c r="E917" s="7" t="s">
        <v>274</v>
      </c>
      <c r="F917" s="7" t="s">
        <v>272</v>
      </c>
      <c r="G917" s="7" t="s">
        <v>262</v>
      </c>
      <c r="H917" s="7"/>
      <c r="I917" s="7" t="s">
        <v>290</v>
      </c>
      <c r="J917" s="7" t="s">
        <v>275</v>
      </c>
      <c r="K917" s="7"/>
      <c r="L917" s="7" t="str">
        <f aca="false">IFERROR(VLOOKUP(IF(ISNUMBER(SEARCH("(",F917)),LEFT(F917,SEARCH("(",F917)-1),F917),Tipos!$A:$B,2,FALSE()),"outro")</f>
        <v>uuid</v>
      </c>
      <c r="M917" s="7" t="str">
        <f aca="false">IF(COUNTIF(Comparação!$H:$H,A917)&gt;0,"sim",IF(AND(G917="sim",H917=""),"FALTA (obrigatória)","não"))</f>
        <v>FALTA (obrigatória)</v>
      </c>
    </row>
    <row r="918" customFormat="false" ht="15" hidden="false" customHeight="false" outlineLevel="0" collapsed="false">
      <c r="A918" s="7" t="str">
        <f aca="false">B918&amp;"."&amp;E918</f>
        <v>motivos_resultado.tipo</v>
      </c>
      <c r="B918" s="7" t="s">
        <v>157</v>
      </c>
      <c r="C918" s="7" t="s">
        <v>66</v>
      </c>
      <c r="D918" s="7" t="n">
        <v>3</v>
      </c>
      <c r="E918" s="7" t="s">
        <v>280</v>
      </c>
      <c r="F918" s="7" t="s">
        <v>261</v>
      </c>
      <c r="G918" s="7" t="s">
        <v>262</v>
      </c>
      <c r="H918" s="7"/>
      <c r="I918" s="7" t="s">
        <v>290</v>
      </c>
      <c r="J918" s="7"/>
      <c r="K918" s="7" t="s">
        <v>949</v>
      </c>
      <c r="L918" s="7" t="str">
        <f aca="false">IFERROR(VLOOKUP(IF(ISNUMBER(SEARCH("(",F918)),LEFT(F918,SEARCH("(",F918)-1),F918),Tipos!$A:$B,2,FALSE()),"outro")</f>
        <v>texto</v>
      </c>
      <c r="M918" s="7" t="str">
        <f aca="false">IF(COUNTIF(Comparação!$H:$H,A918)&gt;0,"sim",IF(AND(G918="sim",H918=""),"FALTA (obrigatória)","não"))</f>
        <v>FALTA (obrigatória)</v>
      </c>
    </row>
    <row r="919" customFormat="false" ht="15" hidden="false" customHeight="false" outlineLevel="0" collapsed="false">
      <c r="A919" s="7" t="str">
        <f aca="false">B919&amp;"."&amp;E919</f>
        <v>motivos_resultado.nome</v>
      </c>
      <c r="B919" s="7" t="s">
        <v>157</v>
      </c>
      <c r="C919" s="7" t="s">
        <v>66</v>
      </c>
      <c r="D919" s="7" t="n">
        <v>4</v>
      </c>
      <c r="E919" s="7" t="s">
        <v>265</v>
      </c>
      <c r="F919" s="7" t="s">
        <v>261</v>
      </c>
      <c r="G919" s="7" t="s">
        <v>262</v>
      </c>
      <c r="H919" s="7"/>
      <c r="I919" s="7" t="s">
        <v>290</v>
      </c>
      <c r="J919" s="7"/>
      <c r="K919" s="7"/>
      <c r="L919" s="7" t="str">
        <f aca="false">IFERROR(VLOOKUP(IF(ISNUMBER(SEARCH("(",F919)),LEFT(F919,SEARCH("(",F919)-1),F919),Tipos!$A:$B,2,FALSE()),"outro")</f>
        <v>texto</v>
      </c>
      <c r="M919" s="7" t="str">
        <f aca="false">IF(COUNTIF(Comparação!$H:$H,A919)&gt;0,"sim",IF(AND(G919="sim",H919=""),"FALTA (obrigatória)","não"))</f>
        <v>FALTA (obrigatória)</v>
      </c>
    </row>
    <row r="920" customFormat="false" ht="15" hidden="false" customHeight="false" outlineLevel="0" collapsed="false">
      <c r="A920" s="7" t="str">
        <f aca="false">B920&amp;"."&amp;E920</f>
        <v>motivos_resultado.ativo</v>
      </c>
      <c r="B920" s="7" t="s">
        <v>157</v>
      </c>
      <c r="C920" s="7" t="s">
        <v>66</v>
      </c>
      <c r="D920" s="7" t="n">
        <v>5</v>
      </c>
      <c r="E920" s="7" t="s">
        <v>309</v>
      </c>
      <c r="F920" s="7" t="s">
        <v>310</v>
      </c>
      <c r="G920" s="7" t="s">
        <v>262</v>
      </c>
      <c r="H920" s="7" t="s">
        <v>311</v>
      </c>
      <c r="I920" s="7"/>
      <c r="J920" s="7"/>
      <c r="K920" s="7"/>
      <c r="L920" s="7" t="str">
        <f aca="false">IFERROR(VLOOKUP(IF(ISNUMBER(SEARCH("(",F920)),LEFT(F920,SEARCH("(",F920)-1),F920),Tipos!$A:$B,2,FALSE()),"outro")</f>
        <v>booleano</v>
      </c>
      <c r="M920" s="7" t="str">
        <f aca="false">IF(COUNTIF(Comparação!$H:$H,A920)&gt;0,"sim",IF(AND(G920="sim",H920=""),"FALTA (obrigatória)","não"))</f>
        <v>não</v>
      </c>
    </row>
    <row r="921" customFormat="false" ht="15" hidden="false" customHeight="false" outlineLevel="0" collapsed="false">
      <c r="A921" s="7" t="str">
        <f aca="false">B921&amp;"."&amp;E921</f>
        <v>movimentacoes_bancarias.id</v>
      </c>
      <c r="B921" s="7" t="s">
        <v>158</v>
      </c>
      <c r="C921" s="7" t="s">
        <v>69</v>
      </c>
      <c r="D921" s="7" t="n">
        <v>1</v>
      </c>
      <c r="E921" s="7" t="s">
        <v>271</v>
      </c>
      <c r="F921" s="7" t="s">
        <v>272</v>
      </c>
      <c r="G921" s="7" t="s">
        <v>262</v>
      </c>
      <c r="H921" s="7" t="s">
        <v>273</v>
      </c>
      <c r="I921" s="7" t="s">
        <v>263</v>
      </c>
      <c r="J921" s="7"/>
      <c r="K921" s="7"/>
      <c r="L921" s="7" t="str">
        <f aca="false">IFERROR(VLOOKUP(IF(ISNUMBER(SEARCH("(",F921)),LEFT(F921,SEARCH("(",F921)-1),F921),Tipos!$A:$B,2,FALSE()),"outro")</f>
        <v>uuid</v>
      </c>
      <c r="M921" s="7" t="str">
        <f aca="false">IF(COUNTIF(Comparação!$H:$H,A921)&gt;0,"sim",IF(AND(G921="sim",H921=""),"FALTA (obrigatória)","não"))</f>
        <v>não</v>
      </c>
    </row>
    <row r="922" customFormat="false" ht="15" hidden="false" customHeight="false" outlineLevel="0" collapsed="false">
      <c r="A922" s="7" t="str">
        <f aca="false">B922&amp;"."&amp;E922</f>
        <v>movimentacoes_bancarias.workspace_id</v>
      </c>
      <c r="B922" s="7" t="s">
        <v>158</v>
      </c>
      <c r="C922" s="7" t="s">
        <v>69</v>
      </c>
      <c r="D922" s="7" t="n">
        <v>2</v>
      </c>
      <c r="E922" s="7" t="s">
        <v>274</v>
      </c>
      <c r="F922" s="7" t="s">
        <v>272</v>
      </c>
      <c r="G922" s="7" t="s">
        <v>262</v>
      </c>
      <c r="H922" s="7"/>
      <c r="I922" s="7"/>
      <c r="J922" s="7" t="s">
        <v>275</v>
      </c>
      <c r="K922" s="7"/>
      <c r="L922" s="7" t="str">
        <f aca="false">IFERROR(VLOOKUP(IF(ISNUMBER(SEARCH("(",F922)),LEFT(F922,SEARCH("(",F922)-1),F922),Tipos!$A:$B,2,FALSE()),"outro")</f>
        <v>uuid</v>
      </c>
      <c r="M922" s="7" t="str">
        <f aca="false">IF(COUNTIF(Comparação!$H:$H,A922)&gt;0,"sim",IF(AND(G922="sim",H922=""),"FALTA (obrigatória)","não"))</f>
        <v>FALTA (obrigatória)</v>
      </c>
    </row>
    <row r="923" customFormat="false" ht="15" hidden="false" customHeight="false" outlineLevel="0" collapsed="false">
      <c r="A923" s="7" t="str">
        <f aca="false">B923&amp;"."&amp;E923</f>
        <v>movimentacoes_bancarias.conta_bancaria_id</v>
      </c>
      <c r="B923" s="7" t="s">
        <v>158</v>
      </c>
      <c r="C923" s="7" t="s">
        <v>69</v>
      </c>
      <c r="D923" s="7" t="n">
        <v>3</v>
      </c>
      <c r="E923" s="7" t="s">
        <v>538</v>
      </c>
      <c r="F923" s="7" t="s">
        <v>272</v>
      </c>
      <c r="G923" s="7" t="s">
        <v>262</v>
      </c>
      <c r="H923" s="7"/>
      <c r="I923" s="7"/>
      <c r="J923" s="7" t="s">
        <v>539</v>
      </c>
      <c r="K923" s="7"/>
      <c r="L923" s="7" t="str">
        <f aca="false">IFERROR(VLOOKUP(IF(ISNUMBER(SEARCH("(",F923)),LEFT(F923,SEARCH("(",F923)-1),F923),Tipos!$A:$B,2,FALSE()),"outro")</f>
        <v>uuid</v>
      </c>
      <c r="M923" s="7" t="str">
        <f aca="false">IF(COUNTIF(Comparação!$H:$H,A923)&gt;0,"sim",IF(AND(G923="sim",H923=""),"FALTA (obrigatória)","não"))</f>
        <v>FALTA (obrigatória)</v>
      </c>
    </row>
    <row r="924" customFormat="false" ht="15" hidden="false" customHeight="false" outlineLevel="0" collapsed="false">
      <c r="A924" s="7" t="str">
        <f aca="false">B924&amp;"."&amp;E924</f>
        <v>movimentacoes_bancarias.data</v>
      </c>
      <c r="B924" s="7" t="s">
        <v>158</v>
      </c>
      <c r="C924" s="7" t="s">
        <v>69</v>
      </c>
      <c r="D924" s="7" t="n">
        <v>4</v>
      </c>
      <c r="E924" s="7" t="s">
        <v>378</v>
      </c>
      <c r="F924" s="7" t="s">
        <v>379</v>
      </c>
      <c r="G924" s="7" t="s">
        <v>262</v>
      </c>
      <c r="H924" s="7"/>
      <c r="I924" s="7"/>
      <c r="J924" s="7"/>
      <c r="K924" s="7"/>
      <c r="L924" s="7" t="str">
        <f aca="false">IFERROR(VLOOKUP(IF(ISNUMBER(SEARCH("(",F924)),LEFT(F924,SEARCH("(",F924)-1),F924),Tipos!$A:$B,2,FALSE()),"outro")</f>
        <v>data</v>
      </c>
      <c r="M924" s="7" t="str">
        <f aca="false">IF(COUNTIF(Comparação!$H:$H,A924)&gt;0,"sim",IF(AND(G924="sim",H924=""),"FALTA (obrigatória)","não"))</f>
        <v>FALTA (obrigatória)</v>
      </c>
    </row>
    <row r="925" customFormat="false" ht="15" hidden="false" customHeight="false" outlineLevel="0" collapsed="false">
      <c r="A925" s="7" t="str">
        <f aca="false">B925&amp;"."&amp;E925</f>
        <v>movimentacoes_bancarias.tipo</v>
      </c>
      <c r="B925" s="7" t="s">
        <v>158</v>
      </c>
      <c r="C925" s="7" t="s">
        <v>69</v>
      </c>
      <c r="D925" s="7" t="n">
        <v>5</v>
      </c>
      <c r="E925" s="7" t="s">
        <v>280</v>
      </c>
      <c r="F925" s="7" t="s">
        <v>261</v>
      </c>
      <c r="G925" s="7" t="s">
        <v>262</v>
      </c>
      <c r="H925" s="7"/>
      <c r="I925" s="7"/>
      <c r="J925" s="7"/>
      <c r="K925" s="7" t="s">
        <v>950</v>
      </c>
      <c r="L925" s="7" t="str">
        <f aca="false">IFERROR(VLOOKUP(IF(ISNUMBER(SEARCH("(",F925)),LEFT(F925,SEARCH("(",F925)-1),F925),Tipos!$A:$B,2,FALSE()),"outro")</f>
        <v>texto</v>
      </c>
      <c r="M925" s="7" t="str">
        <f aca="false">IF(COUNTIF(Comparação!$H:$H,A925)&gt;0,"sim",IF(AND(G925="sim",H925=""),"FALTA (obrigatória)","não"))</f>
        <v>FALTA (obrigatória)</v>
      </c>
    </row>
    <row r="926" customFormat="false" ht="15" hidden="false" customHeight="false" outlineLevel="0" collapsed="false">
      <c r="A926" s="7" t="str">
        <f aca="false">B926&amp;"."&amp;E926</f>
        <v>movimentacoes_bancarias.valor</v>
      </c>
      <c r="B926" s="7" t="s">
        <v>158</v>
      </c>
      <c r="C926" s="7" t="s">
        <v>69</v>
      </c>
      <c r="D926" s="7" t="n">
        <v>6</v>
      </c>
      <c r="E926" s="7" t="s">
        <v>330</v>
      </c>
      <c r="F926" s="7" t="s">
        <v>354</v>
      </c>
      <c r="G926" s="7" t="s">
        <v>262</v>
      </c>
      <c r="H926" s="7"/>
      <c r="I926" s="7"/>
      <c r="J926" s="7"/>
      <c r="K926" s="7" t="s">
        <v>529</v>
      </c>
      <c r="L926" s="7" t="str">
        <f aca="false">IFERROR(VLOOKUP(IF(ISNUMBER(SEARCH("(",F926)),LEFT(F926,SEARCH("(",F926)-1),F926),Tipos!$A:$B,2,FALSE()),"outro")</f>
        <v>decimal</v>
      </c>
      <c r="M926" s="7" t="str">
        <f aca="false">IF(COUNTIF(Comparação!$H:$H,A926)&gt;0,"sim",IF(AND(G926="sim",H926=""),"FALTA (obrigatória)","não"))</f>
        <v>FALTA (obrigatória)</v>
      </c>
    </row>
    <row r="927" customFormat="false" ht="15" hidden="false" customHeight="false" outlineLevel="0" collapsed="false">
      <c r="A927" s="7" t="str">
        <f aca="false">B927&amp;"."&amp;E927</f>
        <v>movimentacoes_bancarias.descricao</v>
      </c>
      <c r="B927" s="7" t="s">
        <v>158</v>
      </c>
      <c r="C927" s="7" t="s">
        <v>69</v>
      </c>
      <c r="D927" s="7" t="n">
        <v>7</v>
      </c>
      <c r="E927" s="7" t="s">
        <v>427</v>
      </c>
      <c r="F927" s="7" t="s">
        <v>261</v>
      </c>
      <c r="G927" s="7" t="s">
        <v>267</v>
      </c>
      <c r="H927" s="7"/>
      <c r="I927" s="7"/>
      <c r="J927" s="7"/>
      <c r="K927" s="7"/>
      <c r="L927" s="7" t="str">
        <f aca="false">IFERROR(VLOOKUP(IF(ISNUMBER(SEARCH("(",F927)),LEFT(F927,SEARCH("(",F927)-1),F927),Tipos!$A:$B,2,FALSE()),"outro")</f>
        <v>texto</v>
      </c>
      <c r="M927" s="7" t="str">
        <f aca="false">IF(COUNTIF(Comparação!$H:$H,A927)&gt;0,"sim",IF(AND(G927="sim",H927=""),"FALTA (obrigatória)","não"))</f>
        <v>não</v>
      </c>
    </row>
    <row r="928" customFormat="false" ht="15" hidden="false" customHeight="false" outlineLevel="0" collapsed="false">
      <c r="A928" s="7" t="str">
        <f aca="false">B928&amp;"."&amp;E928</f>
        <v>movimentacoes_bancarias.origem_tipo</v>
      </c>
      <c r="B928" s="7" t="s">
        <v>158</v>
      </c>
      <c r="C928" s="7" t="s">
        <v>69</v>
      </c>
      <c r="D928" s="7" t="n">
        <v>8</v>
      </c>
      <c r="E928" s="7" t="s">
        <v>937</v>
      </c>
      <c r="F928" s="7" t="s">
        <v>261</v>
      </c>
      <c r="G928" s="7" t="s">
        <v>267</v>
      </c>
      <c r="H928" s="7"/>
      <c r="I928" s="7"/>
      <c r="J928" s="7"/>
      <c r="K928" s="7"/>
      <c r="L928" s="7" t="str">
        <f aca="false">IFERROR(VLOOKUP(IF(ISNUMBER(SEARCH("(",F928)),LEFT(F928,SEARCH("(",F928)-1),F928),Tipos!$A:$B,2,FALSE()),"outro")</f>
        <v>texto</v>
      </c>
      <c r="M928" s="7" t="str">
        <f aca="false">IF(COUNTIF(Comparação!$H:$H,A928)&gt;0,"sim",IF(AND(G928="sim",H928=""),"FALTA (obrigatória)","não"))</f>
        <v>não</v>
      </c>
    </row>
    <row r="929" customFormat="false" ht="15" hidden="false" customHeight="false" outlineLevel="0" collapsed="false">
      <c r="A929" s="7" t="str">
        <f aca="false">B929&amp;"."&amp;E929</f>
        <v>movimentacoes_bancarias.origem_id</v>
      </c>
      <c r="B929" s="7" t="s">
        <v>158</v>
      </c>
      <c r="C929" s="7" t="s">
        <v>69</v>
      </c>
      <c r="D929" s="7" t="n">
        <v>9</v>
      </c>
      <c r="E929" s="7" t="s">
        <v>939</v>
      </c>
      <c r="F929" s="7" t="s">
        <v>272</v>
      </c>
      <c r="G929" s="7" t="s">
        <v>267</v>
      </c>
      <c r="H929" s="7"/>
      <c r="I929" s="7"/>
      <c r="J929" s="7"/>
      <c r="K929" s="7"/>
      <c r="L929" s="7" t="str">
        <f aca="false">IFERROR(VLOOKUP(IF(ISNUMBER(SEARCH("(",F929)),LEFT(F929,SEARCH("(",F929)-1),F929),Tipos!$A:$B,2,FALSE()),"outro")</f>
        <v>uuid</v>
      </c>
      <c r="M929" s="7" t="str">
        <f aca="false">IF(COUNTIF(Comparação!$H:$H,A929)&gt;0,"sim",IF(AND(G929="sim",H929=""),"FALTA (obrigatória)","não"))</f>
        <v>não</v>
      </c>
    </row>
    <row r="930" customFormat="false" ht="15" hidden="false" customHeight="false" outlineLevel="0" collapsed="false">
      <c r="A930" s="7" t="str">
        <f aca="false">B930&amp;"."&amp;E930</f>
        <v>movimentacoes_bancarias.lancamento_id</v>
      </c>
      <c r="B930" s="7" t="s">
        <v>158</v>
      </c>
      <c r="C930" s="7" t="s">
        <v>69</v>
      </c>
      <c r="D930" s="7" t="n">
        <v>10</v>
      </c>
      <c r="E930" s="7" t="s">
        <v>712</v>
      </c>
      <c r="F930" s="7" t="s">
        <v>272</v>
      </c>
      <c r="G930" s="7" t="s">
        <v>267</v>
      </c>
      <c r="H930" s="7"/>
      <c r="I930" s="7"/>
      <c r="J930" s="7" t="s">
        <v>713</v>
      </c>
      <c r="K930" s="7"/>
      <c r="L930" s="7" t="str">
        <f aca="false">IFERROR(VLOOKUP(IF(ISNUMBER(SEARCH("(",F930)),LEFT(F930,SEARCH("(",F930)-1),F930),Tipos!$A:$B,2,FALSE()),"outro")</f>
        <v>uuid</v>
      </c>
      <c r="M930" s="7" t="str">
        <f aca="false">IF(COUNTIF(Comparação!$H:$H,A930)&gt;0,"sim",IF(AND(G930="sim",H930=""),"FALTA (obrigatória)","não"))</f>
        <v>não</v>
      </c>
    </row>
    <row r="931" customFormat="false" ht="15" hidden="false" customHeight="false" outlineLevel="0" collapsed="false">
      <c r="A931" s="7" t="str">
        <f aca="false">B931&amp;"."&amp;E931</f>
        <v>notificacoes.id</v>
      </c>
      <c r="B931" s="7" t="s">
        <v>160</v>
      </c>
      <c r="C931" s="7" t="s">
        <v>24</v>
      </c>
      <c r="D931" s="7" t="n">
        <v>1</v>
      </c>
      <c r="E931" s="7" t="s">
        <v>271</v>
      </c>
      <c r="F931" s="7" t="s">
        <v>272</v>
      </c>
      <c r="G931" s="7" t="s">
        <v>262</v>
      </c>
      <c r="H931" s="7" t="s">
        <v>273</v>
      </c>
      <c r="I931" s="7" t="s">
        <v>263</v>
      </c>
      <c r="J931" s="7"/>
      <c r="K931" s="7"/>
      <c r="L931" s="7" t="str">
        <f aca="false">IFERROR(VLOOKUP(IF(ISNUMBER(SEARCH("(",F931)),LEFT(F931,SEARCH("(",F931)-1),F931),Tipos!$A:$B,2,FALSE()),"outro")</f>
        <v>uuid</v>
      </c>
      <c r="M931" s="7" t="str">
        <f aca="false">IF(COUNTIF(Comparação!$H:$H,A931)&gt;0,"sim",IF(AND(G931="sim",H931=""),"FALTA (obrigatória)","não"))</f>
        <v>não</v>
      </c>
    </row>
    <row r="932" customFormat="false" ht="15" hidden="false" customHeight="false" outlineLevel="0" collapsed="false">
      <c r="A932" s="7" t="str">
        <f aca="false">B932&amp;"."&amp;E932</f>
        <v>notificacoes.workspace_id</v>
      </c>
      <c r="B932" s="7" t="s">
        <v>160</v>
      </c>
      <c r="C932" s="7" t="s">
        <v>24</v>
      </c>
      <c r="D932" s="7" t="n">
        <v>2</v>
      </c>
      <c r="E932" s="7" t="s">
        <v>274</v>
      </c>
      <c r="F932" s="7" t="s">
        <v>272</v>
      </c>
      <c r="G932" s="7" t="s">
        <v>262</v>
      </c>
      <c r="H932" s="7"/>
      <c r="I932" s="7"/>
      <c r="J932" s="7" t="s">
        <v>275</v>
      </c>
      <c r="K932" s="7"/>
      <c r="L932" s="7" t="str">
        <f aca="false">IFERROR(VLOOKUP(IF(ISNUMBER(SEARCH("(",F932)),LEFT(F932,SEARCH("(",F932)-1),F932),Tipos!$A:$B,2,FALSE()),"outro")</f>
        <v>uuid</v>
      </c>
      <c r="M932" s="7" t="str">
        <f aca="false">IF(COUNTIF(Comparação!$H:$H,A932)&gt;0,"sim",IF(AND(G932="sim",H932=""),"FALTA (obrigatória)","não"))</f>
        <v>FALTA (obrigatória)</v>
      </c>
    </row>
    <row r="933" customFormat="false" ht="15" hidden="false" customHeight="false" outlineLevel="0" collapsed="false">
      <c r="A933" s="7" t="str">
        <f aca="false">B933&amp;"."&amp;E933</f>
        <v>notificacoes.destinatario_id</v>
      </c>
      <c r="B933" s="7" t="s">
        <v>160</v>
      </c>
      <c r="C933" s="7" t="s">
        <v>24</v>
      </c>
      <c r="D933" s="7" t="n">
        <v>3</v>
      </c>
      <c r="E933" s="7" t="s">
        <v>951</v>
      </c>
      <c r="F933" s="7" t="s">
        <v>272</v>
      </c>
      <c r="G933" s="7" t="s">
        <v>262</v>
      </c>
      <c r="H933" s="7"/>
      <c r="I933" s="7"/>
      <c r="J933" s="7" t="s">
        <v>299</v>
      </c>
      <c r="K933" s="7"/>
      <c r="L933" s="7" t="str">
        <f aca="false">IFERROR(VLOOKUP(IF(ISNUMBER(SEARCH("(",F933)),LEFT(F933,SEARCH("(",F933)-1),F933),Tipos!$A:$B,2,FALSE()),"outro")</f>
        <v>uuid</v>
      </c>
      <c r="M933" s="7" t="str">
        <f aca="false">IF(COUNTIF(Comparação!$H:$H,A933)&gt;0,"sim",IF(AND(G933="sim",H933=""),"FALTA (obrigatória)","não"))</f>
        <v>FALTA (obrigatória)</v>
      </c>
    </row>
    <row r="934" customFormat="false" ht="15" hidden="false" customHeight="false" outlineLevel="0" collapsed="false">
      <c r="A934" s="7" t="str">
        <f aca="false">B934&amp;"."&amp;E934</f>
        <v>notificacoes.projeto_id</v>
      </c>
      <c r="B934" s="7" t="s">
        <v>160</v>
      </c>
      <c r="C934" s="7" t="s">
        <v>24</v>
      </c>
      <c r="D934" s="7" t="n">
        <v>4</v>
      </c>
      <c r="E934" s="7" t="s">
        <v>838</v>
      </c>
      <c r="F934" s="7" t="s">
        <v>272</v>
      </c>
      <c r="G934" s="7" t="s">
        <v>267</v>
      </c>
      <c r="H934" s="7"/>
      <c r="I934" s="7"/>
      <c r="J934" s="7" t="s">
        <v>839</v>
      </c>
      <c r="K934" s="7"/>
      <c r="L934" s="7" t="str">
        <f aca="false">IFERROR(VLOOKUP(IF(ISNUMBER(SEARCH("(",F934)),LEFT(F934,SEARCH("(",F934)-1),F934),Tipos!$A:$B,2,FALSE()),"outro")</f>
        <v>uuid</v>
      </c>
      <c r="M934" s="7" t="str">
        <f aca="false">IF(COUNTIF(Comparação!$H:$H,A934)&gt;0,"sim",IF(AND(G934="sim",H934=""),"FALTA (obrigatória)","não"))</f>
        <v>não</v>
      </c>
    </row>
    <row r="935" customFormat="false" ht="15" hidden="false" customHeight="false" outlineLevel="0" collapsed="false">
      <c r="A935" s="7" t="str">
        <f aca="false">B935&amp;"."&amp;E935</f>
        <v>notificacoes.atividade_id</v>
      </c>
      <c r="B935" s="7" t="s">
        <v>160</v>
      </c>
      <c r="C935" s="7" t="s">
        <v>24</v>
      </c>
      <c r="D935" s="7" t="n">
        <v>5</v>
      </c>
      <c r="E935" s="7" t="s">
        <v>952</v>
      </c>
      <c r="F935" s="7" t="s">
        <v>272</v>
      </c>
      <c r="G935" s="7" t="s">
        <v>267</v>
      </c>
      <c r="H935" s="7"/>
      <c r="I935" s="7"/>
      <c r="J935" s="7" t="s">
        <v>953</v>
      </c>
      <c r="K935" s="7"/>
      <c r="L935" s="7" t="str">
        <f aca="false">IFERROR(VLOOKUP(IF(ISNUMBER(SEARCH("(",F935)),LEFT(F935,SEARCH("(",F935)-1),F935),Tipos!$A:$B,2,FALSE()),"outro")</f>
        <v>uuid</v>
      </c>
      <c r="M935" s="7" t="str">
        <f aca="false">IF(COUNTIF(Comparação!$H:$H,A935)&gt;0,"sim",IF(AND(G935="sim",H935=""),"FALTA (obrigatória)","não"))</f>
        <v>não</v>
      </c>
    </row>
    <row r="936" customFormat="false" ht="15" hidden="false" customHeight="false" outlineLevel="0" collapsed="false">
      <c r="A936" s="7" t="str">
        <f aca="false">B936&amp;"."&amp;E936</f>
        <v>notificacoes.tipo</v>
      </c>
      <c r="B936" s="7" t="s">
        <v>160</v>
      </c>
      <c r="C936" s="7" t="s">
        <v>24</v>
      </c>
      <c r="D936" s="7" t="n">
        <v>6</v>
      </c>
      <c r="E936" s="7" t="s">
        <v>280</v>
      </c>
      <c r="F936" s="7" t="s">
        <v>261</v>
      </c>
      <c r="G936" s="7" t="s">
        <v>262</v>
      </c>
      <c r="H936" s="7" t="s">
        <v>954</v>
      </c>
      <c r="I936" s="7"/>
      <c r="J936" s="7"/>
      <c r="K936" s="7"/>
      <c r="L936" s="7" t="str">
        <f aca="false">IFERROR(VLOOKUP(IF(ISNUMBER(SEARCH("(",F936)),LEFT(F936,SEARCH("(",F936)-1),F936),Tipos!$A:$B,2,FALSE()),"outro")</f>
        <v>texto</v>
      </c>
      <c r="M936" s="7" t="str">
        <f aca="false">IF(COUNTIF(Comparação!$H:$H,A936)&gt;0,"sim",IF(AND(G936="sim",H936=""),"FALTA (obrigatória)","não"))</f>
        <v>não</v>
      </c>
    </row>
    <row r="937" customFormat="false" ht="15" hidden="false" customHeight="false" outlineLevel="0" collapsed="false">
      <c r="A937" s="7" t="str">
        <f aca="false">B937&amp;"."&amp;E937</f>
        <v>notificacoes.canal</v>
      </c>
      <c r="B937" s="7" t="s">
        <v>160</v>
      </c>
      <c r="C937" s="7" t="s">
        <v>24</v>
      </c>
      <c r="D937" s="7" t="n">
        <v>7</v>
      </c>
      <c r="E937" s="7" t="s">
        <v>350</v>
      </c>
      <c r="F937" s="7" t="s">
        <v>261</v>
      </c>
      <c r="G937" s="7" t="s">
        <v>262</v>
      </c>
      <c r="H937" s="7"/>
      <c r="I937" s="7"/>
      <c r="J937" s="7"/>
      <c r="K937" s="7" t="s">
        <v>955</v>
      </c>
      <c r="L937" s="7" t="str">
        <f aca="false">IFERROR(VLOOKUP(IF(ISNUMBER(SEARCH("(",F937)),LEFT(F937,SEARCH("(",F937)-1),F937),Tipos!$A:$B,2,FALSE()),"outro")</f>
        <v>texto</v>
      </c>
      <c r="M937" s="7" t="str">
        <f aca="false">IF(COUNTIF(Comparação!$H:$H,A937)&gt;0,"sim",IF(AND(G937="sim",H937=""),"FALTA (obrigatória)","não"))</f>
        <v>FALTA (obrigatória)</v>
      </c>
    </row>
    <row r="938" customFormat="false" ht="15" hidden="false" customHeight="false" outlineLevel="0" collapsed="false">
      <c r="A938" s="7" t="str">
        <f aca="false">B938&amp;"."&amp;E938</f>
        <v>notificacoes.titulo</v>
      </c>
      <c r="B938" s="7" t="s">
        <v>160</v>
      </c>
      <c r="C938" s="7" t="s">
        <v>24</v>
      </c>
      <c r="D938" s="7" t="n">
        <v>8</v>
      </c>
      <c r="E938" s="7" t="s">
        <v>425</v>
      </c>
      <c r="F938" s="7" t="s">
        <v>261</v>
      </c>
      <c r="G938" s="7" t="s">
        <v>262</v>
      </c>
      <c r="H938" s="7"/>
      <c r="I938" s="7"/>
      <c r="J938" s="7"/>
      <c r="K938" s="7"/>
      <c r="L938" s="7" t="str">
        <f aca="false">IFERROR(VLOOKUP(IF(ISNUMBER(SEARCH("(",F938)),LEFT(F938,SEARCH("(",F938)-1),F938),Tipos!$A:$B,2,FALSE()),"outro")</f>
        <v>texto</v>
      </c>
      <c r="M938" s="7" t="str">
        <f aca="false">IF(COUNTIF(Comparação!$H:$H,A938)&gt;0,"sim",IF(AND(G938="sim",H938=""),"FALTA (obrigatória)","não"))</f>
        <v>FALTA (obrigatória)</v>
      </c>
    </row>
    <row r="939" customFormat="false" ht="15" hidden="false" customHeight="false" outlineLevel="0" collapsed="false">
      <c r="A939" s="7" t="str">
        <f aca="false">B939&amp;"."&amp;E939</f>
        <v>notificacoes.mensagem</v>
      </c>
      <c r="B939" s="7" t="s">
        <v>160</v>
      </c>
      <c r="C939" s="7" t="s">
        <v>24</v>
      </c>
      <c r="D939" s="7" t="n">
        <v>9</v>
      </c>
      <c r="E939" s="7" t="s">
        <v>867</v>
      </c>
      <c r="F939" s="7" t="s">
        <v>261</v>
      </c>
      <c r="G939" s="7" t="s">
        <v>262</v>
      </c>
      <c r="H939" s="7"/>
      <c r="I939" s="7"/>
      <c r="J939" s="7"/>
      <c r="K939" s="7"/>
      <c r="L939" s="7" t="str">
        <f aca="false">IFERROR(VLOOKUP(IF(ISNUMBER(SEARCH("(",F939)),LEFT(F939,SEARCH("(",F939)-1),F939),Tipos!$A:$B,2,FALSE()),"outro")</f>
        <v>texto</v>
      </c>
      <c r="M939" s="7" t="str">
        <f aca="false">IF(COUNTIF(Comparação!$H:$H,A939)&gt;0,"sim",IF(AND(G939="sim",H939=""),"FALTA (obrigatória)","não"))</f>
        <v>FALTA (obrigatória)</v>
      </c>
    </row>
    <row r="940" customFormat="false" ht="15" hidden="false" customHeight="false" outlineLevel="0" collapsed="false">
      <c r="A940" s="7" t="str">
        <f aca="false">B940&amp;"."&amp;E940</f>
        <v>notificacoes.status</v>
      </c>
      <c r="B940" s="7" t="s">
        <v>160</v>
      </c>
      <c r="C940" s="7" t="s">
        <v>24</v>
      </c>
      <c r="D940" s="7" t="n">
        <v>10</v>
      </c>
      <c r="E940" s="7" t="s">
        <v>293</v>
      </c>
      <c r="F940" s="7" t="s">
        <v>261</v>
      </c>
      <c r="G940" s="7" t="s">
        <v>262</v>
      </c>
      <c r="H940" s="7" t="s">
        <v>956</v>
      </c>
      <c r="I940" s="7"/>
      <c r="J940" s="7"/>
      <c r="K940" s="7" t="s">
        <v>957</v>
      </c>
      <c r="L940" s="7" t="str">
        <f aca="false">IFERROR(VLOOKUP(IF(ISNUMBER(SEARCH("(",F940)),LEFT(F940,SEARCH("(",F940)-1),F940),Tipos!$A:$B,2,FALSE()),"outro")</f>
        <v>texto</v>
      </c>
      <c r="M940" s="7" t="str">
        <f aca="false">IF(COUNTIF(Comparação!$H:$H,A940)&gt;0,"sim",IF(AND(G940="sim",H940=""),"FALTA (obrigatória)","não"))</f>
        <v>não</v>
      </c>
    </row>
    <row r="941" customFormat="false" ht="15" hidden="false" customHeight="false" outlineLevel="0" collapsed="false">
      <c r="A941" s="7" t="str">
        <f aca="false">B941&amp;"."&amp;E941</f>
        <v>notificacoes.erro</v>
      </c>
      <c r="B941" s="7" t="s">
        <v>160</v>
      </c>
      <c r="C941" s="7" t="s">
        <v>24</v>
      </c>
      <c r="D941" s="7" t="n">
        <v>11</v>
      </c>
      <c r="E941" s="7" t="s">
        <v>958</v>
      </c>
      <c r="F941" s="7" t="s">
        <v>261</v>
      </c>
      <c r="G941" s="7" t="s">
        <v>267</v>
      </c>
      <c r="H941" s="7"/>
      <c r="I941" s="7"/>
      <c r="J941" s="7"/>
      <c r="K941" s="7"/>
      <c r="L941" s="7" t="str">
        <f aca="false">IFERROR(VLOOKUP(IF(ISNUMBER(SEARCH("(",F941)),LEFT(F941,SEARCH("(",F941)-1),F941),Tipos!$A:$B,2,FALSE()),"outro")</f>
        <v>texto</v>
      </c>
      <c r="M941" s="7" t="str">
        <f aca="false">IF(COUNTIF(Comparação!$H:$H,A941)&gt;0,"sim",IF(AND(G941="sim",H941=""),"FALTA (obrigatória)","não"))</f>
        <v>não</v>
      </c>
    </row>
    <row r="942" customFormat="false" ht="15" hidden="false" customHeight="false" outlineLevel="0" collapsed="false">
      <c r="A942" s="7" t="str">
        <f aca="false">B942&amp;"."&amp;E942</f>
        <v>notificacoes.criada_em</v>
      </c>
      <c r="B942" s="7" t="s">
        <v>160</v>
      </c>
      <c r="C942" s="7" t="s">
        <v>24</v>
      </c>
      <c r="D942" s="7" t="n">
        <v>12</v>
      </c>
      <c r="E942" s="7" t="s">
        <v>959</v>
      </c>
      <c r="F942" s="7" t="s">
        <v>285</v>
      </c>
      <c r="G942" s="7" t="s">
        <v>262</v>
      </c>
      <c r="H942" s="7" t="s">
        <v>286</v>
      </c>
      <c r="I942" s="7"/>
      <c r="J942" s="7"/>
      <c r="K942" s="7"/>
      <c r="L942" s="7" t="str">
        <f aca="false">IFERROR(VLOOKUP(IF(ISNUMBER(SEARCH("(",F942)),LEFT(F942,SEARCH("(",F942)-1),F942),Tipos!$A:$B,2,FALSE()),"outro")</f>
        <v>data e hora</v>
      </c>
      <c r="M942" s="7" t="str">
        <f aca="false">IF(COUNTIF(Comparação!$H:$H,A942)&gt;0,"sim",IF(AND(G942="sim",H942=""),"FALTA (obrigatória)","não"))</f>
        <v>não</v>
      </c>
    </row>
    <row r="943" customFormat="false" ht="15" hidden="false" customHeight="false" outlineLevel="0" collapsed="false">
      <c r="A943" s="7" t="str">
        <f aca="false">B943&amp;"."&amp;E943</f>
        <v>notificacoes.enviada_em</v>
      </c>
      <c r="B943" s="7" t="s">
        <v>160</v>
      </c>
      <c r="C943" s="7" t="s">
        <v>24</v>
      </c>
      <c r="D943" s="7" t="n">
        <v>13</v>
      </c>
      <c r="E943" s="7" t="s">
        <v>960</v>
      </c>
      <c r="F943" s="7" t="s">
        <v>285</v>
      </c>
      <c r="G943" s="7" t="s">
        <v>267</v>
      </c>
      <c r="H943" s="7"/>
      <c r="I943" s="7"/>
      <c r="J943" s="7"/>
      <c r="K943" s="7"/>
      <c r="L943" s="7" t="str">
        <f aca="false">IFERROR(VLOOKUP(IF(ISNUMBER(SEARCH("(",F943)),LEFT(F943,SEARCH("(",F943)-1),F943),Tipos!$A:$B,2,FALSE()),"outro")</f>
        <v>data e hora</v>
      </c>
      <c r="M943" s="7" t="str">
        <f aca="false">IF(COUNTIF(Comparação!$H:$H,A943)&gt;0,"sim",IF(AND(G943="sim",H943=""),"FALTA (obrigatória)","não"))</f>
        <v>não</v>
      </c>
    </row>
    <row r="944" customFormat="false" ht="15" hidden="false" customHeight="false" outlineLevel="0" collapsed="false">
      <c r="A944" s="7" t="str">
        <f aca="false">B944&amp;"."&amp;E944</f>
        <v>notificacoes.lida_em</v>
      </c>
      <c r="B944" s="7" t="s">
        <v>160</v>
      </c>
      <c r="C944" s="7" t="s">
        <v>24</v>
      </c>
      <c r="D944" s="7" t="n">
        <v>14</v>
      </c>
      <c r="E944" s="7" t="s">
        <v>961</v>
      </c>
      <c r="F944" s="7" t="s">
        <v>285</v>
      </c>
      <c r="G944" s="7" t="s">
        <v>267</v>
      </c>
      <c r="H944" s="7"/>
      <c r="I944" s="7"/>
      <c r="J944" s="7"/>
      <c r="K944" s="7"/>
      <c r="L944" s="7" t="str">
        <f aca="false">IFERROR(VLOOKUP(IF(ISNUMBER(SEARCH("(",F944)),LEFT(F944,SEARCH("(",F944)-1),F944),Tipos!$A:$B,2,FALSE()),"outro")</f>
        <v>data e hora</v>
      </c>
      <c r="M944" s="7" t="str">
        <f aca="false">IF(COUNTIF(Comparação!$H:$H,A944)&gt;0,"sim",IF(AND(G944="sim",H944=""),"FALTA (obrigatória)","não"))</f>
        <v>não</v>
      </c>
    </row>
    <row r="945" customFormat="false" ht="15" hidden="false" customHeight="false" outlineLevel="0" collapsed="false">
      <c r="A945" s="7" t="str">
        <f aca="false">B945&amp;"."&amp;E945</f>
        <v>notificacoes.pessoa_id</v>
      </c>
      <c r="B945" s="7" t="s">
        <v>160</v>
      </c>
      <c r="C945" s="7" t="s">
        <v>24</v>
      </c>
      <c r="D945" s="7" t="n">
        <v>15</v>
      </c>
      <c r="E945" s="7" t="s">
        <v>278</v>
      </c>
      <c r="F945" s="7" t="s">
        <v>272</v>
      </c>
      <c r="G945" s="7" t="s">
        <v>267</v>
      </c>
      <c r="H945" s="7"/>
      <c r="I945" s="7"/>
      <c r="J945" s="7" t="s">
        <v>279</v>
      </c>
      <c r="K945" s="7"/>
      <c r="L945" s="7" t="str">
        <f aca="false">IFERROR(VLOOKUP(IF(ISNUMBER(SEARCH("(",F945)),LEFT(F945,SEARCH("(",F945)-1),F945),Tipos!$A:$B,2,FALSE()),"outro")</f>
        <v>uuid</v>
      </c>
      <c r="M945" s="7" t="str">
        <f aca="false">IF(COUNTIF(Comparação!$H:$H,A945)&gt;0,"sim",IF(AND(G945="sim",H945=""),"FALTA (obrigatória)","não"))</f>
        <v>não</v>
      </c>
    </row>
    <row r="946" customFormat="false" ht="15" hidden="false" customHeight="false" outlineLevel="0" collapsed="false">
      <c r="A946" s="7" t="str">
        <f aca="false">B946&amp;"."&amp;E946</f>
        <v>oferta_itens.id</v>
      </c>
      <c r="B946" s="7" t="s">
        <v>162</v>
      </c>
      <c r="C946" s="7" t="s">
        <v>119</v>
      </c>
      <c r="D946" s="7" t="n">
        <v>1</v>
      </c>
      <c r="E946" s="7" t="s">
        <v>271</v>
      </c>
      <c r="F946" s="7" t="s">
        <v>272</v>
      </c>
      <c r="G946" s="7" t="s">
        <v>262</v>
      </c>
      <c r="H946" s="7" t="s">
        <v>273</v>
      </c>
      <c r="I946" s="7" t="s">
        <v>263</v>
      </c>
      <c r="J946" s="7"/>
      <c r="K946" s="7"/>
      <c r="L946" s="7" t="str">
        <f aca="false">IFERROR(VLOOKUP(IF(ISNUMBER(SEARCH("(",F946)),LEFT(F946,SEARCH("(",F946)-1),F946),Tipos!$A:$B,2,FALSE()),"outro")</f>
        <v>uuid</v>
      </c>
      <c r="M946" s="7" t="str">
        <f aca="false">IF(COUNTIF(Comparação!$H:$H,A946)&gt;0,"sim",IF(AND(G946="sim",H946=""),"FALTA (obrigatória)","não"))</f>
        <v>não</v>
      </c>
    </row>
    <row r="947" customFormat="false" ht="15" hidden="false" customHeight="false" outlineLevel="0" collapsed="false">
      <c r="A947" s="7" t="str">
        <f aca="false">B947&amp;"."&amp;E947</f>
        <v>oferta_itens.workspace_id</v>
      </c>
      <c r="B947" s="7" t="s">
        <v>162</v>
      </c>
      <c r="C947" s="7" t="s">
        <v>119</v>
      </c>
      <c r="D947" s="7" t="n">
        <v>2</v>
      </c>
      <c r="E947" s="7" t="s">
        <v>274</v>
      </c>
      <c r="F947" s="7" t="s">
        <v>272</v>
      </c>
      <c r="G947" s="7" t="s">
        <v>262</v>
      </c>
      <c r="H947" s="7"/>
      <c r="I947" s="7"/>
      <c r="J947" s="7" t="s">
        <v>275</v>
      </c>
      <c r="K947" s="7"/>
      <c r="L947" s="7" t="str">
        <f aca="false">IFERROR(VLOOKUP(IF(ISNUMBER(SEARCH("(",F947)),LEFT(F947,SEARCH("(",F947)-1),F947),Tipos!$A:$B,2,FALSE()),"outro")</f>
        <v>uuid</v>
      </c>
      <c r="M947" s="7" t="str">
        <f aca="false">IF(COUNTIF(Comparação!$H:$H,A947)&gt;0,"sim",IF(AND(G947="sim",H947=""),"FALTA (obrigatória)","não"))</f>
        <v>FALTA (obrigatória)</v>
      </c>
    </row>
    <row r="948" customFormat="false" ht="15" hidden="false" customHeight="false" outlineLevel="0" collapsed="false">
      <c r="A948" s="7" t="str">
        <f aca="false">B948&amp;"."&amp;E948</f>
        <v>oferta_itens.oferta_id</v>
      </c>
      <c r="B948" s="7" t="s">
        <v>162</v>
      </c>
      <c r="C948" s="7" t="s">
        <v>119</v>
      </c>
      <c r="D948" s="7" t="n">
        <v>3</v>
      </c>
      <c r="E948" s="7" t="s">
        <v>446</v>
      </c>
      <c r="F948" s="7" t="s">
        <v>272</v>
      </c>
      <c r="G948" s="7" t="s">
        <v>262</v>
      </c>
      <c r="H948" s="7"/>
      <c r="I948" s="7" t="s">
        <v>290</v>
      </c>
      <c r="J948" s="7" t="s">
        <v>447</v>
      </c>
      <c r="K948" s="7"/>
      <c r="L948" s="7" t="str">
        <f aca="false">IFERROR(VLOOKUP(IF(ISNUMBER(SEARCH("(",F948)),LEFT(F948,SEARCH("(",F948)-1),F948),Tipos!$A:$B,2,FALSE()),"outro")</f>
        <v>uuid</v>
      </c>
      <c r="M948" s="7" t="str">
        <f aca="false">IF(COUNTIF(Comparação!$H:$H,A948)&gt;0,"sim",IF(AND(G948="sim",H948=""),"FALTA (obrigatória)","não"))</f>
        <v>FALTA (obrigatória)</v>
      </c>
    </row>
    <row r="949" customFormat="false" ht="15" hidden="false" customHeight="false" outlineLevel="0" collapsed="false">
      <c r="A949" s="7" t="str">
        <f aca="false">B949&amp;"."&amp;E949</f>
        <v>oferta_itens.produto_id</v>
      </c>
      <c r="B949" s="7" t="s">
        <v>162</v>
      </c>
      <c r="C949" s="7" t="s">
        <v>119</v>
      </c>
      <c r="D949" s="7" t="n">
        <v>4</v>
      </c>
      <c r="E949" s="7" t="s">
        <v>287</v>
      </c>
      <c r="F949" s="7" t="s">
        <v>272</v>
      </c>
      <c r="G949" s="7" t="s">
        <v>262</v>
      </c>
      <c r="H949" s="7"/>
      <c r="I949" s="7" t="s">
        <v>290</v>
      </c>
      <c r="J949" s="7" t="s">
        <v>288</v>
      </c>
      <c r="K949" s="7"/>
      <c r="L949" s="7" t="str">
        <f aca="false">IFERROR(VLOOKUP(IF(ISNUMBER(SEARCH("(",F949)),LEFT(F949,SEARCH("(",F949)-1),F949),Tipos!$A:$B,2,FALSE()),"outro")</f>
        <v>uuid</v>
      </c>
      <c r="M949" s="7" t="str">
        <f aca="false">IF(COUNTIF(Comparação!$H:$H,A949)&gt;0,"sim",IF(AND(G949="sim",H949=""),"FALTA (obrigatória)","não"))</f>
        <v>FALTA (obrigatória)</v>
      </c>
    </row>
    <row r="950" customFormat="false" ht="15" hidden="false" customHeight="false" outlineLevel="0" collapsed="false">
      <c r="A950" s="7" t="str">
        <f aca="false">B950&amp;"."&amp;E950</f>
        <v>oferta_itens.quantidade</v>
      </c>
      <c r="B950" s="7" t="s">
        <v>162</v>
      </c>
      <c r="C950" s="7" t="s">
        <v>119</v>
      </c>
      <c r="D950" s="7" t="n">
        <v>5</v>
      </c>
      <c r="E950" s="7" t="s">
        <v>576</v>
      </c>
      <c r="F950" s="7" t="s">
        <v>380</v>
      </c>
      <c r="G950" s="7" t="s">
        <v>262</v>
      </c>
      <c r="H950" s="7" t="s">
        <v>468</v>
      </c>
      <c r="I950" s="7"/>
      <c r="J950" s="7"/>
      <c r="K950" s="7" t="s">
        <v>649</v>
      </c>
      <c r="L950" s="7" t="str">
        <f aca="false">IFERROR(VLOOKUP(IF(ISNUMBER(SEARCH("(",F950)),LEFT(F950,SEARCH("(",F950)-1),F950),Tipos!$A:$B,2,FALSE()),"outro")</f>
        <v>decimal</v>
      </c>
      <c r="M950" s="7" t="str">
        <f aca="false">IF(COUNTIF(Comparação!$H:$H,A950)&gt;0,"sim",IF(AND(G950="sim",H950=""),"FALTA (obrigatória)","não"))</f>
        <v>não</v>
      </c>
    </row>
    <row r="951" customFormat="false" ht="15" hidden="false" customHeight="false" outlineLevel="0" collapsed="false">
      <c r="A951" s="7" t="str">
        <f aca="false">B951&amp;"."&amp;E951</f>
        <v>oferta_itens.alocacao_pct</v>
      </c>
      <c r="B951" s="7" t="s">
        <v>162</v>
      </c>
      <c r="C951" s="7" t="s">
        <v>119</v>
      </c>
      <c r="D951" s="7" t="n">
        <v>6</v>
      </c>
      <c r="E951" s="7" t="s">
        <v>962</v>
      </c>
      <c r="F951" s="7" t="s">
        <v>380</v>
      </c>
      <c r="G951" s="7" t="s">
        <v>262</v>
      </c>
      <c r="H951" s="7" t="s">
        <v>963</v>
      </c>
      <c r="I951" s="7"/>
      <c r="J951" s="7"/>
      <c r="K951" s="7" t="s">
        <v>964</v>
      </c>
      <c r="L951" s="7" t="str">
        <f aca="false">IFERROR(VLOOKUP(IF(ISNUMBER(SEARCH("(",F951)),LEFT(F951,SEARCH("(",F951)-1),F951),Tipos!$A:$B,2,FALSE()),"outro")</f>
        <v>decimal</v>
      </c>
      <c r="M951" s="7" t="str">
        <f aca="false">IF(COUNTIF(Comparação!$H:$H,A951)&gt;0,"sim",IF(AND(G951="sim",H951=""),"FALTA (obrigatória)","não"))</f>
        <v>não</v>
      </c>
    </row>
    <row r="952" customFormat="false" ht="15" hidden="false" customHeight="false" outlineLevel="0" collapsed="false">
      <c r="A952" s="7" t="str">
        <f aca="false">B952&amp;"."&amp;E952</f>
        <v>oferta_versoes.id</v>
      </c>
      <c r="B952" s="7" t="s">
        <v>164</v>
      </c>
      <c r="C952" s="7" t="s">
        <v>119</v>
      </c>
      <c r="D952" s="7" t="n">
        <v>1</v>
      </c>
      <c r="E952" s="7" t="s">
        <v>271</v>
      </c>
      <c r="F952" s="7" t="s">
        <v>272</v>
      </c>
      <c r="G952" s="7" t="s">
        <v>262</v>
      </c>
      <c r="H952" s="7" t="s">
        <v>273</v>
      </c>
      <c r="I952" s="7" t="s">
        <v>263</v>
      </c>
      <c r="J952" s="7"/>
      <c r="K952" s="7"/>
      <c r="L952" s="7" t="str">
        <f aca="false">IFERROR(VLOOKUP(IF(ISNUMBER(SEARCH("(",F952)),LEFT(F952,SEARCH("(",F952)-1),F952),Tipos!$A:$B,2,FALSE()),"outro")</f>
        <v>uuid</v>
      </c>
      <c r="M952" s="7" t="str">
        <f aca="false">IF(COUNTIF(Comparação!$H:$H,A952)&gt;0,"sim",IF(AND(G952="sim",H952=""),"FALTA (obrigatória)","não"))</f>
        <v>não</v>
      </c>
    </row>
    <row r="953" customFormat="false" ht="15" hidden="false" customHeight="false" outlineLevel="0" collapsed="false">
      <c r="A953" s="7" t="str">
        <f aca="false">B953&amp;"."&amp;E953</f>
        <v>oferta_versoes.workspace_id</v>
      </c>
      <c r="B953" s="7" t="s">
        <v>164</v>
      </c>
      <c r="C953" s="7" t="s">
        <v>119</v>
      </c>
      <c r="D953" s="7" t="n">
        <v>2</v>
      </c>
      <c r="E953" s="7" t="s">
        <v>274</v>
      </c>
      <c r="F953" s="7" t="s">
        <v>272</v>
      </c>
      <c r="G953" s="7" t="s">
        <v>262</v>
      </c>
      <c r="H953" s="7"/>
      <c r="I953" s="7"/>
      <c r="J953" s="7" t="s">
        <v>275</v>
      </c>
      <c r="K953" s="7"/>
      <c r="L953" s="7" t="str">
        <f aca="false">IFERROR(VLOOKUP(IF(ISNUMBER(SEARCH("(",F953)),LEFT(F953,SEARCH("(",F953)-1),F953),Tipos!$A:$B,2,FALSE()),"outro")</f>
        <v>uuid</v>
      </c>
      <c r="M953" s="7" t="str">
        <f aca="false">IF(COUNTIF(Comparação!$H:$H,A953)&gt;0,"sim",IF(AND(G953="sim",H953=""),"FALTA (obrigatória)","não"))</f>
        <v>FALTA (obrigatória)</v>
      </c>
    </row>
    <row r="954" customFormat="false" ht="15" hidden="false" customHeight="false" outlineLevel="0" collapsed="false">
      <c r="A954" s="7" t="str">
        <f aca="false">B954&amp;"."&amp;E954</f>
        <v>oferta_versoes.oferta_id</v>
      </c>
      <c r="B954" s="7" t="s">
        <v>164</v>
      </c>
      <c r="C954" s="7" t="s">
        <v>119</v>
      </c>
      <c r="D954" s="7" t="n">
        <v>3</v>
      </c>
      <c r="E954" s="7" t="s">
        <v>446</v>
      </c>
      <c r="F954" s="7" t="s">
        <v>272</v>
      </c>
      <c r="G954" s="7" t="s">
        <v>262</v>
      </c>
      <c r="H954" s="7"/>
      <c r="I954" s="7" t="s">
        <v>290</v>
      </c>
      <c r="J954" s="7" t="s">
        <v>447</v>
      </c>
      <c r="K954" s="7"/>
      <c r="L954" s="7" t="str">
        <f aca="false">IFERROR(VLOOKUP(IF(ISNUMBER(SEARCH("(",F954)),LEFT(F954,SEARCH("(",F954)-1),F954),Tipos!$A:$B,2,FALSE()),"outro")</f>
        <v>uuid</v>
      </c>
      <c r="M954" s="7" t="str">
        <f aca="false">IF(COUNTIF(Comparação!$H:$H,A954)&gt;0,"sim",IF(AND(G954="sim",H954=""),"FALTA (obrigatória)","não"))</f>
        <v>FALTA (obrigatória)</v>
      </c>
    </row>
    <row r="955" customFormat="false" ht="15" hidden="false" customHeight="false" outlineLevel="0" collapsed="false">
      <c r="A955" s="7" t="str">
        <f aca="false">B955&amp;"."&amp;E955</f>
        <v>oferta_versoes.versao</v>
      </c>
      <c r="B955" s="7" t="s">
        <v>164</v>
      </c>
      <c r="C955" s="7" t="s">
        <v>119</v>
      </c>
      <c r="D955" s="7" t="n">
        <v>4</v>
      </c>
      <c r="E955" s="7" t="s">
        <v>410</v>
      </c>
      <c r="F955" s="7" t="s">
        <v>269</v>
      </c>
      <c r="G955" s="7" t="s">
        <v>262</v>
      </c>
      <c r="H955" s="7"/>
      <c r="I955" s="7" t="s">
        <v>290</v>
      </c>
      <c r="J955" s="7"/>
      <c r="K955" s="7"/>
      <c r="L955" s="7" t="str">
        <f aca="false">IFERROR(VLOOKUP(IF(ISNUMBER(SEARCH("(",F955)),LEFT(F955,SEARCH("(",F955)-1),F955),Tipos!$A:$B,2,FALSE()),"outro")</f>
        <v>inteiro</v>
      </c>
      <c r="M955" s="7" t="str">
        <f aca="false">IF(COUNTIF(Comparação!$H:$H,A955)&gt;0,"sim",IF(AND(G955="sim",H955=""),"FALTA (obrigatória)","não"))</f>
        <v>FALTA (obrigatória)</v>
      </c>
    </row>
    <row r="956" customFormat="false" ht="15" hidden="false" customHeight="false" outlineLevel="0" collapsed="false">
      <c r="A956" s="7" t="str">
        <f aca="false">B956&amp;"."&amp;E956</f>
        <v>oferta_versoes.nome</v>
      </c>
      <c r="B956" s="7" t="s">
        <v>164</v>
      </c>
      <c r="C956" s="7" t="s">
        <v>119</v>
      </c>
      <c r="D956" s="7" t="n">
        <v>5</v>
      </c>
      <c r="E956" s="7" t="s">
        <v>265</v>
      </c>
      <c r="F956" s="7" t="s">
        <v>261</v>
      </c>
      <c r="G956" s="7" t="s">
        <v>262</v>
      </c>
      <c r="H956" s="7"/>
      <c r="I956" s="7"/>
      <c r="J956" s="7"/>
      <c r="K956" s="7"/>
      <c r="L956" s="7" t="str">
        <f aca="false">IFERROR(VLOOKUP(IF(ISNUMBER(SEARCH("(",F956)),LEFT(F956,SEARCH("(",F956)-1),F956),Tipos!$A:$B,2,FALSE()),"outro")</f>
        <v>texto</v>
      </c>
      <c r="M956" s="7" t="str">
        <f aca="false">IF(COUNTIF(Comparação!$H:$H,A956)&gt;0,"sim",IF(AND(G956="sim",H956=""),"FALTA (obrigatória)","não"))</f>
        <v>FALTA (obrigatória)</v>
      </c>
    </row>
    <row r="957" customFormat="false" ht="15" hidden="false" customHeight="false" outlineLevel="0" collapsed="false">
      <c r="A957" s="7" t="str">
        <f aca="false">B957&amp;"."&amp;E957</f>
        <v>oferta_versoes.preco</v>
      </c>
      <c r="B957" s="7" t="s">
        <v>164</v>
      </c>
      <c r="C957" s="7" t="s">
        <v>119</v>
      </c>
      <c r="D957" s="7" t="n">
        <v>6</v>
      </c>
      <c r="E957" s="7" t="s">
        <v>450</v>
      </c>
      <c r="F957" s="7" t="s">
        <v>360</v>
      </c>
      <c r="G957" s="7" t="s">
        <v>262</v>
      </c>
      <c r="H957" s="7"/>
      <c r="I957" s="7"/>
      <c r="J957" s="7"/>
      <c r="K957" s="7"/>
      <c r="L957" s="7" t="str">
        <f aca="false">IFERROR(VLOOKUP(IF(ISNUMBER(SEARCH("(",F957)),LEFT(F957,SEARCH("(",F957)-1),F957),Tipos!$A:$B,2,FALSE()),"outro")</f>
        <v>decimal</v>
      </c>
      <c r="M957" s="7" t="str">
        <f aca="false">IF(COUNTIF(Comparação!$H:$H,A957)&gt;0,"sim",IF(AND(G957="sim",H957=""),"FALTA (obrigatória)","não"))</f>
        <v>FALTA (obrigatória)</v>
      </c>
    </row>
    <row r="958" customFormat="false" ht="15" hidden="false" customHeight="false" outlineLevel="0" collapsed="false">
      <c r="A958" s="7" t="str">
        <f aca="false">B958&amp;"."&amp;E958</f>
        <v>oferta_versoes.condicoes</v>
      </c>
      <c r="B958" s="7" t="s">
        <v>164</v>
      </c>
      <c r="C958" s="7" t="s">
        <v>119</v>
      </c>
      <c r="D958" s="7" t="n">
        <v>7</v>
      </c>
      <c r="E958" s="7" t="s">
        <v>965</v>
      </c>
      <c r="F958" s="7" t="s">
        <v>261</v>
      </c>
      <c r="G958" s="7" t="s">
        <v>267</v>
      </c>
      <c r="H958" s="7"/>
      <c r="I958" s="7"/>
      <c r="J958" s="7"/>
      <c r="K958" s="7"/>
      <c r="L958" s="7" t="str">
        <f aca="false">IFERROR(VLOOKUP(IF(ISNUMBER(SEARCH("(",F958)),LEFT(F958,SEARCH("(",F958)-1),F958),Tipos!$A:$B,2,FALSE()),"outro")</f>
        <v>texto</v>
      </c>
      <c r="M958" s="7" t="str">
        <f aca="false">IF(COUNTIF(Comparação!$H:$H,A958)&gt;0,"sim",IF(AND(G958="sim",H958=""),"FALTA (obrigatória)","não"))</f>
        <v>não</v>
      </c>
    </row>
    <row r="959" customFormat="false" ht="15" hidden="false" customHeight="false" outlineLevel="0" collapsed="false">
      <c r="A959" s="7" t="str">
        <f aca="false">B959&amp;"."&amp;E959</f>
        <v>oferta_versoes.parcelas_max</v>
      </c>
      <c r="B959" s="7" t="s">
        <v>164</v>
      </c>
      <c r="C959" s="7" t="s">
        <v>119</v>
      </c>
      <c r="D959" s="7" t="n">
        <v>8</v>
      </c>
      <c r="E959" s="7" t="s">
        <v>966</v>
      </c>
      <c r="F959" s="7" t="s">
        <v>269</v>
      </c>
      <c r="G959" s="7" t="s">
        <v>267</v>
      </c>
      <c r="H959" s="7"/>
      <c r="I959" s="7"/>
      <c r="J959" s="7"/>
      <c r="K959" s="7"/>
      <c r="L959" s="7" t="str">
        <f aca="false">IFERROR(VLOOKUP(IF(ISNUMBER(SEARCH("(",F959)),LEFT(F959,SEARCH("(",F959)-1),F959),Tipos!$A:$B,2,FALSE()),"outro")</f>
        <v>inteiro</v>
      </c>
      <c r="M959" s="7" t="str">
        <f aca="false">IF(COUNTIF(Comparação!$H:$H,A959)&gt;0,"sim",IF(AND(G959="sim",H959=""),"FALTA (obrigatória)","não"))</f>
        <v>não</v>
      </c>
    </row>
    <row r="960" customFormat="false" ht="15" hidden="false" customHeight="false" outlineLevel="0" collapsed="false">
      <c r="A960" s="7" t="str">
        <f aca="false">B960&amp;"."&amp;E960</f>
        <v>oferta_versoes.itens</v>
      </c>
      <c r="B960" s="7" t="s">
        <v>164</v>
      </c>
      <c r="C960" s="7" t="s">
        <v>119</v>
      </c>
      <c r="D960" s="7" t="n">
        <v>9</v>
      </c>
      <c r="E960" s="7" t="s">
        <v>967</v>
      </c>
      <c r="F960" s="7" t="s">
        <v>324</v>
      </c>
      <c r="G960" s="7" t="s">
        <v>262</v>
      </c>
      <c r="H960" s="7" t="s">
        <v>912</v>
      </c>
      <c r="I960" s="7"/>
      <c r="J960" s="7"/>
      <c r="K960" s="7"/>
      <c r="L960" s="7" t="str">
        <f aca="false">IFERROR(VLOOKUP(IF(ISNUMBER(SEARCH("(",F960)),LEFT(F960,SEARCH("(",F960)-1),F960),Tipos!$A:$B,2,FALSE()),"outro")</f>
        <v>json</v>
      </c>
      <c r="M960" s="7" t="str">
        <f aca="false">IF(COUNTIF(Comparação!$H:$H,A960)&gt;0,"sim",IF(AND(G960="sim",H960=""),"FALTA (obrigatória)","não"))</f>
        <v>não</v>
      </c>
    </row>
    <row r="961" customFormat="false" ht="15" hidden="false" customHeight="false" outlineLevel="0" collapsed="false">
      <c r="A961" s="7" t="str">
        <f aca="false">B961&amp;"."&amp;E961</f>
        <v>oferta_versoes.criado_em</v>
      </c>
      <c r="B961" s="7" t="s">
        <v>164</v>
      </c>
      <c r="C961" s="7" t="s">
        <v>119</v>
      </c>
      <c r="D961" s="7" t="n">
        <v>10</v>
      </c>
      <c r="E961" s="7" t="s">
        <v>344</v>
      </c>
      <c r="F961" s="7" t="s">
        <v>285</v>
      </c>
      <c r="G961" s="7" t="s">
        <v>262</v>
      </c>
      <c r="H961" s="7" t="s">
        <v>286</v>
      </c>
      <c r="I961" s="7"/>
      <c r="J961" s="7"/>
      <c r="K961" s="7"/>
      <c r="L961" s="7" t="str">
        <f aca="false">IFERROR(VLOOKUP(IF(ISNUMBER(SEARCH("(",F961)),LEFT(F961,SEARCH("(",F961)-1),F961),Tipos!$A:$B,2,FALSE()),"outro")</f>
        <v>data e hora</v>
      </c>
      <c r="M961" s="7" t="str">
        <f aca="false">IF(COUNTIF(Comparação!$H:$H,A961)&gt;0,"sim",IF(AND(G961="sim",H961=""),"FALTA (obrigatória)","não"))</f>
        <v>não</v>
      </c>
    </row>
    <row r="962" customFormat="false" ht="15" hidden="false" customHeight="false" outlineLevel="0" collapsed="false">
      <c r="A962" s="7" t="str">
        <f aca="false">B962&amp;"."&amp;E962</f>
        <v>oferta_versoes.criado_por</v>
      </c>
      <c r="B962" s="7" t="s">
        <v>164</v>
      </c>
      <c r="C962" s="7" t="s">
        <v>119</v>
      </c>
      <c r="D962" s="7" t="n">
        <v>11</v>
      </c>
      <c r="E962" s="7" t="s">
        <v>511</v>
      </c>
      <c r="F962" s="7" t="s">
        <v>272</v>
      </c>
      <c r="G962" s="7" t="s">
        <v>267</v>
      </c>
      <c r="H962" s="7" t="s">
        <v>406</v>
      </c>
      <c r="I962" s="7"/>
      <c r="J962" s="7"/>
      <c r="K962" s="7"/>
      <c r="L962" s="7" t="str">
        <f aca="false">IFERROR(VLOOKUP(IF(ISNUMBER(SEARCH("(",F962)),LEFT(F962,SEARCH("(",F962)-1),F962),Tipos!$A:$B,2,FALSE()),"outro")</f>
        <v>uuid</v>
      </c>
      <c r="M962" s="7" t="str">
        <f aca="false">IF(COUNTIF(Comparação!$H:$H,A962)&gt;0,"sim",IF(AND(G962="sim",H962=""),"FALTA (obrigatória)","não"))</f>
        <v>não</v>
      </c>
    </row>
    <row r="963" customFormat="false" ht="15" hidden="false" customHeight="false" outlineLevel="0" collapsed="false">
      <c r="A963" s="7" t="str">
        <f aca="false">B963&amp;"."&amp;E963</f>
        <v>ofertas.id</v>
      </c>
      <c r="B963" s="7" t="s">
        <v>166</v>
      </c>
      <c r="C963" s="7" t="s">
        <v>119</v>
      </c>
      <c r="D963" s="7" t="n">
        <v>1</v>
      </c>
      <c r="E963" s="7" t="s">
        <v>271</v>
      </c>
      <c r="F963" s="7" t="s">
        <v>272</v>
      </c>
      <c r="G963" s="7" t="s">
        <v>262</v>
      </c>
      <c r="H963" s="7" t="s">
        <v>273</v>
      </c>
      <c r="I963" s="7" t="s">
        <v>263</v>
      </c>
      <c r="J963" s="7"/>
      <c r="K963" s="7"/>
      <c r="L963" s="7" t="str">
        <f aca="false">IFERROR(VLOOKUP(IF(ISNUMBER(SEARCH("(",F963)),LEFT(F963,SEARCH("(",F963)-1),F963),Tipos!$A:$B,2,FALSE()),"outro")</f>
        <v>uuid</v>
      </c>
      <c r="M963" s="7" t="str">
        <f aca="false">IF(COUNTIF(Comparação!$H:$H,A963)&gt;0,"sim",IF(AND(G963="sim",H963=""),"FALTA (obrigatória)","não"))</f>
        <v>não</v>
      </c>
    </row>
    <row r="964" customFormat="false" ht="15" hidden="false" customHeight="false" outlineLevel="0" collapsed="false">
      <c r="A964" s="7" t="str">
        <f aca="false">B964&amp;"."&amp;E964</f>
        <v>ofertas.workspace_id</v>
      </c>
      <c r="B964" s="7" t="s">
        <v>166</v>
      </c>
      <c r="C964" s="7" t="s">
        <v>119</v>
      </c>
      <c r="D964" s="7" t="n">
        <v>2</v>
      </c>
      <c r="E964" s="7" t="s">
        <v>274</v>
      </c>
      <c r="F964" s="7" t="s">
        <v>272</v>
      </c>
      <c r="G964" s="7" t="s">
        <v>262</v>
      </c>
      <c r="H964" s="7"/>
      <c r="I964" s="7"/>
      <c r="J964" s="7" t="s">
        <v>275</v>
      </c>
      <c r="K964" s="7"/>
      <c r="L964" s="7" t="str">
        <f aca="false">IFERROR(VLOOKUP(IF(ISNUMBER(SEARCH("(",F964)),LEFT(F964,SEARCH("(",F964)-1),F964),Tipos!$A:$B,2,FALSE()),"outro")</f>
        <v>uuid</v>
      </c>
      <c r="M964" s="7" t="str">
        <f aca="false">IF(COUNTIF(Comparação!$H:$H,A964)&gt;0,"sim",IF(AND(G964="sim",H964=""),"FALTA (obrigatória)","não"))</f>
        <v>FALTA (obrigatória)</v>
      </c>
    </row>
    <row r="965" customFormat="false" ht="15" hidden="false" customHeight="false" outlineLevel="0" collapsed="false">
      <c r="A965" s="7" t="str">
        <f aca="false">B965&amp;"."&amp;E965</f>
        <v>ofertas.produto_id</v>
      </c>
      <c r="B965" s="7" t="s">
        <v>166</v>
      </c>
      <c r="C965" s="7" t="s">
        <v>119</v>
      </c>
      <c r="D965" s="7" t="n">
        <v>3</v>
      </c>
      <c r="E965" s="7" t="s">
        <v>287</v>
      </c>
      <c r="F965" s="7" t="s">
        <v>272</v>
      </c>
      <c r="G965" s="7" t="s">
        <v>267</v>
      </c>
      <c r="H965" s="7"/>
      <c r="I965" s="7"/>
      <c r="J965" s="7" t="s">
        <v>288</v>
      </c>
      <c r="K965" s="7"/>
      <c r="L965" s="7" t="str">
        <f aca="false">IFERROR(VLOOKUP(IF(ISNUMBER(SEARCH("(",F965)),LEFT(F965,SEARCH("(",F965)-1),F965),Tipos!$A:$B,2,FALSE()),"outro")</f>
        <v>uuid</v>
      </c>
      <c r="M965" s="7" t="str">
        <f aca="false">IF(COUNTIF(Comparação!$H:$H,A965)&gt;0,"sim",IF(AND(G965="sim",H965=""),"FALTA (obrigatória)","não"))</f>
        <v>não</v>
      </c>
    </row>
    <row r="966" customFormat="false" ht="15" hidden="false" customHeight="false" outlineLevel="0" collapsed="false">
      <c r="A966" s="7" t="str">
        <f aca="false">B966&amp;"."&amp;E966</f>
        <v>ofertas.nome</v>
      </c>
      <c r="B966" s="7" t="s">
        <v>166</v>
      </c>
      <c r="C966" s="7" t="s">
        <v>119</v>
      </c>
      <c r="D966" s="7" t="n">
        <v>4</v>
      </c>
      <c r="E966" s="7" t="s">
        <v>265</v>
      </c>
      <c r="F966" s="7" t="s">
        <v>261</v>
      </c>
      <c r="G966" s="7" t="s">
        <v>262</v>
      </c>
      <c r="H966" s="7"/>
      <c r="I966" s="7"/>
      <c r="J966" s="7"/>
      <c r="K966" s="7" t="s">
        <v>345</v>
      </c>
      <c r="L966" s="7" t="str">
        <f aca="false">IFERROR(VLOOKUP(IF(ISNUMBER(SEARCH("(",F966)),LEFT(F966,SEARCH("(",F966)-1),F966),Tipos!$A:$B,2,FALSE()),"outro")</f>
        <v>texto</v>
      </c>
      <c r="M966" s="7" t="str">
        <f aca="false">IF(COUNTIF(Comparação!$H:$H,A966)&gt;0,"sim",IF(AND(G966="sim",H966=""),"FALTA (obrigatória)","não"))</f>
        <v>FALTA (obrigatória)</v>
      </c>
    </row>
    <row r="967" customFormat="false" ht="15" hidden="false" customHeight="false" outlineLevel="0" collapsed="false">
      <c r="A967" s="7" t="str">
        <f aca="false">B967&amp;"."&amp;E967</f>
        <v>ofertas.papel</v>
      </c>
      <c r="B967" s="7" t="s">
        <v>166</v>
      </c>
      <c r="C967" s="7" t="s">
        <v>119</v>
      </c>
      <c r="D967" s="7" t="n">
        <v>5</v>
      </c>
      <c r="E967" s="7" t="s">
        <v>402</v>
      </c>
      <c r="F967" s="7" t="s">
        <v>261</v>
      </c>
      <c r="G967" s="7" t="s">
        <v>262</v>
      </c>
      <c r="H967" s="7" t="s">
        <v>448</v>
      </c>
      <c r="I967" s="7"/>
      <c r="J967" s="7"/>
      <c r="K967" s="7" t="s">
        <v>449</v>
      </c>
      <c r="L967" s="7" t="str">
        <f aca="false">IFERROR(VLOOKUP(IF(ISNUMBER(SEARCH("(",F967)),LEFT(F967,SEARCH("(",F967)-1),F967),Tipos!$A:$B,2,FALSE()),"outro")</f>
        <v>texto</v>
      </c>
      <c r="M967" s="7" t="str">
        <f aca="false">IF(COUNTIF(Comparação!$H:$H,A967)&gt;0,"sim",IF(AND(G967="sim",H967=""),"FALTA (obrigatória)","não"))</f>
        <v>não</v>
      </c>
    </row>
    <row r="968" customFormat="false" ht="15" hidden="false" customHeight="false" outlineLevel="0" collapsed="false">
      <c r="A968" s="7" t="str">
        <f aca="false">B968&amp;"."&amp;E968</f>
        <v>ofertas.preco</v>
      </c>
      <c r="B968" s="7" t="s">
        <v>166</v>
      </c>
      <c r="C968" s="7" t="s">
        <v>119</v>
      </c>
      <c r="D968" s="7" t="n">
        <v>6</v>
      </c>
      <c r="E968" s="7" t="s">
        <v>450</v>
      </c>
      <c r="F968" s="7" t="s">
        <v>360</v>
      </c>
      <c r="G968" s="7" t="s">
        <v>262</v>
      </c>
      <c r="H968" s="7"/>
      <c r="I968" s="7"/>
      <c r="J968" s="7"/>
      <c r="K968" s="7" t="s">
        <v>451</v>
      </c>
      <c r="L968" s="7" t="str">
        <f aca="false">IFERROR(VLOOKUP(IF(ISNUMBER(SEARCH("(",F968)),LEFT(F968,SEARCH("(",F968)-1),F968),Tipos!$A:$B,2,FALSE()),"outro")</f>
        <v>decimal</v>
      </c>
      <c r="M968" s="7" t="str">
        <f aca="false">IF(COUNTIF(Comparação!$H:$H,A968)&gt;0,"sim",IF(AND(G968="sim",H968=""),"FALTA (obrigatória)","não"))</f>
        <v>FALTA (obrigatória)</v>
      </c>
    </row>
    <row r="969" customFormat="false" ht="15" hidden="false" customHeight="false" outlineLevel="0" collapsed="false">
      <c r="A969" s="7" t="str">
        <f aca="false">B969&amp;"."&amp;E969</f>
        <v>ofertas.ativo</v>
      </c>
      <c r="B969" s="7" t="s">
        <v>166</v>
      </c>
      <c r="C969" s="7" t="s">
        <v>119</v>
      </c>
      <c r="D969" s="7" t="n">
        <v>7</v>
      </c>
      <c r="E969" s="7" t="s">
        <v>309</v>
      </c>
      <c r="F969" s="7" t="s">
        <v>310</v>
      </c>
      <c r="G969" s="7" t="s">
        <v>262</v>
      </c>
      <c r="H969" s="7" t="s">
        <v>311</v>
      </c>
      <c r="I969" s="7"/>
      <c r="J969" s="7"/>
      <c r="K969" s="7"/>
      <c r="L969" s="7" t="str">
        <f aca="false">IFERROR(VLOOKUP(IF(ISNUMBER(SEARCH("(",F969)),LEFT(F969,SEARCH("(",F969)-1),F969),Tipos!$A:$B,2,FALSE()),"outro")</f>
        <v>booleano</v>
      </c>
      <c r="M969" s="7" t="str">
        <f aca="false">IF(COUNTIF(Comparação!$H:$H,A969)&gt;0,"sim",IF(AND(G969="sim",H969=""),"FALTA (obrigatória)","não"))</f>
        <v>não</v>
      </c>
    </row>
    <row r="970" customFormat="false" ht="15" hidden="false" customHeight="false" outlineLevel="0" collapsed="false">
      <c r="A970" s="7" t="str">
        <f aca="false">B970&amp;"."&amp;E970</f>
        <v>ofertas.criado_em</v>
      </c>
      <c r="B970" s="7" t="s">
        <v>166</v>
      </c>
      <c r="C970" s="7" t="s">
        <v>119</v>
      </c>
      <c r="D970" s="7" t="n">
        <v>8</v>
      </c>
      <c r="E970" s="7" t="s">
        <v>344</v>
      </c>
      <c r="F970" s="7" t="s">
        <v>285</v>
      </c>
      <c r="G970" s="7" t="s">
        <v>262</v>
      </c>
      <c r="H970" s="7" t="s">
        <v>286</v>
      </c>
      <c r="I970" s="7"/>
      <c r="J970" s="7"/>
      <c r="K970" s="7"/>
      <c r="L970" s="7" t="str">
        <f aca="false">IFERROR(VLOOKUP(IF(ISNUMBER(SEARCH("(",F970)),LEFT(F970,SEARCH("(",F970)-1),F970),Tipos!$A:$B,2,FALSE()),"outro")</f>
        <v>data e hora</v>
      </c>
      <c r="M970" s="7" t="str">
        <f aca="false">IF(COUNTIF(Comparação!$H:$H,A970)&gt;0,"sim",IF(AND(G970="sim",H970=""),"FALTA (obrigatória)","não"))</f>
        <v>não</v>
      </c>
    </row>
    <row r="971" customFormat="false" ht="15" hidden="false" customHeight="false" outlineLevel="0" collapsed="false">
      <c r="A971" s="7" t="str">
        <f aca="false">B971&amp;"."&amp;E971</f>
        <v>ofertas.descricao</v>
      </c>
      <c r="B971" s="7" t="s">
        <v>166</v>
      </c>
      <c r="C971" s="7" t="s">
        <v>119</v>
      </c>
      <c r="D971" s="7" t="n">
        <v>9</v>
      </c>
      <c r="E971" s="7" t="s">
        <v>427</v>
      </c>
      <c r="F971" s="7" t="s">
        <v>261</v>
      </c>
      <c r="G971" s="7" t="s">
        <v>267</v>
      </c>
      <c r="H971" s="7"/>
      <c r="I971" s="7"/>
      <c r="J971" s="7"/>
      <c r="K971" s="7"/>
      <c r="L971" s="7" t="str">
        <f aca="false">IFERROR(VLOOKUP(IF(ISNUMBER(SEARCH("(",F971)),LEFT(F971,SEARCH("(",F971)-1),F971),Tipos!$A:$B,2,FALSE()),"outro")</f>
        <v>texto</v>
      </c>
      <c r="M971" s="7" t="str">
        <f aca="false">IF(COUNTIF(Comparação!$H:$H,A971)&gt;0,"sim",IF(AND(G971="sim",H971=""),"FALTA (obrigatória)","não"))</f>
        <v>não</v>
      </c>
    </row>
    <row r="972" customFormat="false" ht="15" hidden="false" customHeight="false" outlineLevel="0" collapsed="false">
      <c r="A972" s="7" t="str">
        <f aca="false">B972&amp;"."&amp;E972</f>
        <v>ofertas.condicoes</v>
      </c>
      <c r="B972" s="7" t="s">
        <v>166</v>
      </c>
      <c r="C972" s="7" t="s">
        <v>119</v>
      </c>
      <c r="D972" s="7" t="n">
        <v>10</v>
      </c>
      <c r="E972" s="7" t="s">
        <v>965</v>
      </c>
      <c r="F972" s="7" t="s">
        <v>261</v>
      </c>
      <c r="G972" s="7" t="s">
        <v>267</v>
      </c>
      <c r="H972" s="7"/>
      <c r="I972" s="7"/>
      <c r="J972" s="7"/>
      <c r="K972" s="7"/>
      <c r="L972" s="7" t="str">
        <f aca="false">IFERROR(VLOOKUP(IF(ISNUMBER(SEARCH("(",F972)),LEFT(F972,SEARCH("(",F972)-1),F972),Tipos!$A:$B,2,FALSE()),"outro")</f>
        <v>texto</v>
      </c>
      <c r="M972" s="7" t="str">
        <f aca="false">IF(COUNTIF(Comparação!$H:$H,A972)&gt;0,"sim",IF(AND(G972="sim",H972=""),"FALTA (obrigatória)","não"))</f>
        <v>não</v>
      </c>
    </row>
    <row r="973" customFormat="false" ht="15" hidden="false" customHeight="false" outlineLevel="0" collapsed="false">
      <c r="A973" s="7" t="str">
        <f aca="false">B973&amp;"."&amp;E973</f>
        <v>ofertas.parcelas_max</v>
      </c>
      <c r="B973" s="7" t="s">
        <v>166</v>
      </c>
      <c r="C973" s="7" t="s">
        <v>119</v>
      </c>
      <c r="D973" s="7" t="n">
        <v>11</v>
      </c>
      <c r="E973" s="7" t="s">
        <v>966</v>
      </c>
      <c r="F973" s="7" t="s">
        <v>269</v>
      </c>
      <c r="G973" s="7" t="s">
        <v>267</v>
      </c>
      <c r="H973" s="7"/>
      <c r="I973" s="7"/>
      <c r="J973" s="7"/>
      <c r="K973" s="7" t="s">
        <v>968</v>
      </c>
      <c r="L973" s="7" t="str">
        <f aca="false">IFERROR(VLOOKUP(IF(ISNUMBER(SEARCH("(",F973)),LEFT(F973,SEARCH("(",F973)-1),F973),Tipos!$A:$B,2,FALSE()),"outro")</f>
        <v>inteiro</v>
      </c>
      <c r="M973" s="7" t="str">
        <f aca="false">IF(COUNTIF(Comparação!$H:$H,A973)&gt;0,"sim",IF(AND(G973="sim",H973=""),"FALTA (obrigatória)","não"))</f>
        <v>não</v>
      </c>
    </row>
    <row r="974" customFormat="false" ht="15" hidden="false" customHeight="false" outlineLevel="0" collapsed="false">
      <c r="A974" s="7" t="str">
        <f aca="false">B974&amp;"."&amp;E974</f>
        <v>ofertas.vigencia_ini</v>
      </c>
      <c r="B974" s="7" t="s">
        <v>166</v>
      </c>
      <c r="C974" s="7" t="s">
        <v>119</v>
      </c>
      <c r="D974" s="7" t="n">
        <v>12</v>
      </c>
      <c r="E974" s="7" t="s">
        <v>969</v>
      </c>
      <c r="F974" s="7" t="s">
        <v>379</v>
      </c>
      <c r="G974" s="7" t="s">
        <v>267</v>
      </c>
      <c r="H974" s="7"/>
      <c r="I974" s="7"/>
      <c r="J974" s="7"/>
      <c r="K974" s="7"/>
      <c r="L974" s="7" t="str">
        <f aca="false">IFERROR(VLOOKUP(IF(ISNUMBER(SEARCH("(",F974)),LEFT(F974,SEARCH("(",F974)-1),F974),Tipos!$A:$B,2,FALSE()),"outro")</f>
        <v>data</v>
      </c>
      <c r="M974" s="7" t="str">
        <f aca="false">IF(COUNTIF(Comparação!$H:$H,A974)&gt;0,"sim",IF(AND(G974="sim",H974=""),"FALTA (obrigatória)","não"))</f>
        <v>não</v>
      </c>
    </row>
    <row r="975" customFormat="false" ht="15" hidden="false" customHeight="false" outlineLevel="0" collapsed="false">
      <c r="A975" s="7" t="str">
        <f aca="false">B975&amp;"."&amp;E975</f>
        <v>ofertas.vigencia_fim</v>
      </c>
      <c r="B975" s="7" t="s">
        <v>166</v>
      </c>
      <c r="C975" s="7" t="s">
        <v>119</v>
      </c>
      <c r="D975" s="7" t="n">
        <v>13</v>
      </c>
      <c r="E975" s="7" t="s">
        <v>970</v>
      </c>
      <c r="F975" s="7" t="s">
        <v>379</v>
      </c>
      <c r="G975" s="7" t="s">
        <v>267</v>
      </c>
      <c r="H975" s="7"/>
      <c r="I975" s="7"/>
      <c r="J975" s="7"/>
      <c r="K975" s="7"/>
      <c r="L975" s="7" t="str">
        <f aca="false">IFERROR(VLOOKUP(IF(ISNUMBER(SEARCH("(",F975)),LEFT(F975,SEARCH("(",F975)-1),F975),Tipos!$A:$B,2,FALSE()),"outro")</f>
        <v>data</v>
      </c>
      <c r="M975" s="7" t="str">
        <f aca="false">IF(COUNTIF(Comparação!$H:$H,A975)&gt;0,"sim",IF(AND(G975="sim",H975=""),"FALTA (obrigatória)","não"))</f>
        <v>não</v>
      </c>
    </row>
    <row r="976" customFormat="false" ht="15" hidden="false" customHeight="false" outlineLevel="0" collapsed="false">
      <c r="A976" s="7" t="str">
        <f aca="false">B976&amp;"."&amp;E976</f>
        <v>ofertas.status</v>
      </c>
      <c r="B976" s="7" t="s">
        <v>166</v>
      </c>
      <c r="C976" s="7" t="s">
        <v>119</v>
      </c>
      <c r="D976" s="7" t="n">
        <v>14</v>
      </c>
      <c r="E976" s="7" t="s">
        <v>293</v>
      </c>
      <c r="F976" s="7" t="s">
        <v>261</v>
      </c>
      <c r="G976" s="7" t="s">
        <v>262</v>
      </c>
      <c r="H976" s="7" t="s">
        <v>971</v>
      </c>
      <c r="I976" s="7"/>
      <c r="J976" s="7"/>
      <c r="K976" s="7" t="s">
        <v>972</v>
      </c>
      <c r="L976" s="7" t="str">
        <f aca="false">IFERROR(VLOOKUP(IF(ISNUMBER(SEARCH("(",F976)),LEFT(F976,SEARCH("(",F976)-1),F976),Tipos!$A:$B,2,FALSE()),"outro")</f>
        <v>texto</v>
      </c>
      <c r="M976" s="7" t="str">
        <f aca="false">IF(COUNTIF(Comparação!$H:$H,A976)&gt;0,"sim",IF(AND(G976="sim",H976=""),"FALTA (obrigatória)","não"))</f>
        <v>não</v>
      </c>
    </row>
    <row r="977" customFormat="false" ht="15" hidden="false" customHeight="false" outlineLevel="0" collapsed="false">
      <c r="A977" s="7" t="str">
        <f aca="false">B977&amp;"."&amp;E977</f>
        <v>ofertas.versao</v>
      </c>
      <c r="B977" s="7" t="s">
        <v>166</v>
      </c>
      <c r="C977" s="7" t="s">
        <v>119</v>
      </c>
      <c r="D977" s="7" t="n">
        <v>15</v>
      </c>
      <c r="E977" s="7" t="s">
        <v>410</v>
      </c>
      <c r="F977" s="7" t="s">
        <v>269</v>
      </c>
      <c r="G977" s="7" t="s">
        <v>262</v>
      </c>
      <c r="H977" s="7" t="s">
        <v>468</v>
      </c>
      <c r="I977" s="7"/>
      <c r="J977" s="7"/>
      <c r="K977" s="7"/>
      <c r="L977" s="7" t="str">
        <f aca="false">IFERROR(VLOOKUP(IF(ISNUMBER(SEARCH("(",F977)),LEFT(F977,SEARCH("(",F977)-1),F977),Tipos!$A:$B,2,FALSE()),"outro")</f>
        <v>inteiro</v>
      </c>
      <c r="M977" s="7" t="str">
        <f aca="false">IF(COUNTIF(Comparação!$H:$H,A977)&gt;0,"sim",IF(AND(G977="sim",H977=""),"FALTA (obrigatória)","não"))</f>
        <v>não</v>
      </c>
    </row>
    <row r="978" customFormat="false" ht="15" hidden="false" customHeight="false" outlineLevel="0" collapsed="false">
      <c r="A978" s="7" t="str">
        <f aca="false">B978&amp;"."&amp;E978</f>
        <v>oportunidades.id</v>
      </c>
      <c r="B978" s="7" t="s">
        <v>167</v>
      </c>
      <c r="C978" s="7" t="s">
        <v>66</v>
      </c>
      <c r="D978" s="7" t="n">
        <v>1</v>
      </c>
      <c r="E978" s="7" t="s">
        <v>271</v>
      </c>
      <c r="F978" s="7" t="s">
        <v>272</v>
      </c>
      <c r="G978" s="7" t="s">
        <v>262</v>
      </c>
      <c r="H978" s="7" t="s">
        <v>273</v>
      </c>
      <c r="I978" s="7" t="s">
        <v>263</v>
      </c>
      <c r="J978" s="7"/>
      <c r="K978" s="7"/>
      <c r="L978" s="7" t="str">
        <f aca="false">IFERROR(VLOOKUP(IF(ISNUMBER(SEARCH("(",F978)),LEFT(F978,SEARCH("(",F978)-1),F978),Tipos!$A:$B,2,FALSE()),"outro")</f>
        <v>uuid</v>
      </c>
      <c r="M978" s="7" t="str">
        <f aca="false">IF(COUNTIF(Comparação!$H:$H,A978)&gt;0,"sim",IF(AND(G978="sim",H978=""),"FALTA (obrigatória)","não"))</f>
        <v>não</v>
      </c>
    </row>
    <row r="979" customFormat="false" ht="15" hidden="false" customHeight="false" outlineLevel="0" collapsed="false">
      <c r="A979" s="7" t="str">
        <f aca="false">B979&amp;"."&amp;E979</f>
        <v>oportunidades.workspace_id</v>
      </c>
      <c r="B979" s="7" t="s">
        <v>167</v>
      </c>
      <c r="C979" s="7" t="s">
        <v>66</v>
      </c>
      <c r="D979" s="7" t="n">
        <v>2</v>
      </c>
      <c r="E979" s="7" t="s">
        <v>274</v>
      </c>
      <c r="F979" s="7" t="s">
        <v>272</v>
      </c>
      <c r="G979" s="7" t="s">
        <v>262</v>
      </c>
      <c r="H979" s="7"/>
      <c r="I979" s="7"/>
      <c r="J979" s="7" t="s">
        <v>275</v>
      </c>
      <c r="K979" s="7"/>
      <c r="L979" s="7" t="str">
        <f aca="false">IFERROR(VLOOKUP(IF(ISNUMBER(SEARCH("(",F979)),LEFT(F979,SEARCH("(",F979)-1),F979),Tipos!$A:$B,2,FALSE()),"outro")</f>
        <v>uuid</v>
      </c>
      <c r="M979" s="7" t="str">
        <f aca="false">IF(COUNTIF(Comparação!$H:$H,A979)&gt;0,"sim",IF(AND(G979="sim",H979=""),"FALTA (obrigatória)","não"))</f>
        <v>FALTA (obrigatória)</v>
      </c>
    </row>
    <row r="980" customFormat="false" ht="15" hidden="false" customHeight="false" outlineLevel="0" collapsed="false">
      <c r="A980" s="7" t="str">
        <f aca="false">B980&amp;"."&amp;E980</f>
        <v>oportunidades.pessoa_id</v>
      </c>
      <c r="B980" s="7" t="s">
        <v>167</v>
      </c>
      <c r="C980" s="7" t="s">
        <v>66</v>
      </c>
      <c r="D980" s="7" t="n">
        <v>3</v>
      </c>
      <c r="E980" s="7" t="s">
        <v>278</v>
      </c>
      <c r="F980" s="7" t="s">
        <v>272</v>
      </c>
      <c r="G980" s="7" t="s">
        <v>262</v>
      </c>
      <c r="H980" s="7"/>
      <c r="I980" s="7"/>
      <c r="J980" s="7" t="s">
        <v>279</v>
      </c>
      <c r="K980" s="7"/>
      <c r="L980" s="7" t="str">
        <f aca="false">IFERROR(VLOOKUP(IF(ISNUMBER(SEARCH("(",F980)),LEFT(F980,SEARCH("(",F980)-1),F980),Tipos!$A:$B,2,FALSE()),"outro")</f>
        <v>uuid</v>
      </c>
      <c r="M980" s="7" t="str">
        <f aca="false">IF(COUNTIF(Comparação!$H:$H,A980)&gt;0,"sim",IF(AND(G980="sim",H980=""),"FALTA (obrigatória)","não"))</f>
        <v>FALTA (obrigatória)</v>
      </c>
    </row>
    <row r="981" customFormat="false" ht="15" hidden="false" customHeight="false" outlineLevel="0" collapsed="false">
      <c r="A981" s="7" t="str">
        <f aca="false">B981&amp;"."&amp;E981</f>
        <v>oportunidades.titulo</v>
      </c>
      <c r="B981" s="7" t="s">
        <v>167</v>
      </c>
      <c r="C981" s="7" t="s">
        <v>66</v>
      </c>
      <c r="D981" s="7" t="n">
        <v>4</v>
      </c>
      <c r="E981" s="7" t="s">
        <v>425</v>
      </c>
      <c r="F981" s="7" t="s">
        <v>261</v>
      </c>
      <c r="G981" s="7" t="s">
        <v>262</v>
      </c>
      <c r="H981" s="7"/>
      <c r="I981" s="7"/>
      <c r="J981" s="7"/>
      <c r="K981" s="7"/>
      <c r="L981" s="7" t="str">
        <f aca="false">IFERROR(VLOOKUP(IF(ISNUMBER(SEARCH("(",F981)),LEFT(F981,SEARCH("(",F981)-1),F981),Tipos!$A:$B,2,FALSE()),"outro")</f>
        <v>texto</v>
      </c>
      <c r="M981" s="7" t="str">
        <f aca="false">IF(COUNTIF(Comparação!$H:$H,A981)&gt;0,"sim",IF(AND(G981="sim",H981=""),"FALTA (obrigatória)","não"))</f>
        <v>FALTA (obrigatória)</v>
      </c>
    </row>
    <row r="982" customFormat="false" ht="15" hidden="false" customHeight="false" outlineLevel="0" collapsed="false">
      <c r="A982" s="7" t="str">
        <f aca="false">B982&amp;"."&amp;E982</f>
        <v>oportunidades.tipo</v>
      </c>
      <c r="B982" s="7" t="s">
        <v>167</v>
      </c>
      <c r="C982" s="7" t="s">
        <v>66</v>
      </c>
      <c r="D982" s="7" t="n">
        <v>5</v>
      </c>
      <c r="E982" s="7" t="s">
        <v>280</v>
      </c>
      <c r="F982" s="7" t="s">
        <v>261</v>
      </c>
      <c r="G982" s="7" t="s">
        <v>262</v>
      </c>
      <c r="H982" s="7" t="s">
        <v>973</v>
      </c>
      <c r="I982" s="7"/>
      <c r="J982" s="7"/>
      <c r="K982" s="7" t="s">
        <v>974</v>
      </c>
      <c r="L982" s="7" t="str">
        <f aca="false">IFERROR(VLOOKUP(IF(ISNUMBER(SEARCH("(",F982)),LEFT(F982,SEARCH("(",F982)-1),F982),Tipos!$A:$B,2,FALSE()),"outro")</f>
        <v>texto</v>
      </c>
      <c r="M982" s="7" t="str">
        <f aca="false">IF(COUNTIF(Comparação!$H:$H,A982)&gt;0,"sim",IF(AND(G982="sim",H982=""),"FALTA (obrigatória)","não"))</f>
        <v>não</v>
      </c>
    </row>
    <row r="983" customFormat="false" ht="15" hidden="false" customHeight="false" outlineLevel="0" collapsed="false">
      <c r="A983" s="7" t="str">
        <f aca="false">B983&amp;"."&amp;E983</f>
        <v>oportunidades.produto_id</v>
      </c>
      <c r="B983" s="7" t="s">
        <v>167</v>
      </c>
      <c r="C983" s="7" t="s">
        <v>66</v>
      </c>
      <c r="D983" s="7" t="n">
        <v>6</v>
      </c>
      <c r="E983" s="7" t="s">
        <v>287</v>
      </c>
      <c r="F983" s="7" t="s">
        <v>272</v>
      </c>
      <c r="G983" s="7" t="s">
        <v>267</v>
      </c>
      <c r="H983" s="7"/>
      <c r="I983" s="7"/>
      <c r="J983" s="7" t="s">
        <v>288</v>
      </c>
      <c r="K983" s="7"/>
      <c r="L983" s="7" t="str">
        <f aca="false">IFERROR(VLOOKUP(IF(ISNUMBER(SEARCH("(",F983)),LEFT(F983,SEARCH("(",F983)-1),F983),Tipos!$A:$B,2,FALSE()),"outro")</f>
        <v>uuid</v>
      </c>
      <c r="M983" s="7" t="str">
        <f aca="false">IF(COUNTIF(Comparação!$H:$H,A983)&gt;0,"sim",IF(AND(G983="sim",H983=""),"FALTA (obrigatória)","não"))</f>
        <v>não</v>
      </c>
    </row>
    <row r="984" customFormat="false" ht="15" hidden="false" customHeight="false" outlineLevel="0" collapsed="false">
      <c r="A984" s="7" t="str">
        <f aca="false">B984&amp;"."&amp;E984</f>
        <v>oportunidades.contrato_origem_id</v>
      </c>
      <c r="B984" s="7" t="s">
        <v>167</v>
      </c>
      <c r="C984" s="7" t="s">
        <v>66</v>
      </c>
      <c r="D984" s="7" t="n">
        <v>7</v>
      </c>
      <c r="E984" s="7" t="s">
        <v>975</v>
      </c>
      <c r="F984" s="7" t="s">
        <v>272</v>
      </c>
      <c r="G984" s="7" t="s">
        <v>267</v>
      </c>
      <c r="H984" s="7"/>
      <c r="I984" s="7"/>
      <c r="J984" s="7" t="s">
        <v>301</v>
      </c>
      <c r="K984" s="7"/>
      <c r="L984" s="7" t="str">
        <f aca="false">IFERROR(VLOOKUP(IF(ISNUMBER(SEARCH("(",F984)),LEFT(F984,SEARCH("(",F984)-1),F984),Tipos!$A:$B,2,FALSE()),"outro")</f>
        <v>uuid</v>
      </c>
      <c r="M984" s="7" t="str">
        <f aca="false">IF(COUNTIF(Comparação!$H:$H,A984)&gt;0,"sim",IF(AND(G984="sim",H984=""),"FALTA (obrigatória)","não"))</f>
        <v>não</v>
      </c>
    </row>
    <row r="985" customFormat="false" ht="15" hidden="false" customHeight="false" outlineLevel="0" collapsed="false">
      <c r="A985" s="7" t="str">
        <f aca="false">B985&amp;"."&amp;E985</f>
        <v>oportunidades.valor_estimado</v>
      </c>
      <c r="B985" s="7" t="s">
        <v>167</v>
      </c>
      <c r="C985" s="7" t="s">
        <v>66</v>
      </c>
      <c r="D985" s="7" t="n">
        <v>8</v>
      </c>
      <c r="E985" s="7" t="s">
        <v>976</v>
      </c>
      <c r="F985" s="7" t="s">
        <v>354</v>
      </c>
      <c r="G985" s="7" t="s">
        <v>267</v>
      </c>
      <c r="H985" s="7"/>
      <c r="I985" s="7"/>
      <c r="J985" s="7"/>
      <c r="K985" s="7" t="s">
        <v>977</v>
      </c>
      <c r="L985" s="7" t="str">
        <f aca="false">IFERROR(VLOOKUP(IF(ISNUMBER(SEARCH("(",F985)),LEFT(F985,SEARCH("(",F985)-1),F985),Tipos!$A:$B,2,FALSE()),"outro")</f>
        <v>decimal</v>
      </c>
      <c r="M985" s="7" t="str">
        <f aca="false">IF(COUNTIF(Comparação!$H:$H,A985)&gt;0,"sim",IF(AND(G985="sim",H985=""),"FALTA (obrigatória)","não"))</f>
        <v>não</v>
      </c>
    </row>
    <row r="986" customFormat="false" ht="15" hidden="false" customHeight="false" outlineLevel="0" collapsed="false">
      <c r="A986" s="7" t="str">
        <f aca="false">B986&amp;"."&amp;E986</f>
        <v>oportunidades.previsao_fechamento</v>
      </c>
      <c r="B986" s="7" t="s">
        <v>167</v>
      </c>
      <c r="C986" s="7" t="s">
        <v>66</v>
      </c>
      <c r="D986" s="7" t="n">
        <v>9</v>
      </c>
      <c r="E986" s="7" t="s">
        <v>978</v>
      </c>
      <c r="F986" s="7" t="s">
        <v>379</v>
      </c>
      <c r="G986" s="7" t="s">
        <v>267</v>
      </c>
      <c r="H986" s="7"/>
      <c r="I986" s="7"/>
      <c r="J986" s="7"/>
      <c r="K986" s="7"/>
      <c r="L986" s="7" t="str">
        <f aca="false">IFERROR(VLOOKUP(IF(ISNUMBER(SEARCH("(",F986)),LEFT(F986,SEARCH("(",F986)-1),F986),Tipos!$A:$B,2,FALSE()),"outro")</f>
        <v>data</v>
      </c>
      <c r="M986" s="7" t="str">
        <f aca="false">IF(COUNTIF(Comparação!$H:$H,A986)&gt;0,"sim",IF(AND(G986="sim",H986=""),"FALTA (obrigatória)","não"))</f>
        <v>não</v>
      </c>
    </row>
    <row r="987" customFormat="false" ht="15" hidden="false" customHeight="false" outlineLevel="0" collapsed="false">
      <c r="A987" s="7" t="str">
        <f aca="false">B987&amp;"."&amp;E987</f>
        <v>oportunidades.etapa_kanban_id</v>
      </c>
      <c r="B987" s="7" t="s">
        <v>167</v>
      </c>
      <c r="C987" s="7" t="s">
        <v>66</v>
      </c>
      <c r="D987" s="7" t="n">
        <v>10</v>
      </c>
      <c r="E987" s="7" t="s">
        <v>282</v>
      </c>
      <c r="F987" s="7" t="s">
        <v>272</v>
      </c>
      <c r="G987" s="7" t="s">
        <v>267</v>
      </c>
      <c r="H987" s="7"/>
      <c r="I987" s="7"/>
      <c r="J987" s="7" t="s">
        <v>283</v>
      </c>
      <c r="K987" s="7"/>
      <c r="L987" s="7" t="str">
        <f aca="false">IFERROR(VLOOKUP(IF(ISNUMBER(SEARCH("(",F987)),LEFT(F987,SEARCH("(",F987)-1),F987),Tipos!$A:$B,2,FALSE()),"outro")</f>
        <v>uuid</v>
      </c>
      <c r="M987" s="7" t="str">
        <f aca="false">IF(COUNTIF(Comparação!$H:$H,A987)&gt;0,"sim",IF(AND(G987="sim",H987=""),"FALTA (obrigatória)","não"))</f>
        <v>não</v>
      </c>
    </row>
    <row r="988" customFormat="false" ht="15" hidden="false" customHeight="false" outlineLevel="0" collapsed="false">
      <c r="A988" s="7" t="str">
        <f aca="false">B988&amp;"."&amp;E988</f>
        <v>oportunidades.status</v>
      </c>
      <c r="B988" s="7" t="s">
        <v>167</v>
      </c>
      <c r="C988" s="7" t="s">
        <v>66</v>
      </c>
      <c r="D988" s="7" t="n">
        <v>11</v>
      </c>
      <c r="E988" s="7" t="s">
        <v>293</v>
      </c>
      <c r="F988" s="7" t="s">
        <v>261</v>
      </c>
      <c r="G988" s="7" t="s">
        <v>262</v>
      </c>
      <c r="H988" s="7" t="s">
        <v>979</v>
      </c>
      <c r="I988" s="7"/>
      <c r="J988" s="7"/>
      <c r="K988" s="7" t="s">
        <v>980</v>
      </c>
      <c r="L988" s="7" t="str">
        <f aca="false">IFERROR(VLOOKUP(IF(ISNUMBER(SEARCH("(",F988)),LEFT(F988,SEARCH("(",F988)-1),F988),Tipos!$A:$B,2,FALSE()),"outro")</f>
        <v>texto</v>
      </c>
      <c r="M988" s="7" t="str">
        <f aca="false">IF(COUNTIF(Comparação!$H:$H,A988)&gt;0,"sim",IF(AND(G988="sim",H988=""),"FALTA (obrigatória)","não"))</f>
        <v>não</v>
      </c>
    </row>
    <row r="989" customFormat="false" ht="15" hidden="false" customHeight="false" outlineLevel="0" collapsed="false">
      <c r="A989" s="7" t="str">
        <f aca="false">B989&amp;"."&amp;E989</f>
        <v>oportunidades.motivo</v>
      </c>
      <c r="B989" s="7" t="s">
        <v>167</v>
      </c>
      <c r="C989" s="7" t="s">
        <v>66</v>
      </c>
      <c r="D989" s="7" t="n">
        <v>12</v>
      </c>
      <c r="E989" s="7" t="s">
        <v>413</v>
      </c>
      <c r="F989" s="7" t="s">
        <v>261</v>
      </c>
      <c r="G989" s="7" t="s">
        <v>267</v>
      </c>
      <c r="H989" s="7"/>
      <c r="I989" s="7"/>
      <c r="J989" s="7"/>
      <c r="K989" s="7"/>
      <c r="L989" s="7" t="str">
        <f aca="false">IFERROR(VLOOKUP(IF(ISNUMBER(SEARCH("(",F989)),LEFT(F989,SEARCH("(",F989)-1),F989),Tipos!$A:$B,2,FALSE()),"outro")</f>
        <v>texto</v>
      </c>
      <c r="M989" s="7" t="str">
        <f aca="false">IF(COUNTIF(Comparação!$H:$H,A989)&gt;0,"sim",IF(AND(G989="sim",H989=""),"FALTA (obrigatória)","não"))</f>
        <v>não</v>
      </c>
    </row>
    <row r="990" customFormat="false" ht="15" hidden="false" customHeight="false" outlineLevel="0" collapsed="false">
      <c r="A990" s="7" t="str">
        <f aca="false">B990&amp;"."&amp;E990</f>
        <v>oportunidades.responsavel_id</v>
      </c>
      <c r="B990" s="7" t="s">
        <v>167</v>
      </c>
      <c r="C990" s="7" t="s">
        <v>66</v>
      </c>
      <c r="D990" s="7" t="n">
        <v>13</v>
      </c>
      <c r="E990" s="7" t="s">
        <v>621</v>
      </c>
      <c r="F990" s="7" t="s">
        <v>272</v>
      </c>
      <c r="G990" s="7" t="s">
        <v>267</v>
      </c>
      <c r="H990" s="7"/>
      <c r="I990" s="7"/>
      <c r="J990" s="7" t="s">
        <v>299</v>
      </c>
      <c r="K990" s="7"/>
      <c r="L990" s="7" t="str">
        <f aca="false">IFERROR(VLOOKUP(IF(ISNUMBER(SEARCH("(",F990)),LEFT(F990,SEARCH("(",F990)-1),F990),Tipos!$A:$B,2,FALSE()),"outro")</f>
        <v>uuid</v>
      </c>
      <c r="M990" s="7" t="str">
        <f aca="false">IF(COUNTIF(Comparação!$H:$H,A990)&gt;0,"sim",IF(AND(G990="sim",H990=""),"FALTA (obrigatória)","não"))</f>
        <v>não</v>
      </c>
    </row>
    <row r="991" customFormat="false" ht="15" hidden="false" customHeight="false" outlineLevel="0" collapsed="false">
      <c r="A991" s="7" t="str">
        <f aca="false">B991&amp;"."&amp;E991</f>
        <v>oportunidades.observacoes</v>
      </c>
      <c r="B991" s="7" t="s">
        <v>167</v>
      </c>
      <c r="C991" s="7" t="s">
        <v>66</v>
      </c>
      <c r="D991" s="7" t="n">
        <v>14</v>
      </c>
      <c r="E991" s="7" t="s">
        <v>368</v>
      </c>
      <c r="F991" s="7" t="s">
        <v>261</v>
      </c>
      <c r="G991" s="7" t="s">
        <v>267</v>
      </c>
      <c r="H991" s="7"/>
      <c r="I991" s="7"/>
      <c r="J991" s="7"/>
      <c r="K991" s="7"/>
      <c r="L991" s="7" t="str">
        <f aca="false">IFERROR(VLOOKUP(IF(ISNUMBER(SEARCH("(",F991)),LEFT(F991,SEARCH("(",F991)-1),F991),Tipos!$A:$B,2,FALSE()),"outro")</f>
        <v>texto</v>
      </c>
      <c r="M991" s="7" t="str">
        <f aca="false">IF(COUNTIF(Comparação!$H:$H,A991)&gt;0,"sim",IF(AND(G991="sim",H991=""),"FALTA (obrigatória)","não"))</f>
        <v>não</v>
      </c>
    </row>
    <row r="992" customFormat="false" ht="15" hidden="false" customHeight="false" outlineLevel="0" collapsed="false">
      <c r="A992" s="7" t="str">
        <f aca="false">B992&amp;"."&amp;E992</f>
        <v>oportunidades.criado_em</v>
      </c>
      <c r="B992" s="7" t="s">
        <v>167</v>
      </c>
      <c r="C992" s="7" t="s">
        <v>66</v>
      </c>
      <c r="D992" s="7" t="n">
        <v>15</v>
      </c>
      <c r="E992" s="7" t="s">
        <v>344</v>
      </c>
      <c r="F992" s="7" t="s">
        <v>285</v>
      </c>
      <c r="G992" s="7" t="s">
        <v>262</v>
      </c>
      <c r="H992" s="7" t="s">
        <v>286</v>
      </c>
      <c r="I992" s="7"/>
      <c r="J992" s="7"/>
      <c r="K992" s="7"/>
      <c r="L992" s="7" t="str">
        <f aca="false">IFERROR(VLOOKUP(IF(ISNUMBER(SEARCH("(",F992)),LEFT(F992,SEARCH("(",F992)-1),F992),Tipos!$A:$B,2,FALSE()),"outro")</f>
        <v>data e hora</v>
      </c>
      <c r="M992" s="7" t="str">
        <f aca="false">IF(COUNTIF(Comparação!$H:$H,A992)&gt;0,"sim",IF(AND(G992="sim",H992=""),"FALTA (obrigatória)","não"))</f>
        <v>não</v>
      </c>
    </row>
    <row r="993" customFormat="false" ht="15" hidden="false" customHeight="false" outlineLevel="0" collapsed="false">
      <c r="A993" s="7" t="str">
        <f aca="false">B993&amp;"."&amp;E993</f>
        <v>oportunidades.fechado_em</v>
      </c>
      <c r="B993" s="7" t="s">
        <v>167</v>
      </c>
      <c r="C993" s="7" t="s">
        <v>66</v>
      </c>
      <c r="D993" s="7" t="n">
        <v>16</v>
      </c>
      <c r="E993" s="7" t="s">
        <v>404</v>
      </c>
      <c r="F993" s="7" t="s">
        <v>285</v>
      </c>
      <c r="G993" s="7" t="s">
        <v>267</v>
      </c>
      <c r="H993" s="7"/>
      <c r="I993" s="7"/>
      <c r="J993" s="7"/>
      <c r="K993" s="7"/>
      <c r="L993" s="7" t="str">
        <f aca="false">IFERROR(VLOOKUP(IF(ISNUMBER(SEARCH("(",F993)),LEFT(F993,SEARCH("(",F993)-1),F993),Tipos!$A:$B,2,FALSE()),"outro")</f>
        <v>data e hora</v>
      </c>
      <c r="M993" s="7" t="str">
        <f aca="false">IF(COUNTIF(Comparação!$H:$H,A993)&gt;0,"sim",IF(AND(G993="sim",H993=""),"FALTA (obrigatória)","não"))</f>
        <v>não</v>
      </c>
    </row>
    <row r="994" customFormat="false" ht="15" hidden="false" customHeight="false" outlineLevel="0" collapsed="false">
      <c r="A994" s="7" t="str">
        <f aca="false">B994&amp;"."&amp;E994</f>
        <v>pacotes_acesso.id</v>
      </c>
      <c r="B994" s="7" t="s">
        <v>169</v>
      </c>
      <c r="C994" s="7" t="s">
        <v>24</v>
      </c>
      <c r="D994" s="7" t="n">
        <v>1</v>
      </c>
      <c r="E994" s="7" t="s">
        <v>271</v>
      </c>
      <c r="F994" s="7" t="s">
        <v>272</v>
      </c>
      <c r="G994" s="7" t="s">
        <v>262</v>
      </c>
      <c r="H994" s="7" t="s">
        <v>273</v>
      </c>
      <c r="I994" s="7" t="s">
        <v>263</v>
      </c>
      <c r="J994" s="7"/>
      <c r="K994" s="7"/>
      <c r="L994" s="7" t="str">
        <f aca="false">IFERROR(VLOOKUP(IF(ISNUMBER(SEARCH("(",F994)),LEFT(F994,SEARCH("(",F994)-1),F994),Tipos!$A:$B,2,FALSE()),"outro")</f>
        <v>uuid</v>
      </c>
      <c r="M994" s="7" t="str">
        <f aca="false">IF(COUNTIF(Comparação!$H:$H,A994)&gt;0,"sim",IF(AND(G994="sim",H994=""),"FALTA (obrigatória)","não"))</f>
        <v>não</v>
      </c>
    </row>
    <row r="995" customFormat="false" ht="15" hidden="false" customHeight="false" outlineLevel="0" collapsed="false">
      <c r="A995" s="7" t="str">
        <f aca="false">B995&amp;"."&amp;E995</f>
        <v>pacotes_acesso.nome</v>
      </c>
      <c r="B995" s="7" t="s">
        <v>169</v>
      </c>
      <c r="C995" s="7" t="s">
        <v>24</v>
      </c>
      <c r="D995" s="7" t="n">
        <v>2</v>
      </c>
      <c r="E995" s="7" t="s">
        <v>265</v>
      </c>
      <c r="F995" s="7" t="s">
        <v>261</v>
      </c>
      <c r="G995" s="7" t="s">
        <v>262</v>
      </c>
      <c r="H995" s="7"/>
      <c r="I995" s="7" t="s">
        <v>290</v>
      </c>
      <c r="J995" s="7"/>
      <c r="K995" s="7"/>
      <c r="L995" s="7" t="str">
        <f aca="false">IFERROR(VLOOKUP(IF(ISNUMBER(SEARCH("(",F995)),LEFT(F995,SEARCH("(",F995)-1),F995),Tipos!$A:$B,2,FALSE()),"outro")</f>
        <v>texto</v>
      </c>
      <c r="M995" s="7" t="str">
        <f aca="false">IF(COUNTIF(Comparação!$H:$H,A995)&gt;0,"sim",IF(AND(G995="sim",H995=""),"FALTA (obrigatória)","não"))</f>
        <v>FALTA (obrigatória)</v>
      </c>
    </row>
    <row r="996" customFormat="false" ht="15" hidden="false" customHeight="false" outlineLevel="0" collapsed="false">
      <c r="A996" s="7" t="str">
        <f aca="false">B996&amp;"."&amp;E996</f>
        <v>pacotes_acesso.descricao</v>
      </c>
      <c r="B996" s="7" t="s">
        <v>169</v>
      </c>
      <c r="C996" s="7" t="s">
        <v>24</v>
      </c>
      <c r="D996" s="7" t="n">
        <v>3</v>
      </c>
      <c r="E996" s="7" t="s">
        <v>427</v>
      </c>
      <c r="F996" s="7" t="s">
        <v>261</v>
      </c>
      <c r="G996" s="7" t="s">
        <v>267</v>
      </c>
      <c r="H996" s="7"/>
      <c r="I996" s="7"/>
      <c r="J996" s="7"/>
      <c r="K996" s="7"/>
      <c r="L996" s="7" t="str">
        <f aca="false">IFERROR(VLOOKUP(IF(ISNUMBER(SEARCH("(",F996)),LEFT(F996,SEARCH("(",F996)-1),F996),Tipos!$A:$B,2,FALSE()),"outro")</f>
        <v>texto</v>
      </c>
      <c r="M996" s="7" t="str">
        <f aca="false">IF(COUNTIF(Comparação!$H:$H,A996)&gt;0,"sim",IF(AND(G996="sim",H996=""),"FALTA (obrigatória)","não"))</f>
        <v>não</v>
      </c>
    </row>
    <row r="997" customFormat="false" ht="15" hidden="false" customHeight="false" outlineLevel="0" collapsed="false">
      <c r="A997" s="7" t="str">
        <f aca="false">B997&amp;"."&amp;E997</f>
        <v>pacotes_acesso.telas</v>
      </c>
      <c r="B997" s="7" t="s">
        <v>169</v>
      </c>
      <c r="C997" s="7" t="s">
        <v>24</v>
      </c>
      <c r="D997" s="7" t="n">
        <v>4</v>
      </c>
      <c r="E997" s="7" t="s">
        <v>981</v>
      </c>
      <c r="F997" s="7" t="s">
        <v>322</v>
      </c>
      <c r="G997" s="7" t="s">
        <v>262</v>
      </c>
      <c r="H997" s="7" t="s">
        <v>610</v>
      </c>
      <c r="I997" s="7"/>
      <c r="J997" s="7"/>
      <c r="K997" s="7"/>
      <c r="L997" s="7" t="str">
        <f aca="false">IFERROR(VLOOKUP(IF(ISNUMBER(SEARCH("(",F997)),LEFT(F997,SEARCH("(",F997)-1),F997),Tipos!$A:$B,2,FALSE()),"outro")</f>
        <v>lista</v>
      </c>
      <c r="M997" s="7" t="str">
        <f aca="false">IF(COUNTIF(Comparação!$H:$H,A997)&gt;0,"sim",IF(AND(G997="sim",H997=""),"FALTA (obrigatória)","não"))</f>
        <v>não</v>
      </c>
    </row>
    <row r="998" customFormat="false" ht="15" hidden="false" customHeight="false" outlineLevel="0" collapsed="false">
      <c r="A998" s="7" t="str">
        <f aca="false">B998&amp;"."&amp;E998</f>
        <v>pacotes_acesso.ativo</v>
      </c>
      <c r="B998" s="7" t="s">
        <v>169</v>
      </c>
      <c r="C998" s="7" t="s">
        <v>24</v>
      </c>
      <c r="D998" s="7" t="n">
        <v>5</v>
      </c>
      <c r="E998" s="7" t="s">
        <v>309</v>
      </c>
      <c r="F998" s="7" t="s">
        <v>310</v>
      </c>
      <c r="G998" s="7" t="s">
        <v>262</v>
      </c>
      <c r="H998" s="7" t="s">
        <v>311</v>
      </c>
      <c r="I998" s="7"/>
      <c r="J998" s="7"/>
      <c r="K998" s="7"/>
      <c r="L998" s="7" t="str">
        <f aca="false">IFERROR(VLOOKUP(IF(ISNUMBER(SEARCH("(",F998)),LEFT(F998,SEARCH("(",F998)-1),F998),Tipos!$A:$B,2,FALSE()),"outro")</f>
        <v>booleano</v>
      </c>
      <c r="M998" s="7" t="str">
        <f aca="false">IF(COUNTIF(Comparação!$H:$H,A998)&gt;0,"sim",IF(AND(G998="sim",H998=""),"FALTA (obrigatória)","não"))</f>
        <v>não</v>
      </c>
    </row>
    <row r="999" customFormat="false" ht="15" hidden="false" customHeight="false" outlineLevel="0" collapsed="false">
      <c r="A999" s="7" t="str">
        <f aca="false">B999&amp;"."&amp;E999</f>
        <v>pacotes_acesso.criado_em</v>
      </c>
      <c r="B999" s="7" t="s">
        <v>169</v>
      </c>
      <c r="C999" s="7" t="s">
        <v>24</v>
      </c>
      <c r="D999" s="7" t="n">
        <v>6</v>
      </c>
      <c r="E999" s="7" t="s">
        <v>344</v>
      </c>
      <c r="F999" s="7" t="s">
        <v>285</v>
      </c>
      <c r="G999" s="7" t="s">
        <v>262</v>
      </c>
      <c r="H999" s="7" t="s">
        <v>286</v>
      </c>
      <c r="I999" s="7"/>
      <c r="J999" s="7"/>
      <c r="K999" s="7"/>
      <c r="L999" s="7" t="str">
        <f aca="false">IFERROR(VLOOKUP(IF(ISNUMBER(SEARCH("(",F999)),LEFT(F999,SEARCH("(",F999)-1),F999),Tipos!$A:$B,2,FALSE()),"outro")</f>
        <v>data e hora</v>
      </c>
      <c r="M999" s="7" t="str">
        <f aca="false">IF(COUNTIF(Comparação!$H:$H,A999)&gt;0,"sim",IF(AND(G999="sim",H999=""),"FALTA (obrigatória)","não"))</f>
        <v>não</v>
      </c>
    </row>
    <row r="1000" customFormat="false" ht="15" hidden="false" customHeight="false" outlineLevel="0" collapsed="false">
      <c r="A1000" s="7" t="str">
        <f aca="false">B1000&amp;"."&amp;E1000</f>
        <v>pacotes_acesso.atualizado_em</v>
      </c>
      <c r="B1000" s="7" t="s">
        <v>169</v>
      </c>
      <c r="C1000" s="7" t="s">
        <v>24</v>
      </c>
      <c r="D1000" s="7" t="n">
        <v>7</v>
      </c>
      <c r="E1000" s="7" t="s">
        <v>335</v>
      </c>
      <c r="F1000" s="7" t="s">
        <v>285</v>
      </c>
      <c r="G1000" s="7" t="s">
        <v>262</v>
      </c>
      <c r="H1000" s="7" t="s">
        <v>286</v>
      </c>
      <c r="I1000" s="7"/>
      <c r="J1000" s="7"/>
      <c r="K1000" s="7"/>
      <c r="L1000" s="7" t="str">
        <f aca="false">IFERROR(VLOOKUP(IF(ISNUMBER(SEARCH("(",F1000)),LEFT(F1000,SEARCH("(",F1000)-1),F1000),Tipos!$A:$B,2,FALSE()),"outro")</f>
        <v>data e hora</v>
      </c>
      <c r="M1000" s="7" t="str">
        <f aca="false">IF(COUNTIF(Comparação!$H:$H,A1000)&gt;0,"sim",IF(AND(G1000="sim",H1000=""),"FALTA (obrigatória)","não"))</f>
        <v>não</v>
      </c>
    </row>
    <row r="1001" customFormat="false" ht="15" hidden="false" customHeight="false" outlineLevel="0" collapsed="false">
      <c r="A1001" s="7" t="str">
        <f aca="false">B1001&amp;"."&amp;E1001</f>
        <v>pagamentos_historicos.id</v>
      </c>
      <c r="B1001" s="7" t="s">
        <v>170</v>
      </c>
      <c r="C1001" s="7" t="s">
        <v>69</v>
      </c>
      <c r="D1001" s="7" t="n">
        <v>1</v>
      </c>
      <c r="E1001" s="7" t="s">
        <v>271</v>
      </c>
      <c r="F1001" s="7" t="s">
        <v>272</v>
      </c>
      <c r="G1001" s="7" t="s">
        <v>262</v>
      </c>
      <c r="H1001" s="7" t="s">
        <v>273</v>
      </c>
      <c r="I1001" s="7" t="s">
        <v>263</v>
      </c>
      <c r="J1001" s="7"/>
      <c r="K1001" s="7"/>
      <c r="L1001" s="7" t="str">
        <f aca="false">IFERROR(VLOOKUP(IF(ISNUMBER(SEARCH("(",F1001)),LEFT(F1001,SEARCH("(",F1001)-1),F1001),Tipos!$A:$B,2,FALSE()),"outro")</f>
        <v>uuid</v>
      </c>
      <c r="M1001" s="7" t="str">
        <f aca="false">IF(COUNTIF(Comparação!$H:$H,A1001)&gt;0,"sim",IF(AND(G1001="sim",H1001=""),"FALTA (obrigatória)","não"))</f>
        <v>não</v>
      </c>
    </row>
    <row r="1002" customFormat="false" ht="15" hidden="false" customHeight="false" outlineLevel="0" collapsed="false">
      <c r="A1002" s="7" t="str">
        <f aca="false">B1002&amp;"."&amp;E1002</f>
        <v>pagamentos_historicos.workspace_id</v>
      </c>
      <c r="B1002" s="7" t="s">
        <v>170</v>
      </c>
      <c r="C1002" s="7" t="s">
        <v>69</v>
      </c>
      <c r="D1002" s="7" t="n">
        <v>2</v>
      </c>
      <c r="E1002" s="7" t="s">
        <v>274</v>
      </c>
      <c r="F1002" s="7" t="s">
        <v>272</v>
      </c>
      <c r="G1002" s="7" t="s">
        <v>262</v>
      </c>
      <c r="H1002" s="7"/>
      <c r="I1002" s="7"/>
      <c r="J1002" s="7" t="s">
        <v>275</v>
      </c>
      <c r="K1002" s="7"/>
      <c r="L1002" s="7" t="str">
        <f aca="false">IFERROR(VLOOKUP(IF(ISNUMBER(SEARCH("(",F1002)),LEFT(F1002,SEARCH("(",F1002)-1),F1002),Tipos!$A:$B,2,FALSE()),"outro")</f>
        <v>uuid</v>
      </c>
      <c r="M1002" s="7" t="str">
        <f aca="false">IF(COUNTIF(Comparação!$H:$H,A1002)&gt;0,"sim",IF(AND(G1002="sim",H1002=""),"FALTA (obrigatória)","não"))</f>
        <v>FALTA (obrigatória)</v>
      </c>
    </row>
    <row r="1003" customFormat="false" ht="15" hidden="false" customHeight="false" outlineLevel="0" collapsed="false">
      <c r="A1003" s="7" t="str">
        <f aca="false">B1003&amp;"."&amp;E1003</f>
        <v>pagamentos_historicos.pessoa_id</v>
      </c>
      <c r="B1003" s="7" t="s">
        <v>170</v>
      </c>
      <c r="C1003" s="7" t="s">
        <v>69</v>
      </c>
      <c r="D1003" s="7" t="n">
        <v>3</v>
      </c>
      <c r="E1003" s="7" t="s">
        <v>278</v>
      </c>
      <c r="F1003" s="7" t="s">
        <v>272</v>
      </c>
      <c r="G1003" s="7" t="s">
        <v>262</v>
      </c>
      <c r="H1003" s="7"/>
      <c r="I1003" s="7"/>
      <c r="J1003" s="7" t="s">
        <v>279</v>
      </c>
      <c r="K1003" s="7"/>
      <c r="L1003" s="7" t="str">
        <f aca="false">IFERROR(VLOOKUP(IF(ISNUMBER(SEARCH("(",F1003)),LEFT(F1003,SEARCH("(",F1003)-1),F1003),Tipos!$A:$B,2,FALSE()),"outro")</f>
        <v>uuid</v>
      </c>
      <c r="M1003" s="7" t="str">
        <f aca="false">IF(COUNTIF(Comparação!$H:$H,A1003)&gt;0,"sim",IF(AND(G1003="sim",H1003=""),"FALTA (obrigatória)","não"))</f>
        <v>FALTA (obrigatória)</v>
      </c>
    </row>
    <row r="1004" customFormat="false" ht="15" hidden="false" customHeight="false" outlineLevel="0" collapsed="false">
      <c r="A1004" s="7" t="str">
        <f aca="false">B1004&amp;"."&amp;E1004</f>
        <v>pagamentos_historicos.produto_id</v>
      </c>
      <c r="B1004" s="7" t="s">
        <v>170</v>
      </c>
      <c r="C1004" s="7" t="s">
        <v>69</v>
      </c>
      <c r="D1004" s="7" t="n">
        <v>4</v>
      </c>
      <c r="E1004" s="7" t="s">
        <v>287</v>
      </c>
      <c r="F1004" s="7" t="s">
        <v>272</v>
      </c>
      <c r="G1004" s="7" t="s">
        <v>267</v>
      </c>
      <c r="H1004" s="7"/>
      <c r="I1004" s="7"/>
      <c r="J1004" s="7" t="s">
        <v>288</v>
      </c>
      <c r="K1004" s="7"/>
      <c r="L1004" s="7" t="str">
        <f aca="false">IFERROR(VLOOKUP(IF(ISNUMBER(SEARCH("(",F1004)),LEFT(F1004,SEARCH("(",F1004)-1),F1004),Tipos!$A:$B,2,FALSE()),"outro")</f>
        <v>uuid</v>
      </c>
      <c r="M1004" s="7" t="str">
        <f aca="false">IF(COUNTIF(Comparação!$H:$H,A1004)&gt;0,"sim",IF(AND(G1004="sim",H1004=""),"FALTA (obrigatória)","não"))</f>
        <v>não</v>
      </c>
    </row>
    <row r="1005" customFormat="false" ht="15" hidden="false" customHeight="false" outlineLevel="0" collapsed="false">
      <c r="A1005" s="7" t="str">
        <f aca="false">B1005&amp;"."&amp;E1005</f>
        <v>pagamentos_historicos.valor</v>
      </c>
      <c r="B1005" s="7" t="s">
        <v>170</v>
      </c>
      <c r="C1005" s="7" t="s">
        <v>69</v>
      </c>
      <c r="D1005" s="7" t="n">
        <v>5</v>
      </c>
      <c r="E1005" s="7" t="s">
        <v>330</v>
      </c>
      <c r="F1005" s="7" t="s">
        <v>354</v>
      </c>
      <c r="G1005" s="7" t="s">
        <v>262</v>
      </c>
      <c r="H1005" s="7"/>
      <c r="I1005" s="7"/>
      <c r="J1005" s="7"/>
      <c r="K1005" s="7" t="s">
        <v>529</v>
      </c>
      <c r="L1005" s="7" t="str">
        <f aca="false">IFERROR(VLOOKUP(IF(ISNUMBER(SEARCH("(",F1005)),LEFT(F1005,SEARCH("(",F1005)-1),F1005),Tipos!$A:$B,2,FALSE()),"outro")</f>
        <v>decimal</v>
      </c>
      <c r="M1005" s="7" t="str">
        <f aca="false">IF(COUNTIF(Comparação!$H:$H,A1005)&gt;0,"sim",IF(AND(G1005="sim",H1005=""),"FALTA (obrigatória)","não"))</f>
        <v>FALTA (obrigatória)</v>
      </c>
    </row>
    <row r="1006" customFormat="false" ht="15" hidden="false" customHeight="false" outlineLevel="0" collapsed="false">
      <c r="A1006" s="7" t="str">
        <f aca="false">B1006&amp;"."&amp;E1006</f>
        <v>pagamentos_historicos.periodo_inicio</v>
      </c>
      <c r="B1006" s="7" t="s">
        <v>170</v>
      </c>
      <c r="C1006" s="7" t="s">
        <v>69</v>
      </c>
      <c r="D1006" s="7" t="n">
        <v>6</v>
      </c>
      <c r="E1006" s="7" t="s">
        <v>982</v>
      </c>
      <c r="F1006" s="7" t="s">
        <v>379</v>
      </c>
      <c r="G1006" s="7" t="s">
        <v>267</v>
      </c>
      <c r="H1006" s="7"/>
      <c r="I1006" s="7"/>
      <c r="J1006" s="7"/>
      <c r="K1006" s="7"/>
      <c r="L1006" s="7" t="str">
        <f aca="false">IFERROR(VLOOKUP(IF(ISNUMBER(SEARCH("(",F1006)),LEFT(F1006,SEARCH("(",F1006)-1),F1006),Tipos!$A:$B,2,FALSE()),"outro")</f>
        <v>data</v>
      </c>
      <c r="M1006" s="7" t="str">
        <f aca="false">IF(COUNTIF(Comparação!$H:$H,A1006)&gt;0,"sim",IF(AND(G1006="sim",H1006=""),"FALTA (obrigatória)","não"))</f>
        <v>não</v>
      </c>
    </row>
    <row r="1007" customFormat="false" ht="15" hidden="false" customHeight="false" outlineLevel="0" collapsed="false">
      <c r="A1007" s="7" t="str">
        <f aca="false">B1007&amp;"."&amp;E1007</f>
        <v>pagamentos_historicos.periodo_fim</v>
      </c>
      <c r="B1007" s="7" t="s">
        <v>170</v>
      </c>
      <c r="C1007" s="7" t="s">
        <v>69</v>
      </c>
      <c r="D1007" s="7" t="n">
        <v>7</v>
      </c>
      <c r="E1007" s="7" t="s">
        <v>408</v>
      </c>
      <c r="F1007" s="7" t="s">
        <v>379</v>
      </c>
      <c r="G1007" s="7" t="s">
        <v>267</v>
      </c>
      <c r="H1007" s="7"/>
      <c r="I1007" s="7"/>
      <c r="J1007" s="7"/>
      <c r="K1007" s="7"/>
      <c r="L1007" s="7" t="str">
        <f aca="false">IFERROR(VLOOKUP(IF(ISNUMBER(SEARCH("(",F1007)),LEFT(F1007,SEARCH("(",F1007)-1),F1007),Tipos!$A:$B,2,FALSE()),"outro")</f>
        <v>data</v>
      </c>
      <c r="M1007" s="7" t="str">
        <f aca="false">IF(COUNTIF(Comparação!$H:$H,A1007)&gt;0,"sim",IF(AND(G1007="sim",H1007=""),"FALTA (obrigatória)","não"))</f>
        <v>não</v>
      </c>
    </row>
    <row r="1008" customFormat="false" ht="15" hidden="false" customHeight="false" outlineLevel="0" collapsed="false">
      <c r="A1008" s="7" t="str">
        <f aca="false">B1008&amp;"."&amp;E1008</f>
        <v>pagamentos_historicos.descricao</v>
      </c>
      <c r="B1008" s="7" t="s">
        <v>170</v>
      </c>
      <c r="C1008" s="7" t="s">
        <v>69</v>
      </c>
      <c r="D1008" s="7" t="n">
        <v>8</v>
      </c>
      <c r="E1008" s="7" t="s">
        <v>427</v>
      </c>
      <c r="F1008" s="7" t="s">
        <v>261</v>
      </c>
      <c r="G1008" s="7" t="s">
        <v>267</v>
      </c>
      <c r="H1008" s="7"/>
      <c r="I1008" s="7"/>
      <c r="J1008" s="7"/>
      <c r="K1008" s="7"/>
      <c r="L1008" s="7" t="str">
        <f aca="false">IFERROR(VLOOKUP(IF(ISNUMBER(SEARCH("(",F1008)),LEFT(F1008,SEARCH("(",F1008)-1),F1008),Tipos!$A:$B,2,FALSE()),"outro")</f>
        <v>texto</v>
      </c>
      <c r="M1008" s="7" t="str">
        <f aca="false">IF(COUNTIF(Comparação!$H:$H,A1008)&gt;0,"sim",IF(AND(G1008="sim",H1008=""),"FALTA (obrigatória)","não"))</f>
        <v>não</v>
      </c>
    </row>
    <row r="1009" customFormat="false" ht="15" hidden="false" customHeight="false" outlineLevel="0" collapsed="false">
      <c r="A1009" s="7" t="str">
        <f aca="false">B1009&amp;"."&amp;E1009</f>
        <v>pagamentos_historicos.criado_em</v>
      </c>
      <c r="B1009" s="7" t="s">
        <v>170</v>
      </c>
      <c r="C1009" s="7" t="s">
        <v>69</v>
      </c>
      <c r="D1009" s="7" t="n">
        <v>9</v>
      </c>
      <c r="E1009" s="7" t="s">
        <v>344</v>
      </c>
      <c r="F1009" s="7" t="s">
        <v>285</v>
      </c>
      <c r="G1009" s="7" t="s">
        <v>262</v>
      </c>
      <c r="H1009" s="7" t="s">
        <v>286</v>
      </c>
      <c r="I1009" s="7"/>
      <c r="J1009" s="7"/>
      <c r="K1009" s="7"/>
      <c r="L1009" s="7" t="str">
        <f aca="false">IFERROR(VLOOKUP(IF(ISNUMBER(SEARCH("(",F1009)),LEFT(F1009,SEARCH("(",F1009)-1),F1009),Tipos!$A:$B,2,FALSE()),"outro")</f>
        <v>data e hora</v>
      </c>
      <c r="M1009" s="7" t="str">
        <f aca="false">IF(COUNTIF(Comparação!$H:$H,A1009)&gt;0,"sim",IF(AND(G1009="sim",H1009=""),"FALTA (obrigatória)","não"))</f>
        <v>não</v>
      </c>
    </row>
    <row r="1010" customFormat="false" ht="15" hidden="false" customHeight="false" outlineLevel="0" collapsed="false">
      <c r="A1010" s="7" t="str">
        <f aca="false">B1010&amp;"."&amp;E1010</f>
        <v>pagamentos_historicos.criado_por</v>
      </c>
      <c r="B1010" s="7" t="s">
        <v>170</v>
      </c>
      <c r="C1010" s="7" t="s">
        <v>69</v>
      </c>
      <c r="D1010" s="7" t="n">
        <v>10</v>
      </c>
      <c r="E1010" s="7" t="s">
        <v>511</v>
      </c>
      <c r="F1010" s="7" t="s">
        <v>272</v>
      </c>
      <c r="G1010" s="7" t="s">
        <v>267</v>
      </c>
      <c r="H1010" s="7" t="s">
        <v>406</v>
      </c>
      <c r="I1010" s="7"/>
      <c r="J1010" s="7"/>
      <c r="K1010" s="7"/>
      <c r="L1010" s="7" t="str">
        <f aca="false">IFERROR(VLOOKUP(IF(ISNUMBER(SEARCH("(",F1010)),LEFT(F1010,SEARCH("(",F1010)-1),F1010),Tipos!$A:$B,2,FALSE()),"outro")</f>
        <v>uuid</v>
      </c>
      <c r="M1010" s="7" t="str">
        <f aca="false">IF(COUNTIF(Comparação!$H:$H,A1010)&gt;0,"sim",IF(AND(G1010="sim",H1010=""),"FALTA (obrigatória)","não"))</f>
        <v>não</v>
      </c>
    </row>
    <row r="1011" customFormat="false" ht="15" hidden="false" customHeight="false" outlineLevel="0" collapsed="false">
      <c r="A1011" s="7" t="str">
        <f aca="false">B1011&amp;"."&amp;E1011</f>
        <v>partidas.id</v>
      </c>
      <c r="B1011" s="7" t="s">
        <v>172</v>
      </c>
      <c r="C1011" s="7" t="s">
        <v>69</v>
      </c>
      <c r="D1011" s="7" t="n">
        <v>1</v>
      </c>
      <c r="E1011" s="7" t="s">
        <v>271</v>
      </c>
      <c r="F1011" s="7" t="s">
        <v>272</v>
      </c>
      <c r="G1011" s="7" t="s">
        <v>262</v>
      </c>
      <c r="H1011" s="7" t="s">
        <v>273</v>
      </c>
      <c r="I1011" s="7" t="s">
        <v>263</v>
      </c>
      <c r="J1011" s="7"/>
      <c r="K1011" s="7"/>
      <c r="L1011" s="7" t="str">
        <f aca="false">IFERROR(VLOOKUP(IF(ISNUMBER(SEARCH("(",F1011)),LEFT(F1011,SEARCH("(",F1011)-1),F1011),Tipos!$A:$B,2,FALSE()),"outro")</f>
        <v>uuid</v>
      </c>
      <c r="M1011" s="7" t="str">
        <f aca="false">IF(COUNTIF(Comparação!$H:$H,A1011)&gt;0,"sim",IF(AND(G1011="sim",H1011=""),"FALTA (obrigatória)","não"))</f>
        <v>não</v>
      </c>
    </row>
    <row r="1012" customFormat="false" ht="15" hidden="false" customHeight="false" outlineLevel="0" collapsed="false">
      <c r="A1012" s="7" t="str">
        <f aca="false">B1012&amp;"."&amp;E1012</f>
        <v>partidas.workspace_id</v>
      </c>
      <c r="B1012" s="7" t="s">
        <v>172</v>
      </c>
      <c r="C1012" s="7" t="s">
        <v>69</v>
      </c>
      <c r="D1012" s="7" t="n">
        <v>2</v>
      </c>
      <c r="E1012" s="7" t="s">
        <v>274</v>
      </c>
      <c r="F1012" s="7" t="s">
        <v>272</v>
      </c>
      <c r="G1012" s="7" t="s">
        <v>262</v>
      </c>
      <c r="H1012" s="7"/>
      <c r="I1012" s="7"/>
      <c r="J1012" s="7" t="s">
        <v>275</v>
      </c>
      <c r="K1012" s="7"/>
      <c r="L1012" s="7" t="str">
        <f aca="false">IFERROR(VLOOKUP(IF(ISNUMBER(SEARCH("(",F1012)),LEFT(F1012,SEARCH("(",F1012)-1),F1012),Tipos!$A:$B,2,FALSE()),"outro")</f>
        <v>uuid</v>
      </c>
      <c r="M1012" s="7" t="str">
        <f aca="false">IF(COUNTIF(Comparação!$H:$H,A1012)&gt;0,"sim",IF(AND(G1012="sim",H1012=""),"FALTA (obrigatória)","não"))</f>
        <v>FALTA (obrigatória)</v>
      </c>
    </row>
    <row r="1013" customFormat="false" ht="15" hidden="false" customHeight="false" outlineLevel="0" collapsed="false">
      <c r="A1013" s="7" t="str">
        <f aca="false">B1013&amp;"."&amp;E1013</f>
        <v>partidas.lancamento_id</v>
      </c>
      <c r="B1013" s="7" t="s">
        <v>172</v>
      </c>
      <c r="C1013" s="7" t="s">
        <v>69</v>
      </c>
      <c r="D1013" s="7" t="n">
        <v>3</v>
      </c>
      <c r="E1013" s="7" t="s">
        <v>712</v>
      </c>
      <c r="F1013" s="7" t="s">
        <v>272</v>
      </c>
      <c r="G1013" s="7" t="s">
        <v>262</v>
      </c>
      <c r="H1013" s="7"/>
      <c r="I1013" s="7"/>
      <c r="J1013" s="7" t="s">
        <v>713</v>
      </c>
      <c r="K1013" s="7"/>
      <c r="L1013" s="7" t="str">
        <f aca="false">IFERROR(VLOOKUP(IF(ISNUMBER(SEARCH("(",F1013)),LEFT(F1013,SEARCH("(",F1013)-1),F1013),Tipos!$A:$B,2,FALSE()),"outro")</f>
        <v>uuid</v>
      </c>
      <c r="M1013" s="7" t="str">
        <f aca="false">IF(COUNTIF(Comparação!$H:$H,A1013)&gt;0,"sim",IF(AND(G1013="sim",H1013=""),"FALTA (obrigatória)","não"))</f>
        <v>FALTA (obrigatória)</v>
      </c>
    </row>
    <row r="1014" customFormat="false" ht="15" hidden="false" customHeight="false" outlineLevel="0" collapsed="false">
      <c r="A1014" s="7" t="str">
        <f aca="false">B1014&amp;"."&amp;E1014</f>
        <v>partidas.conta_id</v>
      </c>
      <c r="B1014" s="7" t="s">
        <v>172</v>
      </c>
      <c r="C1014" s="7" t="s">
        <v>69</v>
      </c>
      <c r="D1014" s="7" t="n">
        <v>4</v>
      </c>
      <c r="E1014" s="7" t="s">
        <v>983</v>
      </c>
      <c r="F1014" s="7" t="s">
        <v>272</v>
      </c>
      <c r="G1014" s="7" t="s">
        <v>262</v>
      </c>
      <c r="H1014" s="7"/>
      <c r="I1014" s="7"/>
      <c r="J1014" s="7" t="s">
        <v>521</v>
      </c>
      <c r="K1014" s="7"/>
      <c r="L1014" s="7" t="str">
        <f aca="false">IFERROR(VLOOKUP(IF(ISNUMBER(SEARCH("(",F1014)),LEFT(F1014,SEARCH("(",F1014)-1),F1014),Tipos!$A:$B,2,FALSE()),"outro")</f>
        <v>uuid</v>
      </c>
      <c r="M1014" s="7" t="str">
        <f aca="false">IF(COUNTIF(Comparação!$H:$H,A1014)&gt;0,"sim",IF(AND(G1014="sim",H1014=""),"FALTA (obrigatória)","não"))</f>
        <v>FALTA (obrigatória)</v>
      </c>
    </row>
    <row r="1015" customFormat="false" ht="15" hidden="false" customHeight="false" outlineLevel="0" collapsed="false">
      <c r="A1015" s="7" t="str">
        <f aca="false">B1015&amp;"."&amp;E1015</f>
        <v>partidas.centro_custo_id</v>
      </c>
      <c r="B1015" s="7" t="s">
        <v>172</v>
      </c>
      <c r="C1015" s="7" t="s">
        <v>69</v>
      </c>
      <c r="D1015" s="7" t="n">
        <v>5</v>
      </c>
      <c r="E1015" s="7" t="s">
        <v>533</v>
      </c>
      <c r="F1015" s="7" t="s">
        <v>272</v>
      </c>
      <c r="G1015" s="7" t="s">
        <v>267</v>
      </c>
      <c r="H1015" s="7"/>
      <c r="I1015" s="7"/>
      <c r="J1015" s="7" t="s">
        <v>534</v>
      </c>
      <c r="K1015" s="7"/>
      <c r="L1015" s="7" t="str">
        <f aca="false">IFERROR(VLOOKUP(IF(ISNUMBER(SEARCH("(",F1015)),LEFT(F1015,SEARCH("(",F1015)-1),F1015),Tipos!$A:$B,2,FALSE()),"outro")</f>
        <v>uuid</v>
      </c>
      <c r="M1015" s="7" t="str">
        <f aca="false">IF(COUNTIF(Comparação!$H:$H,A1015)&gt;0,"sim",IF(AND(G1015="sim",H1015=""),"FALTA (obrigatória)","não"))</f>
        <v>não</v>
      </c>
    </row>
    <row r="1016" customFormat="false" ht="15" hidden="false" customHeight="false" outlineLevel="0" collapsed="false">
      <c r="A1016" s="7" t="str">
        <f aca="false">B1016&amp;"."&amp;E1016</f>
        <v>partidas.tipo</v>
      </c>
      <c r="B1016" s="7" t="s">
        <v>172</v>
      </c>
      <c r="C1016" s="7" t="s">
        <v>69</v>
      </c>
      <c r="D1016" s="7" t="n">
        <v>6</v>
      </c>
      <c r="E1016" s="7" t="s">
        <v>280</v>
      </c>
      <c r="F1016" s="7" t="s">
        <v>261</v>
      </c>
      <c r="G1016" s="7" t="s">
        <v>262</v>
      </c>
      <c r="H1016" s="7"/>
      <c r="I1016" s="7"/>
      <c r="J1016" s="7"/>
      <c r="K1016" s="7" t="s">
        <v>984</v>
      </c>
      <c r="L1016" s="7" t="str">
        <f aca="false">IFERROR(VLOOKUP(IF(ISNUMBER(SEARCH("(",F1016)),LEFT(F1016,SEARCH("(",F1016)-1),F1016),Tipos!$A:$B,2,FALSE()),"outro")</f>
        <v>texto</v>
      </c>
      <c r="M1016" s="7" t="str">
        <f aca="false">IF(COUNTIF(Comparação!$H:$H,A1016)&gt;0,"sim",IF(AND(G1016="sim",H1016=""),"FALTA (obrigatória)","não"))</f>
        <v>FALTA (obrigatória)</v>
      </c>
    </row>
    <row r="1017" customFormat="false" ht="15" hidden="false" customHeight="false" outlineLevel="0" collapsed="false">
      <c r="A1017" s="7" t="str">
        <f aca="false">B1017&amp;"."&amp;E1017</f>
        <v>partidas.valor</v>
      </c>
      <c r="B1017" s="7" t="s">
        <v>172</v>
      </c>
      <c r="C1017" s="7" t="s">
        <v>69</v>
      </c>
      <c r="D1017" s="7" t="n">
        <v>7</v>
      </c>
      <c r="E1017" s="7" t="s">
        <v>330</v>
      </c>
      <c r="F1017" s="7" t="s">
        <v>354</v>
      </c>
      <c r="G1017" s="7" t="s">
        <v>262</v>
      </c>
      <c r="H1017" s="7"/>
      <c r="I1017" s="7"/>
      <c r="J1017" s="7"/>
      <c r="K1017" s="7" t="s">
        <v>529</v>
      </c>
      <c r="L1017" s="7" t="str">
        <f aca="false">IFERROR(VLOOKUP(IF(ISNUMBER(SEARCH("(",F1017)),LEFT(F1017,SEARCH("(",F1017)-1),F1017),Tipos!$A:$B,2,FALSE()),"outro")</f>
        <v>decimal</v>
      </c>
      <c r="M1017" s="7" t="str">
        <f aca="false">IF(COUNTIF(Comparação!$H:$H,A1017)&gt;0,"sim",IF(AND(G1017="sim",H1017=""),"FALTA (obrigatória)","não"))</f>
        <v>FALTA (obrigatória)</v>
      </c>
    </row>
    <row r="1018" customFormat="false" ht="15" hidden="false" customHeight="false" outlineLevel="0" collapsed="false">
      <c r="A1018" s="7" t="str">
        <f aca="false">B1018&amp;"."&amp;E1018</f>
        <v>pesquisa_envios.id</v>
      </c>
      <c r="B1018" s="7" t="s">
        <v>174</v>
      </c>
      <c r="C1018" s="7" t="s">
        <v>175</v>
      </c>
      <c r="D1018" s="7" t="n">
        <v>1</v>
      </c>
      <c r="E1018" s="7" t="s">
        <v>271</v>
      </c>
      <c r="F1018" s="7" t="s">
        <v>272</v>
      </c>
      <c r="G1018" s="7" t="s">
        <v>262</v>
      </c>
      <c r="H1018" s="7" t="s">
        <v>273</v>
      </c>
      <c r="I1018" s="7" t="s">
        <v>263</v>
      </c>
      <c r="J1018" s="7"/>
      <c r="K1018" s="7"/>
      <c r="L1018" s="7" t="str">
        <f aca="false">IFERROR(VLOOKUP(IF(ISNUMBER(SEARCH("(",F1018)),LEFT(F1018,SEARCH("(",F1018)-1),F1018),Tipos!$A:$B,2,FALSE()),"outro")</f>
        <v>uuid</v>
      </c>
      <c r="M1018" s="7" t="str">
        <f aca="false">IF(COUNTIF(Comparação!$H:$H,A1018)&gt;0,"sim",IF(AND(G1018="sim",H1018=""),"FALTA (obrigatória)","não"))</f>
        <v>não</v>
      </c>
    </row>
    <row r="1019" customFormat="false" ht="15" hidden="false" customHeight="false" outlineLevel="0" collapsed="false">
      <c r="A1019" s="7" t="str">
        <f aca="false">B1019&amp;"."&amp;E1019</f>
        <v>pesquisa_envios.workspace_id</v>
      </c>
      <c r="B1019" s="7" t="s">
        <v>174</v>
      </c>
      <c r="C1019" s="7" t="s">
        <v>175</v>
      </c>
      <c r="D1019" s="7" t="n">
        <v>2</v>
      </c>
      <c r="E1019" s="7" t="s">
        <v>274</v>
      </c>
      <c r="F1019" s="7" t="s">
        <v>272</v>
      </c>
      <c r="G1019" s="7" t="s">
        <v>262</v>
      </c>
      <c r="H1019" s="7"/>
      <c r="I1019" s="7"/>
      <c r="J1019" s="7" t="s">
        <v>275</v>
      </c>
      <c r="K1019" s="7"/>
      <c r="L1019" s="7" t="str">
        <f aca="false">IFERROR(VLOOKUP(IF(ISNUMBER(SEARCH("(",F1019)),LEFT(F1019,SEARCH("(",F1019)-1),F1019),Tipos!$A:$B,2,FALSE()),"outro")</f>
        <v>uuid</v>
      </c>
      <c r="M1019" s="7" t="str">
        <f aca="false">IF(COUNTIF(Comparação!$H:$H,A1019)&gt;0,"sim",IF(AND(G1019="sim",H1019=""),"FALTA (obrigatória)","não"))</f>
        <v>FALTA (obrigatória)</v>
      </c>
    </row>
    <row r="1020" customFormat="false" ht="15" hidden="false" customHeight="false" outlineLevel="0" collapsed="false">
      <c r="A1020" s="7" t="str">
        <f aca="false">B1020&amp;"."&amp;E1020</f>
        <v>pesquisa_envios.pesquisa_id</v>
      </c>
      <c r="B1020" s="7" t="s">
        <v>174</v>
      </c>
      <c r="C1020" s="7" t="s">
        <v>175</v>
      </c>
      <c r="D1020" s="7" t="n">
        <v>3</v>
      </c>
      <c r="E1020" s="7" t="s">
        <v>831</v>
      </c>
      <c r="F1020" s="7" t="s">
        <v>272</v>
      </c>
      <c r="G1020" s="7" t="s">
        <v>262</v>
      </c>
      <c r="H1020" s="7"/>
      <c r="I1020" s="7" t="s">
        <v>290</v>
      </c>
      <c r="J1020" s="7" t="s">
        <v>832</v>
      </c>
      <c r="K1020" s="7"/>
      <c r="L1020" s="7" t="str">
        <f aca="false">IFERROR(VLOOKUP(IF(ISNUMBER(SEARCH("(",F1020)),LEFT(F1020,SEARCH("(",F1020)-1),F1020),Tipos!$A:$B,2,FALSE()),"outro")</f>
        <v>uuid</v>
      </c>
      <c r="M1020" s="7" t="str">
        <f aca="false">IF(COUNTIF(Comparação!$H:$H,A1020)&gt;0,"sim",IF(AND(G1020="sim",H1020=""),"FALTA (obrigatória)","não"))</f>
        <v>FALTA (obrigatória)</v>
      </c>
    </row>
    <row r="1021" customFormat="false" ht="15" hidden="false" customHeight="false" outlineLevel="0" collapsed="false">
      <c r="A1021" s="7" t="str">
        <f aca="false">B1021&amp;"."&amp;E1021</f>
        <v>pesquisa_envios.pessoa_id</v>
      </c>
      <c r="B1021" s="7" t="s">
        <v>174</v>
      </c>
      <c r="C1021" s="7" t="s">
        <v>175</v>
      </c>
      <c r="D1021" s="7" t="n">
        <v>4</v>
      </c>
      <c r="E1021" s="7" t="s">
        <v>278</v>
      </c>
      <c r="F1021" s="7" t="s">
        <v>272</v>
      </c>
      <c r="G1021" s="7" t="s">
        <v>262</v>
      </c>
      <c r="H1021" s="7"/>
      <c r="I1021" s="7" t="s">
        <v>290</v>
      </c>
      <c r="J1021" s="7" t="s">
        <v>279</v>
      </c>
      <c r="K1021" s="7"/>
      <c r="L1021" s="7" t="str">
        <f aca="false">IFERROR(VLOOKUP(IF(ISNUMBER(SEARCH("(",F1021)),LEFT(F1021,SEARCH("(",F1021)-1),F1021),Tipos!$A:$B,2,FALSE()),"outro")</f>
        <v>uuid</v>
      </c>
      <c r="M1021" s="7" t="str">
        <f aca="false">IF(COUNTIF(Comparação!$H:$H,A1021)&gt;0,"sim",IF(AND(G1021="sim",H1021=""),"FALTA (obrigatória)","não"))</f>
        <v>FALTA (obrigatória)</v>
      </c>
    </row>
    <row r="1022" customFormat="false" ht="15" hidden="false" customHeight="false" outlineLevel="0" collapsed="false">
      <c r="A1022" s="7" t="str">
        <f aca="false">B1022&amp;"."&amp;E1022</f>
        <v>pesquisa_envios.token</v>
      </c>
      <c r="B1022" s="7" t="s">
        <v>174</v>
      </c>
      <c r="C1022" s="7" t="s">
        <v>175</v>
      </c>
      <c r="D1022" s="7" t="n">
        <v>5</v>
      </c>
      <c r="E1022" s="7" t="s">
        <v>985</v>
      </c>
      <c r="F1022" s="7" t="s">
        <v>261</v>
      </c>
      <c r="G1022" s="7" t="s">
        <v>262</v>
      </c>
      <c r="H1022" s="7" t="s">
        <v>986</v>
      </c>
      <c r="I1022" s="7" t="s">
        <v>290</v>
      </c>
      <c r="J1022" s="7"/>
      <c r="K1022" s="7"/>
      <c r="L1022" s="7" t="str">
        <f aca="false">IFERROR(VLOOKUP(IF(ISNUMBER(SEARCH("(",F1022)),LEFT(F1022,SEARCH("(",F1022)-1),F1022),Tipos!$A:$B,2,FALSE()),"outro")</f>
        <v>texto</v>
      </c>
      <c r="M1022" s="7" t="str">
        <f aca="false">IF(COUNTIF(Comparação!$H:$H,A1022)&gt;0,"sim",IF(AND(G1022="sim",H1022=""),"FALTA (obrigatória)","não"))</f>
        <v>não</v>
      </c>
    </row>
    <row r="1023" customFormat="false" ht="15" hidden="false" customHeight="false" outlineLevel="0" collapsed="false">
      <c r="A1023" s="7" t="str">
        <f aca="false">B1023&amp;"."&amp;E1023</f>
        <v>pesquisa_envios.status</v>
      </c>
      <c r="B1023" s="7" t="s">
        <v>174</v>
      </c>
      <c r="C1023" s="7" t="s">
        <v>175</v>
      </c>
      <c r="D1023" s="7" t="n">
        <v>6</v>
      </c>
      <c r="E1023" s="7" t="s">
        <v>293</v>
      </c>
      <c r="F1023" s="7" t="s">
        <v>261</v>
      </c>
      <c r="G1023" s="7" t="s">
        <v>262</v>
      </c>
      <c r="H1023" s="7" t="s">
        <v>956</v>
      </c>
      <c r="I1023" s="7"/>
      <c r="J1023" s="7"/>
      <c r="K1023" s="7" t="s">
        <v>987</v>
      </c>
      <c r="L1023" s="7" t="str">
        <f aca="false">IFERROR(VLOOKUP(IF(ISNUMBER(SEARCH("(",F1023)),LEFT(F1023,SEARCH("(",F1023)-1),F1023),Tipos!$A:$B,2,FALSE()),"outro")</f>
        <v>texto</v>
      </c>
      <c r="M1023" s="7" t="str">
        <f aca="false">IF(COUNTIF(Comparação!$H:$H,A1023)&gt;0,"sim",IF(AND(G1023="sim",H1023=""),"FALTA (obrigatória)","não"))</f>
        <v>não</v>
      </c>
    </row>
    <row r="1024" customFormat="false" ht="15" hidden="false" customHeight="false" outlineLevel="0" collapsed="false">
      <c r="A1024" s="7" t="str">
        <f aca="false">B1024&amp;"."&amp;E1024</f>
        <v>pesquisa_envios.motivo</v>
      </c>
      <c r="B1024" s="7" t="s">
        <v>174</v>
      </c>
      <c r="C1024" s="7" t="s">
        <v>175</v>
      </c>
      <c r="D1024" s="7" t="n">
        <v>7</v>
      </c>
      <c r="E1024" s="7" t="s">
        <v>413</v>
      </c>
      <c r="F1024" s="7" t="s">
        <v>261</v>
      </c>
      <c r="G1024" s="7" t="s">
        <v>267</v>
      </c>
      <c r="H1024" s="7"/>
      <c r="I1024" s="7"/>
      <c r="J1024" s="7"/>
      <c r="K1024" s="7"/>
      <c r="L1024" s="7" t="str">
        <f aca="false">IFERROR(VLOOKUP(IF(ISNUMBER(SEARCH("(",F1024)),LEFT(F1024,SEARCH("(",F1024)-1),F1024),Tipos!$A:$B,2,FALSE()),"outro")</f>
        <v>texto</v>
      </c>
      <c r="M1024" s="7" t="str">
        <f aca="false">IF(COUNTIF(Comparação!$H:$H,A1024)&gt;0,"sim",IF(AND(G1024="sim",H1024=""),"FALTA (obrigatória)","não"))</f>
        <v>não</v>
      </c>
    </row>
    <row r="1025" customFormat="false" ht="15" hidden="false" customHeight="false" outlineLevel="0" collapsed="false">
      <c r="A1025" s="7" t="str">
        <f aca="false">B1025&amp;"."&amp;E1025</f>
        <v>pesquisa_envios.origem</v>
      </c>
      <c r="B1025" s="7" t="s">
        <v>174</v>
      </c>
      <c r="C1025" s="7" t="s">
        <v>175</v>
      </c>
      <c r="D1025" s="7" t="n">
        <v>8</v>
      </c>
      <c r="E1025" s="7" t="s">
        <v>302</v>
      </c>
      <c r="F1025" s="7" t="s">
        <v>261</v>
      </c>
      <c r="G1025" s="7" t="s">
        <v>262</v>
      </c>
      <c r="H1025" s="7" t="s">
        <v>988</v>
      </c>
      <c r="I1025" s="7"/>
      <c r="J1025" s="7"/>
      <c r="K1025" s="7" t="s">
        <v>989</v>
      </c>
      <c r="L1025" s="7" t="str">
        <f aca="false">IFERROR(VLOOKUP(IF(ISNUMBER(SEARCH("(",F1025)),LEFT(F1025,SEARCH("(",F1025)-1),F1025),Tipos!$A:$B,2,FALSE()),"outro")</f>
        <v>texto</v>
      </c>
      <c r="M1025" s="7" t="str">
        <f aca="false">IF(COUNTIF(Comparação!$H:$H,A1025)&gt;0,"sim",IF(AND(G1025="sim",H1025=""),"FALTA (obrigatória)","não"))</f>
        <v>não</v>
      </c>
    </row>
    <row r="1026" customFormat="false" ht="15" hidden="false" customHeight="false" outlineLevel="0" collapsed="false">
      <c r="A1026" s="7" t="str">
        <f aca="false">B1026&amp;"."&amp;E1026</f>
        <v>pesquisa_envios.gerado_em</v>
      </c>
      <c r="B1026" s="7" t="s">
        <v>174</v>
      </c>
      <c r="C1026" s="7" t="s">
        <v>175</v>
      </c>
      <c r="D1026" s="7" t="n">
        <v>9</v>
      </c>
      <c r="E1026" s="7" t="s">
        <v>990</v>
      </c>
      <c r="F1026" s="7" t="s">
        <v>285</v>
      </c>
      <c r="G1026" s="7" t="s">
        <v>262</v>
      </c>
      <c r="H1026" s="7" t="s">
        <v>286</v>
      </c>
      <c r="I1026" s="7"/>
      <c r="J1026" s="7"/>
      <c r="K1026" s="7"/>
      <c r="L1026" s="7" t="str">
        <f aca="false">IFERROR(VLOOKUP(IF(ISNUMBER(SEARCH("(",F1026)),LEFT(F1026,SEARCH("(",F1026)-1),F1026),Tipos!$A:$B,2,FALSE()),"outro")</f>
        <v>data e hora</v>
      </c>
      <c r="M1026" s="7" t="str">
        <f aca="false">IF(COUNTIF(Comparação!$H:$H,A1026)&gt;0,"sim",IF(AND(G1026="sim",H1026=""),"FALTA (obrigatória)","não"))</f>
        <v>não</v>
      </c>
    </row>
    <row r="1027" customFormat="false" ht="15" hidden="false" customHeight="false" outlineLevel="0" collapsed="false">
      <c r="A1027" s="7" t="str">
        <f aca="false">B1027&amp;"."&amp;E1027</f>
        <v>pesquisa_envios.enviado_em</v>
      </c>
      <c r="B1027" s="7" t="s">
        <v>174</v>
      </c>
      <c r="C1027" s="7" t="s">
        <v>175</v>
      </c>
      <c r="D1027" s="7" t="n">
        <v>10</v>
      </c>
      <c r="E1027" s="7" t="s">
        <v>991</v>
      </c>
      <c r="F1027" s="7" t="s">
        <v>285</v>
      </c>
      <c r="G1027" s="7" t="s">
        <v>267</v>
      </c>
      <c r="H1027" s="7"/>
      <c r="I1027" s="7"/>
      <c r="J1027" s="7"/>
      <c r="K1027" s="7"/>
      <c r="L1027" s="7" t="str">
        <f aca="false">IFERROR(VLOOKUP(IF(ISNUMBER(SEARCH("(",F1027)),LEFT(F1027,SEARCH("(",F1027)-1),F1027),Tipos!$A:$B,2,FALSE()),"outro")</f>
        <v>data e hora</v>
      </c>
      <c r="M1027" s="7" t="str">
        <f aca="false">IF(COUNTIF(Comparação!$H:$H,A1027)&gt;0,"sim",IF(AND(G1027="sim",H1027=""),"FALTA (obrigatória)","não"))</f>
        <v>não</v>
      </c>
    </row>
    <row r="1028" customFormat="false" ht="15" hidden="false" customHeight="false" outlineLevel="0" collapsed="false">
      <c r="A1028" s="7" t="str">
        <f aca="false">B1028&amp;"."&amp;E1028</f>
        <v>pesquisa_envios.respondido_em</v>
      </c>
      <c r="B1028" s="7" t="s">
        <v>174</v>
      </c>
      <c r="C1028" s="7" t="s">
        <v>175</v>
      </c>
      <c r="D1028" s="7" t="n">
        <v>11</v>
      </c>
      <c r="E1028" s="7" t="s">
        <v>992</v>
      </c>
      <c r="F1028" s="7" t="s">
        <v>285</v>
      </c>
      <c r="G1028" s="7" t="s">
        <v>267</v>
      </c>
      <c r="H1028" s="7"/>
      <c r="I1028" s="7"/>
      <c r="J1028" s="7"/>
      <c r="K1028" s="7"/>
      <c r="L1028" s="7" t="str">
        <f aca="false">IFERROR(VLOOKUP(IF(ISNUMBER(SEARCH("(",F1028)),LEFT(F1028,SEARCH("(",F1028)-1),F1028),Tipos!$A:$B,2,FALSE()),"outro")</f>
        <v>data e hora</v>
      </c>
      <c r="M1028" s="7" t="str">
        <f aca="false">IF(COUNTIF(Comparação!$H:$H,A1028)&gt;0,"sim",IF(AND(G1028="sim",H1028=""),"FALTA (obrigatória)","não"))</f>
        <v>não</v>
      </c>
    </row>
    <row r="1029" customFormat="false" ht="15" hidden="false" customHeight="false" outlineLevel="0" collapsed="false">
      <c r="A1029" s="7" t="str">
        <f aca="false">B1029&amp;"."&amp;E1029</f>
        <v>pesquisa_insights.id</v>
      </c>
      <c r="B1029" s="7" t="s">
        <v>177</v>
      </c>
      <c r="C1029" s="7" t="s">
        <v>175</v>
      </c>
      <c r="D1029" s="7" t="n">
        <v>1</v>
      </c>
      <c r="E1029" s="7" t="s">
        <v>271</v>
      </c>
      <c r="F1029" s="7" t="s">
        <v>272</v>
      </c>
      <c r="G1029" s="7" t="s">
        <v>262</v>
      </c>
      <c r="H1029" s="7" t="s">
        <v>273</v>
      </c>
      <c r="I1029" s="7" t="s">
        <v>263</v>
      </c>
      <c r="J1029" s="7"/>
      <c r="K1029" s="7"/>
      <c r="L1029" s="7" t="str">
        <f aca="false">IFERROR(VLOOKUP(IF(ISNUMBER(SEARCH("(",F1029)),LEFT(F1029,SEARCH("(",F1029)-1),F1029),Tipos!$A:$B,2,FALSE()),"outro")</f>
        <v>uuid</v>
      </c>
      <c r="M1029" s="7" t="str">
        <f aca="false">IF(COUNTIF(Comparação!$H:$H,A1029)&gt;0,"sim",IF(AND(G1029="sim",H1029=""),"FALTA (obrigatória)","não"))</f>
        <v>não</v>
      </c>
    </row>
    <row r="1030" customFormat="false" ht="15" hidden="false" customHeight="false" outlineLevel="0" collapsed="false">
      <c r="A1030" s="7" t="str">
        <f aca="false">B1030&amp;"."&amp;E1030</f>
        <v>pesquisa_insights.workspace_id</v>
      </c>
      <c r="B1030" s="7" t="s">
        <v>177</v>
      </c>
      <c r="C1030" s="7" t="s">
        <v>175</v>
      </c>
      <c r="D1030" s="7" t="n">
        <v>2</v>
      </c>
      <c r="E1030" s="7" t="s">
        <v>274</v>
      </c>
      <c r="F1030" s="7" t="s">
        <v>272</v>
      </c>
      <c r="G1030" s="7" t="s">
        <v>262</v>
      </c>
      <c r="H1030" s="7"/>
      <c r="I1030" s="7"/>
      <c r="J1030" s="7" t="s">
        <v>275</v>
      </c>
      <c r="K1030" s="7"/>
      <c r="L1030" s="7" t="str">
        <f aca="false">IFERROR(VLOOKUP(IF(ISNUMBER(SEARCH("(",F1030)),LEFT(F1030,SEARCH("(",F1030)-1),F1030),Tipos!$A:$B,2,FALSE()),"outro")</f>
        <v>uuid</v>
      </c>
      <c r="M1030" s="7" t="str">
        <f aca="false">IF(COUNTIF(Comparação!$H:$H,A1030)&gt;0,"sim",IF(AND(G1030="sim",H1030=""),"FALTA (obrigatória)","não"))</f>
        <v>FALTA (obrigatória)</v>
      </c>
    </row>
    <row r="1031" customFormat="false" ht="15" hidden="false" customHeight="false" outlineLevel="0" collapsed="false">
      <c r="A1031" s="7" t="str">
        <f aca="false">B1031&amp;"."&amp;E1031</f>
        <v>pesquisa_insights.pesquisa_id</v>
      </c>
      <c r="B1031" s="7" t="s">
        <v>177</v>
      </c>
      <c r="C1031" s="7" t="s">
        <v>175</v>
      </c>
      <c r="D1031" s="7" t="n">
        <v>3</v>
      </c>
      <c r="E1031" s="7" t="s">
        <v>831</v>
      </c>
      <c r="F1031" s="7" t="s">
        <v>272</v>
      </c>
      <c r="G1031" s="7" t="s">
        <v>262</v>
      </c>
      <c r="H1031" s="7"/>
      <c r="I1031" s="7"/>
      <c r="J1031" s="7" t="s">
        <v>832</v>
      </c>
      <c r="K1031" s="7"/>
      <c r="L1031" s="7" t="str">
        <f aca="false">IFERROR(VLOOKUP(IF(ISNUMBER(SEARCH("(",F1031)),LEFT(F1031,SEARCH("(",F1031)-1),F1031),Tipos!$A:$B,2,FALSE()),"outro")</f>
        <v>uuid</v>
      </c>
      <c r="M1031" s="7" t="str">
        <f aca="false">IF(COUNTIF(Comparação!$H:$H,A1031)&gt;0,"sim",IF(AND(G1031="sim",H1031=""),"FALTA (obrigatória)","não"))</f>
        <v>FALTA (obrigatória)</v>
      </c>
    </row>
    <row r="1032" customFormat="false" ht="15" hidden="false" customHeight="false" outlineLevel="0" collapsed="false">
      <c r="A1032" s="7" t="str">
        <f aca="false">B1032&amp;"."&amp;E1032</f>
        <v>pesquisa_insights.pergunta_id</v>
      </c>
      <c r="B1032" s="7" t="s">
        <v>177</v>
      </c>
      <c r="C1032" s="7" t="s">
        <v>175</v>
      </c>
      <c r="D1032" s="7" t="n">
        <v>4</v>
      </c>
      <c r="E1032" s="7" t="s">
        <v>993</v>
      </c>
      <c r="F1032" s="7" t="s">
        <v>272</v>
      </c>
      <c r="G1032" s="7" t="s">
        <v>267</v>
      </c>
      <c r="H1032" s="7"/>
      <c r="I1032" s="7"/>
      <c r="J1032" s="7" t="s">
        <v>994</v>
      </c>
      <c r="K1032" s="7"/>
      <c r="L1032" s="7" t="str">
        <f aca="false">IFERROR(VLOOKUP(IF(ISNUMBER(SEARCH("(",F1032)),LEFT(F1032,SEARCH("(",F1032)-1),F1032),Tipos!$A:$B,2,FALSE()),"outro")</f>
        <v>uuid</v>
      </c>
      <c r="M1032" s="7" t="str">
        <f aca="false">IF(COUNTIF(Comparação!$H:$H,A1032)&gt;0,"sim",IF(AND(G1032="sim",H1032=""),"FALTA (obrigatória)","não"))</f>
        <v>não</v>
      </c>
    </row>
    <row r="1033" customFormat="false" ht="15" hidden="false" customHeight="false" outlineLevel="0" collapsed="false">
      <c r="A1033" s="7" t="str">
        <f aca="false">B1033&amp;"."&amp;E1033</f>
        <v>pesquisa_insights.metrica_id</v>
      </c>
      <c r="B1033" s="7" t="s">
        <v>177</v>
      </c>
      <c r="C1033" s="7" t="s">
        <v>175</v>
      </c>
      <c r="D1033" s="7" t="n">
        <v>5</v>
      </c>
      <c r="E1033" s="7" t="s">
        <v>812</v>
      </c>
      <c r="F1033" s="7" t="s">
        <v>272</v>
      </c>
      <c r="G1033" s="7" t="s">
        <v>267</v>
      </c>
      <c r="H1033" s="7"/>
      <c r="I1033" s="7"/>
      <c r="J1033" s="7" t="s">
        <v>813</v>
      </c>
      <c r="K1033" s="7"/>
      <c r="L1033" s="7" t="str">
        <f aca="false">IFERROR(VLOOKUP(IF(ISNUMBER(SEARCH("(",F1033)),LEFT(F1033,SEARCH("(",F1033)-1),F1033),Tipos!$A:$B,2,FALSE()),"outro")</f>
        <v>uuid</v>
      </c>
      <c r="M1033" s="7" t="str">
        <f aca="false">IF(COUNTIF(Comparação!$H:$H,A1033)&gt;0,"sim",IF(AND(G1033="sim",H1033=""),"FALTA (obrigatória)","não"))</f>
        <v>não</v>
      </c>
    </row>
    <row r="1034" customFormat="false" ht="15" hidden="false" customHeight="false" outlineLevel="0" collapsed="false">
      <c r="A1034" s="7" t="str">
        <f aca="false">B1034&amp;"."&amp;E1034</f>
        <v>pesquisa_insights.texto</v>
      </c>
      <c r="B1034" s="7" t="s">
        <v>177</v>
      </c>
      <c r="C1034" s="7" t="s">
        <v>175</v>
      </c>
      <c r="D1034" s="7" t="n">
        <v>6</v>
      </c>
      <c r="E1034" s="7" t="s">
        <v>995</v>
      </c>
      <c r="F1034" s="7" t="s">
        <v>261</v>
      </c>
      <c r="G1034" s="7" t="s">
        <v>262</v>
      </c>
      <c r="H1034" s="7"/>
      <c r="I1034" s="7"/>
      <c r="J1034" s="7"/>
      <c r="K1034" s="7"/>
      <c r="L1034" s="7" t="str">
        <f aca="false">IFERROR(VLOOKUP(IF(ISNUMBER(SEARCH("(",F1034)),LEFT(F1034,SEARCH("(",F1034)-1),F1034),Tipos!$A:$B,2,FALSE()),"outro")</f>
        <v>texto</v>
      </c>
      <c r="M1034" s="7" t="str">
        <f aca="false">IF(COUNTIF(Comparação!$H:$H,A1034)&gt;0,"sim",IF(AND(G1034="sim",H1034=""),"FALTA (obrigatória)","não"))</f>
        <v>FALTA (obrigatória)</v>
      </c>
    </row>
    <row r="1035" customFormat="false" ht="15" hidden="false" customHeight="false" outlineLevel="0" collapsed="false">
      <c r="A1035" s="7" t="str">
        <f aca="false">B1035&amp;"."&amp;E1035</f>
        <v>pesquisa_insights.criado_em</v>
      </c>
      <c r="B1035" s="7" t="s">
        <v>177</v>
      </c>
      <c r="C1035" s="7" t="s">
        <v>175</v>
      </c>
      <c r="D1035" s="7" t="n">
        <v>7</v>
      </c>
      <c r="E1035" s="7" t="s">
        <v>344</v>
      </c>
      <c r="F1035" s="7" t="s">
        <v>285</v>
      </c>
      <c r="G1035" s="7" t="s">
        <v>262</v>
      </c>
      <c r="H1035" s="7" t="s">
        <v>286</v>
      </c>
      <c r="I1035" s="7"/>
      <c r="J1035" s="7"/>
      <c r="K1035" s="7"/>
      <c r="L1035" s="7" t="str">
        <f aca="false">IFERROR(VLOOKUP(IF(ISNUMBER(SEARCH("(",F1035)),LEFT(F1035,SEARCH("(",F1035)-1),F1035),Tipos!$A:$B,2,FALSE()),"outro")</f>
        <v>data e hora</v>
      </c>
      <c r="M1035" s="7" t="str">
        <f aca="false">IF(COUNTIF(Comparação!$H:$H,A1035)&gt;0,"sim",IF(AND(G1035="sim",H1035=""),"FALTA (obrigatória)","não"))</f>
        <v>não</v>
      </c>
    </row>
    <row r="1036" customFormat="false" ht="15" hidden="false" customHeight="false" outlineLevel="0" collapsed="false">
      <c r="A1036" s="7" t="str">
        <f aca="false">B1036&amp;"."&amp;E1036</f>
        <v>pesquisa_perguntas.id</v>
      </c>
      <c r="B1036" s="7" t="s">
        <v>179</v>
      </c>
      <c r="C1036" s="7" t="s">
        <v>175</v>
      </c>
      <c r="D1036" s="7" t="n">
        <v>1</v>
      </c>
      <c r="E1036" s="7" t="s">
        <v>271</v>
      </c>
      <c r="F1036" s="7" t="s">
        <v>272</v>
      </c>
      <c r="G1036" s="7" t="s">
        <v>262</v>
      </c>
      <c r="H1036" s="7" t="s">
        <v>273</v>
      </c>
      <c r="I1036" s="7" t="s">
        <v>263</v>
      </c>
      <c r="J1036" s="7"/>
      <c r="K1036" s="7"/>
      <c r="L1036" s="7" t="str">
        <f aca="false">IFERROR(VLOOKUP(IF(ISNUMBER(SEARCH("(",F1036)),LEFT(F1036,SEARCH("(",F1036)-1),F1036),Tipos!$A:$B,2,FALSE()),"outro")</f>
        <v>uuid</v>
      </c>
      <c r="M1036" s="7" t="str">
        <f aca="false">IF(COUNTIF(Comparação!$H:$H,A1036)&gt;0,"sim",IF(AND(G1036="sim",H1036=""),"FALTA (obrigatória)","não"))</f>
        <v>não</v>
      </c>
    </row>
    <row r="1037" customFormat="false" ht="15" hidden="false" customHeight="false" outlineLevel="0" collapsed="false">
      <c r="A1037" s="7" t="str">
        <f aca="false">B1037&amp;"."&amp;E1037</f>
        <v>pesquisa_perguntas.workspace_id</v>
      </c>
      <c r="B1037" s="7" t="s">
        <v>179</v>
      </c>
      <c r="C1037" s="7" t="s">
        <v>175</v>
      </c>
      <c r="D1037" s="7" t="n">
        <v>2</v>
      </c>
      <c r="E1037" s="7" t="s">
        <v>274</v>
      </c>
      <c r="F1037" s="7" t="s">
        <v>272</v>
      </c>
      <c r="G1037" s="7" t="s">
        <v>262</v>
      </c>
      <c r="H1037" s="7"/>
      <c r="I1037" s="7"/>
      <c r="J1037" s="7" t="s">
        <v>275</v>
      </c>
      <c r="K1037" s="7"/>
      <c r="L1037" s="7" t="str">
        <f aca="false">IFERROR(VLOOKUP(IF(ISNUMBER(SEARCH("(",F1037)),LEFT(F1037,SEARCH("(",F1037)-1),F1037),Tipos!$A:$B,2,FALSE()),"outro")</f>
        <v>uuid</v>
      </c>
      <c r="M1037" s="7" t="str">
        <f aca="false">IF(COUNTIF(Comparação!$H:$H,A1037)&gt;0,"sim",IF(AND(G1037="sim",H1037=""),"FALTA (obrigatória)","não"))</f>
        <v>FALTA (obrigatória)</v>
      </c>
    </row>
    <row r="1038" customFormat="false" ht="15" hidden="false" customHeight="false" outlineLevel="0" collapsed="false">
      <c r="A1038" s="7" t="str">
        <f aca="false">B1038&amp;"."&amp;E1038</f>
        <v>pesquisa_perguntas.pesquisa_id</v>
      </c>
      <c r="B1038" s="7" t="s">
        <v>179</v>
      </c>
      <c r="C1038" s="7" t="s">
        <v>175</v>
      </c>
      <c r="D1038" s="7" t="n">
        <v>3</v>
      </c>
      <c r="E1038" s="7" t="s">
        <v>831</v>
      </c>
      <c r="F1038" s="7" t="s">
        <v>272</v>
      </c>
      <c r="G1038" s="7" t="s">
        <v>262</v>
      </c>
      <c r="H1038" s="7"/>
      <c r="I1038" s="7"/>
      <c r="J1038" s="7" t="s">
        <v>832</v>
      </c>
      <c r="K1038" s="7"/>
      <c r="L1038" s="7" t="str">
        <f aca="false">IFERROR(VLOOKUP(IF(ISNUMBER(SEARCH("(",F1038)),LEFT(F1038,SEARCH("(",F1038)-1),F1038),Tipos!$A:$B,2,FALSE()),"outro")</f>
        <v>uuid</v>
      </c>
      <c r="M1038" s="7" t="str">
        <f aca="false">IF(COUNTIF(Comparação!$H:$H,A1038)&gt;0,"sim",IF(AND(G1038="sim",H1038=""),"FALTA (obrigatória)","não"))</f>
        <v>FALTA (obrigatória)</v>
      </c>
    </row>
    <row r="1039" customFormat="false" ht="15" hidden="false" customHeight="false" outlineLevel="0" collapsed="false">
      <c r="A1039" s="7" t="str">
        <f aca="false">B1039&amp;"."&amp;E1039</f>
        <v>pesquisa_perguntas.ordem</v>
      </c>
      <c r="B1039" s="7" t="s">
        <v>179</v>
      </c>
      <c r="C1039" s="7" t="s">
        <v>175</v>
      </c>
      <c r="D1039" s="7" t="n">
        <v>4</v>
      </c>
      <c r="E1039" s="7" t="s">
        <v>268</v>
      </c>
      <c r="F1039" s="7" t="s">
        <v>269</v>
      </c>
      <c r="G1039" s="7" t="s">
        <v>262</v>
      </c>
      <c r="H1039" s="7" t="s">
        <v>270</v>
      </c>
      <c r="I1039" s="7"/>
      <c r="J1039" s="7"/>
      <c r="K1039" s="7"/>
      <c r="L1039" s="7" t="str">
        <f aca="false">IFERROR(VLOOKUP(IF(ISNUMBER(SEARCH("(",F1039)),LEFT(F1039,SEARCH("(",F1039)-1),F1039),Tipos!$A:$B,2,FALSE()),"outro")</f>
        <v>inteiro</v>
      </c>
      <c r="M1039" s="7" t="str">
        <f aca="false">IF(COUNTIF(Comparação!$H:$H,A1039)&gt;0,"sim",IF(AND(G1039="sim",H1039=""),"FALTA (obrigatória)","não"))</f>
        <v>não</v>
      </c>
    </row>
    <row r="1040" customFormat="false" ht="15" hidden="false" customHeight="false" outlineLevel="0" collapsed="false">
      <c r="A1040" s="7" t="str">
        <f aca="false">B1040&amp;"."&amp;E1040</f>
        <v>pesquisa_perguntas.texto</v>
      </c>
      <c r="B1040" s="7" t="s">
        <v>179</v>
      </c>
      <c r="C1040" s="7" t="s">
        <v>175</v>
      </c>
      <c r="D1040" s="7" t="n">
        <v>5</v>
      </c>
      <c r="E1040" s="7" t="s">
        <v>995</v>
      </c>
      <c r="F1040" s="7" t="s">
        <v>261</v>
      </c>
      <c r="G1040" s="7" t="s">
        <v>262</v>
      </c>
      <c r="H1040" s="7"/>
      <c r="I1040" s="7"/>
      <c r="J1040" s="7"/>
      <c r="K1040" s="7"/>
      <c r="L1040" s="7" t="str">
        <f aca="false">IFERROR(VLOOKUP(IF(ISNUMBER(SEARCH("(",F1040)),LEFT(F1040,SEARCH("(",F1040)-1),F1040),Tipos!$A:$B,2,FALSE()),"outro")</f>
        <v>texto</v>
      </c>
      <c r="M1040" s="7" t="str">
        <f aca="false">IF(COUNTIF(Comparação!$H:$H,A1040)&gt;0,"sim",IF(AND(G1040="sim",H1040=""),"FALTA (obrigatória)","não"))</f>
        <v>FALTA (obrigatória)</v>
      </c>
    </row>
    <row r="1041" customFormat="false" ht="15" hidden="false" customHeight="false" outlineLevel="0" collapsed="false">
      <c r="A1041" s="7" t="str">
        <f aca="false">B1041&amp;"."&amp;E1041</f>
        <v>pesquisa_perguntas.tipo</v>
      </c>
      <c r="B1041" s="7" t="s">
        <v>179</v>
      </c>
      <c r="C1041" s="7" t="s">
        <v>175</v>
      </c>
      <c r="D1041" s="7" t="n">
        <v>6</v>
      </c>
      <c r="E1041" s="7" t="s">
        <v>280</v>
      </c>
      <c r="F1041" s="7" t="s">
        <v>261</v>
      </c>
      <c r="G1041" s="7" t="s">
        <v>262</v>
      </c>
      <c r="H1041" s="7"/>
      <c r="I1041" s="7"/>
      <c r="J1041" s="7"/>
      <c r="K1041" s="7" t="s">
        <v>996</v>
      </c>
      <c r="L1041" s="7" t="str">
        <f aca="false">IFERROR(VLOOKUP(IF(ISNUMBER(SEARCH("(",F1041)),LEFT(F1041,SEARCH("(",F1041)-1),F1041),Tipos!$A:$B,2,FALSE()),"outro")</f>
        <v>texto</v>
      </c>
      <c r="M1041" s="7" t="str">
        <f aca="false">IF(COUNTIF(Comparação!$H:$H,A1041)&gt;0,"sim",IF(AND(G1041="sim",H1041=""),"FALTA (obrigatória)","não"))</f>
        <v>FALTA (obrigatória)</v>
      </c>
    </row>
    <row r="1042" customFormat="false" ht="15" hidden="false" customHeight="false" outlineLevel="0" collapsed="false">
      <c r="A1042" s="7" t="str">
        <f aca="false">B1042&amp;"."&amp;E1042</f>
        <v>pesquisa_perguntas.opcoes</v>
      </c>
      <c r="B1042" s="7" t="s">
        <v>179</v>
      </c>
      <c r="C1042" s="7" t="s">
        <v>175</v>
      </c>
      <c r="D1042" s="7" t="n">
        <v>7</v>
      </c>
      <c r="E1042" s="7" t="s">
        <v>997</v>
      </c>
      <c r="F1042" s="7" t="s">
        <v>322</v>
      </c>
      <c r="G1042" s="7" t="s">
        <v>262</v>
      </c>
      <c r="H1042" s="7" t="s">
        <v>610</v>
      </c>
      <c r="I1042" s="7"/>
      <c r="J1042" s="7"/>
      <c r="K1042" s="7"/>
      <c r="L1042" s="7" t="str">
        <f aca="false">IFERROR(VLOOKUP(IF(ISNUMBER(SEARCH("(",F1042)),LEFT(F1042,SEARCH("(",F1042)-1),F1042),Tipos!$A:$B,2,FALSE()),"outro")</f>
        <v>lista</v>
      </c>
      <c r="M1042" s="7" t="str">
        <f aca="false">IF(COUNTIF(Comparação!$H:$H,A1042)&gt;0,"sim",IF(AND(G1042="sim",H1042=""),"FALTA (obrigatória)","não"))</f>
        <v>não</v>
      </c>
    </row>
    <row r="1043" customFormat="false" ht="15" hidden="false" customHeight="false" outlineLevel="0" collapsed="false">
      <c r="A1043" s="7" t="str">
        <f aca="false">B1043&amp;"."&amp;E1043</f>
        <v>pesquisa_perguntas.obrigatoria</v>
      </c>
      <c r="B1043" s="7" t="s">
        <v>179</v>
      </c>
      <c r="C1043" s="7" t="s">
        <v>175</v>
      </c>
      <c r="D1043" s="7" t="n">
        <v>8</v>
      </c>
      <c r="E1043" s="7" t="s">
        <v>998</v>
      </c>
      <c r="F1043" s="7" t="s">
        <v>310</v>
      </c>
      <c r="G1043" s="7" t="s">
        <v>262</v>
      </c>
      <c r="H1043" s="7" t="s">
        <v>311</v>
      </c>
      <c r="I1043" s="7"/>
      <c r="J1043" s="7"/>
      <c r="K1043" s="7"/>
      <c r="L1043" s="7" t="str">
        <f aca="false">IFERROR(VLOOKUP(IF(ISNUMBER(SEARCH("(",F1043)),LEFT(F1043,SEARCH("(",F1043)-1),F1043),Tipos!$A:$B,2,FALSE()),"outro")</f>
        <v>booleano</v>
      </c>
      <c r="M1043" s="7" t="str">
        <f aca="false">IF(COUNTIF(Comparação!$H:$H,A1043)&gt;0,"sim",IF(AND(G1043="sim",H1043=""),"FALTA (obrigatória)","não"))</f>
        <v>não</v>
      </c>
    </row>
    <row r="1044" customFormat="false" ht="15" hidden="false" customHeight="false" outlineLevel="0" collapsed="false">
      <c r="A1044" s="7" t="str">
        <f aca="false">B1044&amp;"."&amp;E1044</f>
        <v>pesquisa_perguntas.papel</v>
      </c>
      <c r="B1044" s="7" t="s">
        <v>179</v>
      </c>
      <c r="C1044" s="7" t="s">
        <v>175</v>
      </c>
      <c r="D1044" s="7" t="n">
        <v>9</v>
      </c>
      <c r="E1044" s="7" t="s">
        <v>402</v>
      </c>
      <c r="F1044" s="7" t="s">
        <v>261</v>
      </c>
      <c r="G1044" s="7" t="s">
        <v>262</v>
      </c>
      <c r="H1044" s="7" t="s">
        <v>999</v>
      </c>
      <c r="I1044" s="7"/>
      <c r="J1044" s="7"/>
      <c r="K1044" s="7" t="s">
        <v>1000</v>
      </c>
      <c r="L1044" s="7" t="str">
        <f aca="false">IFERROR(VLOOKUP(IF(ISNUMBER(SEARCH("(",F1044)),LEFT(F1044,SEARCH("(",F1044)-1),F1044),Tipos!$A:$B,2,FALSE()),"outro")</f>
        <v>texto</v>
      </c>
      <c r="M1044" s="7" t="str">
        <f aca="false">IF(COUNTIF(Comparação!$H:$H,A1044)&gt;0,"sim",IF(AND(G1044="sim",H1044=""),"FALTA (obrigatória)","não"))</f>
        <v>não</v>
      </c>
    </row>
    <row r="1045" customFormat="false" ht="15" hidden="false" customHeight="false" outlineLevel="0" collapsed="false">
      <c r="A1045" s="7" t="str">
        <f aca="false">B1045&amp;"."&amp;E1045</f>
        <v>pesquisa_perguntas.criado_em</v>
      </c>
      <c r="B1045" s="7" t="s">
        <v>179</v>
      </c>
      <c r="C1045" s="7" t="s">
        <v>175</v>
      </c>
      <c r="D1045" s="7" t="n">
        <v>10</v>
      </c>
      <c r="E1045" s="7" t="s">
        <v>344</v>
      </c>
      <c r="F1045" s="7" t="s">
        <v>285</v>
      </c>
      <c r="G1045" s="7" t="s">
        <v>262</v>
      </c>
      <c r="H1045" s="7" t="s">
        <v>286</v>
      </c>
      <c r="I1045" s="7"/>
      <c r="J1045" s="7"/>
      <c r="K1045" s="7"/>
      <c r="L1045" s="7" t="str">
        <f aca="false">IFERROR(VLOOKUP(IF(ISNUMBER(SEARCH("(",F1045)),LEFT(F1045,SEARCH("(",F1045)-1),F1045),Tipos!$A:$B,2,FALSE()),"outro")</f>
        <v>data e hora</v>
      </c>
      <c r="M1045" s="7" t="str">
        <f aca="false">IF(COUNTIF(Comparação!$H:$H,A1045)&gt;0,"sim",IF(AND(G1045="sim",H1045=""),"FALTA (obrigatória)","não"))</f>
        <v>não</v>
      </c>
    </row>
    <row r="1046" customFormat="false" ht="15" hidden="false" customHeight="false" outlineLevel="0" collapsed="false">
      <c r="A1046" s="7" t="str">
        <f aca="false">B1046&amp;"."&amp;E1046</f>
        <v>pesquisa_resposta_itens.id</v>
      </c>
      <c r="B1046" s="7" t="s">
        <v>181</v>
      </c>
      <c r="C1046" s="7" t="s">
        <v>175</v>
      </c>
      <c r="D1046" s="7" t="n">
        <v>1</v>
      </c>
      <c r="E1046" s="7" t="s">
        <v>271</v>
      </c>
      <c r="F1046" s="7" t="s">
        <v>272</v>
      </c>
      <c r="G1046" s="7" t="s">
        <v>262</v>
      </c>
      <c r="H1046" s="7" t="s">
        <v>273</v>
      </c>
      <c r="I1046" s="7" t="s">
        <v>263</v>
      </c>
      <c r="J1046" s="7"/>
      <c r="K1046" s="7"/>
      <c r="L1046" s="7" t="str">
        <f aca="false">IFERROR(VLOOKUP(IF(ISNUMBER(SEARCH("(",F1046)),LEFT(F1046,SEARCH("(",F1046)-1),F1046),Tipos!$A:$B,2,FALSE()),"outro")</f>
        <v>uuid</v>
      </c>
      <c r="M1046" s="7" t="str">
        <f aca="false">IF(COUNTIF(Comparação!$H:$H,A1046)&gt;0,"sim",IF(AND(G1046="sim",H1046=""),"FALTA (obrigatória)","não"))</f>
        <v>não</v>
      </c>
    </row>
    <row r="1047" customFormat="false" ht="15" hidden="false" customHeight="false" outlineLevel="0" collapsed="false">
      <c r="A1047" s="7" t="str">
        <f aca="false">B1047&amp;"."&amp;E1047</f>
        <v>pesquisa_resposta_itens.workspace_id</v>
      </c>
      <c r="B1047" s="7" t="s">
        <v>181</v>
      </c>
      <c r="C1047" s="7" t="s">
        <v>175</v>
      </c>
      <c r="D1047" s="7" t="n">
        <v>2</v>
      </c>
      <c r="E1047" s="7" t="s">
        <v>274</v>
      </c>
      <c r="F1047" s="7" t="s">
        <v>272</v>
      </c>
      <c r="G1047" s="7" t="s">
        <v>262</v>
      </c>
      <c r="H1047" s="7"/>
      <c r="I1047" s="7"/>
      <c r="J1047" s="7" t="s">
        <v>275</v>
      </c>
      <c r="K1047" s="7"/>
      <c r="L1047" s="7" t="str">
        <f aca="false">IFERROR(VLOOKUP(IF(ISNUMBER(SEARCH("(",F1047)),LEFT(F1047,SEARCH("(",F1047)-1),F1047),Tipos!$A:$B,2,FALSE()),"outro")</f>
        <v>uuid</v>
      </c>
      <c r="M1047" s="7" t="str">
        <f aca="false">IF(COUNTIF(Comparação!$H:$H,A1047)&gt;0,"sim",IF(AND(G1047="sim",H1047=""),"FALTA (obrigatória)","não"))</f>
        <v>FALTA (obrigatória)</v>
      </c>
    </row>
    <row r="1048" customFormat="false" ht="15" hidden="false" customHeight="false" outlineLevel="0" collapsed="false">
      <c r="A1048" s="7" t="str">
        <f aca="false">B1048&amp;"."&amp;E1048</f>
        <v>pesquisa_resposta_itens.resposta_id</v>
      </c>
      <c r="B1048" s="7" t="s">
        <v>181</v>
      </c>
      <c r="C1048" s="7" t="s">
        <v>175</v>
      </c>
      <c r="D1048" s="7" t="n">
        <v>3</v>
      </c>
      <c r="E1048" s="7" t="s">
        <v>1001</v>
      </c>
      <c r="F1048" s="7" t="s">
        <v>272</v>
      </c>
      <c r="G1048" s="7" t="s">
        <v>262</v>
      </c>
      <c r="H1048" s="7"/>
      <c r="I1048" s="7" t="s">
        <v>290</v>
      </c>
      <c r="J1048" s="7" t="s">
        <v>1002</v>
      </c>
      <c r="K1048" s="7"/>
      <c r="L1048" s="7" t="str">
        <f aca="false">IFERROR(VLOOKUP(IF(ISNUMBER(SEARCH("(",F1048)),LEFT(F1048,SEARCH("(",F1048)-1),F1048),Tipos!$A:$B,2,FALSE()),"outro")</f>
        <v>uuid</v>
      </c>
      <c r="M1048" s="7" t="str">
        <f aca="false">IF(COUNTIF(Comparação!$H:$H,A1048)&gt;0,"sim",IF(AND(G1048="sim",H1048=""),"FALTA (obrigatória)","não"))</f>
        <v>FALTA (obrigatória)</v>
      </c>
    </row>
    <row r="1049" customFormat="false" ht="15" hidden="false" customHeight="false" outlineLevel="0" collapsed="false">
      <c r="A1049" s="7" t="str">
        <f aca="false">B1049&amp;"."&amp;E1049</f>
        <v>pesquisa_resposta_itens.pergunta_id</v>
      </c>
      <c r="B1049" s="7" t="s">
        <v>181</v>
      </c>
      <c r="C1049" s="7" t="s">
        <v>175</v>
      </c>
      <c r="D1049" s="7" t="n">
        <v>4</v>
      </c>
      <c r="E1049" s="7" t="s">
        <v>993</v>
      </c>
      <c r="F1049" s="7" t="s">
        <v>272</v>
      </c>
      <c r="G1049" s="7" t="s">
        <v>262</v>
      </c>
      <c r="H1049" s="7"/>
      <c r="I1049" s="7" t="s">
        <v>290</v>
      </c>
      <c r="J1049" s="7" t="s">
        <v>994</v>
      </c>
      <c r="K1049" s="7"/>
      <c r="L1049" s="7" t="str">
        <f aca="false">IFERROR(VLOOKUP(IF(ISNUMBER(SEARCH("(",F1049)),LEFT(F1049,SEARCH("(",F1049)-1),F1049),Tipos!$A:$B,2,FALSE()),"outro")</f>
        <v>uuid</v>
      </c>
      <c r="M1049" s="7" t="str">
        <f aca="false">IF(COUNTIF(Comparação!$H:$H,A1049)&gt;0,"sim",IF(AND(G1049="sim",H1049=""),"FALTA (obrigatória)","não"))</f>
        <v>FALTA (obrigatória)</v>
      </c>
    </row>
    <row r="1050" customFormat="false" ht="15" hidden="false" customHeight="false" outlineLevel="0" collapsed="false">
      <c r="A1050" s="7" t="str">
        <f aca="false">B1050&amp;"."&amp;E1050</f>
        <v>pesquisa_resposta_itens.valor_num</v>
      </c>
      <c r="B1050" s="7" t="s">
        <v>181</v>
      </c>
      <c r="C1050" s="7" t="s">
        <v>175</v>
      </c>
      <c r="D1050" s="7" t="n">
        <v>5</v>
      </c>
      <c r="E1050" s="7" t="s">
        <v>1003</v>
      </c>
      <c r="F1050" s="7" t="s">
        <v>380</v>
      </c>
      <c r="G1050" s="7" t="s">
        <v>267</v>
      </c>
      <c r="H1050" s="7"/>
      <c r="I1050" s="7"/>
      <c r="J1050" s="7"/>
      <c r="K1050" s="7"/>
      <c r="L1050" s="7" t="str">
        <f aca="false">IFERROR(VLOOKUP(IF(ISNUMBER(SEARCH("(",F1050)),LEFT(F1050,SEARCH("(",F1050)-1),F1050),Tipos!$A:$B,2,FALSE()),"outro")</f>
        <v>decimal</v>
      </c>
      <c r="M1050" s="7" t="str">
        <f aca="false">IF(COUNTIF(Comparação!$H:$H,A1050)&gt;0,"sim",IF(AND(G1050="sim",H1050=""),"FALTA (obrigatória)","não"))</f>
        <v>não</v>
      </c>
    </row>
    <row r="1051" customFormat="false" ht="15" hidden="false" customHeight="false" outlineLevel="0" collapsed="false">
      <c r="A1051" s="7" t="str">
        <f aca="false">B1051&amp;"."&amp;E1051</f>
        <v>pesquisa_resposta_itens.valor_texto</v>
      </c>
      <c r="B1051" s="7" t="s">
        <v>181</v>
      </c>
      <c r="C1051" s="7" t="s">
        <v>175</v>
      </c>
      <c r="D1051" s="7" t="n">
        <v>6</v>
      </c>
      <c r="E1051" s="7" t="s">
        <v>1004</v>
      </c>
      <c r="F1051" s="7" t="s">
        <v>261</v>
      </c>
      <c r="G1051" s="7" t="s">
        <v>267</v>
      </c>
      <c r="H1051" s="7"/>
      <c r="I1051" s="7" t="s">
        <v>290</v>
      </c>
      <c r="J1051" s="7"/>
      <c r="K1051" s="7"/>
      <c r="L1051" s="7" t="str">
        <f aca="false">IFERROR(VLOOKUP(IF(ISNUMBER(SEARCH("(",F1051)),LEFT(F1051,SEARCH("(",F1051)-1),F1051),Tipos!$A:$B,2,FALSE()),"outro")</f>
        <v>texto</v>
      </c>
      <c r="M1051" s="7" t="str">
        <f aca="false">IF(COUNTIF(Comparação!$H:$H,A1051)&gt;0,"sim",IF(AND(G1051="sim",H1051=""),"FALTA (obrigatória)","não"))</f>
        <v>não</v>
      </c>
    </row>
    <row r="1052" customFormat="false" ht="15" hidden="false" customHeight="false" outlineLevel="0" collapsed="false">
      <c r="A1052" s="7" t="str">
        <f aca="false">B1052&amp;"."&amp;E1052</f>
        <v>pesquisa_respostas.id</v>
      </c>
      <c r="B1052" s="7" t="s">
        <v>183</v>
      </c>
      <c r="C1052" s="7" t="s">
        <v>175</v>
      </c>
      <c r="D1052" s="7" t="n">
        <v>1</v>
      </c>
      <c r="E1052" s="7" t="s">
        <v>271</v>
      </c>
      <c r="F1052" s="7" t="s">
        <v>272</v>
      </c>
      <c r="G1052" s="7" t="s">
        <v>262</v>
      </c>
      <c r="H1052" s="7" t="s">
        <v>273</v>
      </c>
      <c r="I1052" s="7" t="s">
        <v>263</v>
      </c>
      <c r="J1052" s="7"/>
      <c r="K1052" s="7"/>
      <c r="L1052" s="7" t="str">
        <f aca="false">IFERROR(VLOOKUP(IF(ISNUMBER(SEARCH("(",F1052)),LEFT(F1052,SEARCH("(",F1052)-1),F1052),Tipos!$A:$B,2,FALSE()),"outro")</f>
        <v>uuid</v>
      </c>
      <c r="M1052" s="7" t="str">
        <f aca="false">IF(COUNTIF(Comparação!$H:$H,A1052)&gt;0,"sim",IF(AND(G1052="sim",H1052=""),"FALTA (obrigatória)","não"))</f>
        <v>não</v>
      </c>
    </row>
    <row r="1053" customFormat="false" ht="15" hidden="false" customHeight="false" outlineLevel="0" collapsed="false">
      <c r="A1053" s="7" t="str">
        <f aca="false">B1053&amp;"."&amp;E1053</f>
        <v>pesquisa_respostas.workspace_id</v>
      </c>
      <c r="B1053" s="7" t="s">
        <v>183</v>
      </c>
      <c r="C1053" s="7" t="s">
        <v>175</v>
      </c>
      <c r="D1053" s="7" t="n">
        <v>2</v>
      </c>
      <c r="E1053" s="7" t="s">
        <v>274</v>
      </c>
      <c r="F1053" s="7" t="s">
        <v>272</v>
      </c>
      <c r="G1053" s="7" t="s">
        <v>262</v>
      </c>
      <c r="H1053" s="7"/>
      <c r="I1053" s="7"/>
      <c r="J1053" s="7" t="s">
        <v>275</v>
      </c>
      <c r="K1053" s="7"/>
      <c r="L1053" s="7" t="str">
        <f aca="false">IFERROR(VLOOKUP(IF(ISNUMBER(SEARCH("(",F1053)),LEFT(F1053,SEARCH("(",F1053)-1),F1053),Tipos!$A:$B,2,FALSE()),"outro")</f>
        <v>uuid</v>
      </c>
      <c r="M1053" s="7" t="str">
        <f aca="false">IF(COUNTIF(Comparação!$H:$H,A1053)&gt;0,"sim",IF(AND(G1053="sim",H1053=""),"FALTA (obrigatória)","não"))</f>
        <v>FALTA (obrigatória)</v>
      </c>
    </row>
    <row r="1054" customFormat="false" ht="15" hidden="false" customHeight="false" outlineLevel="0" collapsed="false">
      <c r="A1054" s="7" t="str">
        <f aca="false">B1054&amp;"."&amp;E1054</f>
        <v>pesquisa_respostas.pesquisa_id</v>
      </c>
      <c r="B1054" s="7" t="s">
        <v>183</v>
      </c>
      <c r="C1054" s="7" t="s">
        <v>175</v>
      </c>
      <c r="D1054" s="7" t="n">
        <v>3</v>
      </c>
      <c r="E1054" s="7" t="s">
        <v>831</v>
      </c>
      <c r="F1054" s="7" t="s">
        <v>272</v>
      </c>
      <c r="G1054" s="7" t="s">
        <v>262</v>
      </c>
      <c r="H1054" s="7"/>
      <c r="I1054" s="7"/>
      <c r="J1054" s="7" t="s">
        <v>832</v>
      </c>
      <c r="K1054" s="7"/>
      <c r="L1054" s="7" t="str">
        <f aca="false">IFERROR(VLOOKUP(IF(ISNUMBER(SEARCH("(",F1054)),LEFT(F1054,SEARCH("(",F1054)-1),F1054),Tipos!$A:$B,2,FALSE()),"outro")</f>
        <v>uuid</v>
      </c>
      <c r="M1054" s="7" t="str">
        <f aca="false">IF(COUNTIF(Comparação!$H:$H,A1054)&gt;0,"sim",IF(AND(G1054="sim",H1054=""),"FALTA (obrigatória)","não"))</f>
        <v>FALTA (obrigatória)</v>
      </c>
    </row>
    <row r="1055" customFormat="false" ht="15" hidden="false" customHeight="false" outlineLevel="0" collapsed="false">
      <c r="A1055" s="7" t="str">
        <f aca="false">B1055&amp;"."&amp;E1055</f>
        <v>pesquisa_respostas.envio_id</v>
      </c>
      <c r="B1055" s="7" t="s">
        <v>183</v>
      </c>
      <c r="C1055" s="7" t="s">
        <v>175</v>
      </c>
      <c r="D1055" s="7" t="n">
        <v>4</v>
      </c>
      <c r="E1055" s="7" t="s">
        <v>1005</v>
      </c>
      <c r="F1055" s="7" t="s">
        <v>272</v>
      </c>
      <c r="G1055" s="7" t="s">
        <v>267</v>
      </c>
      <c r="H1055" s="7"/>
      <c r="I1055" s="7"/>
      <c r="J1055" s="7" t="s">
        <v>1006</v>
      </c>
      <c r="K1055" s="7"/>
      <c r="L1055" s="7" t="str">
        <f aca="false">IFERROR(VLOOKUP(IF(ISNUMBER(SEARCH("(",F1055)),LEFT(F1055,SEARCH("(",F1055)-1),F1055),Tipos!$A:$B,2,FALSE()),"outro")</f>
        <v>uuid</v>
      </c>
      <c r="M1055" s="7" t="str">
        <f aca="false">IF(COUNTIF(Comparação!$H:$H,A1055)&gt;0,"sim",IF(AND(G1055="sim",H1055=""),"FALTA (obrigatória)","não"))</f>
        <v>não</v>
      </c>
    </row>
    <row r="1056" customFormat="false" ht="15" hidden="false" customHeight="false" outlineLevel="0" collapsed="false">
      <c r="A1056" s="7" t="str">
        <f aca="false">B1056&amp;"."&amp;E1056</f>
        <v>pesquisa_respostas.pessoa_id</v>
      </c>
      <c r="B1056" s="7" t="s">
        <v>183</v>
      </c>
      <c r="C1056" s="7" t="s">
        <v>175</v>
      </c>
      <c r="D1056" s="7" t="n">
        <v>5</v>
      </c>
      <c r="E1056" s="7" t="s">
        <v>278</v>
      </c>
      <c r="F1056" s="7" t="s">
        <v>272</v>
      </c>
      <c r="G1056" s="7" t="s">
        <v>267</v>
      </c>
      <c r="H1056" s="7"/>
      <c r="I1056" s="7"/>
      <c r="J1056" s="7" t="s">
        <v>279</v>
      </c>
      <c r="K1056" s="7"/>
      <c r="L1056" s="7" t="str">
        <f aca="false">IFERROR(VLOOKUP(IF(ISNUMBER(SEARCH("(",F1056)),LEFT(F1056,SEARCH("(",F1056)-1),F1056),Tipos!$A:$B,2,FALSE()),"outro")</f>
        <v>uuid</v>
      </c>
      <c r="M1056" s="7" t="str">
        <f aca="false">IF(COUNTIF(Comparação!$H:$H,A1056)&gt;0,"sim",IF(AND(G1056="sim",H1056=""),"FALTA (obrigatória)","não"))</f>
        <v>não</v>
      </c>
    </row>
    <row r="1057" customFormat="false" ht="15" hidden="false" customHeight="false" outlineLevel="0" collapsed="false">
      <c r="A1057" s="7" t="str">
        <f aca="false">B1057&amp;"."&amp;E1057</f>
        <v>pesquisa_respostas.email</v>
      </c>
      <c r="B1057" s="7" t="s">
        <v>183</v>
      </c>
      <c r="C1057" s="7" t="s">
        <v>175</v>
      </c>
      <c r="D1057" s="7" t="n">
        <v>6</v>
      </c>
      <c r="E1057" s="7" t="s">
        <v>700</v>
      </c>
      <c r="F1057" s="7" t="s">
        <v>261</v>
      </c>
      <c r="G1057" s="7" t="s">
        <v>267</v>
      </c>
      <c r="H1057" s="7"/>
      <c r="I1057" s="7"/>
      <c r="J1057" s="7"/>
      <c r="K1057" s="7"/>
      <c r="L1057" s="7" t="str">
        <f aca="false">IFERROR(VLOOKUP(IF(ISNUMBER(SEARCH("(",F1057)),LEFT(F1057,SEARCH("(",F1057)-1),F1057),Tipos!$A:$B,2,FALSE()),"outro")</f>
        <v>texto</v>
      </c>
      <c r="M1057" s="7" t="str">
        <f aca="false">IF(COUNTIF(Comparação!$H:$H,A1057)&gt;0,"sim",IF(AND(G1057="sim",H1057=""),"FALTA (obrigatória)","não"))</f>
        <v>não</v>
      </c>
    </row>
    <row r="1058" customFormat="false" ht="15" hidden="false" customHeight="false" outlineLevel="0" collapsed="false">
      <c r="A1058" s="7" t="str">
        <f aca="false">B1058&amp;"."&amp;E1058</f>
        <v>pesquisa_respostas.respondida_em</v>
      </c>
      <c r="B1058" s="7" t="s">
        <v>183</v>
      </c>
      <c r="C1058" s="7" t="s">
        <v>175</v>
      </c>
      <c r="D1058" s="7" t="n">
        <v>7</v>
      </c>
      <c r="E1058" s="7" t="s">
        <v>1007</v>
      </c>
      <c r="F1058" s="7" t="s">
        <v>285</v>
      </c>
      <c r="G1058" s="7" t="s">
        <v>262</v>
      </c>
      <c r="H1058" s="7" t="s">
        <v>286</v>
      </c>
      <c r="I1058" s="7"/>
      <c r="J1058" s="7"/>
      <c r="K1058" s="7"/>
      <c r="L1058" s="7" t="str">
        <f aca="false">IFERROR(VLOOKUP(IF(ISNUMBER(SEARCH("(",F1058)),LEFT(F1058,SEARCH("(",F1058)-1),F1058),Tipos!$A:$B,2,FALSE()),"outro")</f>
        <v>data e hora</v>
      </c>
      <c r="M1058" s="7" t="str">
        <f aca="false">IF(COUNTIF(Comparação!$H:$H,A1058)&gt;0,"sim",IF(AND(G1058="sim",H1058=""),"FALTA (obrigatória)","não"))</f>
        <v>não</v>
      </c>
    </row>
    <row r="1059" customFormat="false" ht="15" hidden="false" customHeight="false" outlineLevel="0" collapsed="false">
      <c r="A1059" s="7" t="str">
        <f aca="false">B1059&amp;"."&amp;E1059</f>
        <v>pesquisas.id</v>
      </c>
      <c r="B1059" s="7" t="s">
        <v>185</v>
      </c>
      <c r="C1059" s="7" t="s">
        <v>175</v>
      </c>
      <c r="D1059" s="7" t="n">
        <v>1</v>
      </c>
      <c r="E1059" s="7" t="s">
        <v>271</v>
      </c>
      <c r="F1059" s="7" t="s">
        <v>272</v>
      </c>
      <c r="G1059" s="7" t="s">
        <v>262</v>
      </c>
      <c r="H1059" s="7" t="s">
        <v>273</v>
      </c>
      <c r="I1059" s="7" t="s">
        <v>263</v>
      </c>
      <c r="J1059" s="7"/>
      <c r="K1059" s="7"/>
      <c r="L1059" s="7" t="str">
        <f aca="false">IFERROR(VLOOKUP(IF(ISNUMBER(SEARCH("(",F1059)),LEFT(F1059,SEARCH("(",F1059)-1),F1059),Tipos!$A:$B,2,FALSE()),"outro")</f>
        <v>uuid</v>
      </c>
      <c r="M1059" s="7" t="str">
        <f aca="false">IF(COUNTIF(Comparação!$H:$H,A1059)&gt;0,"sim",IF(AND(G1059="sim",H1059=""),"FALTA (obrigatória)","não"))</f>
        <v>não</v>
      </c>
    </row>
    <row r="1060" customFormat="false" ht="15" hidden="false" customHeight="false" outlineLevel="0" collapsed="false">
      <c r="A1060" s="7" t="str">
        <f aca="false">B1060&amp;"."&amp;E1060</f>
        <v>pesquisas.workspace_id</v>
      </c>
      <c r="B1060" s="7" t="s">
        <v>185</v>
      </c>
      <c r="C1060" s="7" t="s">
        <v>175</v>
      </c>
      <c r="D1060" s="7" t="n">
        <v>2</v>
      </c>
      <c r="E1060" s="7" t="s">
        <v>274</v>
      </c>
      <c r="F1060" s="7" t="s">
        <v>272</v>
      </c>
      <c r="G1060" s="7" t="s">
        <v>262</v>
      </c>
      <c r="H1060" s="7"/>
      <c r="I1060" s="7"/>
      <c r="J1060" s="7" t="s">
        <v>275</v>
      </c>
      <c r="K1060" s="7"/>
      <c r="L1060" s="7" t="str">
        <f aca="false">IFERROR(VLOOKUP(IF(ISNUMBER(SEARCH("(",F1060)),LEFT(F1060,SEARCH("(",F1060)-1),F1060),Tipos!$A:$B,2,FALSE()),"outro")</f>
        <v>uuid</v>
      </c>
      <c r="M1060" s="7" t="str">
        <f aca="false">IF(COUNTIF(Comparação!$H:$H,A1060)&gt;0,"sim",IF(AND(G1060="sim",H1060=""),"FALTA (obrigatória)","não"))</f>
        <v>FALTA (obrigatória)</v>
      </c>
    </row>
    <row r="1061" customFormat="false" ht="15" hidden="false" customHeight="false" outlineLevel="0" collapsed="false">
      <c r="A1061" s="7" t="str">
        <f aca="false">B1061&amp;"."&amp;E1061</f>
        <v>pesquisas.nome</v>
      </c>
      <c r="B1061" s="7" t="s">
        <v>185</v>
      </c>
      <c r="C1061" s="7" t="s">
        <v>175</v>
      </c>
      <c r="D1061" s="7" t="n">
        <v>3</v>
      </c>
      <c r="E1061" s="7" t="s">
        <v>265</v>
      </c>
      <c r="F1061" s="7" t="s">
        <v>261</v>
      </c>
      <c r="G1061" s="7" t="s">
        <v>262</v>
      </c>
      <c r="H1061" s="7"/>
      <c r="I1061" s="7"/>
      <c r="J1061" s="7"/>
      <c r="K1061" s="7"/>
      <c r="L1061" s="7" t="str">
        <f aca="false">IFERROR(VLOOKUP(IF(ISNUMBER(SEARCH("(",F1061)),LEFT(F1061,SEARCH("(",F1061)-1),F1061),Tipos!$A:$B,2,FALSE()),"outro")</f>
        <v>texto</v>
      </c>
      <c r="M1061" s="7" t="str">
        <f aca="false">IF(COUNTIF(Comparação!$H:$H,A1061)&gt;0,"sim",IF(AND(G1061="sim",H1061=""),"FALTA (obrigatória)","não"))</f>
        <v>FALTA (obrigatória)</v>
      </c>
    </row>
    <row r="1062" customFormat="false" ht="15" hidden="false" customHeight="false" outlineLevel="0" collapsed="false">
      <c r="A1062" s="7" t="str">
        <f aca="false">B1062&amp;"."&amp;E1062</f>
        <v>pesquisas.tipo</v>
      </c>
      <c r="B1062" s="7" t="s">
        <v>185</v>
      </c>
      <c r="C1062" s="7" t="s">
        <v>175</v>
      </c>
      <c r="D1062" s="7" t="n">
        <v>4</v>
      </c>
      <c r="E1062" s="7" t="s">
        <v>280</v>
      </c>
      <c r="F1062" s="7" t="s">
        <v>261</v>
      </c>
      <c r="G1062" s="7" t="s">
        <v>262</v>
      </c>
      <c r="H1062" s="7" t="s">
        <v>1008</v>
      </c>
      <c r="I1062" s="7"/>
      <c r="J1062" s="7"/>
      <c r="K1062" s="7" t="s">
        <v>1009</v>
      </c>
      <c r="L1062" s="7" t="str">
        <f aca="false">IFERROR(VLOOKUP(IF(ISNUMBER(SEARCH("(",F1062)),LEFT(F1062,SEARCH("(",F1062)-1),F1062),Tipos!$A:$B,2,FALSE()),"outro")</f>
        <v>texto</v>
      </c>
      <c r="M1062" s="7" t="str">
        <f aca="false">IF(COUNTIF(Comparação!$H:$H,A1062)&gt;0,"sim",IF(AND(G1062="sim",H1062=""),"FALTA (obrigatória)","não"))</f>
        <v>não</v>
      </c>
    </row>
    <row r="1063" customFormat="false" ht="15" hidden="false" customHeight="false" outlineLevel="0" collapsed="false">
      <c r="A1063" s="7" t="str">
        <f aca="false">B1063&amp;"."&amp;E1063</f>
        <v>pesquisas.descricao</v>
      </c>
      <c r="B1063" s="7" t="s">
        <v>185</v>
      </c>
      <c r="C1063" s="7" t="s">
        <v>175</v>
      </c>
      <c r="D1063" s="7" t="n">
        <v>5</v>
      </c>
      <c r="E1063" s="7" t="s">
        <v>427</v>
      </c>
      <c r="F1063" s="7" t="s">
        <v>261</v>
      </c>
      <c r="G1063" s="7" t="s">
        <v>267</v>
      </c>
      <c r="H1063" s="7"/>
      <c r="I1063" s="7"/>
      <c r="J1063" s="7"/>
      <c r="K1063" s="7"/>
      <c r="L1063" s="7" t="str">
        <f aca="false">IFERROR(VLOOKUP(IF(ISNUMBER(SEARCH("(",F1063)),LEFT(F1063,SEARCH("(",F1063)-1),F1063),Tipos!$A:$B,2,FALSE()),"outro")</f>
        <v>texto</v>
      </c>
      <c r="M1063" s="7" t="str">
        <f aca="false">IF(COUNTIF(Comparação!$H:$H,A1063)&gt;0,"sim",IF(AND(G1063="sim",H1063=""),"FALTA (obrigatória)","não"))</f>
        <v>não</v>
      </c>
    </row>
    <row r="1064" customFormat="false" ht="15" hidden="false" customHeight="false" outlineLevel="0" collapsed="false">
      <c r="A1064" s="7" t="str">
        <f aca="false">B1064&amp;"."&amp;E1064</f>
        <v>pesquisas.ativa</v>
      </c>
      <c r="B1064" s="7" t="s">
        <v>185</v>
      </c>
      <c r="C1064" s="7" t="s">
        <v>175</v>
      </c>
      <c r="D1064" s="7" t="n">
        <v>6</v>
      </c>
      <c r="E1064" s="7" t="s">
        <v>399</v>
      </c>
      <c r="F1064" s="7" t="s">
        <v>310</v>
      </c>
      <c r="G1064" s="7" t="s">
        <v>262</v>
      </c>
      <c r="H1064" s="7" t="s">
        <v>311</v>
      </c>
      <c r="I1064" s="7"/>
      <c r="J1064" s="7"/>
      <c r="K1064" s="7"/>
      <c r="L1064" s="7" t="str">
        <f aca="false">IFERROR(VLOOKUP(IF(ISNUMBER(SEARCH("(",F1064)),LEFT(F1064,SEARCH("(",F1064)-1),F1064),Tipos!$A:$B,2,FALSE()),"outro")</f>
        <v>booleano</v>
      </c>
      <c r="M1064" s="7" t="str">
        <f aca="false">IF(COUNTIF(Comparação!$H:$H,A1064)&gt;0,"sim",IF(AND(G1064="sim",H1064=""),"FALTA (obrigatória)","não"))</f>
        <v>não</v>
      </c>
    </row>
    <row r="1065" customFormat="false" ht="15" hidden="false" customHeight="false" outlineLevel="0" collapsed="false">
      <c r="A1065" s="7" t="str">
        <f aca="false">B1065&amp;"."&amp;E1065</f>
        <v>pesquisas.gatilho</v>
      </c>
      <c r="B1065" s="7" t="s">
        <v>185</v>
      </c>
      <c r="C1065" s="7" t="s">
        <v>175</v>
      </c>
      <c r="D1065" s="7" t="n">
        <v>7</v>
      </c>
      <c r="E1065" s="7" t="s">
        <v>460</v>
      </c>
      <c r="F1065" s="7" t="s">
        <v>261</v>
      </c>
      <c r="G1065" s="7" t="s">
        <v>262</v>
      </c>
      <c r="H1065" s="7" t="s">
        <v>381</v>
      </c>
      <c r="I1065" s="7"/>
      <c r="J1065" s="7"/>
      <c r="K1065" s="7" t="s">
        <v>1010</v>
      </c>
      <c r="L1065" s="7" t="str">
        <f aca="false">IFERROR(VLOOKUP(IF(ISNUMBER(SEARCH("(",F1065)),LEFT(F1065,SEARCH("(",F1065)-1),F1065),Tipos!$A:$B,2,FALSE()),"outro")</f>
        <v>texto</v>
      </c>
      <c r="M1065" s="7" t="str">
        <f aca="false">IF(COUNTIF(Comparação!$H:$H,A1065)&gt;0,"sim",IF(AND(G1065="sim",H1065=""),"FALTA (obrigatória)","não"))</f>
        <v>não</v>
      </c>
    </row>
    <row r="1066" customFormat="false" ht="15" hidden="false" customHeight="false" outlineLevel="0" collapsed="false">
      <c r="A1066" s="7" t="str">
        <f aca="false">B1066&amp;"."&amp;E1066</f>
        <v>pesquisas.gatilho_etapa</v>
      </c>
      <c r="B1066" s="7" t="s">
        <v>185</v>
      </c>
      <c r="C1066" s="7" t="s">
        <v>175</v>
      </c>
      <c r="D1066" s="7" t="n">
        <v>8</v>
      </c>
      <c r="E1066" s="7" t="s">
        <v>1011</v>
      </c>
      <c r="F1066" s="7" t="s">
        <v>261</v>
      </c>
      <c r="G1066" s="7" t="s">
        <v>267</v>
      </c>
      <c r="H1066" s="7"/>
      <c r="I1066" s="7"/>
      <c r="J1066" s="7"/>
      <c r="K1066" s="7"/>
      <c r="L1066" s="7" t="str">
        <f aca="false">IFERROR(VLOOKUP(IF(ISNUMBER(SEARCH("(",F1066)),LEFT(F1066,SEARCH("(",F1066)-1),F1066),Tipos!$A:$B,2,FALSE()),"outro")</f>
        <v>texto</v>
      </c>
      <c r="M1066" s="7" t="str">
        <f aca="false">IF(COUNTIF(Comparação!$H:$H,A1066)&gt;0,"sim",IF(AND(G1066="sim",H1066=""),"FALTA (obrigatória)","não"))</f>
        <v>não</v>
      </c>
    </row>
    <row r="1067" customFormat="false" ht="15" hidden="false" customHeight="false" outlineLevel="0" collapsed="false">
      <c r="A1067" s="7" t="str">
        <f aca="false">B1067&amp;"."&amp;E1067</f>
        <v>pesquisas.funil_id</v>
      </c>
      <c r="B1067" s="7" t="s">
        <v>185</v>
      </c>
      <c r="C1067" s="7" t="s">
        <v>175</v>
      </c>
      <c r="D1067" s="7" t="n">
        <v>9</v>
      </c>
      <c r="E1067" s="7" t="s">
        <v>364</v>
      </c>
      <c r="F1067" s="7" t="s">
        <v>272</v>
      </c>
      <c r="G1067" s="7" t="s">
        <v>267</v>
      </c>
      <c r="H1067" s="7"/>
      <c r="I1067" s="7"/>
      <c r="J1067" s="7" t="s">
        <v>365</v>
      </c>
      <c r="K1067" s="7"/>
      <c r="L1067" s="7" t="str">
        <f aca="false">IFERROR(VLOOKUP(IF(ISNUMBER(SEARCH("(",F1067)),LEFT(F1067,SEARCH("(",F1067)-1),F1067),Tipos!$A:$B,2,FALSE()),"outro")</f>
        <v>uuid</v>
      </c>
      <c r="M1067" s="7" t="str">
        <f aca="false">IF(COUNTIF(Comparação!$H:$H,A1067)&gt;0,"sim",IF(AND(G1067="sim",H1067=""),"FALTA (obrigatória)","não"))</f>
        <v>não</v>
      </c>
    </row>
    <row r="1068" customFormat="false" ht="15" hidden="false" customHeight="false" outlineLevel="0" collapsed="false">
      <c r="A1068" s="7" t="str">
        <f aca="false">B1068&amp;"."&amp;E1068</f>
        <v>pesquisas.dispensa_qualificado</v>
      </c>
      <c r="B1068" s="7" t="s">
        <v>185</v>
      </c>
      <c r="C1068" s="7" t="s">
        <v>175</v>
      </c>
      <c r="D1068" s="7" t="n">
        <v>10</v>
      </c>
      <c r="E1068" s="7" t="s">
        <v>1012</v>
      </c>
      <c r="F1068" s="7" t="s">
        <v>310</v>
      </c>
      <c r="G1068" s="7" t="s">
        <v>262</v>
      </c>
      <c r="H1068" s="7" t="s">
        <v>375</v>
      </c>
      <c r="I1068" s="7"/>
      <c r="J1068" s="7"/>
      <c r="K1068" s="7"/>
      <c r="L1068" s="7" t="str">
        <f aca="false">IFERROR(VLOOKUP(IF(ISNUMBER(SEARCH("(",F1068)),LEFT(F1068,SEARCH("(",F1068)-1),F1068),Tipos!$A:$B,2,FALSE()),"outro")</f>
        <v>booleano</v>
      </c>
      <c r="M1068" s="7" t="str">
        <f aca="false">IF(COUNTIF(Comparação!$H:$H,A1068)&gt;0,"sim",IF(AND(G1068="sim",H1068=""),"FALTA (obrigatória)","não"))</f>
        <v>não</v>
      </c>
    </row>
    <row r="1069" customFormat="false" ht="15" hidden="false" customHeight="false" outlineLevel="0" collapsed="false">
      <c r="A1069" s="7" t="str">
        <f aca="false">B1069&amp;"."&amp;E1069</f>
        <v>pesquisas.canal_envio</v>
      </c>
      <c r="B1069" s="7" t="s">
        <v>185</v>
      </c>
      <c r="C1069" s="7" t="s">
        <v>175</v>
      </c>
      <c r="D1069" s="7" t="n">
        <v>11</v>
      </c>
      <c r="E1069" s="7" t="s">
        <v>1013</v>
      </c>
      <c r="F1069" s="7" t="s">
        <v>261</v>
      </c>
      <c r="G1069" s="7" t="s">
        <v>262</v>
      </c>
      <c r="H1069" s="7" t="s">
        <v>1014</v>
      </c>
      <c r="I1069" s="7"/>
      <c r="J1069" s="7"/>
      <c r="K1069" s="7" t="s">
        <v>1015</v>
      </c>
      <c r="L1069" s="7" t="str">
        <f aca="false">IFERROR(VLOOKUP(IF(ISNUMBER(SEARCH("(",F1069)),LEFT(F1069,SEARCH("(",F1069)-1),F1069),Tipos!$A:$B,2,FALSE()),"outro")</f>
        <v>texto</v>
      </c>
      <c r="M1069" s="7" t="str">
        <f aca="false">IF(COUNTIF(Comparação!$H:$H,A1069)&gt;0,"sim",IF(AND(G1069="sim",H1069=""),"FALTA (obrigatória)","não"))</f>
        <v>não</v>
      </c>
    </row>
    <row r="1070" customFormat="false" ht="15" hidden="false" customHeight="false" outlineLevel="0" collapsed="false">
      <c r="A1070" s="7" t="str">
        <f aca="false">B1070&amp;"."&amp;E1070</f>
        <v>pesquisas.mensagem</v>
      </c>
      <c r="B1070" s="7" t="s">
        <v>185</v>
      </c>
      <c r="C1070" s="7" t="s">
        <v>175</v>
      </c>
      <c r="D1070" s="7" t="n">
        <v>12</v>
      </c>
      <c r="E1070" s="7" t="s">
        <v>867</v>
      </c>
      <c r="F1070" s="7" t="s">
        <v>261</v>
      </c>
      <c r="G1070" s="7" t="s">
        <v>267</v>
      </c>
      <c r="H1070" s="7"/>
      <c r="I1070" s="7"/>
      <c r="J1070" s="7"/>
      <c r="K1070" s="7"/>
      <c r="L1070" s="7" t="str">
        <f aca="false">IFERROR(VLOOKUP(IF(ISNUMBER(SEARCH("(",F1070)),LEFT(F1070,SEARCH("(",F1070)-1),F1070),Tipos!$A:$B,2,FALSE()),"outro")</f>
        <v>texto</v>
      </c>
      <c r="M1070" s="7" t="str">
        <f aca="false">IF(COUNTIF(Comparação!$H:$H,A1070)&gt;0,"sim",IF(AND(G1070="sim",H1070=""),"FALTA (obrigatória)","não"))</f>
        <v>não</v>
      </c>
    </row>
    <row r="1071" customFormat="false" ht="15" hidden="false" customHeight="false" outlineLevel="0" collapsed="false">
      <c r="A1071" s="7" t="str">
        <f aca="false">B1071&amp;"."&amp;E1071</f>
        <v>pesquisas.aceita_link_aberto</v>
      </c>
      <c r="B1071" s="7" t="s">
        <v>185</v>
      </c>
      <c r="C1071" s="7" t="s">
        <v>175</v>
      </c>
      <c r="D1071" s="7" t="n">
        <v>13</v>
      </c>
      <c r="E1071" s="7" t="s">
        <v>1016</v>
      </c>
      <c r="F1071" s="7" t="s">
        <v>310</v>
      </c>
      <c r="G1071" s="7" t="s">
        <v>262</v>
      </c>
      <c r="H1071" s="7" t="s">
        <v>375</v>
      </c>
      <c r="I1071" s="7"/>
      <c r="J1071" s="7"/>
      <c r="K1071" s="7"/>
      <c r="L1071" s="7" t="str">
        <f aca="false">IFERROR(VLOOKUP(IF(ISNUMBER(SEARCH("(",F1071)),LEFT(F1071,SEARCH("(",F1071)-1),F1071),Tipos!$A:$B,2,FALSE()),"outro")</f>
        <v>booleano</v>
      </c>
      <c r="M1071" s="7" t="str">
        <f aca="false">IF(COUNTIF(Comparação!$H:$H,A1071)&gt;0,"sim",IF(AND(G1071="sim",H1071=""),"FALTA (obrigatória)","não"))</f>
        <v>não</v>
      </c>
    </row>
    <row r="1072" customFormat="false" ht="15" hidden="false" customHeight="false" outlineLevel="0" collapsed="false">
      <c r="A1072" s="7" t="str">
        <f aca="false">B1072&amp;"."&amp;E1072</f>
        <v>pesquisas.token_aberto</v>
      </c>
      <c r="B1072" s="7" t="s">
        <v>185</v>
      </c>
      <c r="C1072" s="7" t="s">
        <v>175</v>
      </c>
      <c r="D1072" s="7" t="n">
        <v>14</v>
      </c>
      <c r="E1072" s="7" t="s">
        <v>1017</v>
      </c>
      <c r="F1072" s="7" t="s">
        <v>261</v>
      </c>
      <c r="G1072" s="7" t="s">
        <v>262</v>
      </c>
      <c r="H1072" s="7" t="s">
        <v>986</v>
      </c>
      <c r="I1072" s="7" t="s">
        <v>290</v>
      </c>
      <c r="J1072" s="7"/>
      <c r="K1072" s="7"/>
      <c r="L1072" s="7" t="str">
        <f aca="false">IFERROR(VLOOKUP(IF(ISNUMBER(SEARCH("(",F1072)),LEFT(F1072,SEARCH("(",F1072)-1),F1072),Tipos!$A:$B,2,FALSE()),"outro")</f>
        <v>texto</v>
      </c>
      <c r="M1072" s="7" t="str">
        <f aca="false">IF(COUNTIF(Comparação!$H:$H,A1072)&gt;0,"sim",IF(AND(G1072="sim",H1072=""),"FALTA (obrigatória)","não"))</f>
        <v>não</v>
      </c>
    </row>
    <row r="1073" customFormat="false" ht="15" hidden="false" customHeight="false" outlineLevel="0" collapsed="false">
      <c r="A1073" s="7" t="str">
        <f aca="false">B1073&amp;"."&amp;E1073</f>
        <v>pesquisas.criado_em</v>
      </c>
      <c r="B1073" s="7" t="s">
        <v>185</v>
      </c>
      <c r="C1073" s="7" t="s">
        <v>175</v>
      </c>
      <c r="D1073" s="7" t="n">
        <v>15</v>
      </c>
      <c r="E1073" s="7" t="s">
        <v>344</v>
      </c>
      <c r="F1073" s="7" t="s">
        <v>285</v>
      </c>
      <c r="G1073" s="7" t="s">
        <v>262</v>
      </c>
      <c r="H1073" s="7" t="s">
        <v>286</v>
      </c>
      <c r="I1073" s="7"/>
      <c r="J1073" s="7"/>
      <c r="K1073" s="7"/>
      <c r="L1073" s="7" t="str">
        <f aca="false">IFERROR(VLOOKUP(IF(ISNUMBER(SEARCH("(",F1073)),LEFT(F1073,SEARCH("(",F1073)-1),F1073),Tipos!$A:$B,2,FALSE()),"outro")</f>
        <v>data e hora</v>
      </c>
      <c r="M1073" s="7" t="str">
        <f aca="false">IF(COUNTIF(Comparação!$H:$H,A1073)&gt;0,"sim",IF(AND(G1073="sim",H1073=""),"FALTA (obrigatória)","não"))</f>
        <v>não</v>
      </c>
    </row>
    <row r="1074" customFormat="false" ht="15" hidden="false" customHeight="false" outlineLevel="0" collapsed="false">
      <c r="A1074" s="7" t="str">
        <f aca="false">B1074&amp;"."&amp;E1074</f>
        <v>pessoa_funil.id</v>
      </c>
      <c r="B1074" s="7" t="s">
        <v>186</v>
      </c>
      <c r="C1074" s="7" t="s">
        <v>66</v>
      </c>
      <c r="D1074" s="7" t="n">
        <v>1</v>
      </c>
      <c r="E1074" s="7" t="s">
        <v>271</v>
      </c>
      <c r="F1074" s="7" t="s">
        <v>272</v>
      </c>
      <c r="G1074" s="7" t="s">
        <v>262</v>
      </c>
      <c r="H1074" s="7" t="s">
        <v>273</v>
      </c>
      <c r="I1074" s="7" t="s">
        <v>263</v>
      </c>
      <c r="J1074" s="7"/>
      <c r="K1074" s="7"/>
      <c r="L1074" s="7" t="str">
        <f aca="false">IFERROR(VLOOKUP(IF(ISNUMBER(SEARCH("(",F1074)),LEFT(F1074,SEARCH("(",F1074)-1),F1074),Tipos!$A:$B,2,FALSE()),"outro")</f>
        <v>uuid</v>
      </c>
      <c r="M1074" s="7" t="str">
        <f aca="false">IF(COUNTIF(Comparação!$H:$H,A1074)&gt;0,"sim",IF(AND(G1074="sim",H1074=""),"FALTA (obrigatória)","não"))</f>
        <v>não</v>
      </c>
    </row>
    <row r="1075" customFormat="false" ht="15" hidden="false" customHeight="false" outlineLevel="0" collapsed="false">
      <c r="A1075" s="7" t="str">
        <f aca="false">B1075&amp;"."&amp;E1075</f>
        <v>pessoa_funil.workspace_id</v>
      </c>
      <c r="B1075" s="7" t="s">
        <v>186</v>
      </c>
      <c r="C1075" s="7" t="s">
        <v>66</v>
      </c>
      <c r="D1075" s="7" t="n">
        <v>2</v>
      </c>
      <c r="E1075" s="7" t="s">
        <v>274</v>
      </c>
      <c r="F1075" s="7" t="s">
        <v>272</v>
      </c>
      <c r="G1075" s="7" t="s">
        <v>262</v>
      </c>
      <c r="H1075" s="7"/>
      <c r="I1075" s="7"/>
      <c r="J1075" s="7" t="s">
        <v>275</v>
      </c>
      <c r="K1075" s="7"/>
      <c r="L1075" s="7" t="str">
        <f aca="false">IFERROR(VLOOKUP(IF(ISNUMBER(SEARCH("(",F1075)),LEFT(F1075,SEARCH("(",F1075)-1),F1075),Tipos!$A:$B,2,FALSE()),"outro")</f>
        <v>uuid</v>
      </c>
      <c r="M1075" s="7" t="str">
        <f aca="false">IF(COUNTIF(Comparação!$H:$H,A1075)&gt;0,"sim",IF(AND(G1075="sim",H1075=""),"FALTA (obrigatória)","não"))</f>
        <v>FALTA (obrigatória)</v>
      </c>
    </row>
    <row r="1076" customFormat="false" ht="15" hidden="false" customHeight="false" outlineLevel="0" collapsed="false">
      <c r="A1076" s="7" t="str">
        <f aca="false">B1076&amp;"."&amp;E1076</f>
        <v>pessoa_funil.pessoa_id</v>
      </c>
      <c r="B1076" s="7" t="s">
        <v>186</v>
      </c>
      <c r="C1076" s="7" t="s">
        <v>66</v>
      </c>
      <c r="D1076" s="7" t="n">
        <v>3</v>
      </c>
      <c r="E1076" s="7" t="s">
        <v>278</v>
      </c>
      <c r="F1076" s="7" t="s">
        <v>272</v>
      </c>
      <c r="G1076" s="7" t="s">
        <v>262</v>
      </c>
      <c r="H1076" s="7"/>
      <c r="I1076" s="7" t="s">
        <v>290</v>
      </c>
      <c r="J1076" s="7" t="s">
        <v>279</v>
      </c>
      <c r="K1076" s="7"/>
      <c r="L1076" s="7" t="str">
        <f aca="false">IFERROR(VLOOKUP(IF(ISNUMBER(SEARCH("(",F1076)),LEFT(F1076,SEARCH("(",F1076)-1),F1076),Tipos!$A:$B,2,FALSE()),"outro")</f>
        <v>uuid</v>
      </c>
      <c r="M1076" s="7" t="str">
        <f aca="false">IF(COUNTIF(Comparação!$H:$H,A1076)&gt;0,"sim",IF(AND(G1076="sim",H1076=""),"FALTA (obrigatória)","não"))</f>
        <v>FALTA (obrigatória)</v>
      </c>
    </row>
    <row r="1077" customFormat="false" ht="15" hidden="false" customHeight="false" outlineLevel="0" collapsed="false">
      <c r="A1077" s="7" t="str">
        <f aca="false">B1077&amp;"."&amp;E1077</f>
        <v>pessoa_funil.funil_id</v>
      </c>
      <c r="B1077" s="7" t="s">
        <v>186</v>
      </c>
      <c r="C1077" s="7" t="s">
        <v>66</v>
      </c>
      <c r="D1077" s="7" t="n">
        <v>4</v>
      </c>
      <c r="E1077" s="7" t="s">
        <v>364</v>
      </c>
      <c r="F1077" s="7" t="s">
        <v>272</v>
      </c>
      <c r="G1077" s="7" t="s">
        <v>262</v>
      </c>
      <c r="H1077" s="7"/>
      <c r="I1077" s="7" t="s">
        <v>290</v>
      </c>
      <c r="J1077" s="7" t="s">
        <v>365</v>
      </c>
      <c r="K1077" s="7"/>
      <c r="L1077" s="7" t="str">
        <f aca="false">IFERROR(VLOOKUP(IF(ISNUMBER(SEARCH("(",F1077)),LEFT(F1077,SEARCH("(",F1077)-1),F1077),Tipos!$A:$B,2,FALSE()),"outro")</f>
        <v>uuid</v>
      </c>
      <c r="M1077" s="7" t="str">
        <f aca="false">IF(COUNTIF(Comparação!$H:$H,A1077)&gt;0,"sim",IF(AND(G1077="sim",H1077=""),"FALTA (obrigatória)","não"))</f>
        <v>FALTA (obrigatória)</v>
      </c>
    </row>
    <row r="1078" customFormat="false" ht="15" hidden="false" customHeight="false" outlineLevel="0" collapsed="false">
      <c r="A1078" s="7" t="str">
        <f aca="false">B1078&amp;"."&amp;E1078</f>
        <v>pessoa_funil.etapa_id</v>
      </c>
      <c r="B1078" s="7" t="s">
        <v>186</v>
      </c>
      <c r="C1078" s="7" t="s">
        <v>66</v>
      </c>
      <c r="D1078" s="7" t="n">
        <v>5</v>
      </c>
      <c r="E1078" s="7" t="s">
        <v>810</v>
      </c>
      <c r="F1078" s="7" t="s">
        <v>272</v>
      </c>
      <c r="G1078" s="7" t="s">
        <v>262</v>
      </c>
      <c r="H1078" s="7"/>
      <c r="I1078" s="7"/>
      <c r="J1078" s="7" t="s">
        <v>751</v>
      </c>
      <c r="K1078" s="7"/>
      <c r="L1078" s="7" t="str">
        <f aca="false">IFERROR(VLOOKUP(IF(ISNUMBER(SEARCH("(",F1078)),LEFT(F1078,SEARCH("(",F1078)-1),F1078),Tipos!$A:$B,2,FALSE()),"outro")</f>
        <v>uuid</v>
      </c>
      <c r="M1078" s="7" t="str">
        <f aca="false">IF(COUNTIF(Comparação!$H:$H,A1078)&gt;0,"sim",IF(AND(G1078="sim",H1078=""),"FALTA (obrigatória)","não"))</f>
        <v>FALTA (obrigatória)</v>
      </c>
    </row>
    <row r="1079" customFormat="false" ht="15" hidden="false" customHeight="false" outlineLevel="0" collapsed="false">
      <c r="A1079" s="7" t="str">
        <f aca="false">B1079&amp;"."&amp;E1079</f>
        <v>pessoa_funil.entrou_em</v>
      </c>
      <c r="B1079" s="7" t="s">
        <v>186</v>
      </c>
      <c r="C1079" s="7" t="s">
        <v>66</v>
      </c>
      <c r="D1079" s="7" t="n">
        <v>6</v>
      </c>
      <c r="E1079" s="7" t="s">
        <v>296</v>
      </c>
      <c r="F1079" s="7" t="s">
        <v>285</v>
      </c>
      <c r="G1079" s="7" t="s">
        <v>262</v>
      </c>
      <c r="H1079" s="7" t="s">
        <v>286</v>
      </c>
      <c r="I1079" s="7"/>
      <c r="J1079" s="7"/>
      <c r="K1079" s="7"/>
      <c r="L1079" s="7" t="str">
        <f aca="false">IFERROR(VLOOKUP(IF(ISNUMBER(SEARCH("(",F1079)),LEFT(F1079,SEARCH("(",F1079)-1),F1079),Tipos!$A:$B,2,FALSE()),"outro")</f>
        <v>data e hora</v>
      </c>
      <c r="M1079" s="7" t="str">
        <f aca="false">IF(COUNTIF(Comparação!$H:$H,A1079)&gt;0,"sim",IF(AND(G1079="sim",H1079=""),"FALTA (obrigatória)","não"))</f>
        <v>não</v>
      </c>
    </row>
    <row r="1080" customFormat="false" ht="15" hidden="false" customHeight="false" outlineLevel="0" collapsed="false">
      <c r="A1080" s="7" t="str">
        <f aca="false">B1080&amp;"."&amp;E1080</f>
        <v>pessoa_funil.atualizado_em</v>
      </c>
      <c r="B1080" s="7" t="s">
        <v>186</v>
      </c>
      <c r="C1080" s="7" t="s">
        <v>66</v>
      </c>
      <c r="D1080" s="7" t="n">
        <v>7</v>
      </c>
      <c r="E1080" s="7" t="s">
        <v>335</v>
      </c>
      <c r="F1080" s="7" t="s">
        <v>285</v>
      </c>
      <c r="G1080" s="7" t="s">
        <v>262</v>
      </c>
      <c r="H1080" s="7" t="s">
        <v>286</v>
      </c>
      <c r="I1080" s="7"/>
      <c r="J1080" s="7"/>
      <c r="K1080" s="7"/>
      <c r="L1080" s="7" t="str">
        <f aca="false">IFERROR(VLOOKUP(IF(ISNUMBER(SEARCH("(",F1080)),LEFT(F1080,SEARCH("(",F1080)-1),F1080),Tipos!$A:$B,2,FALSE()),"outro")</f>
        <v>data e hora</v>
      </c>
      <c r="M1080" s="7" t="str">
        <f aca="false">IF(COUNTIF(Comparação!$H:$H,A1080)&gt;0,"sim",IF(AND(G1080="sim",H1080=""),"FALTA (obrigatória)","não"))</f>
        <v>não</v>
      </c>
    </row>
    <row r="1081" customFormat="false" ht="15" hidden="false" customHeight="false" outlineLevel="0" collapsed="false">
      <c r="A1081" s="7" t="str">
        <f aca="false">B1081&amp;"."&amp;E1081</f>
        <v>pessoa_funil_historico.id</v>
      </c>
      <c r="B1081" s="7" t="s">
        <v>188</v>
      </c>
      <c r="C1081" s="7" t="s">
        <v>66</v>
      </c>
      <c r="D1081" s="7" t="n">
        <v>1</v>
      </c>
      <c r="E1081" s="7" t="s">
        <v>271</v>
      </c>
      <c r="F1081" s="7" t="s">
        <v>272</v>
      </c>
      <c r="G1081" s="7" t="s">
        <v>262</v>
      </c>
      <c r="H1081" s="7" t="s">
        <v>273</v>
      </c>
      <c r="I1081" s="7" t="s">
        <v>263</v>
      </c>
      <c r="J1081" s="7"/>
      <c r="K1081" s="7"/>
      <c r="L1081" s="7" t="str">
        <f aca="false">IFERROR(VLOOKUP(IF(ISNUMBER(SEARCH("(",F1081)),LEFT(F1081,SEARCH("(",F1081)-1),F1081),Tipos!$A:$B,2,FALSE()),"outro")</f>
        <v>uuid</v>
      </c>
      <c r="M1081" s="7" t="str">
        <f aca="false">IF(COUNTIF(Comparação!$H:$H,A1081)&gt;0,"sim",IF(AND(G1081="sim",H1081=""),"FALTA (obrigatória)","não"))</f>
        <v>não</v>
      </c>
    </row>
    <row r="1082" customFormat="false" ht="15" hidden="false" customHeight="false" outlineLevel="0" collapsed="false">
      <c r="A1082" s="7" t="str">
        <f aca="false">B1082&amp;"."&amp;E1082</f>
        <v>pessoa_funil_historico.workspace_id</v>
      </c>
      <c r="B1082" s="7" t="s">
        <v>188</v>
      </c>
      <c r="C1082" s="7" t="s">
        <v>66</v>
      </c>
      <c r="D1082" s="7" t="n">
        <v>2</v>
      </c>
      <c r="E1082" s="7" t="s">
        <v>274</v>
      </c>
      <c r="F1082" s="7" t="s">
        <v>272</v>
      </c>
      <c r="G1082" s="7" t="s">
        <v>262</v>
      </c>
      <c r="H1082" s="7"/>
      <c r="I1082" s="7"/>
      <c r="J1082" s="7" t="s">
        <v>275</v>
      </c>
      <c r="K1082" s="7"/>
      <c r="L1082" s="7" t="str">
        <f aca="false">IFERROR(VLOOKUP(IF(ISNUMBER(SEARCH("(",F1082)),LEFT(F1082,SEARCH("(",F1082)-1),F1082),Tipos!$A:$B,2,FALSE()),"outro")</f>
        <v>uuid</v>
      </c>
      <c r="M1082" s="7" t="str">
        <f aca="false">IF(COUNTIF(Comparação!$H:$H,A1082)&gt;0,"sim",IF(AND(G1082="sim",H1082=""),"FALTA (obrigatória)","não"))</f>
        <v>FALTA (obrigatória)</v>
      </c>
    </row>
    <row r="1083" customFormat="false" ht="15" hidden="false" customHeight="false" outlineLevel="0" collapsed="false">
      <c r="A1083" s="7" t="str">
        <f aca="false">B1083&amp;"."&amp;E1083</f>
        <v>pessoa_funil_historico.pessoa_id</v>
      </c>
      <c r="B1083" s="7" t="s">
        <v>188</v>
      </c>
      <c r="C1083" s="7" t="s">
        <v>66</v>
      </c>
      <c r="D1083" s="7" t="n">
        <v>3</v>
      </c>
      <c r="E1083" s="7" t="s">
        <v>278</v>
      </c>
      <c r="F1083" s="7" t="s">
        <v>272</v>
      </c>
      <c r="G1083" s="7" t="s">
        <v>262</v>
      </c>
      <c r="H1083" s="7"/>
      <c r="I1083" s="7"/>
      <c r="J1083" s="7" t="s">
        <v>279</v>
      </c>
      <c r="K1083" s="7"/>
      <c r="L1083" s="7" t="str">
        <f aca="false">IFERROR(VLOOKUP(IF(ISNUMBER(SEARCH("(",F1083)),LEFT(F1083,SEARCH("(",F1083)-1),F1083),Tipos!$A:$B,2,FALSE()),"outro")</f>
        <v>uuid</v>
      </c>
      <c r="M1083" s="7" t="str">
        <f aca="false">IF(COUNTIF(Comparação!$H:$H,A1083)&gt;0,"sim",IF(AND(G1083="sim",H1083=""),"FALTA (obrigatória)","não"))</f>
        <v>FALTA (obrigatória)</v>
      </c>
    </row>
    <row r="1084" customFormat="false" ht="15" hidden="false" customHeight="false" outlineLevel="0" collapsed="false">
      <c r="A1084" s="7" t="str">
        <f aca="false">B1084&amp;"."&amp;E1084</f>
        <v>pessoa_funil_historico.funil_id</v>
      </c>
      <c r="B1084" s="7" t="s">
        <v>188</v>
      </c>
      <c r="C1084" s="7" t="s">
        <v>66</v>
      </c>
      <c r="D1084" s="7" t="n">
        <v>4</v>
      </c>
      <c r="E1084" s="7" t="s">
        <v>364</v>
      </c>
      <c r="F1084" s="7" t="s">
        <v>272</v>
      </c>
      <c r="G1084" s="7" t="s">
        <v>262</v>
      </c>
      <c r="H1084" s="7"/>
      <c r="I1084" s="7"/>
      <c r="J1084" s="7" t="s">
        <v>365</v>
      </c>
      <c r="K1084" s="7"/>
      <c r="L1084" s="7" t="str">
        <f aca="false">IFERROR(VLOOKUP(IF(ISNUMBER(SEARCH("(",F1084)),LEFT(F1084,SEARCH("(",F1084)-1),F1084),Tipos!$A:$B,2,FALSE()),"outro")</f>
        <v>uuid</v>
      </c>
      <c r="M1084" s="7" t="str">
        <f aca="false">IF(COUNTIF(Comparação!$H:$H,A1084)&gt;0,"sim",IF(AND(G1084="sim",H1084=""),"FALTA (obrigatória)","não"))</f>
        <v>FALTA (obrigatória)</v>
      </c>
    </row>
    <row r="1085" customFormat="false" ht="15" hidden="false" customHeight="false" outlineLevel="0" collapsed="false">
      <c r="A1085" s="7" t="str">
        <f aca="false">B1085&amp;"."&amp;E1085</f>
        <v>pessoa_funil_historico.tipo</v>
      </c>
      <c r="B1085" s="7" t="s">
        <v>188</v>
      </c>
      <c r="C1085" s="7" t="s">
        <v>66</v>
      </c>
      <c r="D1085" s="7" t="n">
        <v>5</v>
      </c>
      <c r="E1085" s="7" t="s">
        <v>280</v>
      </c>
      <c r="F1085" s="7" t="s">
        <v>261</v>
      </c>
      <c r="G1085" s="7" t="s">
        <v>262</v>
      </c>
      <c r="H1085" s="7"/>
      <c r="I1085" s="7"/>
      <c r="J1085" s="7"/>
      <c r="K1085" s="7" t="s">
        <v>1018</v>
      </c>
      <c r="L1085" s="7" t="str">
        <f aca="false">IFERROR(VLOOKUP(IF(ISNUMBER(SEARCH("(",F1085)),LEFT(F1085,SEARCH("(",F1085)-1),F1085),Tipos!$A:$B,2,FALSE()),"outro")</f>
        <v>texto</v>
      </c>
      <c r="M1085" s="7" t="str">
        <f aca="false">IF(COUNTIF(Comparação!$H:$H,A1085)&gt;0,"sim",IF(AND(G1085="sim",H1085=""),"FALTA (obrigatória)","não"))</f>
        <v>FALTA (obrigatória)</v>
      </c>
    </row>
    <row r="1086" customFormat="false" ht="15" hidden="false" customHeight="false" outlineLevel="0" collapsed="false">
      <c r="A1086" s="7" t="str">
        <f aca="false">B1086&amp;"."&amp;E1086</f>
        <v>pessoa_funil_historico.ref</v>
      </c>
      <c r="B1086" s="7" t="s">
        <v>188</v>
      </c>
      <c r="C1086" s="7" t="s">
        <v>66</v>
      </c>
      <c r="D1086" s="7" t="n">
        <v>6</v>
      </c>
      <c r="E1086" s="7" t="s">
        <v>1019</v>
      </c>
      <c r="F1086" s="7" t="s">
        <v>261</v>
      </c>
      <c r="G1086" s="7" t="s">
        <v>267</v>
      </c>
      <c r="H1086" s="7"/>
      <c r="I1086" s="7"/>
      <c r="J1086" s="7"/>
      <c r="K1086" s="7"/>
      <c r="L1086" s="7" t="str">
        <f aca="false">IFERROR(VLOOKUP(IF(ISNUMBER(SEARCH("(",F1086)),LEFT(F1086,SEARCH("(",F1086)-1),F1086),Tipos!$A:$B,2,FALSE()),"outro")</f>
        <v>texto</v>
      </c>
      <c r="M1086" s="7" t="str">
        <f aca="false">IF(COUNTIF(Comparação!$H:$H,A1086)&gt;0,"sim",IF(AND(G1086="sim",H1086=""),"FALTA (obrigatória)","não"))</f>
        <v>não</v>
      </c>
    </row>
    <row r="1087" customFormat="false" ht="15" hidden="false" customHeight="false" outlineLevel="0" collapsed="false">
      <c r="A1087" s="7" t="str">
        <f aca="false">B1087&amp;"."&amp;E1087</f>
        <v>pessoa_funil_historico.de</v>
      </c>
      <c r="B1087" s="7" t="s">
        <v>188</v>
      </c>
      <c r="C1087" s="7" t="s">
        <v>66</v>
      </c>
      <c r="D1087" s="7" t="n">
        <v>7</v>
      </c>
      <c r="E1087" s="7" t="s">
        <v>1020</v>
      </c>
      <c r="F1087" s="7" t="s">
        <v>261</v>
      </c>
      <c r="G1087" s="7" t="s">
        <v>267</v>
      </c>
      <c r="H1087" s="7"/>
      <c r="I1087" s="7"/>
      <c r="J1087" s="7"/>
      <c r="K1087" s="7"/>
      <c r="L1087" s="7" t="str">
        <f aca="false">IFERROR(VLOOKUP(IF(ISNUMBER(SEARCH("(",F1087)),LEFT(F1087,SEARCH("(",F1087)-1),F1087),Tipos!$A:$B,2,FALSE()),"outro")</f>
        <v>texto</v>
      </c>
      <c r="M1087" s="7" t="str">
        <f aca="false">IF(COUNTIF(Comparação!$H:$H,A1087)&gt;0,"sim",IF(AND(G1087="sim",H1087=""),"FALTA (obrigatória)","não"))</f>
        <v>não</v>
      </c>
    </row>
    <row r="1088" customFormat="false" ht="15" hidden="false" customHeight="false" outlineLevel="0" collapsed="false">
      <c r="A1088" s="7" t="str">
        <f aca="false">B1088&amp;"."&amp;E1088</f>
        <v>pessoa_funil_historico.para</v>
      </c>
      <c r="B1088" s="7" t="s">
        <v>188</v>
      </c>
      <c r="C1088" s="7" t="s">
        <v>66</v>
      </c>
      <c r="D1088" s="7" t="n">
        <v>8</v>
      </c>
      <c r="E1088" s="7" t="s">
        <v>1021</v>
      </c>
      <c r="F1088" s="7" t="s">
        <v>261</v>
      </c>
      <c r="G1088" s="7" t="s">
        <v>267</v>
      </c>
      <c r="H1088" s="7"/>
      <c r="I1088" s="7"/>
      <c r="J1088" s="7"/>
      <c r="K1088" s="7"/>
      <c r="L1088" s="7" t="str">
        <f aca="false">IFERROR(VLOOKUP(IF(ISNUMBER(SEARCH("(",F1088)),LEFT(F1088,SEARCH("(",F1088)-1),F1088),Tipos!$A:$B,2,FALSE()),"outro")</f>
        <v>texto</v>
      </c>
      <c r="M1088" s="7" t="str">
        <f aca="false">IF(COUNTIF(Comparação!$H:$H,A1088)&gt;0,"sim",IF(AND(G1088="sim",H1088=""),"FALTA (obrigatória)","não"))</f>
        <v>não</v>
      </c>
    </row>
    <row r="1089" customFormat="false" ht="15" hidden="false" customHeight="false" outlineLevel="0" collapsed="false">
      <c r="A1089" s="7" t="str">
        <f aca="false">B1089&amp;"."&amp;E1089</f>
        <v>pessoa_funil_historico.em</v>
      </c>
      <c r="B1089" s="7" t="s">
        <v>188</v>
      </c>
      <c r="C1089" s="7" t="s">
        <v>66</v>
      </c>
      <c r="D1089" s="7" t="n">
        <v>9</v>
      </c>
      <c r="E1089" s="7" t="s">
        <v>284</v>
      </c>
      <c r="F1089" s="7" t="s">
        <v>285</v>
      </c>
      <c r="G1089" s="7" t="s">
        <v>262</v>
      </c>
      <c r="H1089" s="7" t="s">
        <v>286</v>
      </c>
      <c r="I1089" s="7"/>
      <c r="J1089" s="7"/>
      <c r="K1089" s="7"/>
      <c r="L1089" s="7" t="str">
        <f aca="false">IFERROR(VLOOKUP(IF(ISNUMBER(SEARCH("(",F1089)),LEFT(F1089,SEARCH("(",F1089)-1),F1089),Tipos!$A:$B,2,FALSE()),"outro")</f>
        <v>data e hora</v>
      </c>
      <c r="M1089" s="7" t="str">
        <f aca="false">IF(COUNTIF(Comparação!$H:$H,A1089)&gt;0,"sim",IF(AND(G1089="sim",H1089=""),"FALTA (obrigatória)","não"))</f>
        <v>não</v>
      </c>
    </row>
    <row r="1090" customFormat="false" ht="15" hidden="false" customHeight="false" outlineLevel="0" collapsed="false">
      <c r="A1090" s="7" t="str">
        <f aca="false">B1090&amp;"."&amp;E1090</f>
        <v>pessoa_historico.id</v>
      </c>
      <c r="B1090" s="7" t="s">
        <v>190</v>
      </c>
      <c r="C1090" s="7" t="s">
        <v>66</v>
      </c>
      <c r="D1090" s="7" t="n">
        <v>1</v>
      </c>
      <c r="E1090" s="7" t="s">
        <v>271</v>
      </c>
      <c r="F1090" s="7" t="s">
        <v>272</v>
      </c>
      <c r="G1090" s="7" t="s">
        <v>262</v>
      </c>
      <c r="H1090" s="7" t="s">
        <v>273</v>
      </c>
      <c r="I1090" s="7" t="s">
        <v>263</v>
      </c>
      <c r="J1090" s="7"/>
      <c r="K1090" s="7"/>
      <c r="L1090" s="7" t="str">
        <f aca="false">IFERROR(VLOOKUP(IF(ISNUMBER(SEARCH("(",F1090)),LEFT(F1090,SEARCH("(",F1090)-1),F1090),Tipos!$A:$B,2,FALSE()),"outro")</f>
        <v>uuid</v>
      </c>
      <c r="M1090" s="7" t="str">
        <f aca="false">IF(COUNTIF(Comparação!$H:$H,A1090)&gt;0,"sim",IF(AND(G1090="sim",H1090=""),"FALTA (obrigatória)","não"))</f>
        <v>não</v>
      </c>
    </row>
    <row r="1091" customFormat="false" ht="15" hidden="false" customHeight="false" outlineLevel="0" collapsed="false">
      <c r="A1091" s="7" t="str">
        <f aca="false">B1091&amp;"."&amp;E1091</f>
        <v>pessoa_historico.workspace_id</v>
      </c>
      <c r="B1091" s="7" t="s">
        <v>190</v>
      </c>
      <c r="C1091" s="7" t="s">
        <v>66</v>
      </c>
      <c r="D1091" s="7" t="n">
        <v>2</v>
      </c>
      <c r="E1091" s="7" t="s">
        <v>274</v>
      </c>
      <c r="F1091" s="7" t="s">
        <v>272</v>
      </c>
      <c r="G1091" s="7" t="s">
        <v>262</v>
      </c>
      <c r="H1091" s="7"/>
      <c r="I1091" s="7"/>
      <c r="J1091" s="7"/>
      <c r="K1091" s="7"/>
      <c r="L1091" s="7" t="str">
        <f aca="false">IFERROR(VLOOKUP(IF(ISNUMBER(SEARCH("(",F1091)),LEFT(F1091,SEARCH("(",F1091)-1),F1091),Tipos!$A:$B,2,FALSE()),"outro")</f>
        <v>uuid</v>
      </c>
      <c r="M1091" s="7" t="str">
        <f aca="false">IF(COUNTIF(Comparação!$H:$H,A1091)&gt;0,"sim",IF(AND(G1091="sim",H1091=""),"FALTA (obrigatória)","não"))</f>
        <v>FALTA (obrigatória)</v>
      </c>
    </row>
    <row r="1092" customFormat="false" ht="15" hidden="false" customHeight="false" outlineLevel="0" collapsed="false">
      <c r="A1092" s="7" t="str">
        <f aca="false">B1092&amp;"."&amp;E1092</f>
        <v>pessoa_historico.pessoa_id</v>
      </c>
      <c r="B1092" s="7" t="s">
        <v>190</v>
      </c>
      <c r="C1092" s="7" t="s">
        <v>66</v>
      </c>
      <c r="D1092" s="7" t="n">
        <v>3</v>
      </c>
      <c r="E1092" s="7" t="s">
        <v>278</v>
      </c>
      <c r="F1092" s="7" t="s">
        <v>272</v>
      </c>
      <c r="G1092" s="7" t="s">
        <v>262</v>
      </c>
      <c r="H1092" s="7"/>
      <c r="I1092" s="7"/>
      <c r="J1092" s="7" t="s">
        <v>279</v>
      </c>
      <c r="K1092" s="7"/>
      <c r="L1092" s="7" t="str">
        <f aca="false">IFERROR(VLOOKUP(IF(ISNUMBER(SEARCH("(",F1092)),LEFT(F1092,SEARCH("(",F1092)-1),F1092),Tipos!$A:$B,2,FALSE()),"outro")</f>
        <v>uuid</v>
      </c>
      <c r="M1092" s="7" t="str">
        <f aca="false">IF(COUNTIF(Comparação!$H:$H,A1092)&gt;0,"sim",IF(AND(G1092="sim",H1092=""),"FALTA (obrigatória)","não"))</f>
        <v>FALTA (obrigatória)</v>
      </c>
    </row>
    <row r="1093" customFormat="false" ht="15" hidden="false" customHeight="false" outlineLevel="0" collapsed="false">
      <c r="A1093" s="7" t="str">
        <f aca="false">B1093&amp;"."&amp;E1093</f>
        <v>pessoa_historico.campo</v>
      </c>
      <c r="B1093" s="7" t="s">
        <v>190</v>
      </c>
      <c r="C1093" s="7" t="s">
        <v>66</v>
      </c>
      <c r="D1093" s="7" t="n">
        <v>4</v>
      </c>
      <c r="E1093" s="7" t="s">
        <v>1022</v>
      </c>
      <c r="F1093" s="7" t="s">
        <v>261</v>
      </c>
      <c r="G1093" s="7" t="s">
        <v>262</v>
      </c>
      <c r="H1093" s="7"/>
      <c r="I1093" s="7"/>
      <c r="J1093" s="7"/>
      <c r="K1093" s="7"/>
      <c r="L1093" s="7" t="str">
        <f aca="false">IFERROR(VLOOKUP(IF(ISNUMBER(SEARCH("(",F1093)),LEFT(F1093,SEARCH("(",F1093)-1),F1093),Tipos!$A:$B,2,FALSE()),"outro")</f>
        <v>texto</v>
      </c>
      <c r="M1093" s="7" t="str">
        <f aca="false">IF(COUNTIF(Comparação!$H:$H,A1093)&gt;0,"sim",IF(AND(G1093="sim",H1093=""),"FALTA (obrigatória)","não"))</f>
        <v>FALTA (obrigatória)</v>
      </c>
    </row>
    <row r="1094" customFormat="false" ht="15" hidden="false" customHeight="false" outlineLevel="0" collapsed="false">
      <c r="A1094" s="7" t="str">
        <f aca="false">B1094&amp;"."&amp;E1094</f>
        <v>pessoa_historico.valor_anterior</v>
      </c>
      <c r="B1094" s="7" t="s">
        <v>190</v>
      </c>
      <c r="C1094" s="7" t="s">
        <v>66</v>
      </c>
      <c r="D1094" s="7" t="n">
        <v>5</v>
      </c>
      <c r="E1094" s="7" t="s">
        <v>1023</v>
      </c>
      <c r="F1094" s="7" t="s">
        <v>261</v>
      </c>
      <c r="G1094" s="7" t="s">
        <v>267</v>
      </c>
      <c r="H1094" s="7"/>
      <c r="I1094" s="7"/>
      <c r="J1094" s="7"/>
      <c r="K1094" s="7"/>
      <c r="L1094" s="7" t="str">
        <f aca="false">IFERROR(VLOOKUP(IF(ISNUMBER(SEARCH("(",F1094)),LEFT(F1094,SEARCH("(",F1094)-1),F1094),Tipos!$A:$B,2,FALSE()),"outro")</f>
        <v>texto</v>
      </c>
      <c r="M1094" s="7" t="str">
        <f aca="false">IF(COUNTIF(Comparação!$H:$H,A1094)&gt;0,"sim",IF(AND(G1094="sim",H1094=""),"FALTA (obrigatória)","não"))</f>
        <v>não</v>
      </c>
    </row>
    <row r="1095" customFormat="false" ht="15" hidden="false" customHeight="false" outlineLevel="0" collapsed="false">
      <c r="A1095" s="7" t="str">
        <f aca="false">B1095&amp;"."&amp;E1095</f>
        <v>pessoa_historico.valor_novo</v>
      </c>
      <c r="B1095" s="7" t="s">
        <v>190</v>
      </c>
      <c r="C1095" s="7" t="s">
        <v>66</v>
      </c>
      <c r="D1095" s="7" t="n">
        <v>6</v>
      </c>
      <c r="E1095" s="7" t="s">
        <v>1024</v>
      </c>
      <c r="F1095" s="7" t="s">
        <v>261</v>
      </c>
      <c r="G1095" s="7" t="s">
        <v>267</v>
      </c>
      <c r="H1095" s="7"/>
      <c r="I1095" s="7"/>
      <c r="J1095" s="7"/>
      <c r="K1095" s="7"/>
      <c r="L1095" s="7" t="str">
        <f aca="false">IFERROR(VLOOKUP(IF(ISNUMBER(SEARCH("(",F1095)),LEFT(F1095,SEARCH("(",F1095)-1),F1095),Tipos!$A:$B,2,FALSE()),"outro")</f>
        <v>texto</v>
      </c>
      <c r="M1095" s="7" t="str">
        <f aca="false">IF(COUNTIF(Comparação!$H:$H,A1095)&gt;0,"sim",IF(AND(G1095="sim",H1095=""),"FALTA (obrigatória)","não"))</f>
        <v>não</v>
      </c>
    </row>
    <row r="1096" customFormat="false" ht="15" hidden="false" customHeight="false" outlineLevel="0" collapsed="false">
      <c r="A1096" s="7" t="str">
        <f aca="false">B1096&amp;"."&amp;E1096</f>
        <v>pessoa_historico.alterado_em</v>
      </c>
      <c r="B1096" s="7" t="s">
        <v>190</v>
      </c>
      <c r="C1096" s="7" t="s">
        <v>66</v>
      </c>
      <c r="D1096" s="7" t="n">
        <v>7</v>
      </c>
      <c r="E1096" s="7" t="s">
        <v>1025</v>
      </c>
      <c r="F1096" s="7" t="s">
        <v>285</v>
      </c>
      <c r="G1096" s="7" t="s">
        <v>262</v>
      </c>
      <c r="H1096" s="7" t="s">
        <v>286</v>
      </c>
      <c r="I1096" s="7"/>
      <c r="J1096" s="7"/>
      <c r="K1096" s="7"/>
      <c r="L1096" s="7" t="str">
        <f aca="false">IFERROR(VLOOKUP(IF(ISNUMBER(SEARCH("(",F1096)),LEFT(F1096,SEARCH("(",F1096)-1),F1096),Tipos!$A:$B,2,FALSE()),"outro")</f>
        <v>data e hora</v>
      </c>
      <c r="M1096" s="7" t="str">
        <f aca="false">IF(COUNTIF(Comparação!$H:$H,A1096)&gt;0,"sim",IF(AND(G1096="sim",H1096=""),"FALTA (obrigatória)","não"))</f>
        <v>não</v>
      </c>
    </row>
    <row r="1097" customFormat="false" ht="15" hidden="false" customHeight="false" outlineLevel="0" collapsed="false">
      <c r="A1097" s="7" t="str">
        <f aca="false">B1097&amp;"."&amp;E1097</f>
        <v>pessoa_lista.workspace_id</v>
      </c>
      <c r="B1097" s="7" t="s">
        <v>192</v>
      </c>
      <c r="C1097" s="7" t="s">
        <v>66</v>
      </c>
      <c r="D1097" s="7" t="n">
        <v>1</v>
      </c>
      <c r="E1097" s="7" t="s">
        <v>274</v>
      </c>
      <c r="F1097" s="7" t="s">
        <v>272</v>
      </c>
      <c r="G1097" s="7" t="s">
        <v>262</v>
      </c>
      <c r="H1097" s="7"/>
      <c r="I1097" s="7"/>
      <c r="J1097" s="7" t="s">
        <v>275</v>
      </c>
      <c r="K1097" s="7"/>
      <c r="L1097" s="7" t="str">
        <f aca="false">IFERROR(VLOOKUP(IF(ISNUMBER(SEARCH("(",F1097)),LEFT(F1097,SEARCH("(",F1097)-1),F1097),Tipos!$A:$B,2,FALSE()),"outro")</f>
        <v>uuid</v>
      </c>
      <c r="M1097" s="7" t="str">
        <f aca="false">IF(COUNTIF(Comparação!$H:$H,A1097)&gt;0,"sim",IF(AND(G1097="sim",H1097=""),"FALTA (obrigatória)","não"))</f>
        <v>FALTA (obrigatória)</v>
      </c>
    </row>
    <row r="1098" customFormat="false" ht="15" hidden="false" customHeight="false" outlineLevel="0" collapsed="false">
      <c r="A1098" s="7" t="str">
        <f aca="false">B1098&amp;"."&amp;E1098</f>
        <v>pessoa_lista.pessoa_id</v>
      </c>
      <c r="B1098" s="7" t="s">
        <v>192</v>
      </c>
      <c r="C1098" s="7" t="s">
        <v>66</v>
      </c>
      <c r="D1098" s="7" t="n">
        <v>2</v>
      </c>
      <c r="E1098" s="7" t="s">
        <v>278</v>
      </c>
      <c r="F1098" s="7" t="s">
        <v>272</v>
      </c>
      <c r="G1098" s="7" t="s">
        <v>262</v>
      </c>
      <c r="H1098" s="7"/>
      <c r="I1098" s="7" t="s">
        <v>263</v>
      </c>
      <c r="J1098" s="7" t="s">
        <v>279</v>
      </c>
      <c r="K1098" s="7"/>
      <c r="L1098" s="7" t="str">
        <f aca="false">IFERROR(VLOOKUP(IF(ISNUMBER(SEARCH("(",F1098)),LEFT(F1098,SEARCH("(",F1098)-1),F1098),Tipos!$A:$B,2,FALSE()),"outro")</f>
        <v>uuid</v>
      </c>
      <c r="M1098" s="7" t="str">
        <f aca="false">IF(COUNTIF(Comparação!$H:$H,A1098)&gt;0,"sim",IF(AND(G1098="sim",H1098=""),"FALTA (obrigatória)","não"))</f>
        <v>FALTA (obrigatória)</v>
      </c>
    </row>
    <row r="1099" customFormat="false" ht="15" hidden="false" customHeight="false" outlineLevel="0" collapsed="false">
      <c r="A1099" s="7" t="str">
        <f aca="false">B1099&amp;"."&amp;E1099</f>
        <v>pessoa_lista.lista_id</v>
      </c>
      <c r="B1099" s="7" t="s">
        <v>192</v>
      </c>
      <c r="C1099" s="7" t="s">
        <v>66</v>
      </c>
      <c r="D1099" s="7" t="n">
        <v>3</v>
      </c>
      <c r="E1099" s="7" t="s">
        <v>1026</v>
      </c>
      <c r="F1099" s="7" t="s">
        <v>272</v>
      </c>
      <c r="G1099" s="7" t="s">
        <v>262</v>
      </c>
      <c r="H1099" s="7"/>
      <c r="I1099" s="7" t="s">
        <v>263</v>
      </c>
      <c r="J1099" s="7" t="s">
        <v>748</v>
      </c>
      <c r="K1099" s="7"/>
      <c r="L1099" s="7" t="str">
        <f aca="false">IFERROR(VLOOKUP(IF(ISNUMBER(SEARCH("(",F1099)),LEFT(F1099,SEARCH("(",F1099)-1),F1099),Tipos!$A:$B,2,FALSE()),"outro")</f>
        <v>uuid</v>
      </c>
      <c r="M1099" s="7" t="str">
        <f aca="false">IF(COUNTIF(Comparação!$H:$H,A1099)&gt;0,"sim",IF(AND(G1099="sim",H1099=""),"FALTA (obrigatória)","não"))</f>
        <v>FALTA (obrigatória)</v>
      </c>
    </row>
    <row r="1100" customFormat="false" ht="15" hidden="false" customHeight="false" outlineLevel="0" collapsed="false">
      <c r="A1100" s="7" t="str">
        <f aca="false">B1100&amp;"."&amp;E1100</f>
        <v>pessoa_lista.ativo</v>
      </c>
      <c r="B1100" s="7" t="s">
        <v>192</v>
      </c>
      <c r="C1100" s="7" t="s">
        <v>66</v>
      </c>
      <c r="D1100" s="7" t="n">
        <v>4</v>
      </c>
      <c r="E1100" s="7" t="s">
        <v>309</v>
      </c>
      <c r="F1100" s="7" t="s">
        <v>310</v>
      </c>
      <c r="G1100" s="7" t="s">
        <v>262</v>
      </c>
      <c r="H1100" s="7" t="s">
        <v>311</v>
      </c>
      <c r="I1100" s="7"/>
      <c r="J1100" s="7"/>
      <c r="K1100" s="7"/>
      <c r="L1100" s="7" t="str">
        <f aca="false">IFERROR(VLOOKUP(IF(ISNUMBER(SEARCH("(",F1100)),LEFT(F1100,SEARCH("(",F1100)-1),F1100),Tipos!$A:$B,2,FALSE()),"outro")</f>
        <v>booleano</v>
      </c>
      <c r="M1100" s="7" t="str">
        <f aca="false">IF(COUNTIF(Comparação!$H:$H,A1100)&gt;0,"sim",IF(AND(G1100="sim",H1100=""),"FALTA (obrigatória)","não"))</f>
        <v>não</v>
      </c>
    </row>
    <row r="1101" customFormat="false" ht="15" hidden="false" customHeight="false" outlineLevel="0" collapsed="false">
      <c r="A1101" s="7" t="str">
        <f aca="false">B1101&amp;"."&amp;E1101</f>
        <v>pessoa_lista.entrou_em</v>
      </c>
      <c r="B1101" s="7" t="s">
        <v>192</v>
      </c>
      <c r="C1101" s="7" t="s">
        <v>66</v>
      </c>
      <c r="D1101" s="7" t="n">
        <v>5</v>
      </c>
      <c r="E1101" s="7" t="s">
        <v>296</v>
      </c>
      <c r="F1101" s="7" t="s">
        <v>285</v>
      </c>
      <c r="G1101" s="7" t="s">
        <v>262</v>
      </c>
      <c r="H1101" s="7" t="s">
        <v>286</v>
      </c>
      <c r="I1101" s="7"/>
      <c r="J1101" s="7"/>
      <c r="K1101" s="7"/>
      <c r="L1101" s="7" t="str">
        <f aca="false">IFERROR(VLOOKUP(IF(ISNUMBER(SEARCH("(",F1101)),LEFT(F1101,SEARCH("(",F1101)-1),F1101),Tipos!$A:$B,2,FALSE()),"outro")</f>
        <v>data e hora</v>
      </c>
      <c r="M1101" s="7" t="str">
        <f aca="false">IF(COUNTIF(Comparação!$H:$H,A1101)&gt;0,"sim",IF(AND(G1101="sim",H1101=""),"FALTA (obrigatória)","não"))</f>
        <v>não</v>
      </c>
    </row>
    <row r="1102" customFormat="false" ht="15" hidden="false" customHeight="false" outlineLevel="0" collapsed="false">
      <c r="A1102" s="7" t="str">
        <f aca="false">B1102&amp;"."&amp;E1102</f>
        <v>pessoa_lista.saiu_em</v>
      </c>
      <c r="B1102" s="7" t="s">
        <v>192</v>
      </c>
      <c r="C1102" s="7" t="s">
        <v>66</v>
      </c>
      <c r="D1102" s="7" t="n">
        <v>6</v>
      </c>
      <c r="E1102" s="7" t="s">
        <v>297</v>
      </c>
      <c r="F1102" s="7" t="s">
        <v>285</v>
      </c>
      <c r="G1102" s="7" t="s">
        <v>267</v>
      </c>
      <c r="H1102" s="7"/>
      <c r="I1102" s="7"/>
      <c r="J1102" s="7"/>
      <c r="K1102" s="7"/>
      <c r="L1102" s="7" t="str">
        <f aca="false">IFERROR(VLOOKUP(IF(ISNUMBER(SEARCH("(",F1102)),LEFT(F1102,SEARCH("(",F1102)-1),F1102),Tipos!$A:$B,2,FALSE()),"outro")</f>
        <v>data e hora</v>
      </c>
      <c r="M1102" s="7" t="str">
        <f aca="false">IF(COUNTIF(Comparação!$H:$H,A1102)&gt;0,"sim",IF(AND(G1102="sim",H1102=""),"FALTA (obrigatória)","não"))</f>
        <v>não</v>
      </c>
    </row>
    <row r="1103" customFormat="false" ht="15" hidden="false" customHeight="false" outlineLevel="0" collapsed="false">
      <c r="A1103" s="7" t="str">
        <f aca="false">B1103&amp;"."&amp;E1103</f>
        <v>pessoa_notas.id</v>
      </c>
      <c r="B1103" s="7" t="s">
        <v>194</v>
      </c>
      <c r="C1103" s="7" t="s">
        <v>66</v>
      </c>
      <c r="D1103" s="7" t="n">
        <v>1</v>
      </c>
      <c r="E1103" s="7" t="s">
        <v>271</v>
      </c>
      <c r="F1103" s="7" t="s">
        <v>272</v>
      </c>
      <c r="G1103" s="7" t="s">
        <v>262</v>
      </c>
      <c r="H1103" s="7" t="s">
        <v>273</v>
      </c>
      <c r="I1103" s="7" t="s">
        <v>263</v>
      </c>
      <c r="J1103" s="7"/>
      <c r="K1103" s="7"/>
      <c r="L1103" s="7" t="str">
        <f aca="false">IFERROR(VLOOKUP(IF(ISNUMBER(SEARCH("(",F1103)),LEFT(F1103,SEARCH("(",F1103)-1),F1103),Tipos!$A:$B,2,FALSE()),"outro")</f>
        <v>uuid</v>
      </c>
      <c r="M1103" s="7" t="str">
        <f aca="false">IF(COUNTIF(Comparação!$H:$H,A1103)&gt;0,"sim",IF(AND(G1103="sim",H1103=""),"FALTA (obrigatória)","não"))</f>
        <v>não</v>
      </c>
    </row>
    <row r="1104" customFormat="false" ht="15" hidden="false" customHeight="false" outlineLevel="0" collapsed="false">
      <c r="A1104" s="7" t="str">
        <f aca="false">B1104&amp;"."&amp;E1104</f>
        <v>pessoa_notas.workspace_id</v>
      </c>
      <c r="B1104" s="7" t="s">
        <v>194</v>
      </c>
      <c r="C1104" s="7" t="s">
        <v>66</v>
      </c>
      <c r="D1104" s="7" t="n">
        <v>2</v>
      </c>
      <c r="E1104" s="7" t="s">
        <v>274</v>
      </c>
      <c r="F1104" s="7" t="s">
        <v>272</v>
      </c>
      <c r="G1104" s="7" t="s">
        <v>262</v>
      </c>
      <c r="H1104" s="7"/>
      <c r="I1104" s="7"/>
      <c r="J1104" s="7" t="s">
        <v>275</v>
      </c>
      <c r="K1104" s="7"/>
      <c r="L1104" s="7" t="str">
        <f aca="false">IFERROR(VLOOKUP(IF(ISNUMBER(SEARCH("(",F1104)),LEFT(F1104,SEARCH("(",F1104)-1),F1104),Tipos!$A:$B,2,FALSE()),"outro")</f>
        <v>uuid</v>
      </c>
      <c r="M1104" s="7" t="str">
        <f aca="false">IF(COUNTIF(Comparação!$H:$H,A1104)&gt;0,"sim",IF(AND(G1104="sim",H1104=""),"FALTA (obrigatória)","não"))</f>
        <v>FALTA (obrigatória)</v>
      </c>
    </row>
    <row r="1105" customFormat="false" ht="15" hidden="false" customHeight="false" outlineLevel="0" collapsed="false">
      <c r="A1105" s="7" t="str">
        <f aca="false">B1105&amp;"."&amp;E1105</f>
        <v>pessoa_notas.pessoa_id</v>
      </c>
      <c r="B1105" s="7" t="s">
        <v>194</v>
      </c>
      <c r="C1105" s="7" t="s">
        <v>66</v>
      </c>
      <c r="D1105" s="7" t="n">
        <v>3</v>
      </c>
      <c r="E1105" s="7" t="s">
        <v>278</v>
      </c>
      <c r="F1105" s="7" t="s">
        <v>272</v>
      </c>
      <c r="G1105" s="7" t="s">
        <v>262</v>
      </c>
      <c r="H1105" s="7"/>
      <c r="I1105" s="7"/>
      <c r="J1105" s="7" t="s">
        <v>279</v>
      </c>
      <c r="K1105" s="7"/>
      <c r="L1105" s="7" t="str">
        <f aca="false">IFERROR(VLOOKUP(IF(ISNUMBER(SEARCH("(",F1105)),LEFT(F1105,SEARCH("(",F1105)-1),F1105),Tipos!$A:$B,2,FALSE()),"outro")</f>
        <v>uuid</v>
      </c>
      <c r="M1105" s="7" t="str">
        <f aca="false">IF(COUNTIF(Comparação!$H:$H,A1105)&gt;0,"sim",IF(AND(G1105="sim",H1105=""),"FALTA (obrigatória)","não"))</f>
        <v>FALTA (obrigatória)</v>
      </c>
    </row>
    <row r="1106" customFormat="false" ht="15" hidden="false" customHeight="false" outlineLevel="0" collapsed="false">
      <c r="A1106" s="7" t="str">
        <f aca="false">B1106&amp;"."&amp;E1106</f>
        <v>pessoa_notas.texto</v>
      </c>
      <c r="B1106" s="7" t="s">
        <v>194</v>
      </c>
      <c r="C1106" s="7" t="s">
        <v>66</v>
      </c>
      <c r="D1106" s="7" t="n">
        <v>4</v>
      </c>
      <c r="E1106" s="7" t="s">
        <v>995</v>
      </c>
      <c r="F1106" s="7" t="s">
        <v>261</v>
      </c>
      <c r="G1106" s="7" t="s">
        <v>262</v>
      </c>
      <c r="H1106" s="7"/>
      <c r="I1106" s="7"/>
      <c r="J1106" s="7"/>
      <c r="K1106" s="7" t="s">
        <v>1027</v>
      </c>
      <c r="L1106" s="7" t="str">
        <f aca="false">IFERROR(VLOOKUP(IF(ISNUMBER(SEARCH("(",F1106)),LEFT(F1106,SEARCH("(",F1106)-1),F1106),Tipos!$A:$B,2,FALSE()),"outro")</f>
        <v>texto</v>
      </c>
      <c r="M1106" s="7" t="str">
        <f aca="false">IF(COUNTIF(Comparação!$H:$H,A1106)&gt;0,"sim",IF(AND(G1106="sim",H1106=""),"FALTA (obrigatória)","não"))</f>
        <v>FALTA (obrigatória)</v>
      </c>
    </row>
    <row r="1107" customFormat="false" ht="15" hidden="false" customHeight="false" outlineLevel="0" collapsed="false">
      <c r="A1107" s="7" t="str">
        <f aca="false">B1107&amp;"."&amp;E1107</f>
        <v>pessoa_notas.autor_id</v>
      </c>
      <c r="B1107" s="7" t="s">
        <v>194</v>
      </c>
      <c r="C1107" s="7" t="s">
        <v>66</v>
      </c>
      <c r="D1107" s="7" t="n">
        <v>5</v>
      </c>
      <c r="E1107" s="7" t="s">
        <v>1028</v>
      </c>
      <c r="F1107" s="7" t="s">
        <v>272</v>
      </c>
      <c r="G1107" s="7" t="s">
        <v>267</v>
      </c>
      <c r="H1107" s="7" t="s">
        <v>406</v>
      </c>
      <c r="I1107" s="7"/>
      <c r="J1107" s="7"/>
      <c r="K1107" s="7"/>
      <c r="L1107" s="7" t="str">
        <f aca="false">IFERROR(VLOOKUP(IF(ISNUMBER(SEARCH("(",F1107)),LEFT(F1107,SEARCH("(",F1107)-1),F1107),Tipos!$A:$B,2,FALSE()),"outro")</f>
        <v>uuid</v>
      </c>
      <c r="M1107" s="7" t="str">
        <f aca="false">IF(COUNTIF(Comparação!$H:$H,A1107)&gt;0,"sim",IF(AND(G1107="sim",H1107=""),"FALTA (obrigatória)","não"))</f>
        <v>não</v>
      </c>
    </row>
    <row r="1108" customFormat="false" ht="15" hidden="false" customHeight="false" outlineLevel="0" collapsed="false">
      <c r="A1108" s="7" t="str">
        <f aca="false">B1108&amp;"."&amp;E1108</f>
        <v>pessoa_notas.autor_email</v>
      </c>
      <c r="B1108" s="7" t="s">
        <v>194</v>
      </c>
      <c r="C1108" s="7" t="s">
        <v>66</v>
      </c>
      <c r="D1108" s="7" t="n">
        <v>6</v>
      </c>
      <c r="E1108" s="7" t="s">
        <v>1029</v>
      </c>
      <c r="F1108" s="7" t="s">
        <v>261</v>
      </c>
      <c r="G1108" s="7" t="s">
        <v>267</v>
      </c>
      <c r="H1108" s="7"/>
      <c r="I1108" s="7"/>
      <c r="J1108" s="7"/>
      <c r="K1108" s="7"/>
      <c r="L1108" s="7" t="str">
        <f aca="false">IFERROR(VLOOKUP(IF(ISNUMBER(SEARCH("(",F1108)),LEFT(F1108,SEARCH("(",F1108)-1),F1108),Tipos!$A:$B,2,FALSE()),"outro")</f>
        <v>texto</v>
      </c>
      <c r="M1108" s="7" t="str">
        <f aca="false">IF(COUNTIF(Comparação!$H:$H,A1108)&gt;0,"sim",IF(AND(G1108="sim",H1108=""),"FALTA (obrigatória)","não"))</f>
        <v>não</v>
      </c>
    </row>
    <row r="1109" customFormat="false" ht="15" hidden="false" customHeight="false" outlineLevel="0" collapsed="false">
      <c r="A1109" s="7" t="str">
        <f aca="false">B1109&amp;"."&amp;E1109</f>
        <v>pessoa_notas.criado_em</v>
      </c>
      <c r="B1109" s="7" t="s">
        <v>194</v>
      </c>
      <c r="C1109" s="7" t="s">
        <v>66</v>
      </c>
      <c r="D1109" s="7" t="n">
        <v>7</v>
      </c>
      <c r="E1109" s="7" t="s">
        <v>344</v>
      </c>
      <c r="F1109" s="7" t="s">
        <v>285</v>
      </c>
      <c r="G1109" s="7" t="s">
        <v>262</v>
      </c>
      <c r="H1109" s="7" t="s">
        <v>286</v>
      </c>
      <c r="I1109" s="7"/>
      <c r="J1109" s="7"/>
      <c r="K1109" s="7"/>
      <c r="L1109" s="7" t="str">
        <f aca="false">IFERROR(VLOOKUP(IF(ISNUMBER(SEARCH("(",F1109)),LEFT(F1109,SEARCH("(",F1109)-1),F1109),Tipos!$A:$B,2,FALSE()),"outro")</f>
        <v>data e hora</v>
      </c>
      <c r="M1109" s="7" t="str">
        <f aca="false">IF(COUNTIF(Comparação!$H:$H,A1109)&gt;0,"sim",IF(AND(G1109="sim",H1109=""),"FALTA (obrigatória)","não"))</f>
        <v>não</v>
      </c>
    </row>
    <row r="1110" customFormat="false" ht="15" hidden="false" customHeight="false" outlineLevel="0" collapsed="false">
      <c r="A1110" s="7" t="str">
        <f aca="false">B1110&amp;"."&amp;E1110</f>
        <v>pessoa_toques.id</v>
      </c>
      <c r="B1110" s="7" t="s">
        <v>196</v>
      </c>
      <c r="C1110" s="7" t="s">
        <v>66</v>
      </c>
      <c r="D1110" s="7" t="n">
        <v>1</v>
      </c>
      <c r="E1110" s="7" t="s">
        <v>271</v>
      </c>
      <c r="F1110" s="7" t="s">
        <v>272</v>
      </c>
      <c r="G1110" s="7" t="s">
        <v>262</v>
      </c>
      <c r="H1110" s="7" t="s">
        <v>273</v>
      </c>
      <c r="I1110" s="7" t="s">
        <v>263</v>
      </c>
      <c r="J1110" s="7"/>
      <c r="K1110" s="7"/>
      <c r="L1110" s="7" t="str">
        <f aca="false">IFERROR(VLOOKUP(IF(ISNUMBER(SEARCH("(",F1110)),LEFT(F1110,SEARCH("(",F1110)-1),F1110),Tipos!$A:$B,2,FALSE()),"outro")</f>
        <v>uuid</v>
      </c>
      <c r="M1110" s="7" t="str">
        <f aca="false">IF(COUNTIF(Comparação!$H:$H,A1110)&gt;0,"sim",IF(AND(G1110="sim",H1110=""),"FALTA (obrigatória)","não"))</f>
        <v>não</v>
      </c>
    </row>
    <row r="1111" customFormat="false" ht="15" hidden="false" customHeight="false" outlineLevel="0" collapsed="false">
      <c r="A1111" s="7" t="str">
        <f aca="false">B1111&amp;"."&amp;E1111</f>
        <v>pessoa_toques.workspace_id</v>
      </c>
      <c r="B1111" s="7" t="s">
        <v>196</v>
      </c>
      <c r="C1111" s="7" t="s">
        <v>66</v>
      </c>
      <c r="D1111" s="7" t="n">
        <v>2</v>
      </c>
      <c r="E1111" s="7" t="s">
        <v>274</v>
      </c>
      <c r="F1111" s="7" t="s">
        <v>272</v>
      </c>
      <c r="G1111" s="7" t="s">
        <v>262</v>
      </c>
      <c r="H1111" s="7"/>
      <c r="I1111" s="7"/>
      <c r="J1111" s="7" t="s">
        <v>275</v>
      </c>
      <c r="K1111" s="7"/>
      <c r="L1111" s="7" t="str">
        <f aca="false">IFERROR(VLOOKUP(IF(ISNUMBER(SEARCH("(",F1111)),LEFT(F1111,SEARCH("(",F1111)-1),F1111),Tipos!$A:$B,2,FALSE()),"outro")</f>
        <v>uuid</v>
      </c>
      <c r="M1111" s="7" t="str">
        <f aca="false">IF(COUNTIF(Comparação!$H:$H,A1111)&gt;0,"sim",IF(AND(G1111="sim",H1111=""),"FALTA (obrigatória)","não"))</f>
        <v>FALTA (obrigatória)</v>
      </c>
    </row>
    <row r="1112" customFormat="false" ht="15" hidden="false" customHeight="false" outlineLevel="0" collapsed="false">
      <c r="A1112" s="7" t="str">
        <f aca="false">B1112&amp;"."&amp;E1112</f>
        <v>pessoa_toques.pessoa_id</v>
      </c>
      <c r="B1112" s="7" t="s">
        <v>196</v>
      </c>
      <c r="C1112" s="7" t="s">
        <v>66</v>
      </c>
      <c r="D1112" s="7" t="n">
        <v>3</v>
      </c>
      <c r="E1112" s="7" t="s">
        <v>278</v>
      </c>
      <c r="F1112" s="7" t="s">
        <v>272</v>
      </c>
      <c r="G1112" s="7" t="s">
        <v>262</v>
      </c>
      <c r="H1112" s="7"/>
      <c r="I1112" s="7" t="s">
        <v>290</v>
      </c>
      <c r="J1112" s="7" t="s">
        <v>279</v>
      </c>
      <c r="K1112" s="7"/>
      <c r="L1112" s="7" t="str">
        <f aca="false">IFERROR(VLOOKUP(IF(ISNUMBER(SEARCH("(",F1112)),LEFT(F1112,SEARCH("(",F1112)-1),F1112),Tipos!$A:$B,2,FALSE()),"outro")</f>
        <v>uuid</v>
      </c>
      <c r="M1112" s="7" t="str">
        <f aca="false">IF(COUNTIF(Comparação!$H:$H,A1112)&gt;0,"sim",IF(AND(G1112="sim",H1112=""),"FALTA (obrigatória)","não"))</f>
        <v>FALTA (obrigatória)</v>
      </c>
    </row>
    <row r="1113" customFormat="false" ht="15" hidden="false" customHeight="false" outlineLevel="0" collapsed="false">
      <c r="A1113" s="7" t="str">
        <f aca="false">B1113&amp;"."&amp;E1113</f>
        <v>pessoa_toques.em</v>
      </c>
      <c r="B1113" s="7" t="s">
        <v>196</v>
      </c>
      <c r="C1113" s="7" t="s">
        <v>66</v>
      </c>
      <c r="D1113" s="7" t="n">
        <v>4</v>
      </c>
      <c r="E1113" s="7" t="s">
        <v>284</v>
      </c>
      <c r="F1113" s="7" t="s">
        <v>285</v>
      </c>
      <c r="G1113" s="7" t="s">
        <v>262</v>
      </c>
      <c r="H1113" s="7" t="s">
        <v>286</v>
      </c>
      <c r="I1113" s="7"/>
      <c r="J1113" s="7"/>
      <c r="K1113" s="7"/>
      <c r="L1113" s="7" t="str">
        <f aca="false">IFERROR(VLOOKUP(IF(ISNUMBER(SEARCH("(",F1113)),LEFT(F1113,SEARCH("(",F1113)-1),F1113),Tipos!$A:$B,2,FALSE()),"outro")</f>
        <v>data e hora</v>
      </c>
      <c r="M1113" s="7" t="str">
        <f aca="false">IF(COUNTIF(Comparação!$H:$H,A1113)&gt;0,"sim",IF(AND(G1113="sim",H1113=""),"FALTA (obrigatória)","não"))</f>
        <v>não</v>
      </c>
    </row>
    <row r="1114" customFormat="false" ht="15" hidden="false" customHeight="false" outlineLevel="0" collapsed="false">
      <c r="A1114" s="7" t="str">
        <f aca="false">B1114&amp;"."&amp;E1114</f>
        <v>pessoa_toques.tipo</v>
      </c>
      <c r="B1114" s="7" t="s">
        <v>196</v>
      </c>
      <c r="C1114" s="7" t="s">
        <v>66</v>
      </c>
      <c r="D1114" s="7" t="n">
        <v>5</v>
      </c>
      <c r="E1114" s="7" t="s">
        <v>280</v>
      </c>
      <c r="F1114" s="7" t="s">
        <v>261</v>
      </c>
      <c r="G1114" s="7" t="s">
        <v>262</v>
      </c>
      <c r="H1114" s="7"/>
      <c r="I1114" s="7" t="s">
        <v>290</v>
      </c>
      <c r="J1114" s="7"/>
      <c r="K1114" s="7" t="s">
        <v>1030</v>
      </c>
      <c r="L1114" s="7" t="str">
        <f aca="false">IFERROR(VLOOKUP(IF(ISNUMBER(SEARCH("(",F1114)),LEFT(F1114,SEARCH("(",F1114)-1),F1114),Tipos!$A:$B,2,FALSE()),"outro")</f>
        <v>texto</v>
      </c>
      <c r="M1114" s="7" t="str">
        <f aca="false">IF(COUNTIF(Comparação!$H:$H,A1114)&gt;0,"sim",IF(AND(G1114="sim",H1114=""),"FALTA (obrigatória)","não"))</f>
        <v>FALTA (obrigatória)</v>
      </c>
    </row>
    <row r="1115" customFormat="false" ht="15" hidden="false" customHeight="false" outlineLevel="0" collapsed="false">
      <c r="A1115" s="7" t="str">
        <f aca="false">B1115&amp;"."&amp;E1115</f>
        <v>pessoa_toques.canal</v>
      </c>
      <c r="B1115" s="7" t="s">
        <v>196</v>
      </c>
      <c r="C1115" s="7" t="s">
        <v>66</v>
      </c>
      <c r="D1115" s="7" t="n">
        <v>6</v>
      </c>
      <c r="E1115" s="7" t="s">
        <v>350</v>
      </c>
      <c r="F1115" s="7" t="s">
        <v>261</v>
      </c>
      <c r="G1115" s="7" t="s">
        <v>267</v>
      </c>
      <c r="H1115" s="7"/>
      <c r="I1115" s="7"/>
      <c r="J1115" s="7"/>
      <c r="K1115" s="7"/>
      <c r="L1115" s="7" t="str">
        <f aca="false">IFERROR(VLOOKUP(IF(ISNUMBER(SEARCH("(",F1115)),LEFT(F1115,SEARCH("(",F1115)-1),F1115),Tipos!$A:$B,2,FALSE()),"outro")</f>
        <v>texto</v>
      </c>
      <c r="M1115" s="7" t="str">
        <f aca="false">IF(COUNTIF(Comparação!$H:$H,A1115)&gt;0,"sim",IF(AND(G1115="sim",H1115=""),"FALTA (obrigatória)","não"))</f>
        <v>não</v>
      </c>
    </row>
    <row r="1116" customFormat="false" ht="15" hidden="false" customHeight="false" outlineLevel="0" collapsed="false">
      <c r="A1116" s="7" t="str">
        <f aca="false">B1116&amp;"."&amp;E1116</f>
        <v>pessoa_toques.campanha_id</v>
      </c>
      <c r="B1116" s="7" t="s">
        <v>196</v>
      </c>
      <c r="C1116" s="7" t="s">
        <v>66</v>
      </c>
      <c r="D1116" s="7" t="n">
        <v>7</v>
      </c>
      <c r="E1116" s="7" t="s">
        <v>336</v>
      </c>
      <c r="F1116" s="7" t="s">
        <v>272</v>
      </c>
      <c r="G1116" s="7" t="s">
        <v>267</v>
      </c>
      <c r="H1116" s="7"/>
      <c r="I1116" s="7"/>
      <c r="J1116" s="7" t="s">
        <v>337</v>
      </c>
      <c r="K1116" s="7"/>
      <c r="L1116" s="7" t="str">
        <f aca="false">IFERROR(VLOOKUP(IF(ISNUMBER(SEARCH("(",F1116)),LEFT(F1116,SEARCH("(",F1116)-1),F1116),Tipos!$A:$B,2,FALSE()),"outro")</f>
        <v>uuid</v>
      </c>
      <c r="M1116" s="7" t="str">
        <f aca="false">IF(COUNTIF(Comparação!$H:$H,A1116)&gt;0,"sim",IF(AND(G1116="sim",H1116=""),"FALTA (obrigatória)","não"))</f>
        <v>não</v>
      </c>
    </row>
    <row r="1117" customFormat="false" ht="15" hidden="false" customHeight="false" outlineLevel="0" collapsed="false">
      <c r="A1117" s="7" t="str">
        <f aca="false">B1117&amp;"."&amp;E1117</f>
        <v>pessoa_toques.chave</v>
      </c>
      <c r="B1117" s="7" t="s">
        <v>196</v>
      </c>
      <c r="C1117" s="7" t="s">
        <v>66</v>
      </c>
      <c r="D1117" s="7" t="n">
        <v>8</v>
      </c>
      <c r="E1117" s="7" t="s">
        <v>387</v>
      </c>
      <c r="F1117" s="7" t="s">
        <v>261</v>
      </c>
      <c r="G1117" s="7" t="s">
        <v>267</v>
      </c>
      <c r="H1117" s="7"/>
      <c r="I1117" s="7"/>
      <c r="J1117" s="7"/>
      <c r="K1117" s="7"/>
      <c r="L1117" s="7" t="str">
        <f aca="false">IFERROR(VLOOKUP(IF(ISNUMBER(SEARCH("(",F1117)),LEFT(F1117,SEARCH("(",F1117)-1),F1117),Tipos!$A:$B,2,FALSE()),"outro")</f>
        <v>texto</v>
      </c>
      <c r="M1117" s="7" t="str">
        <f aca="false">IF(COUNTIF(Comparação!$H:$H,A1117)&gt;0,"sim",IF(AND(G1117="sim",H1117=""),"FALTA (obrigatória)","não"))</f>
        <v>não</v>
      </c>
    </row>
    <row r="1118" customFormat="false" ht="15" hidden="false" customHeight="false" outlineLevel="0" collapsed="false">
      <c r="A1118" s="7" t="str">
        <f aca="false">B1118&amp;"."&amp;E1118</f>
        <v>pessoa_toques.descricao</v>
      </c>
      <c r="B1118" s="7" t="s">
        <v>196</v>
      </c>
      <c r="C1118" s="7" t="s">
        <v>66</v>
      </c>
      <c r="D1118" s="7" t="n">
        <v>9</v>
      </c>
      <c r="E1118" s="7" t="s">
        <v>427</v>
      </c>
      <c r="F1118" s="7" t="s">
        <v>261</v>
      </c>
      <c r="G1118" s="7" t="s">
        <v>267</v>
      </c>
      <c r="H1118" s="7"/>
      <c r="I1118" s="7"/>
      <c r="J1118" s="7"/>
      <c r="K1118" s="7"/>
      <c r="L1118" s="7" t="str">
        <f aca="false">IFERROR(VLOOKUP(IF(ISNUMBER(SEARCH("(",F1118)),LEFT(F1118,SEARCH("(",F1118)-1),F1118),Tipos!$A:$B,2,FALSE()),"outro")</f>
        <v>texto</v>
      </c>
      <c r="M1118" s="7" t="str">
        <f aca="false">IF(COUNTIF(Comparação!$H:$H,A1118)&gt;0,"sim",IF(AND(G1118="sim",H1118=""),"FALTA (obrigatória)","não"))</f>
        <v>não</v>
      </c>
    </row>
    <row r="1119" customFormat="false" ht="15" hidden="false" customHeight="false" outlineLevel="0" collapsed="false">
      <c r="A1119" s="7" t="str">
        <f aca="false">B1119&amp;"."&amp;E1119</f>
        <v>pessoa_toques.utm_source</v>
      </c>
      <c r="B1119" s="7" t="s">
        <v>196</v>
      </c>
      <c r="C1119" s="7" t="s">
        <v>66</v>
      </c>
      <c r="D1119" s="7" t="n">
        <v>10</v>
      </c>
      <c r="E1119" s="7" t="s">
        <v>420</v>
      </c>
      <c r="F1119" s="7" t="s">
        <v>261</v>
      </c>
      <c r="G1119" s="7" t="s">
        <v>267</v>
      </c>
      <c r="H1119" s="7"/>
      <c r="I1119" s="7"/>
      <c r="J1119" s="7"/>
      <c r="K1119" s="7"/>
      <c r="L1119" s="7" t="str">
        <f aca="false">IFERROR(VLOOKUP(IF(ISNUMBER(SEARCH("(",F1119)),LEFT(F1119,SEARCH("(",F1119)-1),F1119),Tipos!$A:$B,2,FALSE()),"outro")</f>
        <v>texto</v>
      </c>
      <c r="M1119" s="7" t="str">
        <f aca="false">IF(COUNTIF(Comparação!$H:$H,A1119)&gt;0,"sim",IF(AND(G1119="sim",H1119=""),"FALTA (obrigatória)","não"))</f>
        <v>não</v>
      </c>
    </row>
    <row r="1120" customFormat="false" ht="15" hidden="false" customHeight="false" outlineLevel="0" collapsed="false">
      <c r="A1120" s="7" t="str">
        <f aca="false">B1120&amp;"."&amp;E1120</f>
        <v>pessoa_toques.utm_medium</v>
      </c>
      <c r="B1120" s="7" t="s">
        <v>196</v>
      </c>
      <c r="C1120" s="7" t="s">
        <v>66</v>
      </c>
      <c r="D1120" s="7" t="n">
        <v>11</v>
      </c>
      <c r="E1120" s="7" t="s">
        <v>421</v>
      </c>
      <c r="F1120" s="7" t="s">
        <v>261</v>
      </c>
      <c r="G1120" s="7" t="s">
        <v>267</v>
      </c>
      <c r="H1120" s="7"/>
      <c r="I1120" s="7"/>
      <c r="J1120" s="7"/>
      <c r="K1120" s="7"/>
      <c r="L1120" s="7" t="str">
        <f aca="false">IFERROR(VLOOKUP(IF(ISNUMBER(SEARCH("(",F1120)),LEFT(F1120,SEARCH("(",F1120)-1),F1120),Tipos!$A:$B,2,FALSE()),"outro")</f>
        <v>texto</v>
      </c>
      <c r="M1120" s="7" t="str">
        <f aca="false">IF(COUNTIF(Comparação!$H:$H,A1120)&gt;0,"sim",IF(AND(G1120="sim",H1120=""),"FALTA (obrigatória)","não"))</f>
        <v>não</v>
      </c>
    </row>
    <row r="1121" customFormat="false" ht="15" hidden="false" customHeight="false" outlineLevel="0" collapsed="false">
      <c r="A1121" s="7" t="str">
        <f aca="false">B1121&amp;"."&amp;E1121</f>
        <v>pessoa_toques.utm_campaign</v>
      </c>
      <c r="B1121" s="7" t="s">
        <v>196</v>
      </c>
      <c r="C1121" s="7" t="s">
        <v>66</v>
      </c>
      <c r="D1121" s="7" t="n">
        <v>12</v>
      </c>
      <c r="E1121" s="7" t="s">
        <v>352</v>
      </c>
      <c r="F1121" s="7" t="s">
        <v>261</v>
      </c>
      <c r="G1121" s="7" t="s">
        <v>267</v>
      </c>
      <c r="H1121" s="7"/>
      <c r="I1121" s="7"/>
      <c r="J1121" s="7"/>
      <c r="K1121" s="7"/>
      <c r="L1121" s="7" t="str">
        <f aca="false">IFERROR(VLOOKUP(IF(ISNUMBER(SEARCH("(",F1121)),LEFT(F1121,SEARCH("(",F1121)-1),F1121),Tipos!$A:$B,2,FALSE()),"outro")</f>
        <v>texto</v>
      </c>
      <c r="M1121" s="7" t="str">
        <f aca="false">IF(COUNTIF(Comparação!$H:$H,A1121)&gt;0,"sim",IF(AND(G1121="sim",H1121=""),"FALTA (obrigatória)","não"))</f>
        <v>não</v>
      </c>
    </row>
    <row r="1122" customFormat="false" ht="15" hidden="false" customHeight="false" outlineLevel="0" collapsed="false">
      <c r="A1122" s="7" t="str">
        <f aca="false">B1122&amp;"."&amp;E1122</f>
        <v>pessoa_toques.utm_content</v>
      </c>
      <c r="B1122" s="7" t="s">
        <v>196</v>
      </c>
      <c r="C1122" s="7" t="s">
        <v>66</v>
      </c>
      <c r="D1122" s="7" t="n">
        <v>13</v>
      </c>
      <c r="E1122" s="7" t="s">
        <v>306</v>
      </c>
      <c r="F1122" s="7" t="s">
        <v>261</v>
      </c>
      <c r="G1122" s="7" t="s">
        <v>267</v>
      </c>
      <c r="H1122" s="7"/>
      <c r="I1122" s="7"/>
      <c r="J1122" s="7"/>
      <c r="K1122" s="7"/>
      <c r="L1122" s="7" t="str">
        <f aca="false">IFERROR(VLOOKUP(IF(ISNUMBER(SEARCH("(",F1122)),LEFT(F1122,SEARCH("(",F1122)-1),F1122),Tipos!$A:$B,2,FALSE()),"outro")</f>
        <v>texto</v>
      </c>
      <c r="M1122" s="7" t="str">
        <f aca="false">IF(COUNTIF(Comparação!$H:$H,A1122)&gt;0,"sim",IF(AND(G1122="sim",H1122=""),"FALTA (obrigatória)","não"))</f>
        <v>não</v>
      </c>
    </row>
    <row r="1123" customFormat="false" ht="15" hidden="false" customHeight="false" outlineLevel="0" collapsed="false">
      <c r="A1123" s="7" t="str">
        <f aca="false">B1123&amp;"."&amp;E1123</f>
        <v>pessoa_toques.origem</v>
      </c>
      <c r="B1123" s="7" t="s">
        <v>196</v>
      </c>
      <c r="C1123" s="7" t="s">
        <v>66</v>
      </c>
      <c r="D1123" s="7" t="n">
        <v>14</v>
      </c>
      <c r="E1123" s="7" t="s">
        <v>302</v>
      </c>
      <c r="F1123" s="7" t="s">
        <v>261</v>
      </c>
      <c r="G1123" s="7" t="s">
        <v>262</v>
      </c>
      <c r="H1123" s="7" t="s">
        <v>1031</v>
      </c>
      <c r="I1123" s="7"/>
      <c r="J1123" s="7"/>
      <c r="K1123" s="7" t="s">
        <v>1032</v>
      </c>
      <c r="L1123" s="7" t="str">
        <f aca="false">IFERROR(VLOOKUP(IF(ISNUMBER(SEARCH("(",F1123)),LEFT(F1123,SEARCH("(",F1123)-1),F1123),Tipos!$A:$B,2,FALSE()),"outro")</f>
        <v>texto</v>
      </c>
      <c r="M1123" s="7" t="str">
        <f aca="false">IF(COUNTIF(Comparação!$H:$H,A1123)&gt;0,"sim",IF(AND(G1123="sim",H1123=""),"FALTA (obrigatória)","não"))</f>
        <v>não</v>
      </c>
    </row>
    <row r="1124" customFormat="false" ht="15" hidden="false" customHeight="false" outlineLevel="0" collapsed="false">
      <c r="A1124" s="7" t="str">
        <f aca="false">B1124&amp;"."&amp;E1124</f>
        <v>pessoa_toques.ref_tabela</v>
      </c>
      <c r="B1124" s="7" t="s">
        <v>196</v>
      </c>
      <c r="C1124" s="7" t="s">
        <v>66</v>
      </c>
      <c r="D1124" s="7" t="n">
        <v>15</v>
      </c>
      <c r="E1124" s="7" t="s">
        <v>1033</v>
      </c>
      <c r="F1124" s="7" t="s">
        <v>261</v>
      </c>
      <c r="G1124" s="7" t="s">
        <v>267</v>
      </c>
      <c r="H1124" s="7"/>
      <c r="I1124" s="7" t="s">
        <v>290</v>
      </c>
      <c r="J1124" s="7"/>
      <c r="K1124" s="7"/>
      <c r="L1124" s="7" t="str">
        <f aca="false">IFERROR(VLOOKUP(IF(ISNUMBER(SEARCH("(",F1124)),LEFT(F1124,SEARCH("(",F1124)-1),F1124),Tipos!$A:$B,2,FALSE()),"outro")</f>
        <v>texto</v>
      </c>
      <c r="M1124" s="7" t="str">
        <f aca="false">IF(COUNTIF(Comparação!$H:$H,A1124)&gt;0,"sim",IF(AND(G1124="sim",H1124=""),"FALTA (obrigatória)","não"))</f>
        <v>não</v>
      </c>
    </row>
    <row r="1125" customFormat="false" ht="15" hidden="false" customHeight="false" outlineLevel="0" collapsed="false">
      <c r="A1125" s="7" t="str">
        <f aca="false">B1125&amp;"."&amp;E1125</f>
        <v>pessoa_toques.ref_id</v>
      </c>
      <c r="B1125" s="7" t="s">
        <v>196</v>
      </c>
      <c r="C1125" s="7" t="s">
        <v>66</v>
      </c>
      <c r="D1125" s="7" t="n">
        <v>16</v>
      </c>
      <c r="E1125" s="7" t="s">
        <v>793</v>
      </c>
      <c r="F1125" s="7" t="s">
        <v>272</v>
      </c>
      <c r="G1125" s="7" t="s">
        <v>267</v>
      </c>
      <c r="H1125" s="7"/>
      <c r="I1125" s="7" t="s">
        <v>290</v>
      </c>
      <c r="J1125" s="7"/>
      <c r="K1125" s="7"/>
      <c r="L1125" s="7" t="str">
        <f aca="false">IFERROR(VLOOKUP(IF(ISNUMBER(SEARCH("(",F1125)),LEFT(F1125,SEARCH("(",F1125)-1),F1125),Tipos!$A:$B,2,FALSE()),"outro")</f>
        <v>uuid</v>
      </c>
      <c r="M1125" s="7" t="str">
        <f aca="false">IF(COUNTIF(Comparação!$H:$H,A1125)&gt;0,"sim",IF(AND(G1125="sim",H1125=""),"FALTA (obrigatória)","não"))</f>
        <v>não</v>
      </c>
    </row>
    <row r="1126" customFormat="false" ht="15" hidden="false" customHeight="false" outlineLevel="0" collapsed="false">
      <c r="A1126" s="7" t="str">
        <f aca="false">B1126&amp;"."&amp;E1126</f>
        <v>pessoas.id</v>
      </c>
      <c r="B1126" s="7" t="s">
        <v>191</v>
      </c>
      <c r="C1126" s="7" t="s">
        <v>66</v>
      </c>
      <c r="D1126" s="7" t="n">
        <v>1</v>
      </c>
      <c r="E1126" s="7" t="s">
        <v>271</v>
      </c>
      <c r="F1126" s="7" t="s">
        <v>272</v>
      </c>
      <c r="G1126" s="7" t="s">
        <v>262</v>
      </c>
      <c r="H1126" s="7" t="s">
        <v>273</v>
      </c>
      <c r="I1126" s="7" t="s">
        <v>263</v>
      </c>
      <c r="J1126" s="7"/>
      <c r="K1126" s="7"/>
      <c r="L1126" s="7" t="str">
        <f aca="false">IFERROR(VLOOKUP(IF(ISNUMBER(SEARCH("(",F1126)),LEFT(F1126,SEARCH("(",F1126)-1),F1126),Tipos!$A:$B,2,FALSE()),"outro")</f>
        <v>uuid</v>
      </c>
      <c r="M1126" s="7" t="str">
        <f aca="false">IF(COUNTIF(Comparação!$H:$H,A1126)&gt;0,"sim",IF(AND(G1126="sim",H1126=""),"FALTA (obrigatória)","não"))</f>
        <v>não</v>
      </c>
    </row>
    <row r="1127" customFormat="false" ht="15" hidden="false" customHeight="false" outlineLevel="0" collapsed="false">
      <c r="A1127" s="7" t="str">
        <f aca="false">B1127&amp;"."&amp;E1127</f>
        <v>pessoas.workspace_id</v>
      </c>
      <c r="B1127" s="7" t="s">
        <v>191</v>
      </c>
      <c r="C1127" s="7" t="s">
        <v>66</v>
      </c>
      <c r="D1127" s="7" t="n">
        <v>2</v>
      </c>
      <c r="E1127" s="7" t="s">
        <v>274</v>
      </c>
      <c r="F1127" s="7" t="s">
        <v>272</v>
      </c>
      <c r="G1127" s="7" t="s">
        <v>262</v>
      </c>
      <c r="H1127" s="7"/>
      <c r="I1127" s="7"/>
      <c r="J1127" s="7" t="s">
        <v>275</v>
      </c>
      <c r="K1127" s="7"/>
      <c r="L1127" s="7" t="str">
        <f aca="false">IFERROR(VLOOKUP(IF(ISNUMBER(SEARCH("(",F1127)),LEFT(F1127,SEARCH("(",F1127)-1),F1127),Tipos!$A:$B,2,FALSE()),"outro")</f>
        <v>uuid</v>
      </c>
      <c r="M1127" s="7" t="str">
        <f aca="false">IF(COUNTIF(Comparação!$H:$H,A1127)&gt;0,"sim",IF(AND(G1127="sim",H1127=""),"FALTA (obrigatória)","não"))</f>
        <v>FALTA (obrigatória)</v>
      </c>
    </row>
    <row r="1128" customFormat="false" ht="15" hidden="false" customHeight="false" outlineLevel="0" collapsed="false">
      <c r="A1128" s="7" t="str">
        <f aca="false">B1128&amp;"."&amp;E1128</f>
        <v>pessoas.nome</v>
      </c>
      <c r="B1128" s="7" t="s">
        <v>191</v>
      </c>
      <c r="C1128" s="7" t="s">
        <v>66</v>
      </c>
      <c r="D1128" s="7" t="n">
        <v>3</v>
      </c>
      <c r="E1128" s="7" t="s">
        <v>265</v>
      </c>
      <c r="F1128" s="7" t="s">
        <v>261</v>
      </c>
      <c r="G1128" s="7" t="s">
        <v>262</v>
      </c>
      <c r="H1128" s="7"/>
      <c r="I1128" s="7"/>
      <c r="J1128" s="7"/>
      <c r="K1128" s="7"/>
      <c r="L1128" s="7" t="str">
        <f aca="false">IFERROR(VLOOKUP(IF(ISNUMBER(SEARCH("(",F1128)),LEFT(F1128,SEARCH("(",F1128)-1),F1128),Tipos!$A:$B,2,FALSE()),"outro")</f>
        <v>texto</v>
      </c>
      <c r="M1128" s="7" t="str">
        <f aca="false">IF(COUNTIF(Comparação!$H:$H,A1128)&gt;0,"sim",IF(AND(G1128="sim",H1128=""),"FALTA (obrigatória)","não"))</f>
        <v>FALTA (obrigatória)</v>
      </c>
    </row>
    <row r="1129" customFormat="false" ht="15" hidden="false" customHeight="false" outlineLevel="0" collapsed="false">
      <c r="A1129" s="7" t="str">
        <f aca="false">B1129&amp;"."&amp;E1129</f>
        <v>pessoas.email</v>
      </c>
      <c r="B1129" s="7" t="s">
        <v>191</v>
      </c>
      <c r="C1129" s="7" t="s">
        <v>66</v>
      </c>
      <c r="D1129" s="7" t="n">
        <v>4</v>
      </c>
      <c r="E1129" s="7" t="s">
        <v>700</v>
      </c>
      <c r="F1129" s="7" t="s">
        <v>261</v>
      </c>
      <c r="G1129" s="7" t="s">
        <v>267</v>
      </c>
      <c r="H1129" s="7"/>
      <c r="I1129" s="7"/>
      <c r="J1129" s="7"/>
      <c r="K1129" s="7"/>
      <c r="L1129" s="7" t="str">
        <f aca="false">IFERROR(VLOOKUP(IF(ISNUMBER(SEARCH("(",F1129)),LEFT(F1129,SEARCH("(",F1129)-1),F1129),Tipos!$A:$B,2,FALSE()),"outro")</f>
        <v>texto</v>
      </c>
      <c r="M1129" s="7" t="str">
        <f aca="false">IF(COUNTIF(Comparação!$H:$H,A1129)&gt;0,"sim",IF(AND(G1129="sim",H1129=""),"FALTA (obrigatória)","não"))</f>
        <v>não</v>
      </c>
    </row>
    <row r="1130" customFormat="false" ht="15" hidden="false" customHeight="false" outlineLevel="0" collapsed="false">
      <c r="A1130" s="7" t="str">
        <f aca="false">B1130&amp;"."&amp;E1130</f>
        <v>pessoas.telefone</v>
      </c>
      <c r="B1130" s="7" t="s">
        <v>191</v>
      </c>
      <c r="C1130" s="7" t="s">
        <v>66</v>
      </c>
      <c r="D1130" s="7" t="n">
        <v>5</v>
      </c>
      <c r="E1130" s="7" t="s">
        <v>675</v>
      </c>
      <c r="F1130" s="7" t="s">
        <v>261</v>
      </c>
      <c r="G1130" s="7" t="s">
        <v>267</v>
      </c>
      <c r="H1130" s="7"/>
      <c r="I1130" s="7"/>
      <c r="J1130" s="7"/>
      <c r="K1130" s="7"/>
      <c r="L1130" s="7" t="str">
        <f aca="false">IFERROR(VLOOKUP(IF(ISNUMBER(SEARCH("(",F1130)),LEFT(F1130,SEARCH("(",F1130)-1),F1130),Tipos!$A:$B,2,FALSE()),"outro")</f>
        <v>texto</v>
      </c>
      <c r="M1130" s="7" t="str">
        <f aca="false">IF(COUNTIF(Comparação!$H:$H,A1130)&gt;0,"sim",IF(AND(G1130="sim",H1130=""),"FALTA (obrigatória)","não"))</f>
        <v>não</v>
      </c>
    </row>
    <row r="1131" customFormat="false" ht="15" hidden="false" customHeight="false" outlineLevel="0" collapsed="false">
      <c r="A1131" s="7" t="str">
        <f aca="false">B1131&amp;"."&amp;E1131</f>
        <v>pessoas.status_funil</v>
      </c>
      <c r="B1131" s="7" t="s">
        <v>191</v>
      </c>
      <c r="C1131" s="7" t="s">
        <v>66</v>
      </c>
      <c r="D1131" s="7" t="n">
        <v>6</v>
      </c>
      <c r="E1131" s="7" t="s">
        <v>1034</v>
      </c>
      <c r="F1131" s="7" t="s">
        <v>261</v>
      </c>
      <c r="G1131" s="7" t="s">
        <v>262</v>
      </c>
      <c r="H1131" s="7" t="s">
        <v>1008</v>
      </c>
      <c r="I1131" s="7"/>
      <c r="J1131" s="7"/>
      <c r="K1131" s="7" t="s">
        <v>1035</v>
      </c>
      <c r="L1131" s="7" t="str">
        <f aca="false">IFERROR(VLOOKUP(IF(ISNUMBER(SEARCH("(",F1131)),LEFT(F1131,SEARCH("(",F1131)-1),F1131),Tipos!$A:$B,2,FALSE()),"outro")</f>
        <v>texto</v>
      </c>
      <c r="M1131" s="7" t="str">
        <f aca="false">IF(COUNTIF(Comparação!$H:$H,A1131)&gt;0,"sim",IF(AND(G1131="sim",H1131=""),"FALTA (obrigatória)","não"))</f>
        <v>não</v>
      </c>
    </row>
    <row r="1132" customFormat="false" ht="15" hidden="false" customHeight="false" outlineLevel="0" collapsed="false">
      <c r="A1132" s="7" t="str">
        <f aca="false">B1132&amp;"."&amp;E1132</f>
        <v>pessoas.status_cliente</v>
      </c>
      <c r="B1132" s="7" t="s">
        <v>191</v>
      </c>
      <c r="C1132" s="7" t="s">
        <v>66</v>
      </c>
      <c r="D1132" s="7" t="n">
        <v>7</v>
      </c>
      <c r="E1132" s="7" t="s">
        <v>1036</v>
      </c>
      <c r="F1132" s="7" t="s">
        <v>261</v>
      </c>
      <c r="G1132" s="7" t="s">
        <v>267</v>
      </c>
      <c r="H1132" s="7"/>
      <c r="I1132" s="7"/>
      <c r="J1132" s="7"/>
      <c r="K1132" s="7" t="s">
        <v>1037</v>
      </c>
      <c r="L1132" s="7" t="str">
        <f aca="false">IFERROR(VLOOKUP(IF(ISNUMBER(SEARCH("(",F1132)),LEFT(F1132,SEARCH("(",F1132)-1),F1132),Tipos!$A:$B,2,FALSE()),"outro")</f>
        <v>texto</v>
      </c>
      <c r="M1132" s="7" t="str">
        <f aca="false">IF(COUNTIF(Comparação!$H:$H,A1132)&gt;0,"sim",IF(AND(G1132="sim",H1132=""),"FALTA (obrigatória)","não"))</f>
        <v>não</v>
      </c>
    </row>
    <row r="1133" customFormat="false" ht="15" hidden="false" customHeight="false" outlineLevel="0" collapsed="false">
      <c r="A1133" s="7" t="str">
        <f aca="false">B1133&amp;"."&amp;E1133</f>
        <v>pessoas.etapa_kanban_id</v>
      </c>
      <c r="B1133" s="7" t="s">
        <v>191</v>
      </c>
      <c r="C1133" s="7" t="s">
        <v>66</v>
      </c>
      <c r="D1133" s="7" t="n">
        <v>8</v>
      </c>
      <c r="E1133" s="7" t="s">
        <v>282</v>
      </c>
      <c r="F1133" s="7" t="s">
        <v>272</v>
      </c>
      <c r="G1133" s="7" t="s">
        <v>267</v>
      </c>
      <c r="H1133" s="7"/>
      <c r="I1133" s="7"/>
      <c r="J1133" s="7" t="s">
        <v>283</v>
      </c>
      <c r="K1133" s="7"/>
      <c r="L1133" s="7" t="str">
        <f aca="false">IFERROR(VLOOKUP(IF(ISNUMBER(SEARCH("(",F1133)),LEFT(F1133,SEARCH("(",F1133)-1),F1133),Tipos!$A:$B,2,FALSE()),"outro")</f>
        <v>uuid</v>
      </c>
      <c r="M1133" s="7" t="str">
        <f aca="false">IF(COUNTIF(Comparação!$H:$H,A1133)&gt;0,"sim",IF(AND(G1133="sim",H1133=""),"FALTA (obrigatória)","não"))</f>
        <v>não</v>
      </c>
    </row>
    <row r="1134" customFormat="false" ht="15" hidden="false" customHeight="false" outlineLevel="0" collapsed="false">
      <c r="A1134" s="7" t="str">
        <f aca="false">B1134&amp;"."&amp;E1134</f>
        <v>pessoas.utm_source</v>
      </c>
      <c r="B1134" s="7" t="s">
        <v>191</v>
      </c>
      <c r="C1134" s="7" t="s">
        <v>66</v>
      </c>
      <c r="D1134" s="7" t="n">
        <v>9</v>
      </c>
      <c r="E1134" s="7" t="s">
        <v>420</v>
      </c>
      <c r="F1134" s="7" t="s">
        <v>261</v>
      </c>
      <c r="G1134" s="7" t="s">
        <v>267</v>
      </c>
      <c r="H1134" s="7"/>
      <c r="I1134" s="7"/>
      <c r="J1134" s="7"/>
      <c r="K1134" s="7"/>
      <c r="L1134" s="7" t="str">
        <f aca="false">IFERROR(VLOOKUP(IF(ISNUMBER(SEARCH("(",F1134)),LEFT(F1134,SEARCH("(",F1134)-1),F1134),Tipos!$A:$B,2,FALSE()),"outro")</f>
        <v>texto</v>
      </c>
      <c r="M1134" s="7" t="str">
        <f aca="false">IF(COUNTIF(Comparação!$H:$H,A1134)&gt;0,"sim",IF(AND(G1134="sim",H1134=""),"FALTA (obrigatória)","não"))</f>
        <v>não</v>
      </c>
    </row>
    <row r="1135" customFormat="false" ht="15" hidden="false" customHeight="false" outlineLevel="0" collapsed="false">
      <c r="A1135" s="7" t="str">
        <f aca="false">B1135&amp;"."&amp;E1135</f>
        <v>pessoas.utm_medium</v>
      </c>
      <c r="B1135" s="7" t="s">
        <v>191</v>
      </c>
      <c r="C1135" s="7" t="s">
        <v>66</v>
      </c>
      <c r="D1135" s="7" t="n">
        <v>10</v>
      </c>
      <c r="E1135" s="7" t="s">
        <v>421</v>
      </c>
      <c r="F1135" s="7" t="s">
        <v>261</v>
      </c>
      <c r="G1135" s="7" t="s">
        <v>267</v>
      </c>
      <c r="H1135" s="7"/>
      <c r="I1135" s="7"/>
      <c r="J1135" s="7"/>
      <c r="K1135" s="7"/>
      <c r="L1135" s="7" t="str">
        <f aca="false">IFERROR(VLOOKUP(IF(ISNUMBER(SEARCH("(",F1135)),LEFT(F1135,SEARCH("(",F1135)-1),F1135),Tipos!$A:$B,2,FALSE()),"outro")</f>
        <v>texto</v>
      </c>
      <c r="M1135" s="7" t="str">
        <f aca="false">IF(COUNTIF(Comparação!$H:$H,A1135)&gt;0,"sim",IF(AND(G1135="sim",H1135=""),"FALTA (obrigatória)","não"))</f>
        <v>não</v>
      </c>
    </row>
    <row r="1136" customFormat="false" ht="15" hidden="false" customHeight="false" outlineLevel="0" collapsed="false">
      <c r="A1136" s="7" t="str">
        <f aca="false">B1136&amp;"."&amp;E1136</f>
        <v>pessoas.utm_campaign</v>
      </c>
      <c r="B1136" s="7" t="s">
        <v>191</v>
      </c>
      <c r="C1136" s="7" t="s">
        <v>66</v>
      </c>
      <c r="D1136" s="7" t="n">
        <v>11</v>
      </c>
      <c r="E1136" s="7" t="s">
        <v>352</v>
      </c>
      <c r="F1136" s="7" t="s">
        <v>261</v>
      </c>
      <c r="G1136" s="7" t="s">
        <v>267</v>
      </c>
      <c r="H1136" s="7"/>
      <c r="I1136" s="7"/>
      <c r="J1136" s="7"/>
      <c r="K1136" s="7"/>
      <c r="L1136" s="7" t="str">
        <f aca="false">IFERROR(VLOOKUP(IF(ISNUMBER(SEARCH("(",F1136)),LEFT(F1136,SEARCH("(",F1136)-1),F1136),Tipos!$A:$B,2,FALSE()),"outro")</f>
        <v>texto</v>
      </c>
      <c r="M1136" s="7" t="str">
        <f aca="false">IF(COUNTIF(Comparação!$H:$H,A1136)&gt;0,"sim",IF(AND(G1136="sim",H1136=""),"FALTA (obrigatória)","não"))</f>
        <v>não</v>
      </c>
    </row>
    <row r="1137" customFormat="false" ht="15" hidden="false" customHeight="false" outlineLevel="0" collapsed="false">
      <c r="A1137" s="7" t="str">
        <f aca="false">B1137&amp;"."&amp;E1137</f>
        <v>pessoas.utm_content</v>
      </c>
      <c r="B1137" s="7" t="s">
        <v>191</v>
      </c>
      <c r="C1137" s="7" t="s">
        <v>66</v>
      </c>
      <c r="D1137" s="7" t="n">
        <v>12</v>
      </c>
      <c r="E1137" s="7" t="s">
        <v>306</v>
      </c>
      <c r="F1137" s="7" t="s">
        <v>261</v>
      </c>
      <c r="G1137" s="7" t="s">
        <v>267</v>
      </c>
      <c r="H1137" s="7"/>
      <c r="I1137" s="7"/>
      <c r="J1137" s="7"/>
      <c r="K1137" s="7"/>
      <c r="L1137" s="7" t="str">
        <f aca="false">IFERROR(VLOOKUP(IF(ISNUMBER(SEARCH("(",F1137)),LEFT(F1137,SEARCH("(",F1137)-1),F1137),Tipos!$A:$B,2,FALSE()),"outro")</f>
        <v>texto</v>
      </c>
      <c r="M1137" s="7" t="str">
        <f aca="false">IF(COUNTIF(Comparação!$H:$H,A1137)&gt;0,"sim",IF(AND(G1137="sim",H1137=""),"FALTA (obrigatória)","não"))</f>
        <v>não</v>
      </c>
    </row>
    <row r="1138" customFormat="false" ht="15" hidden="false" customHeight="false" outlineLevel="0" collapsed="false">
      <c r="A1138" s="7" t="str">
        <f aca="false">B1138&amp;"."&amp;E1138</f>
        <v>pessoas.utm_term</v>
      </c>
      <c r="B1138" s="7" t="s">
        <v>191</v>
      </c>
      <c r="C1138" s="7" t="s">
        <v>66</v>
      </c>
      <c r="D1138" s="7" t="n">
        <v>13</v>
      </c>
      <c r="E1138" s="7" t="s">
        <v>422</v>
      </c>
      <c r="F1138" s="7" t="s">
        <v>261</v>
      </c>
      <c r="G1138" s="7" t="s">
        <v>267</v>
      </c>
      <c r="H1138" s="7"/>
      <c r="I1138" s="7"/>
      <c r="J1138" s="7"/>
      <c r="K1138" s="7"/>
      <c r="L1138" s="7" t="str">
        <f aca="false">IFERROR(VLOOKUP(IF(ISNUMBER(SEARCH("(",F1138)),LEFT(F1138,SEARCH("(",F1138)-1),F1138),Tipos!$A:$B,2,FALSE()),"outro")</f>
        <v>texto</v>
      </c>
      <c r="M1138" s="7" t="str">
        <f aca="false">IF(COUNTIF(Comparação!$H:$H,A1138)&gt;0,"sim",IF(AND(G1138="sim",H1138=""),"FALTA (obrigatória)","não"))</f>
        <v>não</v>
      </c>
    </row>
    <row r="1139" customFormat="false" ht="15" hidden="false" customHeight="false" outlineLevel="0" collapsed="false">
      <c r="A1139" s="7" t="str">
        <f aca="false">B1139&amp;"."&amp;E1139</f>
        <v>pessoas.pagina_origem</v>
      </c>
      <c r="B1139" s="7" t="s">
        <v>191</v>
      </c>
      <c r="C1139" s="7" t="s">
        <v>66</v>
      </c>
      <c r="D1139" s="7" t="n">
        <v>14</v>
      </c>
      <c r="E1139" s="7" t="s">
        <v>1038</v>
      </c>
      <c r="F1139" s="7" t="s">
        <v>261</v>
      </c>
      <c r="G1139" s="7" t="s">
        <v>267</v>
      </c>
      <c r="H1139" s="7"/>
      <c r="I1139" s="7"/>
      <c r="J1139" s="7"/>
      <c r="K1139" s="7"/>
      <c r="L1139" s="7" t="str">
        <f aca="false">IFERROR(VLOOKUP(IF(ISNUMBER(SEARCH("(",F1139)),LEFT(F1139,SEARCH("(",F1139)-1),F1139),Tipos!$A:$B,2,FALSE()),"outro")</f>
        <v>texto</v>
      </c>
      <c r="M1139" s="7" t="str">
        <f aca="false">IF(COUNTIF(Comparação!$H:$H,A1139)&gt;0,"sim",IF(AND(G1139="sim",H1139=""),"FALTA (obrigatória)","não"))</f>
        <v>não</v>
      </c>
    </row>
    <row r="1140" customFormat="false" ht="15" hidden="false" customHeight="false" outlineLevel="0" collapsed="false">
      <c r="A1140" s="7" t="str">
        <f aca="false">B1140&amp;"."&amp;E1140</f>
        <v>pessoas.campanha_id</v>
      </c>
      <c r="B1140" s="7" t="s">
        <v>191</v>
      </c>
      <c r="C1140" s="7" t="s">
        <v>66</v>
      </c>
      <c r="D1140" s="7" t="n">
        <v>15</v>
      </c>
      <c r="E1140" s="7" t="s">
        <v>336</v>
      </c>
      <c r="F1140" s="7" t="s">
        <v>272</v>
      </c>
      <c r="G1140" s="7" t="s">
        <v>267</v>
      </c>
      <c r="H1140" s="7"/>
      <c r="I1140" s="7"/>
      <c r="J1140" s="7" t="s">
        <v>337</v>
      </c>
      <c r="K1140" s="7"/>
      <c r="L1140" s="7" t="str">
        <f aca="false">IFERROR(VLOOKUP(IF(ISNUMBER(SEARCH("(",F1140)),LEFT(F1140,SEARCH("(",F1140)-1),F1140),Tipos!$A:$B,2,FALSE()),"outro")</f>
        <v>uuid</v>
      </c>
      <c r="M1140" s="7" t="str">
        <f aca="false">IF(COUNTIF(Comparação!$H:$H,A1140)&gt;0,"sim",IF(AND(G1140="sim",H1140=""),"FALTA (obrigatória)","não"))</f>
        <v>não</v>
      </c>
    </row>
    <row r="1141" customFormat="false" ht="15" hidden="false" customHeight="false" outlineLevel="0" collapsed="false">
      <c r="A1141" s="7" t="str">
        <f aca="false">B1141&amp;"."&amp;E1141</f>
        <v>pessoas.canal_origem</v>
      </c>
      <c r="B1141" s="7" t="s">
        <v>191</v>
      </c>
      <c r="C1141" s="7" t="s">
        <v>66</v>
      </c>
      <c r="D1141" s="7" t="n">
        <v>16</v>
      </c>
      <c r="E1141" s="7" t="s">
        <v>1039</v>
      </c>
      <c r="F1141" s="7" t="s">
        <v>261</v>
      </c>
      <c r="G1141" s="7" t="s">
        <v>267</v>
      </c>
      <c r="H1141" s="7"/>
      <c r="I1141" s="7"/>
      <c r="J1141" s="7"/>
      <c r="K1141" s="7"/>
      <c r="L1141" s="7" t="str">
        <f aca="false">IFERROR(VLOOKUP(IF(ISNUMBER(SEARCH("(",F1141)),LEFT(F1141,SEARCH("(",F1141)-1),F1141),Tipos!$A:$B,2,FALSE()),"outro")</f>
        <v>texto</v>
      </c>
      <c r="M1141" s="7" t="str">
        <f aca="false">IF(COUNTIF(Comparação!$H:$H,A1141)&gt;0,"sim",IF(AND(G1141="sim",H1141=""),"FALTA (obrigatória)","não"))</f>
        <v>não</v>
      </c>
    </row>
    <row r="1142" customFormat="false" ht="15" hidden="false" customHeight="false" outlineLevel="0" collapsed="false">
      <c r="A1142" s="7" t="str">
        <f aca="false">B1142&amp;"."&amp;E1142</f>
        <v>pessoas.respostas_pesquisa</v>
      </c>
      <c r="B1142" s="7" t="s">
        <v>191</v>
      </c>
      <c r="C1142" s="7" t="s">
        <v>66</v>
      </c>
      <c r="D1142" s="7" t="n">
        <v>17</v>
      </c>
      <c r="E1142" s="7" t="s">
        <v>1040</v>
      </c>
      <c r="F1142" s="7" t="s">
        <v>324</v>
      </c>
      <c r="G1142" s="7" t="s">
        <v>267</v>
      </c>
      <c r="H1142" s="7"/>
      <c r="I1142" s="7"/>
      <c r="J1142" s="7"/>
      <c r="K1142" s="7"/>
      <c r="L1142" s="7" t="str">
        <f aca="false">IFERROR(VLOOKUP(IF(ISNUMBER(SEARCH("(",F1142)),LEFT(F1142,SEARCH("(",F1142)-1),F1142),Tipos!$A:$B,2,FALSE()),"outro")</f>
        <v>json</v>
      </c>
      <c r="M1142" s="7" t="str">
        <f aca="false">IF(COUNTIF(Comparação!$H:$H,A1142)&gt;0,"sim",IF(AND(G1142="sim",H1142=""),"FALTA (obrigatória)","não"))</f>
        <v>não</v>
      </c>
    </row>
    <row r="1143" customFormat="false" ht="15" hidden="false" customHeight="false" outlineLevel="0" collapsed="false">
      <c r="A1143" s="7" t="str">
        <f aca="false">B1143&amp;"."&amp;E1143</f>
        <v>pessoas.pesquisa_respondida_em</v>
      </c>
      <c r="B1143" s="7" t="s">
        <v>191</v>
      </c>
      <c r="C1143" s="7" t="s">
        <v>66</v>
      </c>
      <c r="D1143" s="7" t="n">
        <v>18</v>
      </c>
      <c r="E1143" s="7" t="s">
        <v>1041</v>
      </c>
      <c r="F1143" s="7" t="s">
        <v>285</v>
      </c>
      <c r="G1143" s="7" t="s">
        <v>267</v>
      </c>
      <c r="H1143" s="7"/>
      <c r="I1143" s="7"/>
      <c r="J1143" s="7"/>
      <c r="K1143" s="7"/>
      <c r="L1143" s="7" t="str">
        <f aca="false">IFERROR(VLOOKUP(IF(ISNUMBER(SEARCH("(",F1143)),LEFT(F1143,SEARCH("(",F1143)-1),F1143),Tipos!$A:$B,2,FALSE()),"outro")</f>
        <v>data e hora</v>
      </c>
      <c r="M1143" s="7" t="str">
        <f aca="false">IF(COUNTIF(Comparação!$H:$H,A1143)&gt;0,"sim",IF(AND(G1143="sim",H1143=""),"FALTA (obrigatória)","não"))</f>
        <v>não</v>
      </c>
    </row>
    <row r="1144" customFormat="false" ht="15" hidden="false" customHeight="false" outlineLevel="0" collapsed="false">
      <c r="A1144" s="7" t="str">
        <f aca="false">B1144&amp;"."&amp;E1144</f>
        <v>pessoas.pontuacao_qualificacao</v>
      </c>
      <c r="B1144" s="7" t="s">
        <v>191</v>
      </c>
      <c r="C1144" s="7" t="s">
        <v>66</v>
      </c>
      <c r="D1144" s="7" t="n">
        <v>19</v>
      </c>
      <c r="E1144" s="7" t="s">
        <v>1042</v>
      </c>
      <c r="F1144" s="7" t="s">
        <v>696</v>
      </c>
      <c r="G1144" s="7" t="s">
        <v>267</v>
      </c>
      <c r="H1144" s="7"/>
      <c r="I1144" s="7"/>
      <c r="J1144" s="7"/>
      <c r="K1144" s="7"/>
      <c r="L1144" s="7" t="str">
        <f aca="false">IFERROR(VLOOKUP(IF(ISNUMBER(SEARCH("(",F1144)),LEFT(F1144,SEARCH("(",F1144)-1),F1144),Tipos!$A:$B,2,FALSE()),"outro")</f>
        <v>decimal</v>
      </c>
      <c r="M1144" s="7" t="str">
        <f aca="false">IF(COUNTIF(Comparação!$H:$H,A1144)&gt;0,"sim",IF(AND(G1144="sim",H1144=""),"FALTA (obrigatória)","não"))</f>
        <v>não</v>
      </c>
    </row>
    <row r="1145" customFormat="false" ht="15" hidden="false" customHeight="false" outlineLevel="0" collapsed="false">
      <c r="A1145" s="7" t="str">
        <f aca="false">B1145&amp;"."&amp;E1145</f>
        <v>pessoas.qualificacao</v>
      </c>
      <c r="B1145" s="7" t="s">
        <v>191</v>
      </c>
      <c r="C1145" s="7" t="s">
        <v>66</v>
      </c>
      <c r="D1145" s="7" t="n">
        <v>20</v>
      </c>
      <c r="E1145" s="7" t="s">
        <v>1043</v>
      </c>
      <c r="F1145" s="7" t="s">
        <v>261</v>
      </c>
      <c r="G1145" s="7" t="s">
        <v>262</v>
      </c>
      <c r="H1145" s="7" t="s">
        <v>956</v>
      </c>
      <c r="I1145" s="7"/>
      <c r="J1145" s="7"/>
      <c r="K1145" s="7" t="s">
        <v>1044</v>
      </c>
      <c r="L1145" s="7" t="str">
        <f aca="false">IFERROR(VLOOKUP(IF(ISNUMBER(SEARCH("(",F1145)),LEFT(F1145,SEARCH("(",F1145)-1),F1145),Tipos!$A:$B,2,FALSE()),"outro")</f>
        <v>texto</v>
      </c>
      <c r="M1145" s="7" t="str">
        <f aca="false">IF(COUNTIF(Comparação!$H:$H,A1145)&gt;0,"sim",IF(AND(G1145="sim",H1145=""),"FALTA (obrigatória)","não"))</f>
        <v>não</v>
      </c>
    </row>
    <row r="1146" customFormat="false" ht="15" hidden="false" customHeight="false" outlineLevel="0" collapsed="false">
      <c r="A1146" s="7" t="str">
        <f aca="false">B1146&amp;"."&amp;E1146</f>
        <v>pessoas.criado_em</v>
      </c>
      <c r="B1146" s="7" t="s">
        <v>191</v>
      </c>
      <c r="C1146" s="7" t="s">
        <v>66</v>
      </c>
      <c r="D1146" s="7" t="n">
        <v>21</v>
      </c>
      <c r="E1146" s="7" t="s">
        <v>344</v>
      </c>
      <c r="F1146" s="7" t="s">
        <v>285</v>
      </c>
      <c r="G1146" s="7" t="s">
        <v>262</v>
      </c>
      <c r="H1146" s="7" t="s">
        <v>286</v>
      </c>
      <c r="I1146" s="7"/>
      <c r="J1146" s="7"/>
      <c r="K1146" s="7"/>
      <c r="L1146" s="7" t="str">
        <f aca="false">IFERROR(VLOOKUP(IF(ISNUMBER(SEARCH("(",F1146)),LEFT(F1146,SEARCH("(",F1146)-1),F1146),Tipos!$A:$B,2,FALSE()),"outro")</f>
        <v>data e hora</v>
      </c>
      <c r="M1146" s="7" t="str">
        <f aca="false">IF(COUNTIF(Comparação!$H:$H,A1146)&gt;0,"sim",IF(AND(G1146="sim",H1146=""),"FALTA (obrigatória)","não"))</f>
        <v>não</v>
      </c>
    </row>
    <row r="1147" customFormat="false" ht="15" hidden="false" customHeight="false" outlineLevel="0" collapsed="false">
      <c r="A1147" s="7" t="str">
        <f aca="false">B1147&amp;"."&amp;E1147</f>
        <v>pessoas.convertido_em</v>
      </c>
      <c r="B1147" s="7" t="s">
        <v>191</v>
      </c>
      <c r="C1147" s="7" t="s">
        <v>66</v>
      </c>
      <c r="D1147" s="7" t="n">
        <v>22</v>
      </c>
      <c r="E1147" s="7" t="s">
        <v>1045</v>
      </c>
      <c r="F1147" s="7" t="s">
        <v>285</v>
      </c>
      <c r="G1147" s="7" t="s">
        <v>267</v>
      </c>
      <c r="H1147" s="7"/>
      <c r="I1147" s="7"/>
      <c r="J1147" s="7"/>
      <c r="K1147" s="7"/>
      <c r="L1147" s="7" t="str">
        <f aca="false">IFERROR(VLOOKUP(IF(ISNUMBER(SEARCH("(",F1147)),LEFT(F1147,SEARCH("(",F1147)-1),F1147),Tipos!$A:$B,2,FALSE()),"outro")</f>
        <v>data e hora</v>
      </c>
      <c r="M1147" s="7" t="str">
        <f aca="false">IF(COUNTIF(Comparação!$H:$H,A1147)&gt;0,"sim",IF(AND(G1147="sim",H1147=""),"FALTA (obrigatória)","não"))</f>
        <v>não</v>
      </c>
    </row>
    <row r="1148" customFormat="false" ht="15" hidden="false" customHeight="false" outlineLevel="0" collapsed="false">
      <c r="A1148" s="7" t="str">
        <f aca="false">B1148&amp;"."&amp;E1148</f>
        <v>pessoas.utm_id</v>
      </c>
      <c r="B1148" s="7" t="s">
        <v>191</v>
      </c>
      <c r="C1148" s="7" t="s">
        <v>66</v>
      </c>
      <c r="D1148" s="7" t="n">
        <v>23</v>
      </c>
      <c r="E1148" s="7" t="s">
        <v>1046</v>
      </c>
      <c r="F1148" s="7" t="s">
        <v>261</v>
      </c>
      <c r="G1148" s="7" t="s">
        <v>267</v>
      </c>
      <c r="H1148" s="7"/>
      <c r="I1148" s="7"/>
      <c r="J1148" s="7"/>
      <c r="K1148" s="7"/>
      <c r="L1148" s="7" t="str">
        <f aca="false">IFERROR(VLOOKUP(IF(ISNUMBER(SEARCH("(",F1148)),LEFT(F1148,SEARCH("(",F1148)-1),F1148),Tipos!$A:$B,2,FALSE()),"outro")</f>
        <v>texto</v>
      </c>
      <c r="M1148" s="7" t="str">
        <f aca="false">IF(COUNTIF(Comparação!$H:$H,A1148)&gt;0,"sim",IF(AND(G1148="sim",H1148=""),"FALTA (obrigatória)","não"))</f>
        <v>não</v>
      </c>
    </row>
    <row r="1149" customFormat="false" ht="15" hidden="false" customHeight="false" outlineLevel="0" collapsed="false">
      <c r="A1149" s="7" t="str">
        <f aca="false">B1149&amp;"."&amp;E1149</f>
        <v>pessoas.gclid</v>
      </c>
      <c r="B1149" s="7" t="s">
        <v>191</v>
      </c>
      <c r="C1149" s="7" t="s">
        <v>66</v>
      </c>
      <c r="D1149" s="7" t="n">
        <v>24</v>
      </c>
      <c r="E1149" s="7" t="s">
        <v>1047</v>
      </c>
      <c r="F1149" s="7" t="s">
        <v>261</v>
      </c>
      <c r="G1149" s="7" t="s">
        <v>267</v>
      </c>
      <c r="H1149" s="7"/>
      <c r="I1149" s="7"/>
      <c r="J1149" s="7"/>
      <c r="K1149" s="7"/>
      <c r="L1149" s="7" t="str">
        <f aca="false">IFERROR(VLOOKUP(IF(ISNUMBER(SEARCH("(",F1149)),LEFT(F1149,SEARCH("(",F1149)-1),F1149),Tipos!$A:$B,2,FALSE()),"outro")</f>
        <v>texto</v>
      </c>
      <c r="M1149" s="7" t="str">
        <f aca="false">IF(COUNTIF(Comparação!$H:$H,A1149)&gt;0,"sim",IF(AND(G1149="sim",H1149=""),"FALTA (obrigatória)","não"))</f>
        <v>não</v>
      </c>
    </row>
    <row r="1150" customFormat="false" ht="15" hidden="false" customHeight="false" outlineLevel="0" collapsed="false">
      <c r="A1150" s="7" t="str">
        <f aca="false">B1150&amp;"."&amp;E1150</f>
        <v>pessoas.fbclid</v>
      </c>
      <c r="B1150" s="7" t="s">
        <v>191</v>
      </c>
      <c r="C1150" s="7" t="s">
        <v>66</v>
      </c>
      <c r="D1150" s="7" t="n">
        <v>25</v>
      </c>
      <c r="E1150" s="7" t="s">
        <v>1048</v>
      </c>
      <c r="F1150" s="7" t="s">
        <v>261</v>
      </c>
      <c r="G1150" s="7" t="s">
        <v>267</v>
      </c>
      <c r="H1150" s="7"/>
      <c r="I1150" s="7"/>
      <c r="J1150" s="7"/>
      <c r="K1150" s="7"/>
      <c r="L1150" s="7" t="str">
        <f aca="false">IFERROR(VLOOKUP(IF(ISNUMBER(SEARCH("(",F1150)),LEFT(F1150,SEARCH("(",F1150)-1),F1150),Tipos!$A:$B,2,FALSE()),"outro")</f>
        <v>texto</v>
      </c>
      <c r="M1150" s="7" t="str">
        <f aca="false">IF(COUNTIF(Comparação!$H:$H,A1150)&gt;0,"sim",IF(AND(G1150="sim",H1150=""),"FALTA (obrigatória)","não"))</f>
        <v>não</v>
      </c>
    </row>
    <row r="1151" customFormat="false" ht="15" hidden="false" customHeight="false" outlineLevel="0" collapsed="false">
      <c r="A1151" s="7" t="str">
        <f aca="false">B1151&amp;"."&amp;E1151</f>
        <v>pessoas.referrer</v>
      </c>
      <c r="B1151" s="7" t="s">
        <v>191</v>
      </c>
      <c r="C1151" s="7" t="s">
        <v>66</v>
      </c>
      <c r="D1151" s="7" t="n">
        <v>26</v>
      </c>
      <c r="E1151" s="7" t="s">
        <v>1049</v>
      </c>
      <c r="F1151" s="7" t="s">
        <v>261</v>
      </c>
      <c r="G1151" s="7" t="s">
        <v>267</v>
      </c>
      <c r="H1151" s="7"/>
      <c r="I1151" s="7"/>
      <c r="J1151" s="7"/>
      <c r="K1151" s="7"/>
      <c r="L1151" s="7" t="str">
        <f aca="false">IFERROR(VLOOKUP(IF(ISNUMBER(SEARCH("(",F1151)),LEFT(F1151,SEARCH("(",F1151)-1),F1151),Tipos!$A:$B,2,FALSE()),"outro")</f>
        <v>texto</v>
      </c>
      <c r="M1151" s="7" t="str">
        <f aca="false">IF(COUNTIF(Comparação!$H:$H,A1151)&gt;0,"sim",IF(AND(G1151="sim",H1151=""),"FALTA (obrigatória)","não"))</f>
        <v>não</v>
      </c>
    </row>
    <row r="1152" customFormat="false" ht="15" hidden="false" customHeight="false" outlineLevel="0" collapsed="false">
      <c r="A1152" s="7" t="str">
        <f aca="false">B1152&amp;"."&amp;E1152</f>
        <v>pessoas.tags</v>
      </c>
      <c r="B1152" s="7" t="s">
        <v>191</v>
      </c>
      <c r="C1152" s="7" t="s">
        <v>66</v>
      </c>
      <c r="D1152" s="7" t="n">
        <v>27</v>
      </c>
      <c r="E1152" s="7" t="s">
        <v>1050</v>
      </c>
      <c r="F1152" s="7" t="s">
        <v>322</v>
      </c>
      <c r="G1152" s="7" t="s">
        <v>262</v>
      </c>
      <c r="H1152" s="7" t="s">
        <v>610</v>
      </c>
      <c r="I1152" s="7"/>
      <c r="J1152" s="7"/>
      <c r="K1152" s="7"/>
      <c r="L1152" s="7" t="str">
        <f aca="false">IFERROR(VLOOKUP(IF(ISNUMBER(SEARCH("(",F1152)),LEFT(F1152,SEARCH("(",F1152)-1),F1152),Tipos!$A:$B,2,FALSE()),"outro")</f>
        <v>lista</v>
      </c>
      <c r="M1152" s="7" t="str">
        <f aca="false">IF(COUNTIF(Comparação!$H:$H,A1152)&gt;0,"sim",IF(AND(G1152="sim",H1152=""),"FALTA (obrigatória)","não"))</f>
        <v>não</v>
      </c>
    </row>
    <row r="1153" customFormat="false" ht="15" hidden="false" customHeight="false" outlineLevel="0" collapsed="false">
      <c r="A1153" s="7" t="str">
        <f aca="false">B1153&amp;"."&amp;E1153</f>
        <v>pessoas.negocio_status</v>
      </c>
      <c r="B1153" s="7" t="s">
        <v>191</v>
      </c>
      <c r="C1153" s="7" t="s">
        <v>66</v>
      </c>
      <c r="D1153" s="7" t="n">
        <v>28</v>
      </c>
      <c r="E1153" s="7" t="s">
        <v>1051</v>
      </c>
      <c r="F1153" s="7" t="s">
        <v>261</v>
      </c>
      <c r="G1153" s="7" t="s">
        <v>262</v>
      </c>
      <c r="H1153" s="7" t="s">
        <v>869</v>
      </c>
      <c r="I1153" s="7"/>
      <c r="J1153" s="7"/>
      <c r="K1153" s="7" t="s">
        <v>1052</v>
      </c>
      <c r="L1153" s="7" t="str">
        <f aca="false">IFERROR(VLOOKUP(IF(ISNUMBER(SEARCH("(",F1153)),LEFT(F1153,SEARCH("(",F1153)-1),F1153),Tipos!$A:$B,2,FALSE()),"outro")</f>
        <v>texto</v>
      </c>
      <c r="M1153" s="7" t="str">
        <f aca="false">IF(COUNTIF(Comparação!$H:$H,A1153)&gt;0,"sim",IF(AND(G1153="sim",H1153=""),"FALTA (obrigatória)","não"))</f>
        <v>não</v>
      </c>
    </row>
    <row r="1154" customFormat="false" ht="15" hidden="false" customHeight="false" outlineLevel="0" collapsed="false">
      <c r="A1154" s="7" t="str">
        <f aca="false">B1154&amp;"."&amp;E1154</f>
        <v>pessoas.negocio_motivo_id</v>
      </c>
      <c r="B1154" s="7" t="s">
        <v>191</v>
      </c>
      <c r="C1154" s="7" t="s">
        <v>66</v>
      </c>
      <c r="D1154" s="7" t="n">
        <v>29</v>
      </c>
      <c r="E1154" s="7" t="s">
        <v>1053</v>
      </c>
      <c r="F1154" s="7" t="s">
        <v>272</v>
      </c>
      <c r="G1154" s="7" t="s">
        <v>267</v>
      </c>
      <c r="H1154" s="7"/>
      <c r="I1154" s="7"/>
      <c r="J1154" s="7" t="s">
        <v>1054</v>
      </c>
      <c r="K1154" s="7"/>
      <c r="L1154" s="7" t="str">
        <f aca="false">IFERROR(VLOOKUP(IF(ISNUMBER(SEARCH("(",F1154)),LEFT(F1154,SEARCH("(",F1154)-1),F1154),Tipos!$A:$B,2,FALSE()),"outro")</f>
        <v>uuid</v>
      </c>
      <c r="M1154" s="7" t="str">
        <f aca="false">IF(COUNTIF(Comparação!$H:$H,A1154)&gt;0,"sim",IF(AND(G1154="sim",H1154=""),"FALTA (obrigatória)","não"))</f>
        <v>não</v>
      </c>
    </row>
    <row r="1155" customFormat="false" ht="15" hidden="false" customHeight="false" outlineLevel="0" collapsed="false">
      <c r="A1155" s="7" t="str">
        <f aca="false">B1155&amp;"."&amp;E1155</f>
        <v>pessoas.negocio_obs</v>
      </c>
      <c r="B1155" s="7" t="s">
        <v>191</v>
      </c>
      <c r="C1155" s="7" t="s">
        <v>66</v>
      </c>
      <c r="D1155" s="7" t="n">
        <v>30</v>
      </c>
      <c r="E1155" s="7" t="s">
        <v>1055</v>
      </c>
      <c r="F1155" s="7" t="s">
        <v>261</v>
      </c>
      <c r="G1155" s="7" t="s">
        <v>267</v>
      </c>
      <c r="H1155" s="7"/>
      <c r="I1155" s="7"/>
      <c r="J1155" s="7"/>
      <c r="K1155" s="7"/>
      <c r="L1155" s="7" t="str">
        <f aca="false">IFERROR(VLOOKUP(IF(ISNUMBER(SEARCH("(",F1155)),LEFT(F1155,SEARCH("(",F1155)-1),F1155),Tipos!$A:$B,2,FALSE()),"outro")</f>
        <v>texto</v>
      </c>
      <c r="M1155" s="7" t="str">
        <f aca="false">IF(COUNTIF(Comparação!$H:$H,A1155)&gt;0,"sim",IF(AND(G1155="sim",H1155=""),"FALTA (obrigatória)","não"))</f>
        <v>não</v>
      </c>
    </row>
    <row r="1156" customFormat="false" ht="15" hidden="false" customHeight="false" outlineLevel="0" collapsed="false">
      <c r="A1156" s="7" t="str">
        <f aca="false">B1156&amp;"."&amp;E1156</f>
        <v>pessoas.negocio_fechado_em</v>
      </c>
      <c r="B1156" s="7" t="s">
        <v>191</v>
      </c>
      <c r="C1156" s="7" t="s">
        <v>66</v>
      </c>
      <c r="D1156" s="7" t="n">
        <v>31</v>
      </c>
      <c r="E1156" s="7" t="s">
        <v>1056</v>
      </c>
      <c r="F1156" s="7" t="s">
        <v>285</v>
      </c>
      <c r="G1156" s="7" t="s">
        <v>267</v>
      </c>
      <c r="H1156" s="7"/>
      <c r="I1156" s="7"/>
      <c r="J1156" s="7"/>
      <c r="K1156" s="7"/>
      <c r="L1156" s="7" t="str">
        <f aca="false">IFERROR(VLOOKUP(IF(ISNUMBER(SEARCH("(",F1156)),LEFT(F1156,SEARCH("(",F1156)-1),F1156),Tipos!$A:$B,2,FALSE()),"outro")</f>
        <v>data e hora</v>
      </c>
      <c r="M1156" s="7" t="str">
        <f aca="false">IF(COUNTIF(Comparação!$H:$H,A1156)&gt;0,"sim",IF(AND(G1156="sim",H1156=""),"FALTA (obrigatória)","não"))</f>
        <v>não</v>
      </c>
    </row>
    <row r="1157" customFormat="false" ht="15" hidden="false" customHeight="false" outlineLevel="0" collapsed="false">
      <c r="A1157" s="7" t="str">
        <f aca="false">B1157&amp;"."&amp;E1157</f>
        <v>pessoas.responsavel_comercial_id</v>
      </c>
      <c r="B1157" s="7" t="s">
        <v>191</v>
      </c>
      <c r="C1157" s="7" t="s">
        <v>66</v>
      </c>
      <c r="D1157" s="7" t="n">
        <v>32</v>
      </c>
      <c r="E1157" s="7" t="s">
        <v>1057</v>
      </c>
      <c r="F1157" s="7" t="s">
        <v>272</v>
      </c>
      <c r="G1157" s="7" t="s">
        <v>267</v>
      </c>
      <c r="H1157" s="7"/>
      <c r="I1157" s="7"/>
      <c r="J1157" s="7" t="s">
        <v>299</v>
      </c>
      <c r="K1157" s="7"/>
      <c r="L1157" s="7" t="str">
        <f aca="false">IFERROR(VLOOKUP(IF(ISNUMBER(SEARCH("(",F1157)),LEFT(F1157,SEARCH("(",F1157)-1),F1157),Tipos!$A:$B,2,FALSE()),"outro")</f>
        <v>uuid</v>
      </c>
      <c r="M1157" s="7" t="str">
        <f aca="false">IF(COUNTIF(Comparação!$H:$H,A1157)&gt;0,"sim",IF(AND(G1157="sim",H1157=""),"FALTA (obrigatória)","não"))</f>
        <v>não</v>
      </c>
    </row>
    <row r="1158" customFormat="false" ht="15" hidden="false" customHeight="false" outlineLevel="0" collapsed="false">
      <c r="A1158" s="7" t="str">
        <f aca="false">B1158&amp;"."&amp;E1158</f>
        <v>pessoas.captada</v>
      </c>
      <c r="B1158" s="7" t="s">
        <v>191</v>
      </c>
      <c r="C1158" s="7" t="s">
        <v>66</v>
      </c>
      <c r="D1158" s="7" t="n">
        <v>33</v>
      </c>
      <c r="E1158" s="7" t="s">
        <v>1058</v>
      </c>
      <c r="F1158" s="7" t="s">
        <v>310</v>
      </c>
      <c r="G1158" s="7" t="s">
        <v>262</v>
      </c>
      <c r="H1158" s="7" t="s">
        <v>311</v>
      </c>
      <c r="I1158" s="7"/>
      <c r="J1158" s="7"/>
      <c r="K1158" s="7"/>
      <c r="L1158" s="7" t="str">
        <f aca="false">IFERROR(VLOOKUP(IF(ISNUMBER(SEARCH("(",F1158)),LEFT(F1158,SEARCH("(",F1158)-1),F1158),Tipos!$A:$B,2,FALSE()),"outro")</f>
        <v>booleano</v>
      </c>
      <c r="M1158" s="7" t="str">
        <f aca="false">IF(COUNTIF(Comparação!$H:$H,A1158)&gt;0,"sim",IF(AND(G1158="sim",H1158=""),"FALTA (obrigatória)","não"))</f>
        <v>não</v>
      </c>
    </row>
    <row r="1159" customFormat="false" ht="15" hidden="false" customHeight="false" outlineLevel="0" collapsed="false">
      <c r="A1159" s="7" t="str">
        <f aca="false">B1159&amp;"."&amp;E1159</f>
        <v>pessoas.extras</v>
      </c>
      <c r="B1159" s="7" t="s">
        <v>191</v>
      </c>
      <c r="C1159" s="7" t="s">
        <v>66</v>
      </c>
      <c r="D1159" s="7" t="n">
        <v>34</v>
      </c>
      <c r="E1159" s="7" t="s">
        <v>485</v>
      </c>
      <c r="F1159" s="7" t="s">
        <v>324</v>
      </c>
      <c r="G1159" s="7" t="s">
        <v>262</v>
      </c>
      <c r="H1159" s="7" t="s">
        <v>347</v>
      </c>
      <c r="I1159" s="7"/>
      <c r="J1159" s="7"/>
      <c r="K1159" s="7" t="s">
        <v>486</v>
      </c>
      <c r="L1159" s="7" t="str">
        <f aca="false">IFERROR(VLOOKUP(IF(ISNUMBER(SEARCH("(",F1159)),LEFT(F1159,SEARCH("(",F1159)-1),F1159),Tipos!$A:$B,2,FALSE()),"outro")</f>
        <v>json</v>
      </c>
      <c r="M1159" s="7" t="str">
        <f aca="false">IF(COUNTIF(Comparação!$H:$H,A1159)&gt;0,"sim",IF(AND(G1159="sim",H1159=""),"FALTA (obrigatória)","não"))</f>
        <v>não</v>
      </c>
    </row>
    <row r="1160" customFormat="false" ht="15" hidden="false" customHeight="false" outlineLevel="0" collapsed="false">
      <c r="A1160" s="7" t="str">
        <f aca="false">B1160&amp;"."&amp;E1160</f>
        <v>pessoas.telefone_norm</v>
      </c>
      <c r="B1160" s="7" t="s">
        <v>191</v>
      </c>
      <c r="C1160" s="7" t="s">
        <v>66</v>
      </c>
      <c r="D1160" s="7" t="n">
        <v>35</v>
      </c>
      <c r="E1160" s="7" t="s">
        <v>1059</v>
      </c>
      <c r="F1160" s="7" t="s">
        <v>261</v>
      </c>
      <c r="G1160" s="7" t="s">
        <v>267</v>
      </c>
      <c r="H1160" s="7" t="s">
        <v>1060</v>
      </c>
      <c r="I1160" s="7"/>
      <c r="J1160" s="7"/>
      <c r="K1160" s="7"/>
      <c r="L1160" s="7" t="str">
        <f aca="false">IFERROR(VLOOKUP(IF(ISNUMBER(SEARCH("(",F1160)),LEFT(F1160,SEARCH("(",F1160)-1),F1160),Tipos!$A:$B,2,FALSE()),"outro")</f>
        <v>texto</v>
      </c>
      <c r="M1160" s="7" t="str">
        <f aca="false">IF(COUNTIF(Comparação!$H:$H,A1160)&gt;0,"sim",IF(AND(G1160="sim",H1160=""),"FALTA (obrigatória)","não"))</f>
        <v>não</v>
      </c>
    </row>
    <row r="1161" customFormat="false" ht="15" hidden="false" customHeight="false" outlineLevel="0" collapsed="false">
      <c r="A1161" s="7" t="str">
        <f aca="false">B1161&amp;"."&amp;E1161</f>
        <v>pessoas.email_norm</v>
      </c>
      <c r="B1161" s="7" t="s">
        <v>191</v>
      </c>
      <c r="C1161" s="7" t="s">
        <v>66</v>
      </c>
      <c r="D1161" s="7" t="n">
        <v>36</v>
      </c>
      <c r="E1161" s="7" t="s">
        <v>1061</v>
      </c>
      <c r="F1161" s="7" t="s">
        <v>261</v>
      </c>
      <c r="G1161" s="7" t="s">
        <v>267</v>
      </c>
      <c r="H1161" s="7" t="s">
        <v>1062</v>
      </c>
      <c r="I1161" s="7"/>
      <c r="J1161" s="7"/>
      <c r="K1161" s="7"/>
      <c r="L1161" s="7" t="str">
        <f aca="false">IFERROR(VLOOKUP(IF(ISNUMBER(SEARCH("(",F1161)),LEFT(F1161,SEARCH("(",F1161)-1),F1161),Tipos!$A:$B,2,FALSE()),"outro")</f>
        <v>texto</v>
      </c>
      <c r="M1161" s="7" t="str">
        <f aca="false">IF(COUNTIF(Comparação!$H:$H,A1161)&gt;0,"sim",IF(AND(G1161="sim",H1161=""),"FALTA (obrigatória)","não"))</f>
        <v>não</v>
      </c>
    </row>
    <row r="1162" customFormat="false" ht="15" hidden="false" customHeight="false" outlineLevel="0" collapsed="false">
      <c r="A1162" s="7" t="str">
        <f aca="false">B1162&amp;"."&amp;E1162</f>
        <v>pessoas_mesclagens.id</v>
      </c>
      <c r="B1162" s="7" t="s">
        <v>199</v>
      </c>
      <c r="C1162" s="7" t="s">
        <v>66</v>
      </c>
      <c r="D1162" s="7" t="n">
        <v>1</v>
      </c>
      <c r="E1162" s="7" t="s">
        <v>271</v>
      </c>
      <c r="F1162" s="7" t="s">
        <v>272</v>
      </c>
      <c r="G1162" s="7" t="s">
        <v>262</v>
      </c>
      <c r="H1162" s="7" t="s">
        <v>273</v>
      </c>
      <c r="I1162" s="7" t="s">
        <v>263</v>
      </c>
      <c r="J1162" s="7"/>
      <c r="K1162" s="7"/>
      <c r="L1162" s="7" t="str">
        <f aca="false">IFERROR(VLOOKUP(IF(ISNUMBER(SEARCH("(",F1162)),LEFT(F1162,SEARCH("(",F1162)-1),F1162),Tipos!$A:$B,2,FALSE()),"outro")</f>
        <v>uuid</v>
      </c>
      <c r="M1162" s="7" t="str">
        <f aca="false">IF(COUNTIF(Comparação!$H:$H,A1162)&gt;0,"sim",IF(AND(G1162="sim",H1162=""),"FALTA (obrigatória)","não"))</f>
        <v>não</v>
      </c>
    </row>
    <row r="1163" customFormat="false" ht="15" hidden="false" customHeight="false" outlineLevel="0" collapsed="false">
      <c r="A1163" s="7" t="str">
        <f aca="false">B1163&amp;"."&amp;E1163</f>
        <v>pessoas_mesclagens.workspace_id</v>
      </c>
      <c r="B1163" s="7" t="s">
        <v>199</v>
      </c>
      <c r="C1163" s="7" t="s">
        <v>66</v>
      </c>
      <c r="D1163" s="7" t="n">
        <v>2</v>
      </c>
      <c r="E1163" s="7" t="s">
        <v>274</v>
      </c>
      <c r="F1163" s="7" t="s">
        <v>272</v>
      </c>
      <c r="G1163" s="7" t="s">
        <v>262</v>
      </c>
      <c r="H1163" s="7"/>
      <c r="I1163" s="7"/>
      <c r="J1163" s="7" t="s">
        <v>275</v>
      </c>
      <c r="K1163" s="7"/>
      <c r="L1163" s="7" t="str">
        <f aca="false">IFERROR(VLOOKUP(IF(ISNUMBER(SEARCH("(",F1163)),LEFT(F1163,SEARCH("(",F1163)-1),F1163),Tipos!$A:$B,2,FALSE()),"outro")</f>
        <v>uuid</v>
      </c>
      <c r="M1163" s="7" t="str">
        <f aca="false">IF(COUNTIF(Comparação!$H:$H,A1163)&gt;0,"sim",IF(AND(G1163="sim",H1163=""),"FALTA (obrigatória)","não"))</f>
        <v>FALTA (obrigatória)</v>
      </c>
    </row>
    <row r="1164" customFormat="false" ht="15" hidden="false" customHeight="false" outlineLevel="0" collapsed="false">
      <c r="A1164" s="7" t="str">
        <f aca="false">B1164&amp;"."&amp;E1164</f>
        <v>pessoas_mesclagens.pessoa_mantida</v>
      </c>
      <c r="B1164" s="7" t="s">
        <v>199</v>
      </c>
      <c r="C1164" s="7" t="s">
        <v>66</v>
      </c>
      <c r="D1164" s="7" t="n">
        <v>3</v>
      </c>
      <c r="E1164" s="7" t="s">
        <v>1063</v>
      </c>
      <c r="F1164" s="7" t="s">
        <v>272</v>
      </c>
      <c r="G1164" s="7" t="s">
        <v>262</v>
      </c>
      <c r="H1164" s="7"/>
      <c r="I1164" s="7"/>
      <c r="J1164" s="7"/>
      <c r="K1164" s="7"/>
      <c r="L1164" s="7" t="str">
        <f aca="false">IFERROR(VLOOKUP(IF(ISNUMBER(SEARCH("(",F1164)),LEFT(F1164,SEARCH("(",F1164)-1),F1164),Tipos!$A:$B,2,FALSE()),"outro")</f>
        <v>uuid</v>
      </c>
      <c r="M1164" s="7" t="str">
        <f aca="false">IF(COUNTIF(Comparação!$H:$H,A1164)&gt;0,"sim",IF(AND(G1164="sim",H1164=""),"FALTA (obrigatória)","não"))</f>
        <v>FALTA (obrigatória)</v>
      </c>
    </row>
    <row r="1165" customFormat="false" ht="15" hidden="false" customHeight="false" outlineLevel="0" collapsed="false">
      <c r="A1165" s="7" t="str">
        <f aca="false">B1165&amp;"."&amp;E1165</f>
        <v>pessoas_mesclagens.pessoa_removida</v>
      </c>
      <c r="B1165" s="7" t="s">
        <v>199</v>
      </c>
      <c r="C1165" s="7" t="s">
        <v>66</v>
      </c>
      <c r="D1165" s="7" t="n">
        <v>4</v>
      </c>
      <c r="E1165" s="7" t="s">
        <v>1064</v>
      </c>
      <c r="F1165" s="7" t="s">
        <v>272</v>
      </c>
      <c r="G1165" s="7" t="s">
        <v>262</v>
      </c>
      <c r="H1165" s="7"/>
      <c r="I1165" s="7"/>
      <c r="J1165" s="7"/>
      <c r="K1165" s="7"/>
      <c r="L1165" s="7" t="str">
        <f aca="false">IFERROR(VLOOKUP(IF(ISNUMBER(SEARCH("(",F1165)),LEFT(F1165,SEARCH("(",F1165)-1),F1165),Tipos!$A:$B,2,FALSE()),"outro")</f>
        <v>uuid</v>
      </c>
      <c r="M1165" s="7" t="str">
        <f aca="false">IF(COUNTIF(Comparação!$H:$H,A1165)&gt;0,"sim",IF(AND(G1165="sim",H1165=""),"FALTA (obrigatória)","não"))</f>
        <v>FALTA (obrigatória)</v>
      </c>
    </row>
    <row r="1166" customFormat="false" ht="15" hidden="false" customHeight="false" outlineLevel="0" collapsed="false">
      <c r="A1166" s="7" t="str">
        <f aca="false">B1166&amp;"."&amp;E1166</f>
        <v>pessoas_mesclagens.dados_removida</v>
      </c>
      <c r="B1166" s="7" t="s">
        <v>199</v>
      </c>
      <c r="C1166" s="7" t="s">
        <v>66</v>
      </c>
      <c r="D1166" s="7" t="n">
        <v>5</v>
      </c>
      <c r="E1166" s="7" t="s">
        <v>1065</v>
      </c>
      <c r="F1166" s="7" t="s">
        <v>324</v>
      </c>
      <c r="G1166" s="7" t="s">
        <v>262</v>
      </c>
      <c r="H1166" s="7"/>
      <c r="I1166" s="7"/>
      <c r="J1166" s="7"/>
      <c r="K1166" s="7"/>
      <c r="L1166" s="7" t="str">
        <f aca="false">IFERROR(VLOOKUP(IF(ISNUMBER(SEARCH("(",F1166)),LEFT(F1166,SEARCH("(",F1166)-1),F1166),Tipos!$A:$B,2,FALSE()),"outro")</f>
        <v>json</v>
      </c>
      <c r="M1166" s="7" t="str">
        <f aca="false">IF(COUNTIF(Comparação!$H:$H,A1166)&gt;0,"sim",IF(AND(G1166="sim",H1166=""),"FALTA (obrigatória)","não"))</f>
        <v>FALTA (obrigatória)</v>
      </c>
    </row>
    <row r="1167" customFormat="false" ht="15" hidden="false" customHeight="false" outlineLevel="0" collapsed="false">
      <c r="A1167" s="7" t="str">
        <f aca="false">B1167&amp;"."&amp;E1167</f>
        <v>pessoas_mesclagens.motivo</v>
      </c>
      <c r="B1167" s="7" t="s">
        <v>199</v>
      </c>
      <c r="C1167" s="7" t="s">
        <v>66</v>
      </c>
      <c r="D1167" s="7" t="n">
        <v>6</v>
      </c>
      <c r="E1167" s="7" t="s">
        <v>413</v>
      </c>
      <c r="F1167" s="7" t="s">
        <v>261</v>
      </c>
      <c r="G1167" s="7" t="s">
        <v>267</v>
      </c>
      <c r="H1167" s="7"/>
      <c r="I1167" s="7"/>
      <c r="J1167" s="7"/>
      <c r="K1167" s="7"/>
      <c r="L1167" s="7" t="str">
        <f aca="false">IFERROR(VLOOKUP(IF(ISNUMBER(SEARCH("(",F1167)),LEFT(F1167,SEARCH("(",F1167)-1),F1167),Tipos!$A:$B,2,FALSE()),"outro")</f>
        <v>texto</v>
      </c>
      <c r="M1167" s="7" t="str">
        <f aca="false">IF(COUNTIF(Comparação!$H:$H,A1167)&gt;0,"sim",IF(AND(G1167="sim",H1167=""),"FALTA (obrigatória)","não"))</f>
        <v>não</v>
      </c>
    </row>
    <row r="1168" customFormat="false" ht="15" hidden="false" customHeight="false" outlineLevel="0" collapsed="false">
      <c r="A1168" s="7" t="str">
        <f aca="false">B1168&amp;"."&amp;E1168</f>
        <v>pessoas_mesclagens.feito_por</v>
      </c>
      <c r="B1168" s="7" t="s">
        <v>199</v>
      </c>
      <c r="C1168" s="7" t="s">
        <v>66</v>
      </c>
      <c r="D1168" s="7" t="n">
        <v>7</v>
      </c>
      <c r="E1168" s="7" t="s">
        <v>1066</v>
      </c>
      <c r="F1168" s="7" t="s">
        <v>272</v>
      </c>
      <c r="G1168" s="7" t="s">
        <v>267</v>
      </c>
      <c r="H1168" s="7" t="s">
        <v>406</v>
      </c>
      <c r="I1168" s="7"/>
      <c r="J1168" s="7"/>
      <c r="K1168" s="7"/>
      <c r="L1168" s="7" t="str">
        <f aca="false">IFERROR(VLOOKUP(IF(ISNUMBER(SEARCH("(",F1168)),LEFT(F1168,SEARCH("(",F1168)-1),F1168),Tipos!$A:$B,2,FALSE()),"outro")</f>
        <v>uuid</v>
      </c>
      <c r="M1168" s="7" t="str">
        <f aca="false">IF(COUNTIF(Comparação!$H:$H,A1168)&gt;0,"sim",IF(AND(G1168="sim",H1168=""),"FALTA (obrigatória)","não"))</f>
        <v>não</v>
      </c>
    </row>
    <row r="1169" customFormat="false" ht="15" hidden="false" customHeight="false" outlineLevel="0" collapsed="false">
      <c r="A1169" s="7" t="str">
        <f aca="false">B1169&amp;"."&amp;E1169</f>
        <v>pessoas_mesclagens.feito_em</v>
      </c>
      <c r="B1169" s="7" t="s">
        <v>199</v>
      </c>
      <c r="C1169" s="7" t="s">
        <v>66</v>
      </c>
      <c r="D1169" s="7" t="n">
        <v>8</v>
      </c>
      <c r="E1169" s="7" t="s">
        <v>1067</v>
      </c>
      <c r="F1169" s="7" t="s">
        <v>285</v>
      </c>
      <c r="G1169" s="7" t="s">
        <v>262</v>
      </c>
      <c r="H1169" s="7" t="s">
        <v>286</v>
      </c>
      <c r="I1169" s="7"/>
      <c r="J1169" s="7"/>
      <c r="K1169" s="7"/>
      <c r="L1169" s="7" t="str">
        <f aca="false">IFERROR(VLOOKUP(IF(ISNUMBER(SEARCH("(",F1169)),LEFT(F1169,SEARCH("(",F1169)-1),F1169),Tipos!$A:$B,2,FALSE()),"outro")</f>
        <v>data e hora</v>
      </c>
      <c r="M1169" s="7" t="str">
        <f aca="false">IF(COUNTIF(Comparação!$H:$H,A1169)&gt;0,"sim",IF(AND(G1169="sim",H1169=""),"FALTA (obrigatória)","não"))</f>
        <v>não</v>
      </c>
    </row>
    <row r="1170" customFormat="false" ht="15" hidden="false" customHeight="false" outlineLevel="0" collapsed="false">
      <c r="A1170" s="7" t="str">
        <f aca="false">B1170&amp;"."&amp;E1170</f>
        <v>planejamento_mensal.id</v>
      </c>
      <c r="B1170" s="7" t="s">
        <v>200</v>
      </c>
      <c r="C1170" s="7" t="s">
        <v>36</v>
      </c>
      <c r="D1170" s="7" t="n">
        <v>1</v>
      </c>
      <c r="E1170" s="7" t="s">
        <v>271</v>
      </c>
      <c r="F1170" s="7" t="s">
        <v>272</v>
      </c>
      <c r="G1170" s="7" t="s">
        <v>262</v>
      </c>
      <c r="H1170" s="7" t="s">
        <v>273</v>
      </c>
      <c r="I1170" s="7" t="s">
        <v>263</v>
      </c>
      <c r="J1170" s="7"/>
      <c r="K1170" s="7"/>
      <c r="L1170" s="7" t="str">
        <f aca="false">IFERROR(VLOOKUP(IF(ISNUMBER(SEARCH("(",F1170)),LEFT(F1170,SEARCH("(",F1170)-1),F1170),Tipos!$A:$B,2,FALSE()),"outro")</f>
        <v>uuid</v>
      </c>
      <c r="M1170" s="7" t="str">
        <f aca="false">IF(COUNTIF(Comparação!$H:$H,A1170)&gt;0,"sim",IF(AND(G1170="sim",H1170=""),"FALTA (obrigatória)","não"))</f>
        <v>não</v>
      </c>
    </row>
    <row r="1171" customFormat="false" ht="15" hidden="false" customHeight="false" outlineLevel="0" collapsed="false">
      <c r="A1171" s="7" t="str">
        <f aca="false">B1171&amp;"."&amp;E1171</f>
        <v>planejamento_mensal.workspace_id</v>
      </c>
      <c r="B1171" s="7" t="s">
        <v>200</v>
      </c>
      <c r="C1171" s="7" t="s">
        <v>36</v>
      </c>
      <c r="D1171" s="7" t="n">
        <v>2</v>
      </c>
      <c r="E1171" s="7" t="s">
        <v>274</v>
      </c>
      <c r="F1171" s="7" t="s">
        <v>272</v>
      </c>
      <c r="G1171" s="7" t="s">
        <v>262</v>
      </c>
      <c r="H1171" s="7"/>
      <c r="I1171" s="7" t="s">
        <v>290</v>
      </c>
      <c r="J1171" s="7" t="s">
        <v>275</v>
      </c>
      <c r="K1171" s="7"/>
      <c r="L1171" s="7" t="str">
        <f aca="false">IFERROR(VLOOKUP(IF(ISNUMBER(SEARCH("(",F1171)),LEFT(F1171,SEARCH("(",F1171)-1),F1171),Tipos!$A:$B,2,FALSE()),"outro")</f>
        <v>uuid</v>
      </c>
      <c r="M1171" s="7" t="str">
        <f aca="false">IF(COUNTIF(Comparação!$H:$H,A1171)&gt;0,"sim",IF(AND(G1171="sim",H1171=""),"FALTA (obrigatória)","não"))</f>
        <v>FALTA (obrigatória)</v>
      </c>
    </row>
    <row r="1172" customFormat="false" ht="15" hidden="false" customHeight="false" outlineLevel="0" collapsed="false">
      <c r="A1172" s="7" t="str">
        <f aca="false">B1172&amp;"."&amp;E1172</f>
        <v>planejamento_mensal.ano</v>
      </c>
      <c r="B1172" s="7" t="s">
        <v>200</v>
      </c>
      <c r="C1172" s="7" t="s">
        <v>36</v>
      </c>
      <c r="D1172" s="7" t="n">
        <v>3</v>
      </c>
      <c r="E1172" s="7" t="s">
        <v>1068</v>
      </c>
      <c r="F1172" s="7" t="s">
        <v>269</v>
      </c>
      <c r="G1172" s="7" t="s">
        <v>262</v>
      </c>
      <c r="H1172" s="7"/>
      <c r="I1172" s="7" t="s">
        <v>290</v>
      </c>
      <c r="J1172" s="7"/>
      <c r="K1172" s="7"/>
      <c r="L1172" s="7" t="str">
        <f aca="false">IFERROR(VLOOKUP(IF(ISNUMBER(SEARCH("(",F1172)),LEFT(F1172,SEARCH("(",F1172)-1),F1172),Tipos!$A:$B,2,FALSE()),"outro")</f>
        <v>inteiro</v>
      </c>
      <c r="M1172" s="7" t="str">
        <f aca="false">IF(COUNTIF(Comparação!$H:$H,A1172)&gt;0,"sim",IF(AND(G1172="sim",H1172=""),"FALTA (obrigatória)","não"))</f>
        <v>FALTA (obrigatória)</v>
      </c>
    </row>
    <row r="1173" customFormat="false" ht="15" hidden="false" customHeight="false" outlineLevel="0" collapsed="false">
      <c r="A1173" s="7" t="str">
        <f aca="false">B1173&amp;"."&amp;E1173</f>
        <v>planejamento_mensal.mes</v>
      </c>
      <c r="B1173" s="7" t="s">
        <v>200</v>
      </c>
      <c r="C1173" s="7" t="s">
        <v>36</v>
      </c>
      <c r="D1173" s="7" t="n">
        <v>4</v>
      </c>
      <c r="E1173" s="7" t="s">
        <v>440</v>
      </c>
      <c r="F1173" s="7" t="s">
        <v>269</v>
      </c>
      <c r="G1173" s="7" t="s">
        <v>262</v>
      </c>
      <c r="H1173" s="7"/>
      <c r="I1173" s="7" t="s">
        <v>290</v>
      </c>
      <c r="J1173" s="7"/>
      <c r="K1173" s="7" t="s">
        <v>1069</v>
      </c>
      <c r="L1173" s="7" t="str">
        <f aca="false">IFERROR(VLOOKUP(IF(ISNUMBER(SEARCH("(",F1173)),LEFT(F1173,SEARCH("(",F1173)-1),F1173),Tipos!$A:$B,2,FALSE()),"outro")</f>
        <v>inteiro</v>
      </c>
      <c r="M1173" s="7" t="str">
        <f aca="false">IF(COUNTIF(Comparação!$H:$H,A1173)&gt;0,"sim",IF(AND(G1173="sim",H1173=""),"FALTA (obrigatória)","não"))</f>
        <v>FALTA (obrigatória)</v>
      </c>
    </row>
    <row r="1174" customFormat="false" ht="15" hidden="false" customHeight="false" outlineLevel="0" collapsed="false">
      <c r="A1174" s="7" t="str">
        <f aca="false">B1174&amp;"."&amp;E1174</f>
        <v>planejamento_mensal.meta_leads</v>
      </c>
      <c r="B1174" s="7" t="s">
        <v>200</v>
      </c>
      <c r="C1174" s="7" t="s">
        <v>36</v>
      </c>
      <c r="D1174" s="7" t="n">
        <v>5</v>
      </c>
      <c r="E1174" s="7" t="s">
        <v>357</v>
      </c>
      <c r="F1174" s="7" t="s">
        <v>269</v>
      </c>
      <c r="G1174" s="7" t="s">
        <v>267</v>
      </c>
      <c r="H1174" s="7"/>
      <c r="I1174" s="7"/>
      <c r="J1174" s="7"/>
      <c r="K1174" s="7"/>
      <c r="L1174" s="7" t="str">
        <f aca="false">IFERROR(VLOOKUP(IF(ISNUMBER(SEARCH("(",F1174)),LEFT(F1174,SEARCH("(",F1174)-1),F1174),Tipos!$A:$B,2,FALSE()),"outro")</f>
        <v>inteiro</v>
      </c>
      <c r="M1174" s="7" t="str">
        <f aca="false">IF(COUNTIF(Comparação!$H:$H,A1174)&gt;0,"sim",IF(AND(G1174="sim",H1174=""),"FALTA (obrigatória)","não"))</f>
        <v>não</v>
      </c>
    </row>
    <row r="1175" customFormat="false" ht="15" hidden="false" customHeight="false" outlineLevel="0" collapsed="false">
      <c r="A1175" s="7" t="str">
        <f aca="false">B1175&amp;"."&amp;E1175</f>
        <v>planejamento_mensal.meta_vendas</v>
      </c>
      <c r="B1175" s="7" t="s">
        <v>200</v>
      </c>
      <c r="C1175" s="7" t="s">
        <v>36</v>
      </c>
      <c r="D1175" s="7" t="n">
        <v>6</v>
      </c>
      <c r="E1175" s="7" t="s">
        <v>358</v>
      </c>
      <c r="F1175" s="7" t="s">
        <v>269</v>
      </c>
      <c r="G1175" s="7" t="s">
        <v>267</v>
      </c>
      <c r="H1175" s="7"/>
      <c r="I1175" s="7"/>
      <c r="J1175" s="7"/>
      <c r="K1175" s="7"/>
      <c r="L1175" s="7" t="str">
        <f aca="false">IFERROR(VLOOKUP(IF(ISNUMBER(SEARCH("(",F1175)),LEFT(F1175,SEARCH("(",F1175)-1),F1175),Tipos!$A:$B,2,FALSE()),"outro")</f>
        <v>inteiro</v>
      </c>
      <c r="M1175" s="7" t="str">
        <f aca="false">IF(COUNTIF(Comparação!$H:$H,A1175)&gt;0,"sim",IF(AND(G1175="sim",H1175=""),"FALTA (obrigatória)","não"))</f>
        <v>não</v>
      </c>
    </row>
    <row r="1176" customFormat="false" ht="15" hidden="false" customHeight="false" outlineLevel="0" collapsed="false">
      <c r="A1176" s="7" t="str">
        <f aca="false">B1176&amp;"."&amp;E1176</f>
        <v>planejamento_mensal.meta_receita</v>
      </c>
      <c r="B1176" s="7" t="s">
        <v>200</v>
      </c>
      <c r="C1176" s="7" t="s">
        <v>36</v>
      </c>
      <c r="D1176" s="7" t="n">
        <v>7</v>
      </c>
      <c r="E1176" s="7" t="s">
        <v>475</v>
      </c>
      <c r="F1176" s="7" t="s">
        <v>354</v>
      </c>
      <c r="G1176" s="7" t="s">
        <v>267</v>
      </c>
      <c r="H1176" s="7"/>
      <c r="I1176" s="7"/>
      <c r="J1176" s="7"/>
      <c r="K1176" s="7"/>
      <c r="L1176" s="7" t="str">
        <f aca="false">IFERROR(VLOOKUP(IF(ISNUMBER(SEARCH("(",F1176)),LEFT(F1176,SEARCH("(",F1176)-1),F1176),Tipos!$A:$B,2,FALSE()),"outro")</f>
        <v>decimal</v>
      </c>
      <c r="M1176" s="7" t="str">
        <f aca="false">IF(COUNTIF(Comparação!$H:$H,A1176)&gt;0,"sim",IF(AND(G1176="sim",H1176=""),"FALTA (obrigatória)","não"))</f>
        <v>não</v>
      </c>
    </row>
    <row r="1177" customFormat="false" ht="15" hidden="false" customHeight="false" outlineLevel="0" collapsed="false">
      <c r="A1177" s="7" t="str">
        <f aca="false">B1177&amp;"."&amp;E1177</f>
        <v>planejamento_mensal.orcamento</v>
      </c>
      <c r="B1177" s="7" t="s">
        <v>200</v>
      </c>
      <c r="C1177" s="7" t="s">
        <v>36</v>
      </c>
      <c r="D1177" s="7" t="n">
        <v>8</v>
      </c>
      <c r="E1177" s="7" t="s">
        <v>353</v>
      </c>
      <c r="F1177" s="7" t="s">
        <v>354</v>
      </c>
      <c r="G1177" s="7" t="s">
        <v>267</v>
      </c>
      <c r="H1177" s="7"/>
      <c r="I1177" s="7"/>
      <c r="J1177" s="7"/>
      <c r="K1177" s="7"/>
      <c r="L1177" s="7" t="str">
        <f aca="false">IFERROR(VLOOKUP(IF(ISNUMBER(SEARCH("(",F1177)),LEFT(F1177,SEARCH("(",F1177)-1),F1177),Tipos!$A:$B,2,FALSE()),"outro")</f>
        <v>decimal</v>
      </c>
      <c r="M1177" s="7" t="str">
        <f aca="false">IF(COUNTIF(Comparação!$H:$H,A1177)&gt;0,"sim",IF(AND(G1177="sim",H1177=""),"FALTA (obrigatória)","não"))</f>
        <v>não</v>
      </c>
    </row>
    <row r="1178" customFormat="false" ht="15" hidden="false" customHeight="false" outlineLevel="0" collapsed="false">
      <c r="A1178" s="7" t="str">
        <f aca="false">B1178&amp;"."&amp;E1178</f>
        <v>plano_contas.id</v>
      </c>
      <c r="B1178" s="7" t="s">
        <v>201</v>
      </c>
      <c r="C1178" s="7" t="s">
        <v>69</v>
      </c>
      <c r="D1178" s="7" t="n">
        <v>1</v>
      </c>
      <c r="E1178" s="7" t="s">
        <v>271</v>
      </c>
      <c r="F1178" s="7" t="s">
        <v>272</v>
      </c>
      <c r="G1178" s="7" t="s">
        <v>262</v>
      </c>
      <c r="H1178" s="7" t="s">
        <v>273</v>
      </c>
      <c r="I1178" s="7" t="s">
        <v>263</v>
      </c>
      <c r="J1178" s="7"/>
      <c r="K1178" s="7"/>
      <c r="L1178" s="7" t="str">
        <f aca="false">IFERROR(VLOOKUP(IF(ISNUMBER(SEARCH("(",F1178)),LEFT(F1178,SEARCH("(",F1178)-1),F1178),Tipos!$A:$B,2,FALSE()),"outro")</f>
        <v>uuid</v>
      </c>
      <c r="M1178" s="7" t="str">
        <f aca="false">IF(COUNTIF(Comparação!$H:$H,A1178)&gt;0,"sim",IF(AND(G1178="sim",H1178=""),"FALTA (obrigatória)","não"))</f>
        <v>não</v>
      </c>
    </row>
    <row r="1179" customFormat="false" ht="15" hidden="false" customHeight="false" outlineLevel="0" collapsed="false">
      <c r="A1179" s="7" t="str">
        <f aca="false">B1179&amp;"."&amp;E1179</f>
        <v>plano_contas.workspace_id</v>
      </c>
      <c r="B1179" s="7" t="s">
        <v>201</v>
      </c>
      <c r="C1179" s="7" t="s">
        <v>69</v>
      </c>
      <c r="D1179" s="7" t="n">
        <v>2</v>
      </c>
      <c r="E1179" s="7" t="s">
        <v>274</v>
      </c>
      <c r="F1179" s="7" t="s">
        <v>272</v>
      </c>
      <c r="G1179" s="7" t="s">
        <v>262</v>
      </c>
      <c r="H1179" s="7"/>
      <c r="I1179" s="7" t="s">
        <v>290</v>
      </c>
      <c r="J1179" s="7" t="s">
        <v>275</v>
      </c>
      <c r="K1179" s="7"/>
      <c r="L1179" s="7" t="str">
        <f aca="false">IFERROR(VLOOKUP(IF(ISNUMBER(SEARCH("(",F1179)),LEFT(F1179,SEARCH("(",F1179)-1),F1179),Tipos!$A:$B,2,FALSE()),"outro")</f>
        <v>uuid</v>
      </c>
      <c r="M1179" s="7" t="str">
        <f aca="false">IF(COUNTIF(Comparação!$H:$H,A1179)&gt;0,"sim",IF(AND(G1179="sim",H1179=""),"FALTA (obrigatória)","não"))</f>
        <v>FALTA (obrigatória)</v>
      </c>
    </row>
    <row r="1180" customFormat="false" ht="15" hidden="false" customHeight="false" outlineLevel="0" collapsed="false">
      <c r="A1180" s="7" t="str">
        <f aca="false">B1180&amp;"."&amp;E1180</f>
        <v>plano_contas.codigo</v>
      </c>
      <c r="B1180" s="7" t="s">
        <v>201</v>
      </c>
      <c r="C1180" s="7" t="s">
        <v>69</v>
      </c>
      <c r="D1180" s="7" t="n">
        <v>3</v>
      </c>
      <c r="E1180" s="7" t="s">
        <v>502</v>
      </c>
      <c r="F1180" s="7" t="s">
        <v>261</v>
      </c>
      <c r="G1180" s="7" t="s">
        <v>262</v>
      </c>
      <c r="H1180" s="7"/>
      <c r="I1180" s="7" t="s">
        <v>290</v>
      </c>
      <c r="J1180" s="7"/>
      <c r="K1180" s="7"/>
      <c r="L1180" s="7" t="str">
        <f aca="false">IFERROR(VLOOKUP(IF(ISNUMBER(SEARCH("(",F1180)),LEFT(F1180,SEARCH("(",F1180)-1),F1180),Tipos!$A:$B,2,FALSE()),"outro")</f>
        <v>texto</v>
      </c>
      <c r="M1180" s="7" t="str">
        <f aca="false">IF(COUNTIF(Comparação!$H:$H,A1180)&gt;0,"sim",IF(AND(G1180="sim",H1180=""),"FALTA (obrigatória)","não"))</f>
        <v>FALTA (obrigatória)</v>
      </c>
    </row>
    <row r="1181" customFormat="false" ht="15" hidden="false" customHeight="false" outlineLevel="0" collapsed="false">
      <c r="A1181" s="7" t="str">
        <f aca="false">B1181&amp;"."&amp;E1181</f>
        <v>plano_contas.nome</v>
      </c>
      <c r="B1181" s="7" t="s">
        <v>201</v>
      </c>
      <c r="C1181" s="7" t="s">
        <v>69</v>
      </c>
      <c r="D1181" s="7" t="n">
        <v>4</v>
      </c>
      <c r="E1181" s="7" t="s">
        <v>265</v>
      </c>
      <c r="F1181" s="7" t="s">
        <v>261</v>
      </c>
      <c r="G1181" s="7" t="s">
        <v>262</v>
      </c>
      <c r="H1181" s="7"/>
      <c r="I1181" s="7"/>
      <c r="J1181" s="7"/>
      <c r="K1181" s="7"/>
      <c r="L1181" s="7" t="str">
        <f aca="false">IFERROR(VLOOKUP(IF(ISNUMBER(SEARCH("(",F1181)),LEFT(F1181,SEARCH("(",F1181)-1),F1181),Tipos!$A:$B,2,FALSE()),"outro")</f>
        <v>texto</v>
      </c>
      <c r="M1181" s="7" t="str">
        <f aca="false">IF(COUNTIF(Comparação!$H:$H,A1181)&gt;0,"sim",IF(AND(G1181="sim",H1181=""),"FALTA (obrigatória)","não"))</f>
        <v>FALTA (obrigatória)</v>
      </c>
    </row>
    <row r="1182" customFormat="false" ht="15" hidden="false" customHeight="false" outlineLevel="0" collapsed="false">
      <c r="A1182" s="7" t="str">
        <f aca="false">B1182&amp;"."&amp;E1182</f>
        <v>plano_contas.tipo</v>
      </c>
      <c r="B1182" s="7" t="s">
        <v>201</v>
      </c>
      <c r="C1182" s="7" t="s">
        <v>69</v>
      </c>
      <c r="D1182" s="7" t="n">
        <v>5</v>
      </c>
      <c r="E1182" s="7" t="s">
        <v>280</v>
      </c>
      <c r="F1182" s="7" t="s">
        <v>261</v>
      </c>
      <c r="G1182" s="7" t="s">
        <v>262</v>
      </c>
      <c r="H1182" s="7"/>
      <c r="I1182" s="7"/>
      <c r="J1182" s="7"/>
      <c r="K1182" s="7" t="s">
        <v>1070</v>
      </c>
      <c r="L1182" s="7" t="str">
        <f aca="false">IFERROR(VLOOKUP(IF(ISNUMBER(SEARCH("(",F1182)),LEFT(F1182,SEARCH("(",F1182)-1),F1182),Tipos!$A:$B,2,FALSE()),"outro")</f>
        <v>texto</v>
      </c>
      <c r="M1182" s="7" t="str">
        <f aca="false">IF(COUNTIF(Comparação!$H:$H,A1182)&gt;0,"sim",IF(AND(G1182="sim",H1182=""),"FALTA (obrigatória)","não"))</f>
        <v>FALTA (obrigatória)</v>
      </c>
    </row>
    <row r="1183" customFormat="false" ht="15" hidden="false" customHeight="false" outlineLevel="0" collapsed="false">
      <c r="A1183" s="7" t="str">
        <f aca="false">B1183&amp;"."&amp;E1183</f>
        <v>plano_contas.natureza</v>
      </c>
      <c r="B1183" s="7" t="s">
        <v>201</v>
      </c>
      <c r="C1183" s="7" t="s">
        <v>69</v>
      </c>
      <c r="D1183" s="7" t="n">
        <v>6</v>
      </c>
      <c r="E1183" s="7" t="s">
        <v>1071</v>
      </c>
      <c r="F1183" s="7" t="s">
        <v>261</v>
      </c>
      <c r="G1183" s="7" t="s">
        <v>262</v>
      </c>
      <c r="H1183" s="7"/>
      <c r="I1183" s="7"/>
      <c r="J1183" s="7"/>
      <c r="K1183" s="7" t="s">
        <v>1072</v>
      </c>
      <c r="L1183" s="7" t="str">
        <f aca="false">IFERROR(VLOOKUP(IF(ISNUMBER(SEARCH("(",F1183)),LEFT(F1183,SEARCH("(",F1183)-1),F1183),Tipos!$A:$B,2,FALSE()),"outro")</f>
        <v>texto</v>
      </c>
      <c r="M1183" s="7" t="str">
        <f aca="false">IF(COUNTIF(Comparação!$H:$H,A1183)&gt;0,"sim",IF(AND(G1183="sim",H1183=""),"FALTA (obrigatória)","não"))</f>
        <v>FALTA (obrigatória)</v>
      </c>
    </row>
    <row r="1184" customFormat="false" ht="15" hidden="false" customHeight="false" outlineLevel="0" collapsed="false">
      <c r="A1184" s="7" t="str">
        <f aca="false">B1184&amp;"."&amp;E1184</f>
        <v>plano_contas.conta_pai_id</v>
      </c>
      <c r="B1184" s="7" t="s">
        <v>201</v>
      </c>
      <c r="C1184" s="7" t="s">
        <v>69</v>
      </c>
      <c r="D1184" s="7" t="n">
        <v>7</v>
      </c>
      <c r="E1184" s="7" t="s">
        <v>1073</v>
      </c>
      <c r="F1184" s="7" t="s">
        <v>272</v>
      </c>
      <c r="G1184" s="7" t="s">
        <v>267</v>
      </c>
      <c r="H1184" s="7"/>
      <c r="I1184" s="7"/>
      <c r="J1184" s="7" t="s">
        <v>521</v>
      </c>
      <c r="K1184" s="7"/>
      <c r="L1184" s="7" t="str">
        <f aca="false">IFERROR(VLOOKUP(IF(ISNUMBER(SEARCH("(",F1184)),LEFT(F1184,SEARCH("(",F1184)-1),F1184),Tipos!$A:$B,2,FALSE()),"outro")</f>
        <v>uuid</v>
      </c>
      <c r="M1184" s="7" t="str">
        <f aca="false">IF(COUNTIF(Comparação!$H:$H,A1184)&gt;0,"sim",IF(AND(G1184="sim",H1184=""),"FALTA (obrigatória)","não"))</f>
        <v>não</v>
      </c>
    </row>
    <row r="1185" customFormat="false" ht="15" hidden="false" customHeight="false" outlineLevel="0" collapsed="false">
      <c r="A1185" s="7" t="str">
        <f aca="false">B1185&amp;"."&amp;E1185</f>
        <v>plano_contas.aceita_lancamento</v>
      </c>
      <c r="B1185" s="7" t="s">
        <v>201</v>
      </c>
      <c r="C1185" s="7" t="s">
        <v>69</v>
      </c>
      <c r="D1185" s="7" t="n">
        <v>8</v>
      </c>
      <c r="E1185" s="7" t="s">
        <v>1074</v>
      </c>
      <c r="F1185" s="7" t="s">
        <v>310</v>
      </c>
      <c r="G1185" s="7" t="s">
        <v>262</v>
      </c>
      <c r="H1185" s="7" t="s">
        <v>311</v>
      </c>
      <c r="I1185" s="7"/>
      <c r="J1185" s="7"/>
      <c r="K1185" s="7"/>
      <c r="L1185" s="7" t="str">
        <f aca="false">IFERROR(VLOOKUP(IF(ISNUMBER(SEARCH("(",F1185)),LEFT(F1185,SEARCH("(",F1185)-1),F1185),Tipos!$A:$B,2,FALSE()),"outro")</f>
        <v>booleano</v>
      </c>
      <c r="M1185" s="7" t="str">
        <f aca="false">IF(COUNTIF(Comparação!$H:$H,A1185)&gt;0,"sim",IF(AND(G1185="sim",H1185=""),"FALTA (obrigatória)","não"))</f>
        <v>não</v>
      </c>
    </row>
    <row r="1186" customFormat="false" ht="15" hidden="false" customHeight="false" outlineLevel="0" collapsed="false">
      <c r="A1186" s="7" t="str">
        <f aca="false">B1186&amp;"."&amp;E1186</f>
        <v>plano_contas.ativo</v>
      </c>
      <c r="B1186" s="7" t="s">
        <v>201</v>
      </c>
      <c r="C1186" s="7" t="s">
        <v>69</v>
      </c>
      <c r="D1186" s="7" t="n">
        <v>9</v>
      </c>
      <c r="E1186" s="7" t="s">
        <v>309</v>
      </c>
      <c r="F1186" s="7" t="s">
        <v>310</v>
      </c>
      <c r="G1186" s="7" t="s">
        <v>262</v>
      </c>
      <c r="H1186" s="7" t="s">
        <v>311</v>
      </c>
      <c r="I1186" s="7"/>
      <c r="J1186" s="7"/>
      <c r="K1186" s="7"/>
      <c r="L1186" s="7" t="str">
        <f aca="false">IFERROR(VLOOKUP(IF(ISNUMBER(SEARCH("(",F1186)),LEFT(F1186,SEARCH("(",F1186)-1),F1186),Tipos!$A:$B,2,FALSE()),"outro")</f>
        <v>booleano</v>
      </c>
      <c r="M1186" s="7" t="str">
        <f aca="false">IF(COUNTIF(Comparação!$H:$H,A1186)&gt;0,"sim",IF(AND(G1186="sim",H1186=""),"FALTA (obrigatória)","não"))</f>
        <v>não</v>
      </c>
    </row>
    <row r="1187" customFormat="false" ht="15" hidden="false" customHeight="false" outlineLevel="0" collapsed="false">
      <c r="A1187" s="7" t="str">
        <f aca="false">B1187&amp;"."&amp;E1187</f>
        <v>plano_contas.cac_grupo</v>
      </c>
      <c r="B1187" s="7" t="s">
        <v>201</v>
      </c>
      <c r="C1187" s="7" t="s">
        <v>69</v>
      </c>
      <c r="D1187" s="7" t="n">
        <v>10</v>
      </c>
      <c r="E1187" s="7" t="s">
        <v>1075</v>
      </c>
      <c r="F1187" s="7" t="s">
        <v>261</v>
      </c>
      <c r="G1187" s="7" t="s">
        <v>267</v>
      </c>
      <c r="H1187" s="7"/>
      <c r="I1187" s="7"/>
      <c r="J1187" s="7"/>
      <c r="K1187" s="7" t="s">
        <v>1076</v>
      </c>
      <c r="L1187" s="7" t="str">
        <f aca="false">IFERROR(VLOOKUP(IF(ISNUMBER(SEARCH("(",F1187)),LEFT(F1187,SEARCH("(",F1187)-1),F1187),Tipos!$A:$B,2,FALSE()),"outro")</f>
        <v>texto</v>
      </c>
      <c r="M1187" s="7" t="str">
        <f aca="false">IF(COUNTIF(Comparação!$H:$H,A1187)&gt;0,"sim",IF(AND(G1187="sim",H1187=""),"FALTA (obrigatória)","não"))</f>
        <v>não</v>
      </c>
    </row>
    <row r="1188" customFormat="false" ht="15" hidden="false" customHeight="false" outlineLevel="0" collapsed="false">
      <c r="A1188" s="7" t="str">
        <f aca="false">B1188&amp;"."&amp;E1188</f>
        <v>plano_contas.rateio_regra_id</v>
      </c>
      <c r="B1188" s="7" t="s">
        <v>201</v>
      </c>
      <c r="C1188" s="7" t="s">
        <v>69</v>
      </c>
      <c r="D1188" s="7" t="n">
        <v>11</v>
      </c>
      <c r="E1188" s="7" t="s">
        <v>540</v>
      </c>
      <c r="F1188" s="7" t="s">
        <v>272</v>
      </c>
      <c r="G1188" s="7" t="s">
        <v>267</v>
      </c>
      <c r="H1188" s="7"/>
      <c r="I1188" s="7"/>
      <c r="J1188" s="7" t="s">
        <v>541</v>
      </c>
      <c r="K1188" s="7"/>
      <c r="L1188" s="7" t="str">
        <f aca="false">IFERROR(VLOOKUP(IF(ISNUMBER(SEARCH("(",F1188)),LEFT(F1188,SEARCH("(",F1188)-1),F1188),Tipos!$A:$B,2,FALSE()),"outro")</f>
        <v>uuid</v>
      </c>
      <c r="M1188" s="7" t="str">
        <f aca="false">IF(COUNTIF(Comparação!$H:$H,A1188)&gt;0,"sim",IF(AND(G1188="sim",H1188=""),"FALTA (obrigatória)","não"))</f>
        <v>não</v>
      </c>
    </row>
    <row r="1189" customFormat="false" ht="15" hidden="false" customHeight="false" outlineLevel="0" collapsed="false">
      <c r="A1189" s="7" t="str">
        <f aca="false">B1189&amp;"."&amp;E1189</f>
        <v>plano_contas.conta_passivo_id</v>
      </c>
      <c r="B1189" s="7" t="s">
        <v>201</v>
      </c>
      <c r="C1189" s="7" t="s">
        <v>69</v>
      </c>
      <c r="D1189" s="7" t="n">
        <v>12</v>
      </c>
      <c r="E1189" s="7" t="s">
        <v>1077</v>
      </c>
      <c r="F1189" s="7" t="s">
        <v>272</v>
      </c>
      <c r="G1189" s="7" t="s">
        <v>267</v>
      </c>
      <c r="H1189" s="7"/>
      <c r="I1189" s="7"/>
      <c r="J1189" s="7" t="s">
        <v>521</v>
      </c>
      <c r="K1189" s="7"/>
      <c r="L1189" s="7" t="str">
        <f aca="false">IFERROR(VLOOKUP(IF(ISNUMBER(SEARCH("(",F1189)),LEFT(F1189,SEARCH("(",F1189)-1),F1189),Tipos!$A:$B,2,FALSE()),"outro")</f>
        <v>uuid</v>
      </c>
      <c r="M1189" s="7" t="str">
        <f aca="false">IF(COUNTIF(Comparação!$H:$H,A1189)&gt;0,"sim",IF(AND(G1189="sim",H1189=""),"FALTA (obrigatória)","não"))</f>
        <v>não</v>
      </c>
    </row>
    <row r="1190" customFormat="false" ht="15" hidden="false" customHeight="false" outlineLevel="0" collapsed="false">
      <c r="A1190" s="7" t="str">
        <f aca="false">B1190&amp;"."&amp;E1190</f>
        <v>plano_indicadores.id</v>
      </c>
      <c r="B1190" s="7" t="s">
        <v>203</v>
      </c>
      <c r="C1190" s="7" t="s">
        <v>36</v>
      </c>
      <c r="D1190" s="7" t="n">
        <v>1</v>
      </c>
      <c r="E1190" s="7" t="s">
        <v>271</v>
      </c>
      <c r="F1190" s="7" t="s">
        <v>272</v>
      </c>
      <c r="G1190" s="7" t="s">
        <v>262</v>
      </c>
      <c r="H1190" s="7" t="s">
        <v>273</v>
      </c>
      <c r="I1190" s="7" t="s">
        <v>263</v>
      </c>
      <c r="J1190" s="7"/>
      <c r="K1190" s="7"/>
      <c r="L1190" s="7" t="str">
        <f aca="false">IFERROR(VLOOKUP(IF(ISNUMBER(SEARCH("(",F1190)),LEFT(F1190,SEARCH("(",F1190)-1),F1190),Tipos!$A:$B,2,FALSE()),"outro")</f>
        <v>uuid</v>
      </c>
      <c r="M1190" s="7" t="str">
        <f aca="false">IF(COUNTIF(Comparação!$H:$H,A1190)&gt;0,"sim",IF(AND(G1190="sim",H1190=""),"FALTA (obrigatória)","não"))</f>
        <v>não</v>
      </c>
    </row>
    <row r="1191" customFormat="false" ht="15" hidden="false" customHeight="false" outlineLevel="0" collapsed="false">
      <c r="A1191" s="7" t="str">
        <f aca="false">B1191&amp;"."&amp;E1191</f>
        <v>plano_indicadores.workspace_id</v>
      </c>
      <c r="B1191" s="7" t="s">
        <v>203</v>
      </c>
      <c r="C1191" s="7" t="s">
        <v>36</v>
      </c>
      <c r="D1191" s="7" t="n">
        <v>2</v>
      </c>
      <c r="E1191" s="7" t="s">
        <v>274</v>
      </c>
      <c r="F1191" s="7" t="s">
        <v>272</v>
      </c>
      <c r="G1191" s="7" t="s">
        <v>262</v>
      </c>
      <c r="H1191" s="7"/>
      <c r="I1191" s="7"/>
      <c r="J1191" s="7" t="s">
        <v>275</v>
      </c>
      <c r="K1191" s="7"/>
      <c r="L1191" s="7" t="str">
        <f aca="false">IFERROR(VLOOKUP(IF(ISNUMBER(SEARCH("(",F1191)),LEFT(F1191,SEARCH("(",F1191)-1),F1191),Tipos!$A:$B,2,FALSE()),"outro")</f>
        <v>uuid</v>
      </c>
      <c r="M1191" s="7" t="str">
        <f aca="false">IF(COUNTIF(Comparação!$H:$H,A1191)&gt;0,"sim",IF(AND(G1191="sim",H1191=""),"FALTA (obrigatória)","não"))</f>
        <v>FALTA (obrigatória)</v>
      </c>
    </row>
    <row r="1192" customFormat="false" ht="15" hidden="false" customHeight="false" outlineLevel="0" collapsed="false">
      <c r="A1192" s="7" t="str">
        <f aca="false">B1192&amp;"."&amp;E1192</f>
        <v>plano_indicadores.plano_id</v>
      </c>
      <c r="B1192" s="7" t="s">
        <v>203</v>
      </c>
      <c r="C1192" s="7" t="s">
        <v>36</v>
      </c>
      <c r="D1192" s="7" t="n">
        <v>3</v>
      </c>
      <c r="E1192" s="7" t="s">
        <v>1078</v>
      </c>
      <c r="F1192" s="7" t="s">
        <v>272</v>
      </c>
      <c r="G1192" s="7" t="s">
        <v>262</v>
      </c>
      <c r="H1192" s="7"/>
      <c r="I1192" s="7"/>
      <c r="J1192" s="7" t="s">
        <v>1079</v>
      </c>
      <c r="K1192" s="7"/>
      <c r="L1192" s="7" t="str">
        <f aca="false">IFERROR(VLOOKUP(IF(ISNUMBER(SEARCH("(",F1192)),LEFT(F1192,SEARCH("(",F1192)-1),F1192),Tipos!$A:$B,2,FALSE()),"outro")</f>
        <v>uuid</v>
      </c>
      <c r="M1192" s="7" t="str">
        <f aca="false">IF(COUNTIF(Comparação!$H:$H,A1192)&gt;0,"sim",IF(AND(G1192="sim",H1192=""),"FALTA (obrigatória)","não"))</f>
        <v>FALTA (obrigatória)</v>
      </c>
    </row>
    <row r="1193" customFormat="false" ht="15" hidden="false" customHeight="false" outlineLevel="0" collapsed="false">
      <c r="A1193" s="7" t="str">
        <f aca="false">B1193&amp;"."&amp;E1193</f>
        <v>plano_indicadores.objetivo_id</v>
      </c>
      <c r="B1193" s="7" t="s">
        <v>203</v>
      </c>
      <c r="C1193" s="7" t="s">
        <v>36</v>
      </c>
      <c r="D1193" s="7" t="n">
        <v>4</v>
      </c>
      <c r="E1193" s="7" t="s">
        <v>1080</v>
      </c>
      <c r="F1193" s="7" t="s">
        <v>272</v>
      </c>
      <c r="G1193" s="7" t="s">
        <v>262</v>
      </c>
      <c r="H1193" s="7"/>
      <c r="I1193" s="7"/>
      <c r="J1193" s="7" t="s">
        <v>1081</v>
      </c>
      <c r="K1193" s="7"/>
      <c r="L1193" s="7" t="str">
        <f aca="false">IFERROR(VLOOKUP(IF(ISNUMBER(SEARCH("(",F1193)),LEFT(F1193,SEARCH("(",F1193)-1),F1193),Tipos!$A:$B,2,FALSE()),"outro")</f>
        <v>uuid</v>
      </c>
      <c r="M1193" s="7" t="str">
        <f aca="false">IF(COUNTIF(Comparação!$H:$H,A1193)&gt;0,"sim",IF(AND(G1193="sim",H1193=""),"FALTA (obrigatória)","não"))</f>
        <v>FALTA (obrigatória)</v>
      </c>
    </row>
    <row r="1194" customFormat="false" ht="15" hidden="false" customHeight="false" outlineLevel="0" collapsed="false">
      <c r="A1194" s="7" t="str">
        <f aca="false">B1194&amp;"."&amp;E1194</f>
        <v>plano_indicadores.nome</v>
      </c>
      <c r="B1194" s="7" t="s">
        <v>203</v>
      </c>
      <c r="C1194" s="7" t="s">
        <v>36</v>
      </c>
      <c r="D1194" s="7" t="n">
        <v>5</v>
      </c>
      <c r="E1194" s="7" t="s">
        <v>265</v>
      </c>
      <c r="F1194" s="7" t="s">
        <v>261</v>
      </c>
      <c r="G1194" s="7" t="s">
        <v>262</v>
      </c>
      <c r="H1194" s="7"/>
      <c r="I1194" s="7"/>
      <c r="J1194" s="7"/>
      <c r="K1194" s="7"/>
      <c r="L1194" s="7" t="str">
        <f aca="false">IFERROR(VLOOKUP(IF(ISNUMBER(SEARCH("(",F1194)),LEFT(F1194,SEARCH("(",F1194)-1),F1194),Tipos!$A:$B,2,FALSE()),"outro")</f>
        <v>texto</v>
      </c>
      <c r="M1194" s="7" t="str">
        <f aca="false">IF(COUNTIF(Comparação!$H:$H,A1194)&gt;0,"sim",IF(AND(G1194="sim",H1194=""),"FALTA (obrigatória)","não"))</f>
        <v>FALTA (obrigatória)</v>
      </c>
    </row>
    <row r="1195" customFormat="false" ht="15" hidden="false" customHeight="false" outlineLevel="0" collapsed="false">
      <c r="A1195" s="7" t="str">
        <f aca="false">B1195&amp;"."&amp;E1195</f>
        <v>plano_indicadores.chave</v>
      </c>
      <c r="B1195" s="7" t="s">
        <v>203</v>
      </c>
      <c r="C1195" s="7" t="s">
        <v>36</v>
      </c>
      <c r="D1195" s="7" t="n">
        <v>6</v>
      </c>
      <c r="E1195" s="7" t="s">
        <v>387</v>
      </c>
      <c r="F1195" s="7" t="s">
        <v>261</v>
      </c>
      <c r="G1195" s="7" t="s">
        <v>267</v>
      </c>
      <c r="H1195" s="7"/>
      <c r="I1195" s="7"/>
      <c r="J1195" s="7"/>
      <c r="K1195" s="7" t="s">
        <v>1082</v>
      </c>
      <c r="L1195" s="7" t="str">
        <f aca="false">IFERROR(VLOOKUP(IF(ISNUMBER(SEARCH("(",F1195)),LEFT(F1195,SEARCH("(",F1195)-1),F1195),Tipos!$A:$B,2,FALSE()),"outro")</f>
        <v>texto</v>
      </c>
      <c r="M1195" s="7" t="str">
        <f aca="false">IF(COUNTIF(Comparação!$H:$H,A1195)&gt;0,"sim",IF(AND(G1195="sim",H1195=""),"FALTA (obrigatória)","não"))</f>
        <v>não</v>
      </c>
    </row>
    <row r="1196" customFormat="false" ht="15" hidden="false" customHeight="false" outlineLevel="0" collapsed="false">
      <c r="A1196" s="7" t="str">
        <f aca="false">B1196&amp;"."&amp;E1196</f>
        <v>plano_indicadores.unidade</v>
      </c>
      <c r="B1196" s="7" t="s">
        <v>203</v>
      </c>
      <c r="C1196" s="7" t="s">
        <v>36</v>
      </c>
      <c r="D1196" s="7" t="n">
        <v>7</v>
      </c>
      <c r="E1196" s="7" t="s">
        <v>390</v>
      </c>
      <c r="F1196" s="7" t="s">
        <v>261</v>
      </c>
      <c r="G1196" s="7" t="s">
        <v>262</v>
      </c>
      <c r="H1196" s="7" t="s">
        <v>1083</v>
      </c>
      <c r="I1196" s="7"/>
      <c r="J1196" s="7"/>
      <c r="K1196" s="7" t="s">
        <v>1084</v>
      </c>
      <c r="L1196" s="7" t="str">
        <f aca="false">IFERROR(VLOOKUP(IF(ISNUMBER(SEARCH("(",F1196)),LEFT(F1196,SEARCH("(",F1196)-1),F1196),Tipos!$A:$B,2,FALSE()),"outro")</f>
        <v>texto</v>
      </c>
      <c r="M1196" s="7" t="str">
        <f aca="false">IF(COUNTIF(Comparação!$H:$H,A1196)&gt;0,"sim",IF(AND(G1196="sim",H1196=""),"FALTA (obrigatória)","não"))</f>
        <v>não</v>
      </c>
    </row>
    <row r="1197" customFormat="false" ht="15" hidden="false" customHeight="false" outlineLevel="0" collapsed="false">
      <c r="A1197" s="7" t="str">
        <f aca="false">B1197&amp;"."&amp;E1197</f>
        <v>plano_indicadores.sentido</v>
      </c>
      <c r="B1197" s="7" t="s">
        <v>203</v>
      </c>
      <c r="C1197" s="7" t="s">
        <v>36</v>
      </c>
      <c r="D1197" s="7" t="n">
        <v>8</v>
      </c>
      <c r="E1197" s="7" t="s">
        <v>1085</v>
      </c>
      <c r="F1197" s="7" t="s">
        <v>261</v>
      </c>
      <c r="G1197" s="7" t="s">
        <v>262</v>
      </c>
      <c r="H1197" s="7" t="s">
        <v>1086</v>
      </c>
      <c r="I1197" s="7"/>
      <c r="J1197" s="7"/>
      <c r="K1197" s="7" t="s">
        <v>1087</v>
      </c>
      <c r="L1197" s="7" t="str">
        <f aca="false">IFERROR(VLOOKUP(IF(ISNUMBER(SEARCH("(",F1197)),LEFT(F1197,SEARCH("(",F1197)-1),F1197),Tipos!$A:$B,2,FALSE()),"outro")</f>
        <v>texto</v>
      </c>
      <c r="M1197" s="7" t="str">
        <f aca="false">IF(COUNTIF(Comparação!$H:$H,A1197)&gt;0,"sim",IF(AND(G1197="sim",H1197=""),"FALTA (obrigatória)","não"))</f>
        <v>não</v>
      </c>
    </row>
    <row r="1198" customFormat="false" ht="15" hidden="false" customHeight="false" outlineLevel="0" collapsed="false">
      <c r="A1198" s="7" t="str">
        <f aca="false">B1198&amp;"."&amp;E1198</f>
        <v>plano_indicadores.valor_base</v>
      </c>
      <c r="B1198" s="7" t="s">
        <v>203</v>
      </c>
      <c r="C1198" s="7" t="s">
        <v>36</v>
      </c>
      <c r="D1198" s="7" t="n">
        <v>9</v>
      </c>
      <c r="E1198" s="7" t="s">
        <v>824</v>
      </c>
      <c r="F1198" s="7" t="s">
        <v>1088</v>
      </c>
      <c r="G1198" s="7" t="s">
        <v>262</v>
      </c>
      <c r="H1198" s="7" t="s">
        <v>270</v>
      </c>
      <c r="I1198" s="7"/>
      <c r="J1198" s="7"/>
      <c r="K1198" s="7"/>
      <c r="L1198" s="7" t="str">
        <f aca="false">IFERROR(VLOOKUP(IF(ISNUMBER(SEARCH("(",F1198)),LEFT(F1198,SEARCH("(",F1198)-1),F1198),Tipos!$A:$B,2,FALSE()),"outro")</f>
        <v>decimal</v>
      </c>
      <c r="M1198" s="7" t="str">
        <f aca="false">IF(COUNTIF(Comparação!$H:$H,A1198)&gt;0,"sim",IF(AND(G1198="sim",H1198=""),"FALTA (obrigatória)","não"))</f>
        <v>não</v>
      </c>
    </row>
    <row r="1199" customFormat="false" ht="15" hidden="false" customHeight="false" outlineLevel="0" collapsed="false">
      <c r="A1199" s="7" t="str">
        <f aca="false">B1199&amp;"."&amp;E1199</f>
        <v>plano_indicadores.valor_meta</v>
      </c>
      <c r="B1199" s="7" t="s">
        <v>203</v>
      </c>
      <c r="C1199" s="7" t="s">
        <v>36</v>
      </c>
      <c r="D1199" s="7" t="n">
        <v>10</v>
      </c>
      <c r="E1199" s="7" t="s">
        <v>1089</v>
      </c>
      <c r="F1199" s="7" t="s">
        <v>1088</v>
      </c>
      <c r="G1199" s="7" t="s">
        <v>262</v>
      </c>
      <c r="H1199" s="7"/>
      <c r="I1199" s="7"/>
      <c r="J1199" s="7"/>
      <c r="K1199" s="7"/>
      <c r="L1199" s="7" t="str">
        <f aca="false">IFERROR(VLOOKUP(IF(ISNUMBER(SEARCH("(",F1199)),LEFT(F1199,SEARCH("(",F1199)-1),F1199),Tipos!$A:$B,2,FALSE()),"outro")</f>
        <v>decimal</v>
      </c>
      <c r="M1199" s="7" t="str">
        <f aca="false">IF(COUNTIF(Comparação!$H:$H,A1199)&gt;0,"sim",IF(AND(G1199="sim",H1199=""),"FALTA (obrigatória)","não"))</f>
        <v>FALTA (obrigatória)</v>
      </c>
    </row>
    <row r="1200" customFormat="false" ht="15" hidden="false" customHeight="false" outlineLevel="0" collapsed="false">
      <c r="A1200" s="7" t="str">
        <f aca="false">B1200&amp;"."&amp;E1200</f>
        <v>plano_indicadores.valor_atual</v>
      </c>
      <c r="B1200" s="7" t="s">
        <v>203</v>
      </c>
      <c r="C1200" s="7" t="s">
        <v>36</v>
      </c>
      <c r="D1200" s="7" t="n">
        <v>11</v>
      </c>
      <c r="E1200" s="7" t="s">
        <v>1090</v>
      </c>
      <c r="F1200" s="7" t="s">
        <v>1088</v>
      </c>
      <c r="G1200" s="7" t="s">
        <v>267</v>
      </c>
      <c r="H1200" s="7"/>
      <c r="I1200" s="7"/>
      <c r="J1200" s="7"/>
      <c r="K1200" s="7"/>
      <c r="L1200" s="7" t="str">
        <f aca="false">IFERROR(VLOOKUP(IF(ISNUMBER(SEARCH("(",F1200)),LEFT(F1200,SEARCH("(",F1200)-1),F1200),Tipos!$A:$B,2,FALSE()),"outro")</f>
        <v>decimal</v>
      </c>
      <c r="M1200" s="7" t="str">
        <f aca="false">IF(COUNTIF(Comparação!$H:$H,A1200)&gt;0,"sim",IF(AND(G1200="sim",H1200=""),"FALTA (obrigatória)","não"))</f>
        <v>não</v>
      </c>
    </row>
    <row r="1201" customFormat="false" ht="15" hidden="false" customHeight="false" outlineLevel="0" collapsed="false">
      <c r="A1201" s="7" t="str">
        <f aca="false">B1201&amp;"."&amp;E1201</f>
        <v>plano_indicadores.responsavel</v>
      </c>
      <c r="B1201" s="7" t="s">
        <v>203</v>
      </c>
      <c r="C1201" s="7" t="s">
        <v>36</v>
      </c>
      <c r="D1201" s="7" t="n">
        <v>12</v>
      </c>
      <c r="E1201" s="7" t="s">
        <v>433</v>
      </c>
      <c r="F1201" s="7" t="s">
        <v>261</v>
      </c>
      <c r="G1201" s="7" t="s">
        <v>267</v>
      </c>
      <c r="H1201" s="7"/>
      <c r="I1201" s="7"/>
      <c r="J1201" s="7"/>
      <c r="K1201" s="7"/>
      <c r="L1201" s="7" t="str">
        <f aca="false">IFERROR(VLOOKUP(IF(ISNUMBER(SEARCH("(",F1201)),LEFT(F1201,SEARCH("(",F1201)-1),F1201),Tipos!$A:$B,2,FALSE()),"outro")</f>
        <v>texto</v>
      </c>
      <c r="M1201" s="7" t="str">
        <f aca="false">IF(COUNTIF(Comparação!$H:$H,A1201)&gt;0,"sim",IF(AND(G1201="sim",H1201=""),"FALTA (obrigatória)","não"))</f>
        <v>não</v>
      </c>
    </row>
    <row r="1202" customFormat="false" ht="15" hidden="false" customHeight="false" outlineLevel="0" collapsed="false">
      <c r="A1202" s="7" t="str">
        <f aca="false">B1202&amp;"."&amp;E1202</f>
        <v>plano_indicadores.faixa_ruim</v>
      </c>
      <c r="B1202" s="7" t="s">
        <v>203</v>
      </c>
      <c r="C1202" s="7" t="s">
        <v>36</v>
      </c>
      <c r="D1202" s="7" t="n">
        <v>13</v>
      </c>
      <c r="E1202" s="7" t="s">
        <v>1091</v>
      </c>
      <c r="F1202" s="7" t="s">
        <v>380</v>
      </c>
      <c r="G1202" s="7" t="s">
        <v>267</v>
      </c>
      <c r="H1202" s="7"/>
      <c r="I1202" s="7"/>
      <c r="J1202" s="7"/>
      <c r="K1202" s="7"/>
      <c r="L1202" s="7" t="str">
        <f aca="false">IFERROR(VLOOKUP(IF(ISNUMBER(SEARCH("(",F1202)),LEFT(F1202,SEARCH("(",F1202)-1),F1202),Tipos!$A:$B,2,FALSE()),"outro")</f>
        <v>decimal</v>
      </c>
      <c r="M1202" s="7" t="str">
        <f aca="false">IF(COUNTIF(Comparação!$H:$H,A1202)&gt;0,"sim",IF(AND(G1202="sim",H1202=""),"FALTA (obrigatória)","não"))</f>
        <v>não</v>
      </c>
    </row>
    <row r="1203" customFormat="false" ht="15" hidden="false" customHeight="false" outlineLevel="0" collapsed="false">
      <c r="A1203" s="7" t="str">
        <f aca="false">B1203&amp;"."&amp;E1203</f>
        <v>plano_indicadores.faixa_otimo</v>
      </c>
      <c r="B1203" s="7" t="s">
        <v>203</v>
      </c>
      <c r="C1203" s="7" t="s">
        <v>36</v>
      </c>
      <c r="D1203" s="7" t="n">
        <v>14</v>
      </c>
      <c r="E1203" s="7" t="s">
        <v>1092</v>
      </c>
      <c r="F1203" s="7" t="s">
        <v>380</v>
      </c>
      <c r="G1203" s="7" t="s">
        <v>267</v>
      </c>
      <c r="H1203" s="7"/>
      <c r="I1203" s="7"/>
      <c r="J1203" s="7"/>
      <c r="K1203" s="7"/>
      <c r="L1203" s="7" t="str">
        <f aca="false">IFERROR(VLOOKUP(IF(ISNUMBER(SEARCH("(",F1203)),LEFT(F1203,SEARCH("(",F1203)-1),F1203),Tipos!$A:$B,2,FALSE()),"outro")</f>
        <v>decimal</v>
      </c>
      <c r="M1203" s="7" t="str">
        <f aca="false">IF(COUNTIF(Comparação!$H:$H,A1203)&gt;0,"sim",IF(AND(G1203="sim",H1203=""),"FALTA (obrigatória)","não"))</f>
        <v>não</v>
      </c>
    </row>
    <row r="1204" customFormat="false" ht="15" hidden="false" customHeight="false" outlineLevel="0" collapsed="false">
      <c r="A1204" s="7" t="str">
        <f aca="false">B1204&amp;"."&amp;E1204</f>
        <v>plano_metas.id</v>
      </c>
      <c r="B1204" s="7" t="s">
        <v>205</v>
      </c>
      <c r="C1204" s="7" t="s">
        <v>36</v>
      </c>
      <c r="D1204" s="7" t="n">
        <v>1</v>
      </c>
      <c r="E1204" s="7" t="s">
        <v>271</v>
      </c>
      <c r="F1204" s="7" t="s">
        <v>272</v>
      </c>
      <c r="G1204" s="7" t="s">
        <v>262</v>
      </c>
      <c r="H1204" s="7" t="s">
        <v>273</v>
      </c>
      <c r="I1204" s="7" t="s">
        <v>263</v>
      </c>
      <c r="J1204" s="7"/>
      <c r="K1204" s="7"/>
      <c r="L1204" s="7" t="str">
        <f aca="false">IFERROR(VLOOKUP(IF(ISNUMBER(SEARCH("(",F1204)),LEFT(F1204,SEARCH("(",F1204)-1),F1204),Tipos!$A:$B,2,FALSE()),"outro")</f>
        <v>uuid</v>
      </c>
      <c r="M1204" s="7" t="str">
        <f aca="false">IF(COUNTIF(Comparação!$H:$H,A1204)&gt;0,"sim",IF(AND(G1204="sim",H1204=""),"FALTA (obrigatória)","não"))</f>
        <v>não</v>
      </c>
    </row>
    <row r="1205" customFormat="false" ht="15" hidden="false" customHeight="false" outlineLevel="0" collapsed="false">
      <c r="A1205" s="7" t="str">
        <f aca="false">B1205&amp;"."&amp;E1205</f>
        <v>plano_metas.workspace_id</v>
      </c>
      <c r="B1205" s="7" t="s">
        <v>205</v>
      </c>
      <c r="C1205" s="7" t="s">
        <v>36</v>
      </c>
      <c r="D1205" s="7" t="n">
        <v>2</v>
      </c>
      <c r="E1205" s="7" t="s">
        <v>274</v>
      </c>
      <c r="F1205" s="7" t="s">
        <v>272</v>
      </c>
      <c r="G1205" s="7" t="s">
        <v>262</v>
      </c>
      <c r="H1205" s="7"/>
      <c r="I1205" s="7"/>
      <c r="J1205" s="7" t="s">
        <v>275</v>
      </c>
      <c r="K1205" s="7"/>
      <c r="L1205" s="7" t="str">
        <f aca="false">IFERROR(VLOOKUP(IF(ISNUMBER(SEARCH("(",F1205)),LEFT(F1205,SEARCH("(",F1205)-1),F1205),Tipos!$A:$B,2,FALSE()),"outro")</f>
        <v>uuid</v>
      </c>
      <c r="M1205" s="7" t="str">
        <f aca="false">IF(COUNTIF(Comparação!$H:$H,A1205)&gt;0,"sim",IF(AND(G1205="sim",H1205=""),"FALTA (obrigatória)","não"))</f>
        <v>FALTA (obrigatória)</v>
      </c>
    </row>
    <row r="1206" customFormat="false" ht="15" hidden="false" customHeight="false" outlineLevel="0" collapsed="false">
      <c r="A1206" s="7" t="str">
        <f aca="false">B1206&amp;"."&amp;E1206</f>
        <v>plano_metas.plano_id</v>
      </c>
      <c r="B1206" s="7" t="s">
        <v>205</v>
      </c>
      <c r="C1206" s="7" t="s">
        <v>36</v>
      </c>
      <c r="D1206" s="7" t="n">
        <v>3</v>
      </c>
      <c r="E1206" s="7" t="s">
        <v>1078</v>
      </c>
      <c r="F1206" s="7" t="s">
        <v>272</v>
      </c>
      <c r="G1206" s="7" t="s">
        <v>262</v>
      </c>
      <c r="H1206" s="7"/>
      <c r="I1206" s="7"/>
      <c r="J1206" s="7" t="s">
        <v>1079</v>
      </c>
      <c r="K1206" s="7"/>
      <c r="L1206" s="7" t="str">
        <f aca="false">IFERROR(VLOOKUP(IF(ISNUMBER(SEARCH("(",F1206)),LEFT(F1206,SEARCH("(",F1206)-1),F1206),Tipos!$A:$B,2,FALSE()),"outro")</f>
        <v>uuid</v>
      </c>
      <c r="M1206" s="7" t="str">
        <f aca="false">IF(COUNTIF(Comparação!$H:$H,A1206)&gt;0,"sim",IF(AND(G1206="sim",H1206=""),"FALTA (obrigatória)","não"))</f>
        <v>FALTA (obrigatória)</v>
      </c>
    </row>
    <row r="1207" customFormat="false" ht="15" hidden="false" customHeight="false" outlineLevel="0" collapsed="false">
      <c r="A1207" s="7" t="str">
        <f aca="false">B1207&amp;"."&amp;E1207</f>
        <v>plano_metas.indicador_id</v>
      </c>
      <c r="B1207" s="7" t="s">
        <v>205</v>
      </c>
      <c r="C1207" s="7" t="s">
        <v>36</v>
      </c>
      <c r="D1207" s="7" t="n">
        <v>4</v>
      </c>
      <c r="E1207" s="7" t="s">
        <v>1093</v>
      </c>
      <c r="F1207" s="7" t="s">
        <v>272</v>
      </c>
      <c r="G1207" s="7" t="s">
        <v>267</v>
      </c>
      <c r="H1207" s="7"/>
      <c r="I1207" s="7"/>
      <c r="J1207" s="7" t="s">
        <v>1094</v>
      </c>
      <c r="K1207" s="7"/>
      <c r="L1207" s="7" t="str">
        <f aca="false">IFERROR(VLOOKUP(IF(ISNUMBER(SEARCH("(",F1207)),LEFT(F1207,SEARCH("(",F1207)-1),F1207),Tipos!$A:$B,2,FALSE()),"outro")</f>
        <v>uuid</v>
      </c>
      <c r="M1207" s="7" t="str">
        <f aca="false">IF(COUNTIF(Comparação!$H:$H,A1207)&gt;0,"sim",IF(AND(G1207="sim",H1207=""),"FALTA (obrigatória)","não"))</f>
        <v>não</v>
      </c>
    </row>
    <row r="1208" customFormat="false" ht="15" hidden="false" customHeight="false" outlineLevel="0" collapsed="false">
      <c r="A1208" s="7" t="str">
        <f aca="false">B1208&amp;"."&amp;E1208</f>
        <v>plano_metas.setor</v>
      </c>
      <c r="B1208" s="7" t="s">
        <v>205</v>
      </c>
      <c r="C1208" s="7" t="s">
        <v>36</v>
      </c>
      <c r="D1208" s="7" t="n">
        <v>5</v>
      </c>
      <c r="E1208" s="7" t="s">
        <v>1095</v>
      </c>
      <c r="F1208" s="7" t="s">
        <v>261</v>
      </c>
      <c r="G1208" s="7" t="s">
        <v>262</v>
      </c>
      <c r="H1208" s="7"/>
      <c r="I1208" s="7"/>
      <c r="J1208" s="7"/>
      <c r="K1208" s="7" t="s">
        <v>1096</v>
      </c>
      <c r="L1208" s="7" t="str">
        <f aca="false">IFERROR(VLOOKUP(IF(ISNUMBER(SEARCH("(",F1208)),LEFT(F1208,SEARCH("(",F1208)-1),F1208),Tipos!$A:$B,2,FALSE()),"outro")</f>
        <v>texto</v>
      </c>
      <c r="M1208" s="7" t="str">
        <f aca="false">IF(COUNTIF(Comparação!$H:$H,A1208)&gt;0,"sim",IF(AND(G1208="sim",H1208=""),"FALTA (obrigatória)","não"))</f>
        <v>FALTA (obrigatória)</v>
      </c>
    </row>
    <row r="1209" customFormat="false" ht="15" hidden="false" customHeight="false" outlineLevel="0" collapsed="false">
      <c r="A1209" s="7" t="str">
        <f aca="false">B1209&amp;"."&amp;E1209</f>
        <v>plano_metas.titulo</v>
      </c>
      <c r="B1209" s="7" t="s">
        <v>205</v>
      </c>
      <c r="C1209" s="7" t="s">
        <v>36</v>
      </c>
      <c r="D1209" s="7" t="n">
        <v>6</v>
      </c>
      <c r="E1209" s="7" t="s">
        <v>425</v>
      </c>
      <c r="F1209" s="7" t="s">
        <v>261</v>
      </c>
      <c r="G1209" s="7" t="s">
        <v>262</v>
      </c>
      <c r="H1209" s="7"/>
      <c r="I1209" s="7"/>
      <c r="J1209" s="7"/>
      <c r="K1209" s="7"/>
      <c r="L1209" s="7" t="str">
        <f aca="false">IFERROR(VLOOKUP(IF(ISNUMBER(SEARCH("(",F1209)),LEFT(F1209,SEARCH("(",F1209)-1),F1209),Tipos!$A:$B,2,FALSE()),"outro")</f>
        <v>texto</v>
      </c>
      <c r="M1209" s="7" t="str">
        <f aca="false">IF(COUNTIF(Comparação!$H:$H,A1209)&gt;0,"sim",IF(AND(G1209="sim",H1209=""),"FALTA (obrigatória)","não"))</f>
        <v>FALTA (obrigatória)</v>
      </c>
    </row>
    <row r="1210" customFormat="false" ht="15" hidden="false" customHeight="false" outlineLevel="0" collapsed="false">
      <c r="A1210" s="7" t="str">
        <f aca="false">B1210&amp;"."&amp;E1210</f>
        <v>plano_metas.chave</v>
      </c>
      <c r="B1210" s="7" t="s">
        <v>205</v>
      </c>
      <c r="C1210" s="7" t="s">
        <v>36</v>
      </c>
      <c r="D1210" s="7" t="n">
        <v>7</v>
      </c>
      <c r="E1210" s="7" t="s">
        <v>387</v>
      </c>
      <c r="F1210" s="7" t="s">
        <v>261</v>
      </c>
      <c r="G1210" s="7" t="s">
        <v>267</v>
      </c>
      <c r="H1210" s="7"/>
      <c r="I1210" s="7"/>
      <c r="J1210" s="7"/>
      <c r="K1210" s="7" t="s">
        <v>1097</v>
      </c>
      <c r="L1210" s="7" t="str">
        <f aca="false">IFERROR(VLOOKUP(IF(ISNUMBER(SEARCH("(",F1210)),LEFT(F1210,SEARCH("(",F1210)-1),F1210),Tipos!$A:$B,2,FALSE()),"outro")</f>
        <v>texto</v>
      </c>
      <c r="M1210" s="7" t="str">
        <f aca="false">IF(COUNTIF(Comparação!$H:$H,A1210)&gt;0,"sim",IF(AND(G1210="sim",H1210=""),"FALTA (obrigatória)","não"))</f>
        <v>não</v>
      </c>
    </row>
    <row r="1211" customFormat="false" ht="15" hidden="false" customHeight="false" outlineLevel="0" collapsed="false">
      <c r="A1211" s="7" t="str">
        <f aca="false">B1211&amp;"."&amp;E1211</f>
        <v>plano_metas.unidade</v>
      </c>
      <c r="B1211" s="7" t="s">
        <v>205</v>
      </c>
      <c r="C1211" s="7" t="s">
        <v>36</v>
      </c>
      <c r="D1211" s="7" t="n">
        <v>8</v>
      </c>
      <c r="E1211" s="7" t="s">
        <v>390</v>
      </c>
      <c r="F1211" s="7" t="s">
        <v>261</v>
      </c>
      <c r="G1211" s="7" t="s">
        <v>262</v>
      </c>
      <c r="H1211" s="7" t="s">
        <v>1083</v>
      </c>
      <c r="I1211" s="7"/>
      <c r="J1211" s="7"/>
      <c r="K1211" s="7" t="s">
        <v>1084</v>
      </c>
      <c r="L1211" s="7" t="str">
        <f aca="false">IFERROR(VLOOKUP(IF(ISNUMBER(SEARCH("(",F1211)),LEFT(F1211,SEARCH("(",F1211)-1),F1211),Tipos!$A:$B,2,FALSE()),"outro")</f>
        <v>texto</v>
      </c>
      <c r="M1211" s="7" t="str">
        <f aca="false">IF(COUNTIF(Comparação!$H:$H,A1211)&gt;0,"sim",IF(AND(G1211="sim",H1211=""),"FALTA (obrigatória)","não"))</f>
        <v>não</v>
      </c>
    </row>
    <row r="1212" customFormat="false" ht="15" hidden="false" customHeight="false" outlineLevel="0" collapsed="false">
      <c r="A1212" s="7" t="str">
        <f aca="false">B1212&amp;"."&amp;E1212</f>
        <v>plano_metas.sentido</v>
      </c>
      <c r="B1212" s="7" t="s">
        <v>205</v>
      </c>
      <c r="C1212" s="7" t="s">
        <v>36</v>
      </c>
      <c r="D1212" s="7" t="n">
        <v>9</v>
      </c>
      <c r="E1212" s="7" t="s">
        <v>1085</v>
      </c>
      <c r="F1212" s="7" t="s">
        <v>261</v>
      </c>
      <c r="G1212" s="7" t="s">
        <v>262</v>
      </c>
      <c r="H1212" s="7" t="s">
        <v>1086</v>
      </c>
      <c r="I1212" s="7"/>
      <c r="J1212" s="7"/>
      <c r="K1212" s="7" t="s">
        <v>1087</v>
      </c>
      <c r="L1212" s="7" t="str">
        <f aca="false">IFERROR(VLOOKUP(IF(ISNUMBER(SEARCH("(",F1212)),LEFT(F1212,SEARCH("(",F1212)-1),F1212),Tipos!$A:$B,2,FALSE()),"outro")</f>
        <v>texto</v>
      </c>
      <c r="M1212" s="7" t="str">
        <f aca="false">IF(COUNTIF(Comparação!$H:$H,A1212)&gt;0,"sim",IF(AND(G1212="sim",H1212=""),"FALTA (obrigatória)","não"))</f>
        <v>não</v>
      </c>
    </row>
    <row r="1213" customFormat="false" ht="15" hidden="false" customHeight="false" outlineLevel="0" collapsed="false">
      <c r="A1213" s="7" t="str">
        <f aca="false">B1213&amp;"."&amp;E1213</f>
        <v>plano_metas.valor_base</v>
      </c>
      <c r="B1213" s="7" t="s">
        <v>205</v>
      </c>
      <c r="C1213" s="7" t="s">
        <v>36</v>
      </c>
      <c r="D1213" s="7" t="n">
        <v>10</v>
      </c>
      <c r="E1213" s="7" t="s">
        <v>824</v>
      </c>
      <c r="F1213" s="7" t="s">
        <v>1088</v>
      </c>
      <c r="G1213" s="7" t="s">
        <v>262</v>
      </c>
      <c r="H1213" s="7" t="s">
        <v>270</v>
      </c>
      <c r="I1213" s="7"/>
      <c r="J1213" s="7"/>
      <c r="K1213" s="7"/>
      <c r="L1213" s="7" t="str">
        <f aca="false">IFERROR(VLOOKUP(IF(ISNUMBER(SEARCH("(",F1213)),LEFT(F1213,SEARCH("(",F1213)-1),F1213),Tipos!$A:$B,2,FALSE()),"outro")</f>
        <v>decimal</v>
      </c>
      <c r="M1213" s="7" t="str">
        <f aca="false">IF(COUNTIF(Comparação!$H:$H,A1213)&gt;0,"sim",IF(AND(G1213="sim",H1213=""),"FALTA (obrigatória)","não"))</f>
        <v>não</v>
      </c>
    </row>
    <row r="1214" customFormat="false" ht="15" hidden="false" customHeight="false" outlineLevel="0" collapsed="false">
      <c r="A1214" s="7" t="str">
        <f aca="false">B1214&amp;"."&amp;E1214</f>
        <v>plano_metas.valor_meta</v>
      </c>
      <c r="B1214" s="7" t="s">
        <v>205</v>
      </c>
      <c r="C1214" s="7" t="s">
        <v>36</v>
      </c>
      <c r="D1214" s="7" t="n">
        <v>11</v>
      </c>
      <c r="E1214" s="7" t="s">
        <v>1089</v>
      </c>
      <c r="F1214" s="7" t="s">
        <v>1088</v>
      </c>
      <c r="G1214" s="7" t="s">
        <v>262</v>
      </c>
      <c r="H1214" s="7"/>
      <c r="I1214" s="7"/>
      <c r="J1214" s="7"/>
      <c r="K1214" s="7"/>
      <c r="L1214" s="7" t="str">
        <f aca="false">IFERROR(VLOOKUP(IF(ISNUMBER(SEARCH("(",F1214)),LEFT(F1214,SEARCH("(",F1214)-1),F1214),Tipos!$A:$B,2,FALSE()),"outro")</f>
        <v>decimal</v>
      </c>
      <c r="M1214" s="7" t="str">
        <f aca="false">IF(COUNTIF(Comparação!$H:$H,A1214)&gt;0,"sim",IF(AND(G1214="sim",H1214=""),"FALTA (obrigatória)","não"))</f>
        <v>FALTA (obrigatória)</v>
      </c>
    </row>
    <row r="1215" customFormat="false" ht="15" hidden="false" customHeight="false" outlineLevel="0" collapsed="false">
      <c r="A1215" s="7" t="str">
        <f aca="false">B1215&amp;"."&amp;E1215</f>
        <v>plano_metas.valor_atual</v>
      </c>
      <c r="B1215" s="7" t="s">
        <v>205</v>
      </c>
      <c r="C1215" s="7" t="s">
        <v>36</v>
      </c>
      <c r="D1215" s="7" t="n">
        <v>12</v>
      </c>
      <c r="E1215" s="7" t="s">
        <v>1090</v>
      </c>
      <c r="F1215" s="7" t="s">
        <v>1088</v>
      </c>
      <c r="G1215" s="7" t="s">
        <v>267</v>
      </c>
      <c r="H1215" s="7"/>
      <c r="I1215" s="7"/>
      <c r="J1215" s="7"/>
      <c r="K1215" s="7"/>
      <c r="L1215" s="7" t="str">
        <f aca="false">IFERROR(VLOOKUP(IF(ISNUMBER(SEARCH("(",F1215)),LEFT(F1215,SEARCH("(",F1215)-1),F1215),Tipos!$A:$B,2,FALSE()),"outro")</f>
        <v>decimal</v>
      </c>
      <c r="M1215" s="7" t="str">
        <f aca="false">IF(COUNTIF(Comparação!$H:$H,A1215)&gt;0,"sim",IF(AND(G1215="sim",H1215=""),"FALTA (obrigatória)","não"))</f>
        <v>não</v>
      </c>
    </row>
    <row r="1216" customFormat="false" ht="15" hidden="false" customHeight="false" outlineLevel="0" collapsed="false">
      <c r="A1216" s="7" t="str">
        <f aca="false">B1216&amp;"."&amp;E1216</f>
        <v>plano_metas.prazo</v>
      </c>
      <c r="B1216" s="7" t="s">
        <v>205</v>
      </c>
      <c r="C1216" s="7" t="s">
        <v>36</v>
      </c>
      <c r="D1216" s="7" t="n">
        <v>13</v>
      </c>
      <c r="E1216" s="7" t="s">
        <v>432</v>
      </c>
      <c r="F1216" s="7" t="s">
        <v>379</v>
      </c>
      <c r="G1216" s="7" t="s">
        <v>267</v>
      </c>
      <c r="H1216" s="7"/>
      <c r="I1216" s="7"/>
      <c r="J1216" s="7"/>
      <c r="K1216" s="7"/>
      <c r="L1216" s="7" t="str">
        <f aca="false">IFERROR(VLOOKUP(IF(ISNUMBER(SEARCH("(",F1216)),LEFT(F1216,SEARCH("(",F1216)-1),F1216),Tipos!$A:$B,2,FALSE()),"outro")</f>
        <v>data</v>
      </c>
      <c r="M1216" s="7" t="str">
        <f aca="false">IF(COUNTIF(Comparação!$H:$H,A1216)&gt;0,"sim",IF(AND(G1216="sim",H1216=""),"FALTA (obrigatória)","não"))</f>
        <v>não</v>
      </c>
    </row>
    <row r="1217" customFormat="false" ht="15" hidden="false" customHeight="false" outlineLevel="0" collapsed="false">
      <c r="A1217" s="7" t="str">
        <f aca="false">B1217&amp;"."&amp;E1217</f>
        <v>plano_metas.responsavel</v>
      </c>
      <c r="B1217" s="7" t="s">
        <v>205</v>
      </c>
      <c r="C1217" s="7" t="s">
        <v>36</v>
      </c>
      <c r="D1217" s="7" t="n">
        <v>14</v>
      </c>
      <c r="E1217" s="7" t="s">
        <v>433</v>
      </c>
      <c r="F1217" s="7" t="s">
        <v>261</v>
      </c>
      <c r="G1217" s="7" t="s">
        <v>267</v>
      </c>
      <c r="H1217" s="7"/>
      <c r="I1217" s="7"/>
      <c r="J1217" s="7"/>
      <c r="K1217" s="7"/>
      <c r="L1217" s="7" t="str">
        <f aca="false">IFERROR(VLOOKUP(IF(ISNUMBER(SEARCH("(",F1217)),LEFT(F1217,SEARCH("(",F1217)-1),F1217),Tipos!$A:$B,2,FALSE()),"outro")</f>
        <v>texto</v>
      </c>
      <c r="M1217" s="7" t="str">
        <f aca="false">IF(COUNTIF(Comparação!$H:$H,A1217)&gt;0,"sim",IF(AND(G1217="sim",H1217=""),"FALTA (obrigatória)","não"))</f>
        <v>não</v>
      </c>
    </row>
    <row r="1218" customFormat="false" ht="15" hidden="false" customHeight="false" outlineLevel="0" collapsed="false">
      <c r="A1218" s="7" t="str">
        <f aca="false">B1218&amp;"."&amp;E1218</f>
        <v>plano_metas.status</v>
      </c>
      <c r="B1218" s="7" t="s">
        <v>205</v>
      </c>
      <c r="C1218" s="7" t="s">
        <v>36</v>
      </c>
      <c r="D1218" s="7" t="n">
        <v>15</v>
      </c>
      <c r="E1218" s="7" t="s">
        <v>293</v>
      </c>
      <c r="F1218" s="7" t="s">
        <v>261</v>
      </c>
      <c r="G1218" s="7" t="s">
        <v>262</v>
      </c>
      <c r="H1218" s="7" t="s">
        <v>1098</v>
      </c>
      <c r="I1218" s="7"/>
      <c r="J1218" s="7"/>
      <c r="K1218" s="7" t="s">
        <v>1099</v>
      </c>
      <c r="L1218" s="7" t="str">
        <f aca="false">IFERROR(VLOOKUP(IF(ISNUMBER(SEARCH("(",F1218)),LEFT(F1218,SEARCH("(",F1218)-1),F1218),Tipos!$A:$B,2,FALSE()),"outro")</f>
        <v>texto</v>
      </c>
      <c r="M1218" s="7" t="str">
        <f aca="false">IF(COUNTIF(Comparação!$H:$H,A1218)&gt;0,"sim",IF(AND(G1218="sim",H1218=""),"FALTA (obrigatória)","não"))</f>
        <v>não</v>
      </c>
    </row>
    <row r="1219" customFormat="false" ht="15" hidden="false" customHeight="false" outlineLevel="0" collapsed="false">
      <c r="A1219" s="7" t="str">
        <f aca="false">B1219&amp;"."&amp;E1219</f>
        <v>plano_objetivos.id</v>
      </c>
      <c r="B1219" s="7" t="s">
        <v>207</v>
      </c>
      <c r="C1219" s="7" t="s">
        <v>36</v>
      </c>
      <c r="D1219" s="7" t="n">
        <v>1</v>
      </c>
      <c r="E1219" s="7" t="s">
        <v>271</v>
      </c>
      <c r="F1219" s="7" t="s">
        <v>272</v>
      </c>
      <c r="G1219" s="7" t="s">
        <v>262</v>
      </c>
      <c r="H1219" s="7" t="s">
        <v>273</v>
      </c>
      <c r="I1219" s="7" t="s">
        <v>263</v>
      </c>
      <c r="J1219" s="7"/>
      <c r="K1219" s="7"/>
      <c r="L1219" s="7" t="str">
        <f aca="false">IFERROR(VLOOKUP(IF(ISNUMBER(SEARCH("(",F1219)),LEFT(F1219,SEARCH("(",F1219)-1),F1219),Tipos!$A:$B,2,FALSE()),"outro")</f>
        <v>uuid</v>
      </c>
      <c r="M1219" s="7" t="str">
        <f aca="false">IF(COUNTIF(Comparação!$H:$H,A1219)&gt;0,"sim",IF(AND(G1219="sim",H1219=""),"FALTA (obrigatória)","não"))</f>
        <v>não</v>
      </c>
    </row>
    <row r="1220" customFormat="false" ht="15" hidden="false" customHeight="false" outlineLevel="0" collapsed="false">
      <c r="A1220" s="7" t="str">
        <f aca="false">B1220&amp;"."&amp;E1220</f>
        <v>plano_objetivos.workspace_id</v>
      </c>
      <c r="B1220" s="7" t="s">
        <v>207</v>
      </c>
      <c r="C1220" s="7" t="s">
        <v>36</v>
      </c>
      <c r="D1220" s="7" t="n">
        <v>2</v>
      </c>
      <c r="E1220" s="7" t="s">
        <v>274</v>
      </c>
      <c r="F1220" s="7" t="s">
        <v>272</v>
      </c>
      <c r="G1220" s="7" t="s">
        <v>262</v>
      </c>
      <c r="H1220" s="7"/>
      <c r="I1220" s="7"/>
      <c r="J1220" s="7" t="s">
        <v>275</v>
      </c>
      <c r="K1220" s="7"/>
      <c r="L1220" s="7" t="str">
        <f aca="false">IFERROR(VLOOKUP(IF(ISNUMBER(SEARCH("(",F1220)),LEFT(F1220,SEARCH("(",F1220)-1),F1220),Tipos!$A:$B,2,FALSE()),"outro")</f>
        <v>uuid</v>
      </c>
      <c r="M1220" s="7" t="str">
        <f aca="false">IF(COUNTIF(Comparação!$H:$H,A1220)&gt;0,"sim",IF(AND(G1220="sim",H1220=""),"FALTA (obrigatória)","não"))</f>
        <v>FALTA (obrigatória)</v>
      </c>
    </row>
    <row r="1221" customFormat="false" ht="15" hidden="false" customHeight="false" outlineLevel="0" collapsed="false">
      <c r="A1221" s="7" t="str">
        <f aca="false">B1221&amp;"."&amp;E1221</f>
        <v>plano_objetivos.plano_id</v>
      </c>
      <c r="B1221" s="7" t="s">
        <v>207</v>
      </c>
      <c r="C1221" s="7" t="s">
        <v>36</v>
      </c>
      <c r="D1221" s="7" t="n">
        <v>3</v>
      </c>
      <c r="E1221" s="7" t="s">
        <v>1078</v>
      </c>
      <c r="F1221" s="7" t="s">
        <v>272</v>
      </c>
      <c r="G1221" s="7" t="s">
        <v>262</v>
      </c>
      <c r="H1221" s="7"/>
      <c r="I1221" s="7"/>
      <c r="J1221" s="7" t="s">
        <v>1079</v>
      </c>
      <c r="K1221" s="7"/>
      <c r="L1221" s="7" t="str">
        <f aca="false">IFERROR(VLOOKUP(IF(ISNUMBER(SEARCH("(",F1221)),LEFT(F1221,SEARCH("(",F1221)-1),F1221),Tipos!$A:$B,2,FALSE()),"outro")</f>
        <v>uuid</v>
      </c>
      <c r="M1221" s="7" t="str">
        <f aca="false">IF(COUNTIF(Comparação!$H:$H,A1221)&gt;0,"sim",IF(AND(G1221="sim",H1221=""),"FALTA (obrigatória)","não"))</f>
        <v>FALTA (obrigatória)</v>
      </c>
    </row>
    <row r="1222" customFormat="false" ht="15" hidden="false" customHeight="false" outlineLevel="0" collapsed="false">
      <c r="A1222" s="7" t="str">
        <f aca="false">B1222&amp;"."&amp;E1222</f>
        <v>plano_objetivos.titulo</v>
      </c>
      <c r="B1222" s="7" t="s">
        <v>207</v>
      </c>
      <c r="C1222" s="7" t="s">
        <v>36</v>
      </c>
      <c r="D1222" s="7" t="n">
        <v>4</v>
      </c>
      <c r="E1222" s="7" t="s">
        <v>425</v>
      </c>
      <c r="F1222" s="7" t="s">
        <v>261</v>
      </c>
      <c r="G1222" s="7" t="s">
        <v>262</v>
      </c>
      <c r="H1222" s="7"/>
      <c r="I1222" s="7"/>
      <c r="J1222" s="7"/>
      <c r="K1222" s="7"/>
      <c r="L1222" s="7" t="str">
        <f aca="false">IFERROR(VLOOKUP(IF(ISNUMBER(SEARCH("(",F1222)),LEFT(F1222,SEARCH("(",F1222)-1),F1222),Tipos!$A:$B,2,FALSE()),"outro")</f>
        <v>texto</v>
      </c>
      <c r="M1222" s="7" t="str">
        <f aca="false">IF(COUNTIF(Comparação!$H:$H,A1222)&gt;0,"sim",IF(AND(G1222="sim",H1222=""),"FALTA (obrigatória)","não"))</f>
        <v>FALTA (obrigatória)</v>
      </c>
    </row>
    <row r="1223" customFormat="false" ht="15" hidden="false" customHeight="false" outlineLevel="0" collapsed="false">
      <c r="A1223" s="7" t="str">
        <f aca="false">B1223&amp;"."&amp;E1223</f>
        <v>plano_objetivos.descricao</v>
      </c>
      <c r="B1223" s="7" t="s">
        <v>207</v>
      </c>
      <c r="C1223" s="7" t="s">
        <v>36</v>
      </c>
      <c r="D1223" s="7" t="n">
        <v>5</v>
      </c>
      <c r="E1223" s="7" t="s">
        <v>427</v>
      </c>
      <c r="F1223" s="7" t="s">
        <v>261</v>
      </c>
      <c r="G1223" s="7" t="s">
        <v>267</v>
      </c>
      <c r="H1223" s="7"/>
      <c r="I1223" s="7"/>
      <c r="J1223" s="7"/>
      <c r="K1223" s="7"/>
      <c r="L1223" s="7" t="str">
        <f aca="false">IFERROR(VLOOKUP(IF(ISNUMBER(SEARCH("(",F1223)),LEFT(F1223,SEARCH("(",F1223)-1),F1223),Tipos!$A:$B,2,FALSE()),"outro")</f>
        <v>texto</v>
      </c>
      <c r="M1223" s="7" t="str">
        <f aca="false">IF(COUNTIF(Comparação!$H:$H,A1223)&gt;0,"sim",IF(AND(G1223="sim",H1223=""),"FALTA (obrigatória)","não"))</f>
        <v>não</v>
      </c>
    </row>
    <row r="1224" customFormat="false" ht="15" hidden="false" customHeight="false" outlineLevel="0" collapsed="false">
      <c r="A1224" s="7" t="str">
        <f aca="false">B1224&amp;"."&amp;E1224</f>
        <v>plano_objetivos.ordem</v>
      </c>
      <c r="B1224" s="7" t="s">
        <v>207</v>
      </c>
      <c r="C1224" s="7" t="s">
        <v>36</v>
      </c>
      <c r="D1224" s="7" t="n">
        <v>6</v>
      </c>
      <c r="E1224" s="7" t="s">
        <v>268</v>
      </c>
      <c r="F1224" s="7" t="s">
        <v>269</v>
      </c>
      <c r="G1224" s="7" t="s">
        <v>262</v>
      </c>
      <c r="H1224" s="7" t="s">
        <v>270</v>
      </c>
      <c r="I1224" s="7"/>
      <c r="J1224" s="7"/>
      <c r="K1224" s="7"/>
      <c r="L1224" s="7" t="str">
        <f aca="false">IFERROR(VLOOKUP(IF(ISNUMBER(SEARCH("(",F1224)),LEFT(F1224,SEARCH("(",F1224)-1),F1224),Tipos!$A:$B,2,FALSE()),"outro")</f>
        <v>inteiro</v>
      </c>
      <c r="M1224" s="7" t="str">
        <f aca="false">IF(COUNTIF(Comparação!$H:$H,A1224)&gt;0,"sim",IF(AND(G1224="sim",H1224=""),"FALTA (obrigatória)","não"))</f>
        <v>não</v>
      </c>
    </row>
    <row r="1225" customFormat="false" ht="15" hidden="false" customHeight="false" outlineLevel="0" collapsed="false">
      <c r="A1225" s="7" t="str">
        <f aca="false">B1225&amp;"."&amp;E1225</f>
        <v>planos.id</v>
      </c>
      <c r="B1225" s="7" t="s">
        <v>209</v>
      </c>
      <c r="C1225" s="7" t="s">
        <v>36</v>
      </c>
      <c r="D1225" s="7" t="n">
        <v>1</v>
      </c>
      <c r="E1225" s="7" t="s">
        <v>271</v>
      </c>
      <c r="F1225" s="7" t="s">
        <v>272</v>
      </c>
      <c r="G1225" s="7" t="s">
        <v>262</v>
      </c>
      <c r="H1225" s="7" t="s">
        <v>273</v>
      </c>
      <c r="I1225" s="7" t="s">
        <v>263</v>
      </c>
      <c r="J1225" s="7"/>
      <c r="K1225" s="7"/>
      <c r="L1225" s="7" t="str">
        <f aca="false">IFERROR(VLOOKUP(IF(ISNUMBER(SEARCH("(",F1225)),LEFT(F1225,SEARCH("(",F1225)-1),F1225),Tipos!$A:$B,2,FALSE()),"outro")</f>
        <v>uuid</v>
      </c>
      <c r="M1225" s="7" t="str">
        <f aca="false">IF(COUNTIF(Comparação!$H:$H,A1225)&gt;0,"sim",IF(AND(G1225="sim",H1225=""),"FALTA (obrigatória)","não"))</f>
        <v>não</v>
      </c>
    </row>
    <row r="1226" customFormat="false" ht="15" hidden="false" customHeight="false" outlineLevel="0" collapsed="false">
      <c r="A1226" s="7" t="str">
        <f aca="false">B1226&amp;"."&amp;E1226</f>
        <v>planos.workspace_id</v>
      </c>
      <c r="B1226" s="7" t="s">
        <v>209</v>
      </c>
      <c r="C1226" s="7" t="s">
        <v>36</v>
      </c>
      <c r="D1226" s="7" t="n">
        <v>2</v>
      </c>
      <c r="E1226" s="7" t="s">
        <v>274</v>
      </c>
      <c r="F1226" s="7" t="s">
        <v>272</v>
      </c>
      <c r="G1226" s="7" t="s">
        <v>262</v>
      </c>
      <c r="H1226" s="7"/>
      <c r="I1226" s="7"/>
      <c r="J1226" s="7" t="s">
        <v>275</v>
      </c>
      <c r="K1226" s="7"/>
      <c r="L1226" s="7" t="str">
        <f aca="false">IFERROR(VLOOKUP(IF(ISNUMBER(SEARCH("(",F1226)),LEFT(F1226,SEARCH("(",F1226)-1),F1226),Tipos!$A:$B,2,FALSE()),"outro")</f>
        <v>uuid</v>
      </c>
      <c r="M1226" s="7" t="str">
        <f aca="false">IF(COUNTIF(Comparação!$H:$H,A1226)&gt;0,"sim",IF(AND(G1226="sim",H1226=""),"FALTA (obrigatória)","não"))</f>
        <v>FALTA (obrigatória)</v>
      </c>
    </row>
    <row r="1227" customFormat="false" ht="15" hidden="false" customHeight="false" outlineLevel="0" collapsed="false">
      <c r="A1227" s="7" t="str">
        <f aca="false">B1227&amp;"."&amp;E1227</f>
        <v>planos.nome</v>
      </c>
      <c r="B1227" s="7" t="s">
        <v>209</v>
      </c>
      <c r="C1227" s="7" t="s">
        <v>36</v>
      </c>
      <c r="D1227" s="7" t="n">
        <v>3</v>
      </c>
      <c r="E1227" s="7" t="s">
        <v>265</v>
      </c>
      <c r="F1227" s="7" t="s">
        <v>261</v>
      </c>
      <c r="G1227" s="7" t="s">
        <v>262</v>
      </c>
      <c r="H1227" s="7"/>
      <c r="I1227" s="7"/>
      <c r="J1227" s="7"/>
      <c r="K1227" s="7"/>
      <c r="L1227" s="7" t="str">
        <f aca="false">IFERROR(VLOOKUP(IF(ISNUMBER(SEARCH("(",F1227)),LEFT(F1227,SEARCH("(",F1227)-1),F1227),Tipos!$A:$B,2,FALSE()),"outro")</f>
        <v>texto</v>
      </c>
      <c r="M1227" s="7" t="str">
        <f aca="false">IF(COUNTIF(Comparação!$H:$H,A1227)&gt;0,"sim",IF(AND(G1227="sim",H1227=""),"FALTA (obrigatória)","não"))</f>
        <v>FALTA (obrigatória)</v>
      </c>
    </row>
    <row r="1228" customFormat="false" ht="15" hidden="false" customHeight="false" outlineLevel="0" collapsed="false">
      <c r="A1228" s="7" t="str">
        <f aca="false">B1228&amp;"."&amp;E1228</f>
        <v>planos.data_inicio</v>
      </c>
      <c r="B1228" s="7" t="s">
        <v>209</v>
      </c>
      <c r="C1228" s="7" t="s">
        <v>36</v>
      </c>
      <c r="D1228" s="7" t="n">
        <v>4</v>
      </c>
      <c r="E1228" s="7" t="s">
        <v>472</v>
      </c>
      <c r="F1228" s="7" t="s">
        <v>379</v>
      </c>
      <c r="G1228" s="7" t="s">
        <v>262</v>
      </c>
      <c r="H1228" s="7"/>
      <c r="I1228" s="7"/>
      <c r="J1228" s="7"/>
      <c r="K1228" s="7"/>
      <c r="L1228" s="7" t="str">
        <f aca="false">IFERROR(VLOOKUP(IF(ISNUMBER(SEARCH("(",F1228)),LEFT(F1228,SEARCH("(",F1228)-1),F1228),Tipos!$A:$B,2,FALSE()),"outro")</f>
        <v>data</v>
      </c>
      <c r="M1228" s="7" t="str">
        <f aca="false">IF(COUNTIF(Comparação!$H:$H,A1228)&gt;0,"sim",IF(AND(G1228="sim",H1228=""),"FALTA (obrigatória)","não"))</f>
        <v>FALTA (obrigatória)</v>
      </c>
    </row>
    <row r="1229" customFormat="false" ht="15" hidden="false" customHeight="false" outlineLevel="0" collapsed="false">
      <c r="A1229" s="7" t="str">
        <f aca="false">B1229&amp;"."&amp;E1229</f>
        <v>planos.data_fim</v>
      </c>
      <c r="B1229" s="7" t="s">
        <v>209</v>
      </c>
      <c r="C1229" s="7" t="s">
        <v>36</v>
      </c>
      <c r="D1229" s="7" t="n">
        <v>5</v>
      </c>
      <c r="E1229" s="7" t="s">
        <v>438</v>
      </c>
      <c r="F1229" s="7" t="s">
        <v>379</v>
      </c>
      <c r="G1229" s="7" t="s">
        <v>262</v>
      </c>
      <c r="H1229" s="7"/>
      <c r="I1229" s="7"/>
      <c r="J1229" s="7"/>
      <c r="K1229" s="7"/>
      <c r="L1229" s="7" t="str">
        <f aca="false">IFERROR(VLOOKUP(IF(ISNUMBER(SEARCH("(",F1229)),LEFT(F1229,SEARCH("(",F1229)-1),F1229),Tipos!$A:$B,2,FALSE()),"outro")</f>
        <v>data</v>
      </c>
      <c r="M1229" s="7" t="str">
        <f aca="false">IF(COUNTIF(Comparação!$H:$H,A1229)&gt;0,"sim",IF(AND(G1229="sim",H1229=""),"FALTA (obrigatória)","não"))</f>
        <v>FALTA (obrigatória)</v>
      </c>
    </row>
    <row r="1230" customFormat="false" ht="15" hidden="false" customHeight="false" outlineLevel="0" collapsed="false">
      <c r="A1230" s="7" t="str">
        <f aca="false">B1230&amp;"."&amp;E1230</f>
        <v>planos.visao</v>
      </c>
      <c r="B1230" s="7" t="s">
        <v>209</v>
      </c>
      <c r="C1230" s="7" t="s">
        <v>36</v>
      </c>
      <c r="D1230" s="7" t="n">
        <v>6</v>
      </c>
      <c r="E1230" s="7" t="s">
        <v>1100</v>
      </c>
      <c r="F1230" s="7" t="s">
        <v>261</v>
      </c>
      <c r="G1230" s="7" t="s">
        <v>267</v>
      </c>
      <c r="H1230" s="7"/>
      <c r="I1230" s="7"/>
      <c r="J1230" s="7"/>
      <c r="K1230" s="7"/>
      <c r="L1230" s="7" t="str">
        <f aca="false">IFERROR(VLOOKUP(IF(ISNUMBER(SEARCH("(",F1230)),LEFT(F1230,SEARCH("(",F1230)-1),F1230),Tipos!$A:$B,2,FALSE()),"outro")</f>
        <v>texto</v>
      </c>
      <c r="M1230" s="7" t="str">
        <f aca="false">IF(COUNTIF(Comparação!$H:$H,A1230)&gt;0,"sim",IF(AND(G1230="sim",H1230=""),"FALTA (obrigatória)","não"))</f>
        <v>não</v>
      </c>
    </row>
    <row r="1231" customFormat="false" ht="15" hidden="false" customHeight="false" outlineLevel="0" collapsed="false">
      <c r="A1231" s="7" t="str">
        <f aca="false">B1231&amp;"."&amp;E1231</f>
        <v>planos.estrategia</v>
      </c>
      <c r="B1231" s="7" t="s">
        <v>209</v>
      </c>
      <c r="C1231" s="7" t="s">
        <v>36</v>
      </c>
      <c r="D1231" s="7" t="n">
        <v>7</v>
      </c>
      <c r="E1231" s="7" t="s">
        <v>1101</v>
      </c>
      <c r="F1231" s="7" t="s">
        <v>261</v>
      </c>
      <c r="G1231" s="7" t="s">
        <v>267</v>
      </c>
      <c r="H1231" s="7"/>
      <c r="I1231" s="7"/>
      <c r="J1231" s="7"/>
      <c r="K1231" s="7"/>
      <c r="L1231" s="7" t="str">
        <f aca="false">IFERROR(VLOOKUP(IF(ISNUMBER(SEARCH("(",F1231)),LEFT(F1231,SEARCH("(",F1231)-1),F1231),Tipos!$A:$B,2,FALSE()),"outro")</f>
        <v>texto</v>
      </c>
      <c r="M1231" s="7" t="str">
        <f aca="false">IF(COUNTIF(Comparação!$H:$H,A1231)&gt;0,"sim",IF(AND(G1231="sim",H1231=""),"FALTA (obrigatória)","não"))</f>
        <v>não</v>
      </c>
    </row>
    <row r="1232" customFormat="false" ht="15" hidden="false" customHeight="false" outlineLevel="0" collapsed="false">
      <c r="A1232" s="7" t="str">
        <f aca="false">B1232&amp;"."&amp;E1232</f>
        <v>planos.status</v>
      </c>
      <c r="B1232" s="7" t="s">
        <v>209</v>
      </c>
      <c r="C1232" s="7" t="s">
        <v>36</v>
      </c>
      <c r="D1232" s="7" t="n">
        <v>8</v>
      </c>
      <c r="E1232" s="7" t="s">
        <v>293</v>
      </c>
      <c r="F1232" s="7" t="s">
        <v>261</v>
      </c>
      <c r="G1232" s="7" t="s">
        <v>262</v>
      </c>
      <c r="H1232" s="7" t="s">
        <v>652</v>
      </c>
      <c r="I1232" s="7"/>
      <c r="J1232" s="7"/>
      <c r="K1232" s="7" t="s">
        <v>1102</v>
      </c>
      <c r="L1232" s="7" t="str">
        <f aca="false">IFERROR(VLOOKUP(IF(ISNUMBER(SEARCH("(",F1232)),LEFT(F1232,SEARCH("(",F1232)-1),F1232),Tipos!$A:$B,2,FALSE()),"outro")</f>
        <v>texto</v>
      </c>
      <c r="M1232" s="7" t="str">
        <f aca="false">IF(COUNTIF(Comparação!$H:$H,A1232)&gt;0,"sim",IF(AND(G1232="sim",H1232=""),"FALTA (obrigatória)","não"))</f>
        <v>não</v>
      </c>
    </row>
    <row r="1233" customFormat="false" ht="15" hidden="false" customHeight="false" outlineLevel="0" collapsed="false">
      <c r="A1233" s="7" t="str">
        <f aca="false">B1233&amp;"."&amp;E1233</f>
        <v>planos.criado_em</v>
      </c>
      <c r="B1233" s="7" t="s">
        <v>209</v>
      </c>
      <c r="C1233" s="7" t="s">
        <v>36</v>
      </c>
      <c r="D1233" s="7" t="n">
        <v>9</v>
      </c>
      <c r="E1233" s="7" t="s">
        <v>344</v>
      </c>
      <c r="F1233" s="7" t="s">
        <v>285</v>
      </c>
      <c r="G1233" s="7" t="s">
        <v>262</v>
      </c>
      <c r="H1233" s="7" t="s">
        <v>286</v>
      </c>
      <c r="I1233" s="7"/>
      <c r="J1233" s="7"/>
      <c r="K1233" s="7"/>
      <c r="L1233" s="7" t="str">
        <f aca="false">IFERROR(VLOOKUP(IF(ISNUMBER(SEARCH("(",F1233)),LEFT(F1233,SEARCH("(",F1233)-1),F1233),Tipos!$A:$B,2,FALSE()),"outro")</f>
        <v>data e hora</v>
      </c>
      <c r="M1233" s="7" t="str">
        <f aca="false">IF(COUNTIF(Comparação!$H:$H,A1233)&gt;0,"sim",IF(AND(G1233="sim",H1233=""),"FALTA (obrigatória)","não"))</f>
        <v>não</v>
      </c>
    </row>
    <row r="1234" customFormat="false" ht="15" hidden="false" customHeight="false" outlineLevel="0" collapsed="false">
      <c r="A1234" s="7" t="str">
        <f aca="false">B1234&amp;"."&amp;E1234</f>
        <v>planos.mercado_total</v>
      </c>
      <c r="B1234" s="7" t="s">
        <v>209</v>
      </c>
      <c r="C1234" s="7" t="s">
        <v>36</v>
      </c>
      <c r="D1234" s="7" t="n">
        <v>10</v>
      </c>
      <c r="E1234" s="7" t="s">
        <v>1103</v>
      </c>
      <c r="F1234" s="7" t="s">
        <v>1104</v>
      </c>
      <c r="G1234" s="7" t="s">
        <v>267</v>
      </c>
      <c r="H1234" s="7"/>
      <c r="I1234" s="7"/>
      <c r="J1234" s="7"/>
      <c r="K1234" s="7" t="s">
        <v>1105</v>
      </c>
      <c r="L1234" s="7" t="str">
        <f aca="false">IFERROR(VLOOKUP(IF(ISNUMBER(SEARCH("(",F1234)),LEFT(F1234,SEARCH("(",F1234)-1),F1234),Tipos!$A:$B,2,FALSE()),"outro")</f>
        <v>decimal</v>
      </c>
      <c r="M1234" s="7" t="str">
        <f aca="false">IF(COUNTIF(Comparação!$H:$H,A1234)&gt;0,"sim",IF(AND(G1234="sim",H1234=""),"FALTA (obrigatória)","não"))</f>
        <v>não</v>
      </c>
    </row>
    <row r="1235" customFormat="false" ht="15" hidden="false" customHeight="false" outlineLevel="0" collapsed="false">
      <c r="A1235" s="7" t="str">
        <f aca="false">B1235&amp;"."&amp;E1235</f>
        <v>planos.mercado_rotulo</v>
      </c>
      <c r="B1235" s="7" t="s">
        <v>209</v>
      </c>
      <c r="C1235" s="7" t="s">
        <v>36</v>
      </c>
      <c r="D1235" s="7" t="n">
        <v>11</v>
      </c>
      <c r="E1235" s="7" t="s">
        <v>1106</v>
      </c>
      <c r="F1235" s="7" t="s">
        <v>261</v>
      </c>
      <c r="G1235" s="7" t="s">
        <v>267</v>
      </c>
      <c r="H1235" s="7"/>
      <c r="I1235" s="7"/>
      <c r="J1235" s="7"/>
      <c r="K1235" s="7"/>
      <c r="L1235" s="7" t="str">
        <f aca="false">IFERROR(VLOOKUP(IF(ISNUMBER(SEARCH("(",F1235)),LEFT(F1235,SEARCH("(",F1235)-1),F1235),Tipos!$A:$B,2,FALSE()),"outro")</f>
        <v>texto</v>
      </c>
      <c r="M1235" s="7" t="str">
        <f aca="false">IF(COUNTIF(Comparação!$H:$H,A1235)&gt;0,"sim",IF(AND(G1235="sim",H1235=""),"FALTA (obrigatória)","não"))</f>
        <v>não</v>
      </c>
    </row>
    <row r="1236" customFormat="false" ht="15" hidden="false" customHeight="false" outlineLevel="0" collapsed="false">
      <c r="A1236" s="7" t="str">
        <f aca="false">B1236&amp;"."&amp;E1236</f>
        <v>plataforma_formas_pagamento.id</v>
      </c>
      <c r="B1236" s="7" t="s">
        <v>210</v>
      </c>
      <c r="C1236" s="7" t="s">
        <v>119</v>
      </c>
      <c r="D1236" s="7" t="n">
        <v>1</v>
      </c>
      <c r="E1236" s="7" t="s">
        <v>271</v>
      </c>
      <c r="F1236" s="7" t="s">
        <v>272</v>
      </c>
      <c r="G1236" s="7" t="s">
        <v>262</v>
      </c>
      <c r="H1236" s="7" t="s">
        <v>273</v>
      </c>
      <c r="I1236" s="7" t="s">
        <v>263</v>
      </c>
      <c r="J1236" s="7"/>
      <c r="K1236" s="7"/>
      <c r="L1236" s="7" t="str">
        <f aca="false">IFERROR(VLOOKUP(IF(ISNUMBER(SEARCH("(",F1236)),LEFT(F1236,SEARCH("(",F1236)-1),F1236),Tipos!$A:$B,2,FALSE()),"outro")</f>
        <v>uuid</v>
      </c>
      <c r="M1236" s="7" t="str">
        <f aca="false">IF(COUNTIF(Comparação!$H:$H,A1236)&gt;0,"sim",IF(AND(G1236="sim",H1236=""),"FALTA (obrigatória)","não"))</f>
        <v>não</v>
      </c>
    </row>
    <row r="1237" customFormat="false" ht="15" hidden="false" customHeight="false" outlineLevel="0" collapsed="false">
      <c r="A1237" s="7" t="str">
        <f aca="false">B1237&amp;"."&amp;E1237</f>
        <v>plataforma_formas_pagamento.workspace_id</v>
      </c>
      <c r="B1237" s="7" t="s">
        <v>210</v>
      </c>
      <c r="C1237" s="7" t="s">
        <v>119</v>
      </c>
      <c r="D1237" s="7" t="n">
        <v>2</v>
      </c>
      <c r="E1237" s="7" t="s">
        <v>274</v>
      </c>
      <c r="F1237" s="7" t="s">
        <v>272</v>
      </c>
      <c r="G1237" s="7" t="s">
        <v>262</v>
      </c>
      <c r="H1237" s="7"/>
      <c r="I1237" s="7"/>
      <c r="J1237" s="7" t="s">
        <v>275</v>
      </c>
      <c r="K1237" s="7"/>
      <c r="L1237" s="7" t="str">
        <f aca="false">IFERROR(VLOOKUP(IF(ISNUMBER(SEARCH("(",F1237)),LEFT(F1237,SEARCH("(",F1237)-1),F1237),Tipos!$A:$B,2,FALSE()),"outro")</f>
        <v>uuid</v>
      </c>
      <c r="M1237" s="7" t="str">
        <f aca="false">IF(COUNTIF(Comparação!$H:$H,A1237)&gt;0,"sim",IF(AND(G1237="sim",H1237=""),"FALTA (obrigatória)","não"))</f>
        <v>FALTA (obrigatória)</v>
      </c>
    </row>
    <row r="1238" customFormat="false" ht="15" hidden="false" customHeight="false" outlineLevel="0" collapsed="false">
      <c r="A1238" s="7" t="str">
        <f aca="false">B1238&amp;"."&amp;E1238</f>
        <v>plataforma_formas_pagamento.plataforma_id</v>
      </c>
      <c r="B1238" s="7" t="s">
        <v>210</v>
      </c>
      <c r="C1238" s="7" t="s">
        <v>119</v>
      </c>
      <c r="D1238" s="7" t="n">
        <v>3</v>
      </c>
      <c r="E1238" s="7" t="s">
        <v>1107</v>
      </c>
      <c r="F1238" s="7" t="s">
        <v>272</v>
      </c>
      <c r="G1238" s="7" t="s">
        <v>262</v>
      </c>
      <c r="H1238" s="7"/>
      <c r="I1238" s="7" t="s">
        <v>290</v>
      </c>
      <c r="J1238" s="7" t="s">
        <v>1108</v>
      </c>
      <c r="K1238" s="7"/>
      <c r="L1238" s="7" t="str">
        <f aca="false">IFERROR(VLOOKUP(IF(ISNUMBER(SEARCH("(",F1238)),LEFT(F1238,SEARCH("(",F1238)-1),F1238),Tipos!$A:$B,2,FALSE()),"outro")</f>
        <v>uuid</v>
      </c>
      <c r="M1238" s="7" t="str">
        <f aca="false">IF(COUNTIF(Comparação!$H:$H,A1238)&gt;0,"sim",IF(AND(G1238="sim",H1238=""),"FALTA (obrigatória)","não"))</f>
        <v>FALTA (obrigatória)</v>
      </c>
    </row>
    <row r="1239" customFormat="false" ht="15" hidden="false" customHeight="false" outlineLevel="0" collapsed="false">
      <c r="A1239" s="7" t="str">
        <f aca="false">B1239&amp;"."&amp;E1239</f>
        <v>plataforma_formas_pagamento.forma_pagamento</v>
      </c>
      <c r="B1239" s="7" t="s">
        <v>210</v>
      </c>
      <c r="C1239" s="7" t="s">
        <v>119</v>
      </c>
      <c r="D1239" s="7" t="n">
        <v>4</v>
      </c>
      <c r="E1239" s="7" t="s">
        <v>660</v>
      </c>
      <c r="F1239" s="7" t="s">
        <v>261</v>
      </c>
      <c r="G1239" s="7" t="s">
        <v>262</v>
      </c>
      <c r="H1239" s="7"/>
      <c r="I1239" s="7" t="s">
        <v>290</v>
      </c>
      <c r="J1239" s="7"/>
      <c r="K1239" s="7" t="s">
        <v>1109</v>
      </c>
      <c r="L1239" s="7" t="str">
        <f aca="false">IFERROR(VLOOKUP(IF(ISNUMBER(SEARCH("(",F1239)),LEFT(F1239,SEARCH("(",F1239)-1),F1239),Tipos!$A:$B,2,FALSE()),"outro")</f>
        <v>texto</v>
      </c>
      <c r="M1239" s="7" t="str">
        <f aca="false">IF(COUNTIF(Comparação!$H:$H,A1239)&gt;0,"sim",IF(AND(G1239="sim",H1239=""),"FALTA (obrigatória)","não"))</f>
        <v>FALTA (obrigatória)</v>
      </c>
    </row>
    <row r="1240" customFormat="false" ht="15" hidden="false" customHeight="false" outlineLevel="0" collapsed="false">
      <c r="A1240" s="7" t="str">
        <f aca="false">B1240&amp;"."&amp;E1240</f>
        <v>plataforma_formas_pagamento.taxa_percentual</v>
      </c>
      <c r="B1240" s="7" t="s">
        <v>210</v>
      </c>
      <c r="C1240" s="7" t="s">
        <v>119</v>
      </c>
      <c r="D1240" s="7" t="n">
        <v>5</v>
      </c>
      <c r="E1240" s="7" t="s">
        <v>1110</v>
      </c>
      <c r="F1240" s="7" t="s">
        <v>356</v>
      </c>
      <c r="G1240" s="7" t="s">
        <v>267</v>
      </c>
      <c r="H1240" s="7"/>
      <c r="I1240" s="7"/>
      <c r="J1240" s="7"/>
      <c r="K1240" s="7"/>
      <c r="L1240" s="7" t="str">
        <f aca="false">IFERROR(VLOOKUP(IF(ISNUMBER(SEARCH("(",F1240)),LEFT(F1240,SEARCH("(",F1240)-1),F1240),Tipos!$A:$B,2,FALSE()),"outro")</f>
        <v>decimal</v>
      </c>
      <c r="M1240" s="7" t="str">
        <f aca="false">IF(COUNTIF(Comparação!$H:$H,A1240)&gt;0,"sim",IF(AND(G1240="sim",H1240=""),"FALTA (obrigatória)","não"))</f>
        <v>não</v>
      </c>
    </row>
    <row r="1241" customFormat="false" ht="15" hidden="false" customHeight="false" outlineLevel="0" collapsed="false">
      <c r="A1241" s="7" t="str">
        <f aca="false">B1241&amp;"."&amp;E1241</f>
        <v>plataforma_formas_pagamento.taxa_fixa</v>
      </c>
      <c r="B1241" s="7" t="s">
        <v>210</v>
      </c>
      <c r="C1241" s="7" t="s">
        <v>119</v>
      </c>
      <c r="D1241" s="7" t="n">
        <v>6</v>
      </c>
      <c r="E1241" s="7" t="s">
        <v>1111</v>
      </c>
      <c r="F1241" s="7" t="s">
        <v>360</v>
      </c>
      <c r="G1241" s="7" t="s">
        <v>267</v>
      </c>
      <c r="H1241" s="7"/>
      <c r="I1241" s="7"/>
      <c r="J1241" s="7"/>
      <c r="K1241" s="7"/>
      <c r="L1241" s="7" t="str">
        <f aca="false">IFERROR(VLOOKUP(IF(ISNUMBER(SEARCH("(",F1241)),LEFT(F1241,SEARCH("(",F1241)-1),F1241),Tipos!$A:$B,2,FALSE()),"outro")</f>
        <v>decimal</v>
      </c>
      <c r="M1241" s="7" t="str">
        <f aca="false">IF(COUNTIF(Comparação!$H:$H,A1241)&gt;0,"sim",IF(AND(G1241="sim",H1241=""),"FALTA (obrigatória)","não"))</f>
        <v>não</v>
      </c>
    </row>
    <row r="1242" customFormat="false" ht="15" hidden="false" customHeight="false" outlineLevel="0" collapsed="false">
      <c r="A1242" s="7" t="str">
        <f aca="false">B1242&amp;"."&amp;E1242</f>
        <v>plataforma_formas_pagamento.prazo_recebimento_dias</v>
      </c>
      <c r="B1242" s="7" t="s">
        <v>210</v>
      </c>
      <c r="C1242" s="7" t="s">
        <v>119</v>
      </c>
      <c r="D1242" s="7" t="n">
        <v>7</v>
      </c>
      <c r="E1242" s="7" t="s">
        <v>1112</v>
      </c>
      <c r="F1242" s="7" t="s">
        <v>269</v>
      </c>
      <c r="G1242" s="7" t="s">
        <v>262</v>
      </c>
      <c r="H1242" s="7" t="s">
        <v>270</v>
      </c>
      <c r="I1242" s="7"/>
      <c r="J1242" s="7"/>
      <c r="K1242" s="7" t="s">
        <v>1113</v>
      </c>
      <c r="L1242" s="7" t="str">
        <f aca="false">IFERROR(VLOOKUP(IF(ISNUMBER(SEARCH("(",F1242)),LEFT(F1242,SEARCH("(",F1242)-1),F1242),Tipos!$A:$B,2,FALSE()),"outro")</f>
        <v>inteiro</v>
      </c>
      <c r="M1242" s="7" t="str">
        <f aca="false">IF(COUNTIF(Comparação!$H:$H,A1242)&gt;0,"sim",IF(AND(G1242="sim",H1242=""),"FALTA (obrigatória)","não"))</f>
        <v>não</v>
      </c>
    </row>
    <row r="1243" customFormat="false" ht="15" hidden="false" customHeight="false" outlineLevel="0" collapsed="false">
      <c r="A1243" s="7" t="str">
        <f aca="false">B1243&amp;"."&amp;E1243</f>
        <v>plataforma_formas_pagamento.ativa</v>
      </c>
      <c r="B1243" s="7" t="s">
        <v>210</v>
      </c>
      <c r="C1243" s="7" t="s">
        <v>119</v>
      </c>
      <c r="D1243" s="7" t="n">
        <v>8</v>
      </c>
      <c r="E1243" s="7" t="s">
        <v>399</v>
      </c>
      <c r="F1243" s="7" t="s">
        <v>310</v>
      </c>
      <c r="G1243" s="7" t="s">
        <v>262</v>
      </c>
      <c r="H1243" s="7" t="s">
        <v>311</v>
      </c>
      <c r="I1243" s="7"/>
      <c r="J1243" s="7"/>
      <c r="K1243" s="7"/>
      <c r="L1243" s="7" t="str">
        <f aca="false">IFERROR(VLOOKUP(IF(ISNUMBER(SEARCH("(",F1243)),LEFT(F1243,SEARCH("(",F1243)-1),F1243),Tipos!$A:$B,2,FALSE()),"outro")</f>
        <v>booleano</v>
      </c>
      <c r="M1243" s="7" t="str">
        <f aca="false">IF(COUNTIF(Comparação!$H:$H,A1243)&gt;0,"sim",IF(AND(G1243="sim",H1243=""),"FALTA (obrigatória)","não"))</f>
        <v>não</v>
      </c>
    </row>
    <row r="1244" customFormat="false" ht="15" hidden="false" customHeight="false" outlineLevel="0" collapsed="false">
      <c r="A1244" s="7" t="str">
        <f aca="false">B1244&amp;"."&amp;E1244</f>
        <v>plataformas_venda.id</v>
      </c>
      <c r="B1244" s="7" t="s">
        <v>212</v>
      </c>
      <c r="C1244" s="7" t="s">
        <v>119</v>
      </c>
      <c r="D1244" s="7" t="n">
        <v>1</v>
      </c>
      <c r="E1244" s="7" t="s">
        <v>271</v>
      </c>
      <c r="F1244" s="7" t="s">
        <v>272</v>
      </c>
      <c r="G1244" s="7" t="s">
        <v>262</v>
      </c>
      <c r="H1244" s="7" t="s">
        <v>273</v>
      </c>
      <c r="I1244" s="7" t="s">
        <v>263</v>
      </c>
      <c r="J1244" s="7"/>
      <c r="K1244" s="7"/>
      <c r="L1244" s="7" t="str">
        <f aca="false">IFERROR(VLOOKUP(IF(ISNUMBER(SEARCH("(",F1244)),LEFT(F1244,SEARCH("(",F1244)-1),F1244),Tipos!$A:$B,2,FALSE()),"outro")</f>
        <v>uuid</v>
      </c>
      <c r="M1244" s="7" t="str">
        <f aca="false">IF(COUNTIF(Comparação!$H:$H,A1244)&gt;0,"sim",IF(AND(G1244="sim",H1244=""),"FALTA (obrigatória)","não"))</f>
        <v>não</v>
      </c>
    </row>
    <row r="1245" customFormat="false" ht="15" hidden="false" customHeight="false" outlineLevel="0" collapsed="false">
      <c r="A1245" s="7" t="str">
        <f aca="false">B1245&amp;"."&amp;E1245</f>
        <v>plataformas_venda.workspace_id</v>
      </c>
      <c r="B1245" s="7" t="s">
        <v>212</v>
      </c>
      <c r="C1245" s="7" t="s">
        <v>119</v>
      </c>
      <c r="D1245" s="7" t="n">
        <v>2</v>
      </c>
      <c r="E1245" s="7" t="s">
        <v>274</v>
      </c>
      <c r="F1245" s="7" t="s">
        <v>272</v>
      </c>
      <c r="G1245" s="7" t="s">
        <v>262</v>
      </c>
      <c r="H1245" s="7"/>
      <c r="I1245" s="7"/>
      <c r="J1245" s="7" t="s">
        <v>275</v>
      </c>
      <c r="K1245" s="7"/>
      <c r="L1245" s="7" t="str">
        <f aca="false">IFERROR(VLOOKUP(IF(ISNUMBER(SEARCH("(",F1245)),LEFT(F1245,SEARCH("(",F1245)-1),F1245),Tipos!$A:$B,2,FALSE()),"outro")</f>
        <v>uuid</v>
      </c>
      <c r="M1245" s="7" t="str">
        <f aca="false">IF(COUNTIF(Comparação!$H:$H,A1245)&gt;0,"sim",IF(AND(G1245="sim",H1245=""),"FALTA (obrigatória)","não"))</f>
        <v>FALTA (obrigatória)</v>
      </c>
    </row>
    <row r="1246" customFormat="false" ht="15" hidden="false" customHeight="false" outlineLevel="0" collapsed="false">
      <c r="A1246" s="7" t="str">
        <f aca="false">B1246&amp;"."&amp;E1246</f>
        <v>plataformas_venda.nome</v>
      </c>
      <c r="B1246" s="7" t="s">
        <v>212</v>
      </c>
      <c r="C1246" s="7" t="s">
        <v>119</v>
      </c>
      <c r="D1246" s="7" t="n">
        <v>3</v>
      </c>
      <c r="E1246" s="7" t="s">
        <v>265</v>
      </c>
      <c r="F1246" s="7" t="s">
        <v>261</v>
      </c>
      <c r="G1246" s="7" t="s">
        <v>262</v>
      </c>
      <c r="H1246" s="7"/>
      <c r="I1246" s="7"/>
      <c r="J1246" s="7"/>
      <c r="K1246" s="7"/>
      <c r="L1246" s="7" t="str">
        <f aca="false">IFERROR(VLOOKUP(IF(ISNUMBER(SEARCH("(",F1246)),LEFT(F1246,SEARCH("(",F1246)-1),F1246),Tipos!$A:$B,2,FALSE()),"outro")</f>
        <v>texto</v>
      </c>
      <c r="M1246" s="7" t="str">
        <f aca="false">IF(COUNTIF(Comparação!$H:$H,A1246)&gt;0,"sim",IF(AND(G1246="sim",H1246=""),"FALTA (obrigatória)","não"))</f>
        <v>FALTA (obrigatória)</v>
      </c>
    </row>
    <row r="1247" customFormat="false" ht="15" hidden="false" customHeight="false" outlineLevel="0" collapsed="false">
      <c r="A1247" s="7" t="str">
        <f aca="false">B1247&amp;"."&amp;E1247</f>
        <v>plataformas_venda.taxa_percentual</v>
      </c>
      <c r="B1247" s="7" t="s">
        <v>212</v>
      </c>
      <c r="C1247" s="7" t="s">
        <v>119</v>
      </c>
      <c r="D1247" s="7" t="n">
        <v>4</v>
      </c>
      <c r="E1247" s="7" t="s">
        <v>1110</v>
      </c>
      <c r="F1247" s="7" t="s">
        <v>356</v>
      </c>
      <c r="G1247" s="7" t="s">
        <v>262</v>
      </c>
      <c r="H1247" s="7" t="s">
        <v>270</v>
      </c>
      <c r="I1247" s="7"/>
      <c r="J1247" s="7"/>
      <c r="K1247" s="7"/>
      <c r="L1247" s="7" t="str">
        <f aca="false">IFERROR(VLOOKUP(IF(ISNUMBER(SEARCH("(",F1247)),LEFT(F1247,SEARCH("(",F1247)-1),F1247),Tipos!$A:$B,2,FALSE()),"outro")</f>
        <v>decimal</v>
      </c>
      <c r="M1247" s="7" t="str">
        <f aca="false">IF(COUNTIF(Comparação!$H:$H,A1247)&gt;0,"sim",IF(AND(G1247="sim",H1247=""),"FALTA (obrigatória)","não"))</f>
        <v>não</v>
      </c>
    </row>
    <row r="1248" customFormat="false" ht="15" hidden="false" customHeight="false" outlineLevel="0" collapsed="false">
      <c r="A1248" s="7" t="str">
        <f aca="false">B1248&amp;"."&amp;E1248</f>
        <v>plataformas_venda.taxa_fixa</v>
      </c>
      <c r="B1248" s="7" t="s">
        <v>212</v>
      </c>
      <c r="C1248" s="7" t="s">
        <v>119</v>
      </c>
      <c r="D1248" s="7" t="n">
        <v>5</v>
      </c>
      <c r="E1248" s="7" t="s">
        <v>1111</v>
      </c>
      <c r="F1248" s="7" t="s">
        <v>360</v>
      </c>
      <c r="G1248" s="7" t="s">
        <v>262</v>
      </c>
      <c r="H1248" s="7" t="s">
        <v>270</v>
      </c>
      <c r="I1248" s="7"/>
      <c r="J1248" s="7"/>
      <c r="K1248" s="7"/>
      <c r="L1248" s="7" t="str">
        <f aca="false">IFERROR(VLOOKUP(IF(ISNUMBER(SEARCH("(",F1248)),LEFT(F1248,SEARCH("(",F1248)-1),F1248),Tipos!$A:$B,2,FALSE()),"outro")</f>
        <v>decimal</v>
      </c>
      <c r="M1248" s="7" t="str">
        <f aca="false">IF(COUNTIF(Comparação!$H:$H,A1248)&gt;0,"sim",IF(AND(G1248="sim",H1248=""),"FALTA (obrigatória)","não"))</f>
        <v>não</v>
      </c>
    </row>
    <row r="1249" customFormat="false" ht="15" hidden="false" customHeight="false" outlineLevel="0" collapsed="false">
      <c r="A1249" s="7" t="str">
        <f aca="false">B1249&amp;"."&amp;E1249</f>
        <v>plataformas_venda.ativa</v>
      </c>
      <c r="B1249" s="7" t="s">
        <v>212</v>
      </c>
      <c r="C1249" s="7" t="s">
        <v>119</v>
      </c>
      <c r="D1249" s="7" t="n">
        <v>6</v>
      </c>
      <c r="E1249" s="7" t="s">
        <v>399</v>
      </c>
      <c r="F1249" s="7" t="s">
        <v>310</v>
      </c>
      <c r="G1249" s="7" t="s">
        <v>262</v>
      </c>
      <c r="H1249" s="7" t="s">
        <v>311</v>
      </c>
      <c r="I1249" s="7"/>
      <c r="J1249" s="7"/>
      <c r="K1249" s="7"/>
      <c r="L1249" s="7" t="str">
        <f aca="false">IFERROR(VLOOKUP(IF(ISNUMBER(SEARCH("(",F1249)),LEFT(F1249,SEARCH("(",F1249)-1),F1249),Tipos!$A:$B,2,FALSE()),"outro")</f>
        <v>booleano</v>
      </c>
      <c r="M1249" s="7" t="str">
        <f aca="false">IF(COUNTIF(Comparação!$H:$H,A1249)&gt;0,"sim",IF(AND(G1249="sim",H1249=""),"FALTA (obrigatória)","não"))</f>
        <v>não</v>
      </c>
    </row>
    <row r="1250" customFormat="false" ht="15" hidden="false" customHeight="false" outlineLevel="0" collapsed="false">
      <c r="A1250" s="7" t="str">
        <f aca="false">B1250&amp;"."&amp;E1250</f>
        <v>plataformas_venda.observacoes</v>
      </c>
      <c r="B1250" s="7" t="s">
        <v>212</v>
      </c>
      <c r="C1250" s="7" t="s">
        <v>119</v>
      </c>
      <c r="D1250" s="7" t="n">
        <v>7</v>
      </c>
      <c r="E1250" s="7" t="s">
        <v>368</v>
      </c>
      <c r="F1250" s="7" t="s">
        <v>261</v>
      </c>
      <c r="G1250" s="7" t="s">
        <v>267</v>
      </c>
      <c r="H1250" s="7"/>
      <c r="I1250" s="7"/>
      <c r="J1250" s="7"/>
      <c r="K1250" s="7"/>
      <c r="L1250" s="7" t="str">
        <f aca="false">IFERROR(VLOOKUP(IF(ISNUMBER(SEARCH("(",F1250)),LEFT(F1250,SEARCH("(",F1250)-1),F1250),Tipos!$A:$B,2,FALSE()),"outro")</f>
        <v>texto</v>
      </c>
      <c r="M1250" s="7" t="str">
        <f aca="false">IF(COUNTIF(Comparação!$H:$H,A1250)&gt;0,"sim",IF(AND(G1250="sim",H1250=""),"FALTA (obrigatória)","não"))</f>
        <v>não</v>
      </c>
    </row>
    <row r="1251" customFormat="false" ht="15" hidden="false" customHeight="false" outlineLevel="0" collapsed="false">
      <c r="A1251" s="7" t="str">
        <f aca="false">B1251&amp;"."&amp;E1251</f>
        <v>presencas_video.id</v>
      </c>
      <c r="B1251" s="7" t="s">
        <v>213</v>
      </c>
      <c r="C1251" s="7" t="s">
        <v>31</v>
      </c>
      <c r="D1251" s="7" t="n">
        <v>1</v>
      </c>
      <c r="E1251" s="7" t="s">
        <v>271</v>
      </c>
      <c r="F1251" s="7" t="s">
        <v>272</v>
      </c>
      <c r="G1251" s="7" t="s">
        <v>262</v>
      </c>
      <c r="H1251" s="7" t="s">
        <v>273</v>
      </c>
      <c r="I1251" s="7" t="s">
        <v>263</v>
      </c>
      <c r="J1251" s="7"/>
      <c r="K1251" s="7"/>
      <c r="L1251" s="7" t="str">
        <f aca="false">IFERROR(VLOOKUP(IF(ISNUMBER(SEARCH("(",F1251)),LEFT(F1251,SEARCH("(",F1251)-1),F1251),Tipos!$A:$B,2,FALSE()),"outro")</f>
        <v>uuid</v>
      </c>
      <c r="M1251" s="7" t="str">
        <f aca="false">IF(COUNTIF(Comparação!$H:$H,A1251)&gt;0,"sim",IF(AND(G1251="sim",H1251=""),"FALTA (obrigatória)","não"))</f>
        <v>não</v>
      </c>
    </row>
    <row r="1252" customFormat="false" ht="15" hidden="false" customHeight="false" outlineLevel="0" collapsed="false">
      <c r="A1252" s="7" t="str">
        <f aca="false">B1252&amp;"."&amp;E1252</f>
        <v>presencas_video.workspace_id</v>
      </c>
      <c r="B1252" s="7" t="s">
        <v>213</v>
      </c>
      <c r="C1252" s="7" t="s">
        <v>31</v>
      </c>
      <c r="D1252" s="7" t="n">
        <v>2</v>
      </c>
      <c r="E1252" s="7" t="s">
        <v>274</v>
      </c>
      <c r="F1252" s="7" t="s">
        <v>272</v>
      </c>
      <c r="G1252" s="7" t="s">
        <v>262</v>
      </c>
      <c r="H1252" s="7"/>
      <c r="I1252" s="7"/>
      <c r="J1252" s="7" t="s">
        <v>275</v>
      </c>
      <c r="K1252" s="7"/>
      <c r="L1252" s="7" t="str">
        <f aca="false">IFERROR(VLOOKUP(IF(ISNUMBER(SEARCH("(",F1252)),LEFT(F1252,SEARCH("(",F1252)-1),F1252),Tipos!$A:$B,2,FALSE()),"outro")</f>
        <v>uuid</v>
      </c>
      <c r="M1252" s="7" t="str">
        <f aca="false">IF(COUNTIF(Comparação!$H:$H,A1252)&gt;0,"sim",IF(AND(G1252="sim",H1252=""),"FALTA (obrigatória)","não"))</f>
        <v>FALTA (obrigatória)</v>
      </c>
    </row>
    <row r="1253" customFormat="false" ht="15" hidden="false" customHeight="false" outlineLevel="0" collapsed="false">
      <c r="A1253" s="7" t="str">
        <f aca="false">B1253&amp;"."&amp;E1253</f>
        <v>presencas_video.fonte_id</v>
      </c>
      <c r="B1253" s="7" t="s">
        <v>213</v>
      </c>
      <c r="C1253" s="7" t="s">
        <v>31</v>
      </c>
      <c r="D1253" s="7" t="n">
        <v>3</v>
      </c>
      <c r="E1253" s="7" t="s">
        <v>1114</v>
      </c>
      <c r="F1253" s="7" t="s">
        <v>272</v>
      </c>
      <c r="G1253" s="7" t="s">
        <v>262</v>
      </c>
      <c r="H1253" s="7"/>
      <c r="I1253" s="7" t="s">
        <v>290</v>
      </c>
      <c r="J1253" s="7" t="s">
        <v>1115</v>
      </c>
      <c r="K1253" s="7"/>
      <c r="L1253" s="7" t="str">
        <f aca="false">IFERROR(VLOOKUP(IF(ISNUMBER(SEARCH("(",F1253)),LEFT(F1253,SEARCH("(",F1253)-1),F1253),Tipos!$A:$B,2,FALSE()),"outro")</f>
        <v>uuid</v>
      </c>
      <c r="M1253" s="7" t="str">
        <f aca="false">IF(COUNTIF(Comparação!$H:$H,A1253)&gt;0,"sim",IF(AND(G1253="sim",H1253=""),"FALTA (obrigatória)","não"))</f>
        <v>FALTA (obrigatória)</v>
      </c>
    </row>
    <row r="1254" customFormat="false" ht="15" hidden="false" customHeight="false" outlineLevel="0" collapsed="false">
      <c r="A1254" s="7" t="str">
        <f aca="false">B1254&amp;"."&amp;E1254</f>
        <v>presencas_video.pessoa_id</v>
      </c>
      <c r="B1254" s="7" t="s">
        <v>213</v>
      </c>
      <c r="C1254" s="7" t="s">
        <v>31</v>
      </c>
      <c r="D1254" s="7" t="n">
        <v>4</v>
      </c>
      <c r="E1254" s="7" t="s">
        <v>278</v>
      </c>
      <c r="F1254" s="7" t="s">
        <v>272</v>
      </c>
      <c r="G1254" s="7" t="s">
        <v>262</v>
      </c>
      <c r="H1254" s="7"/>
      <c r="I1254" s="7" t="s">
        <v>290</v>
      </c>
      <c r="J1254" s="7" t="s">
        <v>279</v>
      </c>
      <c r="K1254" s="7"/>
      <c r="L1254" s="7" t="str">
        <f aca="false">IFERROR(VLOOKUP(IF(ISNUMBER(SEARCH("(",F1254)),LEFT(F1254,SEARCH("(",F1254)-1),F1254),Tipos!$A:$B,2,FALSE()),"outro")</f>
        <v>uuid</v>
      </c>
      <c r="M1254" s="7" t="str">
        <f aca="false">IF(COUNTIF(Comparação!$H:$H,A1254)&gt;0,"sim",IF(AND(G1254="sim",H1254=""),"FALTA (obrigatória)","não"))</f>
        <v>FALTA (obrigatória)</v>
      </c>
    </row>
    <row r="1255" customFormat="false" ht="15" hidden="false" customHeight="false" outlineLevel="0" collapsed="false">
      <c r="A1255" s="7" t="str">
        <f aca="false">B1255&amp;"."&amp;E1255</f>
        <v>presencas_video.assistiu_seg</v>
      </c>
      <c r="B1255" s="7" t="s">
        <v>213</v>
      </c>
      <c r="C1255" s="7" t="s">
        <v>31</v>
      </c>
      <c r="D1255" s="7" t="n">
        <v>5</v>
      </c>
      <c r="E1255" s="7" t="s">
        <v>1116</v>
      </c>
      <c r="F1255" s="7" t="s">
        <v>269</v>
      </c>
      <c r="G1255" s="7" t="s">
        <v>262</v>
      </c>
      <c r="H1255" s="7" t="s">
        <v>270</v>
      </c>
      <c r="I1255" s="7"/>
      <c r="J1255" s="7"/>
      <c r="K1255" s="7" t="s">
        <v>1117</v>
      </c>
      <c r="L1255" s="7" t="str">
        <f aca="false">IFERROR(VLOOKUP(IF(ISNUMBER(SEARCH("(",F1255)),LEFT(F1255,SEARCH("(",F1255)-1),F1255),Tipos!$A:$B,2,FALSE()),"outro")</f>
        <v>inteiro</v>
      </c>
      <c r="M1255" s="7" t="str">
        <f aca="false">IF(COUNTIF(Comparação!$H:$H,A1255)&gt;0,"sim",IF(AND(G1255="sim",H1255=""),"FALTA (obrigatória)","não"))</f>
        <v>não</v>
      </c>
    </row>
    <row r="1256" customFormat="false" ht="15" hidden="false" customHeight="false" outlineLevel="0" collapsed="false">
      <c r="A1256" s="7" t="str">
        <f aca="false">B1256&amp;"."&amp;E1256</f>
        <v>presencas_video.ao_vivo</v>
      </c>
      <c r="B1256" s="7" t="s">
        <v>213</v>
      </c>
      <c r="C1256" s="7" t="s">
        <v>31</v>
      </c>
      <c r="D1256" s="7" t="n">
        <v>6</v>
      </c>
      <c r="E1256" s="7" t="s">
        <v>1118</v>
      </c>
      <c r="F1256" s="7" t="s">
        <v>310</v>
      </c>
      <c r="G1256" s="7" t="s">
        <v>262</v>
      </c>
      <c r="H1256" s="7" t="s">
        <v>375</v>
      </c>
      <c r="I1256" s="7"/>
      <c r="J1256" s="7"/>
      <c r="K1256" s="7"/>
      <c r="L1256" s="7" t="str">
        <f aca="false">IFERROR(VLOOKUP(IF(ISNUMBER(SEARCH("(",F1256)),LEFT(F1256,SEARCH("(",F1256)-1),F1256),Tipos!$A:$B,2,FALSE()),"outro")</f>
        <v>booleano</v>
      </c>
      <c r="M1256" s="7" t="str">
        <f aca="false">IF(COUNTIF(Comparação!$H:$H,A1256)&gt;0,"sim",IF(AND(G1256="sim",H1256=""),"FALTA (obrigatória)","não"))</f>
        <v>não</v>
      </c>
    </row>
    <row r="1257" customFormat="false" ht="15" hidden="false" customHeight="false" outlineLevel="0" collapsed="false">
      <c r="A1257" s="7" t="str">
        <f aca="false">B1257&amp;"."&amp;E1257</f>
        <v>presencas_video.primeiro_em</v>
      </c>
      <c r="B1257" s="7" t="s">
        <v>213</v>
      </c>
      <c r="C1257" s="7" t="s">
        <v>31</v>
      </c>
      <c r="D1257" s="7" t="n">
        <v>7</v>
      </c>
      <c r="E1257" s="7" t="s">
        <v>1119</v>
      </c>
      <c r="F1257" s="7" t="s">
        <v>285</v>
      </c>
      <c r="G1257" s="7" t="s">
        <v>262</v>
      </c>
      <c r="H1257" s="7" t="s">
        <v>286</v>
      </c>
      <c r="I1257" s="7"/>
      <c r="J1257" s="7"/>
      <c r="K1257" s="7"/>
      <c r="L1257" s="7" t="str">
        <f aca="false">IFERROR(VLOOKUP(IF(ISNUMBER(SEARCH("(",F1257)),LEFT(F1257,SEARCH("(",F1257)-1),F1257),Tipos!$A:$B,2,FALSE()),"outro")</f>
        <v>data e hora</v>
      </c>
      <c r="M1257" s="7" t="str">
        <f aca="false">IF(COUNTIF(Comparação!$H:$H,A1257)&gt;0,"sim",IF(AND(G1257="sim",H1257=""),"FALTA (obrigatória)","não"))</f>
        <v>não</v>
      </c>
    </row>
    <row r="1258" customFormat="false" ht="15" hidden="false" customHeight="false" outlineLevel="0" collapsed="false">
      <c r="A1258" s="7" t="str">
        <f aca="false">B1258&amp;"."&amp;E1258</f>
        <v>presencas_video.ultimo_em</v>
      </c>
      <c r="B1258" s="7" t="s">
        <v>213</v>
      </c>
      <c r="C1258" s="7" t="s">
        <v>31</v>
      </c>
      <c r="D1258" s="7" t="n">
        <v>8</v>
      </c>
      <c r="E1258" s="7" t="s">
        <v>1120</v>
      </c>
      <c r="F1258" s="7" t="s">
        <v>285</v>
      </c>
      <c r="G1258" s="7" t="s">
        <v>262</v>
      </c>
      <c r="H1258" s="7" t="s">
        <v>286</v>
      </c>
      <c r="I1258" s="7"/>
      <c r="J1258" s="7"/>
      <c r="K1258" s="7"/>
      <c r="L1258" s="7" t="str">
        <f aca="false">IFERROR(VLOOKUP(IF(ISNUMBER(SEARCH("(",F1258)),LEFT(F1258,SEARCH("(",F1258)-1),F1258),Tipos!$A:$B,2,FALSE()),"outro")</f>
        <v>data e hora</v>
      </c>
      <c r="M1258" s="7" t="str">
        <f aca="false">IF(COUNTIF(Comparação!$H:$H,A1258)&gt;0,"sim",IF(AND(G1258="sim",H1258=""),"FALTA (obrigatória)","não"))</f>
        <v>não</v>
      </c>
    </row>
    <row r="1259" customFormat="false" ht="15" hidden="false" customHeight="false" outlineLevel="0" collapsed="false">
      <c r="A1259" s="7" t="str">
        <f aca="false">B1259&amp;"."&amp;E1259</f>
        <v>presencas_video.origem</v>
      </c>
      <c r="B1259" s="7" t="s">
        <v>213</v>
      </c>
      <c r="C1259" s="7" t="s">
        <v>31</v>
      </c>
      <c r="D1259" s="7" t="n">
        <v>9</v>
      </c>
      <c r="E1259" s="7" t="s">
        <v>302</v>
      </c>
      <c r="F1259" s="7" t="s">
        <v>261</v>
      </c>
      <c r="G1259" s="7" t="s">
        <v>262</v>
      </c>
      <c r="H1259" s="7" t="s">
        <v>945</v>
      </c>
      <c r="I1259" s="7"/>
      <c r="J1259" s="7"/>
      <c r="K1259" s="7" t="s">
        <v>946</v>
      </c>
      <c r="L1259" s="7" t="str">
        <f aca="false">IFERROR(VLOOKUP(IF(ISNUMBER(SEARCH("(",F1259)),LEFT(F1259,SEARCH("(",F1259)-1),F1259),Tipos!$A:$B,2,FALSE()),"outro")</f>
        <v>texto</v>
      </c>
      <c r="M1259" s="7" t="str">
        <f aca="false">IF(COUNTIF(Comparação!$H:$H,A1259)&gt;0,"sim",IF(AND(G1259="sim",H1259=""),"FALTA (obrigatória)","não"))</f>
        <v>não</v>
      </c>
    </row>
    <row r="1260" customFormat="false" ht="15" hidden="false" customHeight="false" outlineLevel="0" collapsed="false">
      <c r="A1260" s="7" t="str">
        <f aca="false">B1260&amp;"."&amp;E1260</f>
        <v>presencas_video.importacao_id</v>
      </c>
      <c r="B1260" s="7" t="s">
        <v>213</v>
      </c>
      <c r="C1260" s="7" t="s">
        <v>31</v>
      </c>
      <c r="D1260" s="7" t="n">
        <v>10</v>
      </c>
      <c r="E1260" s="7" t="s">
        <v>947</v>
      </c>
      <c r="F1260" s="7" t="s">
        <v>272</v>
      </c>
      <c r="G1260" s="7" t="s">
        <v>267</v>
      </c>
      <c r="H1260" s="7"/>
      <c r="I1260" s="7"/>
      <c r="J1260" s="7" t="s">
        <v>948</v>
      </c>
      <c r="K1260" s="7"/>
      <c r="L1260" s="7" t="str">
        <f aca="false">IFERROR(VLOOKUP(IF(ISNUMBER(SEARCH("(",F1260)),LEFT(F1260,SEARCH("(",F1260)-1),F1260),Tipos!$A:$B,2,FALSE()),"outro")</f>
        <v>uuid</v>
      </c>
      <c r="M1260" s="7" t="str">
        <f aca="false">IF(COUNTIF(Comparação!$H:$H,A1260)&gt;0,"sim",IF(AND(G1260="sim",H1260=""),"FALTA (obrigatória)","não"))</f>
        <v>não</v>
      </c>
    </row>
    <row r="1261" customFormat="false" ht="15" hidden="false" customHeight="false" outlineLevel="0" collapsed="false">
      <c r="A1261" s="7" t="str">
        <f aca="false">B1261&amp;"."&amp;E1261</f>
        <v>produto_plataforma.workspace_id</v>
      </c>
      <c r="B1261" s="7" t="s">
        <v>215</v>
      </c>
      <c r="C1261" s="7" t="s">
        <v>119</v>
      </c>
      <c r="D1261" s="7" t="n">
        <v>1</v>
      </c>
      <c r="E1261" s="7" t="s">
        <v>274</v>
      </c>
      <c r="F1261" s="7" t="s">
        <v>272</v>
      </c>
      <c r="G1261" s="7" t="s">
        <v>262</v>
      </c>
      <c r="H1261" s="7"/>
      <c r="I1261" s="7"/>
      <c r="J1261" s="7" t="s">
        <v>275</v>
      </c>
      <c r="K1261" s="7"/>
      <c r="L1261" s="7" t="str">
        <f aca="false">IFERROR(VLOOKUP(IF(ISNUMBER(SEARCH("(",F1261)),LEFT(F1261,SEARCH("(",F1261)-1),F1261),Tipos!$A:$B,2,FALSE()),"outro")</f>
        <v>uuid</v>
      </c>
      <c r="M1261" s="7" t="str">
        <f aca="false">IF(COUNTIF(Comparação!$H:$H,A1261)&gt;0,"sim",IF(AND(G1261="sim",H1261=""),"FALTA (obrigatória)","não"))</f>
        <v>FALTA (obrigatória)</v>
      </c>
    </row>
    <row r="1262" customFormat="false" ht="15" hidden="false" customHeight="false" outlineLevel="0" collapsed="false">
      <c r="A1262" s="7" t="str">
        <f aca="false">B1262&amp;"."&amp;E1262</f>
        <v>produto_plataforma.produto_id</v>
      </c>
      <c r="B1262" s="7" t="s">
        <v>215</v>
      </c>
      <c r="C1262" s="7" t="s">
        <v>119</v>
      </c>
      <c r="D1262" s="7" t="n">
        <v>2</v>
      </c>
      <c r="E1262" s="7" t="s">
        <v>287</v>
      </c>
      <c r="F1262" s="7" t="s">
        <v>272</v>
      </c>
      <c r="G1262" s="7" t="s">
        <v>262</v>
      </c>
      <c r="H1262" s="7"/>
      <c r="I1262" s="7" t="s">
        <v>263</v>
      </c>
      <c r="J1262" s="7" t="s">
        <v>288</v>
      </c>
      <c r="K1262" s="7"/>
      <c r="L1262" s="7" t="str">
        <f aca="false">IFERROR(VLOOKUP(IF(ISNUMBER(SEARCH("(",F1262)),LEFT(F1262,SEARCH("(",F1262)-1),F1262),Tipos!$A:$B,2,FALSE()),"outro")</f>
        <v>uuid</v>
      </c>
      <c r="M1262" s="7" t="str">
        <f aca="false">IF(COUNTIF(Comparação!$H:$H,A1262)&gt;0,"sim",IF(AND(G1262="sim",H1262=""),"FALTA (obrigatória)","não"))</f>
        <v>FALTA (obrigatória)</v>
      </c>
    </row>
    <row r="1263" customFormat="false" ht="15" hidden="false" customHeight="false" outlineLevel="0" collapsed="false">
      <c r="A1263" s="7" t="str">
        <f aca="false">B1263&amp;"."&amp;E1263</f>
        <v>produto_plataforma.plataforma_id</v>
      </c>
      <c r="B1263" s="7" t="s">
        <v>215</v>
      </c>
      <c r="C1263" s="7" t="s">
        <v>119</v>
      </c>
      <c r="D1263" s="7" t="n">
        <v>3</v>
      </c>
      <c r="E1263" s="7" t="s">
        <v>1107</v>
      </c>
      <c r="F1263" s="7" t="s">
        <v>272</v>
      </c>
      <c r="G1263" s="7" t="s">
        <v>262</v>
      </c>
      <c r="H1263" s="7"/>
      <c r="I1263" s="7" t="s">
        <v>263</v>
      </c>
      <c r="J1263" s="7" t="s">
        <v>1108</v>
      </c>
      <c r="K1263" s="7"/>
      <c r="L1263" s="7" t="str">
        <f aca="false">IFERROR(VLOOKUP(IF(ISNUMBER(SEARCH("(",F1263)),LEFT(F1263,SEARCH("(",F1263)-1),F1263),Tipos!$A:$B,2,FALSE()),"outro")</f>
        <v>uuid</v>
      </c>
      <c r="M1263" s="7" t="str">
        <f aca="false">IF(COUNTIF(Comparação!$H:$H,A1263)&gt;0,"sim",IF(AND(G1263="sim",H1263=""),"FALTA (obrigatória)","não"))</f>
        <v>FALTA (obrigatória)</v>
      </c>
    </row>
    <row r="1264" customFormat="false" ht="15" hidden="false" customHeight="false" outlineLevel="0" collapsed="false">
      <c r="A1264" s="7" t="str">
        <f aca="false">B1264&amp;"."&amp;E1264</f>
        <v>produto_plataforma.id_externo</v>
      </c>
      <c r="B1264" s="7" t="s">
        <v>215</v>
      </c>
      <c r="C1264" s="7" t="s">
        <v>119</v>
      </c>
      <c r="D1264" s="7" t="n">
        <v>4</v>
      </c>
      <c r="E1264" s="7" t="s">
        <v>308</v>
      </c>
      <c r="F1264" s="7" t="s">
        <v>261</v>
      </c>
      <c r="G1264" s="7" t="s">
        <v>267</v>
      </c>
      <c r="H1264" s="7"/>
      <c r="I1264" s="7"/>
      <c r="J1264" s="7"/>
      <c r="K1264" s="7"/>
      <c r="L1264" s="7" t="str">
        <f aca="false">IFERROR(VLOOKUP(IF(ISNUMBER(SEARCH("(",F1264)),LEFT(F1264,SEARCH("(",F1264)-1),F1264),Tipos!$A:$B,2,FALSE()),"outro")</f>
        <v>texto</v>
      </c>
      <c r="M1264" s="7" t="str">
        <f aca="false">IF(COUNTIF(Comparação!$H:$H,A1264)&gt;0,"sim",IF(AND(G1264="sim",H1264=""),"FALTA (obrigatória)","não"))</f>
        <v>não</v>
      </c>
    </row>
    <row r="1265" customFormat="false" ht="15" hidden="false" customHeight="false" outlineLevel="0" collapsed="false">
      <c r="A1265" s="7" t="str">
        <f aca="false">B1265&amp;"."&amp;E1265</f>
        <v>produtos.id</v>
      </c>
      <c r="B1265" s="7" t="s">
        <v>217</v>
      </c>
      <c r="C1265" s="7" t="s">
        <v>119</v>
      </c>
      <c r="D1265" s="7" t="n">
        <v>1</v>
      </c>
      <c r="E1265" s="7" t="s">
        <v>271</v>
      </c>
      <c r="F1265" s="7" t="s">
        <v>272</v>
      </c>
      <c r="G1265" s="7" t="s">
        <v>262</v>
      </c>
      <c r="H1265" s="7" t="s">
        <v>273</v>
      </c>
      <c r="I1265" s="7" t="s">
        <v>263</v>
      </c>
      <c r="J1265" s="7"/>
      <c r="K1265" s="7"/>
      <c r="L1265" s="7" t="str">
        <f aca="false">IFERROR(VLOOKUP(IF(ISNUMBER(SEARCH("(",F1265)),LEFT(F1265,SEARCH("(",F1265)-1),F1265),Tipos!$A:$B,2,FALSE()),"outro")</f>
        <v>uuid</v>
      </c>
      <c r="M1265" s="7" t="str">
        <f aca="false">IF(COUNTIF(Comparação!$H:$H,A1265)&gt;0,"sim",IF(AND(G1265="sim",H1265=""),"FALTA (obrigatória)","não"))</f>
        <v>não</v>
      </c>
    </row>
    <row r="1266" customFormat="false" ht="15" hidden="false" customHeight="false" outlineLevel="0" collapsed="false">
      <c r="A1266" s="7" t="str">
        <f aca="false">B1266&amp;"."&amp;E1266</f>
        <v>produtos.workspace_id</v>
      </c>
      <c r="B1266" s="7" t="s">
        <v>217</v>
      </c>
      <c r="C1266" s="7" t="s">
        <v>119</v>
      </c>
      <c r="D1266" s="7" t="n">
        <v>2</v>
      </c>
      <c r="E1266" s="7" t="s">
        <v>274</v>
      </c>
      <c r="F1266" s="7" t="s">
        <v>272</v>
      </c>
      <c r="G1266" s="7" t="s">
        <v>262</v>
      </c>
      <c r="H1266" s="7"/>
      <c r="I1266" s="7"/>
      <c r="J1266" s="7" t="s">
        <v>275</v>
      </c>
      <c r="K1266" s="7"/>
      <c r="L1266" s="7" t="str">
        <f aca="false">IFERROR(VLOOKUP(IF(ISNUMBER(SEARCH("(",F1266)),LEFT(F1266,SEARCH("(",F1266)-1),F1266),Tipos!$A:$B,2,FALSE()),"outro")</f>
        <v>uuid</v>
      </c>
      <c r="M1266" s="7" t="str">
        <f aca="false">IF(COUNTIF(Comparação!$H:$H,A1266)&gt;0,"sim",IF(AND(G1266="sim",H1266=""),"FALTA (obrigatória)","não"))</f>
        <v>FALTA (obrigatória)</v>
      </c>
    </row>
    <row r="1267" customFormat="false" ht="15" hidden="false" customHeight="false" outlineLevel="0" collapsed="false">
      <c r="A1267" s="7" t="str">
        <f aca="false">B1267&amp;"."&amp;E1267</f>
        <v>produtos.nome</v>
      </c>
      <c r="B1267" s="7" t="s">
        <v>217</v>
      </c>
      <c r="C1267" s="7" t="s">
        <v>119</v>
      </c>
      <c r="D1267" s="7" t="n">
        <v>3</v>
      </c>
      <c r="E1267" s="7" t="s">
        <v>265</v>
      </c>
      <c r="F1267" s="7" t="s">
        <v>261</v>
      </c>
      <c r="G1267" s="7" t="s">
        <v>262</v>
      </c>
      <c r="H1267" s="7"/>
      <c r="I1267" s="7"/>
      <c r="J1267" s="7"/>
      <c r="K1267" s="7"/>
      <c r="L1267" s="7" t="str">
        <f aca="false">IFERROR(VLOOKUP(IF(ISNUMBER(SEARCH("(",F1267)),LEFT(F1267,SEARCH("(",F1267)-1),F1267),Tipos!$A:$B,2,FALSE()),"outro")</f>
        <v>texto</v>
      </c>
      <c r="M1267" s="7" t="str">
        <f aca="false">IF(COUNTIF(Comparação!$H:$H,A1267)&gt;0,"sim",IF(AND(G1267="sim",H1267=""),"FALTA (obrigatória)","não"))</f>
        <v>FALTA (obrigatória)</v>
      </c>
    </row>
    <row r="1268" customFormat="false" ht="15" hidden="false" customHeight="false" outlineLevel="0" collapsed="false">
      <c r="A1268" s="7" t="str">
        <f aca="false">B1268&amp;"."&amp;E1268</f>
        <v>produtos.tag</v>
      </c>
      <c r="B1268" s="7" t="s">
        <v>217</v>
      </c>
      <c r="C1268" s="7" t="s">
        <v>119</v>
      </c>
      <c r="D1268" s="7" t="n">
        <v>4</v>
      </c>
      <c r="E1268" s="7" t="s">
        <v>292</v>
      </c>
      <c r="F1268" s="7" t="s">
        <v>261</v>
      </c>
      <c r="G1268" s="7" t="s">
        <v>262</v>
      </c>
      <c r="H1268" s="7"/>
      <c r="I1268" s="7"/>
      <c r="J1268" s="7"/>
      <c r="K1268" s="7"/>
      <c r="L1268" s="7" t="str">
        <f aca="false">IFERROR(VLOOKUP(IF(ISNUMBER(SEARCH("(",F1268)),LEFT(F1268,SEARCH("(",F1268)-1),F1268),Tipos!$A:$B,2,FALSE()),"outro")</f>
        <v>texto</v>
      </c>
      <c r="M1268" s="7" t="str">
        <f aca="false">IF(COUNTIF(Comparação!$H:$H,A1268)&gt;0,"sim",IF(AND(G1268="sim",H1268=""),"FALTA (obrigatória)","não"))</f>
        <v>FALTA (obrigatória)</v>
      </c>
    </row>
    <row r="1269" customFormat="false" ht="15" hidden="false" customHeight="false" outlineLevel="0" collapsed="false">
      <c r="A1269" s="7" t="str">
        <f aca="false">B1269&amp;"."&amp;E1269</f>
        <v>produtos.tipo</v>
      </c>
      <c r="B1269" s="7" t="s">
        <v>217</v>
      </c>
      <c r="C1269" s="7" t="s">
        <v>119</v>
      </c>
      <c r="D1269" s="7" t="n">
        <v>5</v>
      </c>
      <c r="E1269" s="7" t="s">
        <v>280</v>
      </c>
      <c r="F1269" s="7" t="s">
        <v>261</v>
      </c>
      <c r="G1269" s="7" t="s">
        <v>262</v>
      </c>
      <c r="H1269" s="7" t="s">
        <v>1121</v>
      </c>
      <c r="I1269" s="7"/>
      <c r="J1269" s="7"/>
      <c r="K1269" s="7" t="s">
        <v>1122</v>
      </c>
      <c r="L1269" s="7" t="str">
        <f aca="false">IFERROR(VLOOKUP(IF(ISNUMBER(SEARCH("(",F1269)),LEFT(F1269,SEARCH("(",F1269)-1),F1269),Tipos!$A:$B,2,FALSE()),"outro")</f>
        <v>texto</v>
      </c>
      <c r="M1269" s="7" t="str">
        <f aca="false">IF(COUNTIF(Comparação!$H:$H,A1269)&gt;0,"sim",IF(AND(G1269="sim",H1269=""),"FALTA (obrigatória)","não"))</f>
        <v>não</v>
      </c>
    </row>
    <row r="1270" customFormat="false" ht="15" hidden="false" customHeight="false" outlineLevel="0" collapsed="false">
      <c r="A1270" s="7" t="str">
        <f aca="false">B1270&amp;"."&amp;E1270</f>
        <v>produtos.recorrente</v>
      </c>
      <c r="B1270" s="7" t="s">
        <v>217</v>
      </c>
      <c r="C1270" s="7" t="s">
        <v>119</v>
      </c>
      <c r="D1270" s="7" t="n">
        <v>6</v>
      </c>
      <c r="E1270" s="7" t="s">
        <v>654</v>
      </c>
      <c r="F1270" s="7" t="s">
        <v>310</v>
      </c>
      <c r="G1270" s="7" t="s">
        <v>262</v>
      </c>
      <c r="H1270" s="7" t="s">
        <v>375</v>
      </c>
      <c r="I1270" s="7"/>
      <c r="J1270" s="7"/>
      <c r="K1270" s="7"/>
      <c r="L1270" s="7" t="str">
        <f aca="false">IFERROR(VLOOKUP(IF(ISNUMBER(SEARCH("(",F1270)),LEFT(F1270,SEARCH("(",F1270)-1),F1270),Tipos!$A:$B,2,FALSE()),"outro")</f>
        <v>booleano</v>
      </c>
      <c r="M1270" s="7" t="str">
        <f aca="false">IF(COUNTIF(Comparação!$H:$H,A1270)&gt;0,"sim",IF(AND(G1270="sim",H1270=""),"FALTA (obrigatória)","não"))</f>
        <v>não</v>
      </c>
    </row>
    <row r="1271" customFormat="false" ht="15" hidden="false" customHeight="false" outlineLevel="0" collapsed="false">
      <c r="A1271" s="7" t="str">
        <f aca="false">B1271&amp;"."&amp;E1271</f>
        <v>produtos.periodicidade</v>
      </c>
      <c r="B1271" s="7" t="s">
        <v>217</v>
      </c>
      <c r="C1271" s="7" t="s">
        <v>119</v>
      </c>
      <c r="D1271" s="7" t="n">
        <v>7</v>
      </c>
      <c r="E1271" s="7" t="s">
        <v>655</v>
      </c>
      <c r="F1271" s="7" t="s">
        <v>261</v>
      </c>
      <c r="G1271" s="7" t="s">
        <v>267</v>
      </c>
      <c r="H1271" s="7"/>
      <c r="I1271" s="7"/>
      <c r="J1271" s="7"/>
      <c r="K1271" s="7" t="s">
        <v>656</v>
      </c>
      <c r="L1271" s="7" t="str">
        <f aca="false">IFERROR(VLOOKUP(IF(ISNUMBER(SEARCH("(",F1271)),LEFT(F1271,SEARCH("(",F1271)-1),F1271),Tipos!$A:$B,2,FALSE()),"outro")</f>
        <v>texto</v>
      </c>
      <c r="M1271" s="7" t="str">
        <f aca="false">IF(COUNTIF(Comparação!$H:$H,A1271)&gt;0,"sim",IF(AND(G1271="sim",H1271=""),"FALTA (obrigatória)","não"))</f>
        <v>não</v>
      </c>
    </row>
    <row r="1272" customFormat="false" ht="15" hidden="false" customHeight="false" outlineLevel="0" collapsed="false">
      <c r="A1272" s="7" t="str">
        <f aca="false">B1272&amp;"."&amp;E1272</f>
        <v>produtos.preco</v>
      </c>
      <c r="B1272" s="7" t="s">
        <v>217</v>
      </c>
      <c r="C1272" s="7" t="s">
        <v>119</v>
      </c>
      <c r="D1272" s="7" t="n">
        <v>8</v>
      </c>
      <c r="E1272" s="7" t="s">
        <v>450</v>
      </c>
      <c r="F1272" s="7" t="s">
        <v>360</v>
      </c>
      <c r="G1272" s="7" t="s">
        <v>262</v>
      </c>
      <c r="H1272" s="7"/>
      <c r="I1272" s="7"/>
      <c r="J1272" s="7"/>
      <c r="K1272" s="7" t="s">
        <v>451</v>
      </c>
      <c r="L1272" s="7" t="str">
        <f aca="false">IFERROR(VLOOKUP(IF(ISNUMBER(SEARCH("(",F1272)),LEFT(F1272,SEARCH("(",F1272)-1),F1272),Tipos!$A:$B,2,FALSE()),"outro")</f>
        <v>decimal</v>
      </c>
      <c r="M1272" s="7" t="str">
        <f aca="false">IF(COUNTIF(Comparação!$H:$H,A1272)&gt;0,"sim",IF(AND(G1272="sim",H1272=""),"FALTA (obrigatória)","não"))</f>
        <v>FALTA (obrigatória)</v>
      </c>
    </row>
    <row r="1273" customFormat="false" ht="15" hidden="false" customHeight="false" outlineLevel="0" collapsed="false">
      <c r="A1273" s="7" t="str">
        <f aca="false">B1273&amp;"."&amp;E1273</f>
        <v>produtos.taxa_percentual_override</v>
      </c>
      <c r="B1273" s="7" t="s">
        <v>217</v>
      </c>
      <c r="C1273" s="7" t="s">
        <v>119</v>
      </c>
      <c r="D1273" s="7" t="n">
        <v>9</v>
      </c>
      <c r="E1273" s="7" t="s">
        <v>1123</v>
      </c>
      <c r="F1273" s="7" t="s">
        <v>356</v>
      </c>
      <c r="G1273" s="7" t="s">
        <v>267</v>
      </c>
      <c r="H1273" s="7"/>
      <c r="I1273" s="7"/>
      <c r="J1273" s="7"/>
      <c r="K1273" s="7"/>
      <c r="L1273" s="7" t="str">
        <f aca="false">IFERROR(VLOOKUP(IF(ISNUMBER(SEARCH("(",F1273)),LEFT(F1273,SEARCH("(",F1273)-1),F1273),Tipos!$A:$B,2,FALSE()),"outro")</f>
        <v>decimal</v>
      </c>
      <c r="M1273" s="7" t="str">
        <f aca="false">IF(COUNTIF(Comparação!$H:$H,A1273)&gt;0,"sim",IF(AND(G1273="sim",H1273=""),"FALTA (obrigatória)","não"))</f>
        <v>não</v>
      </c>
    </row>
    <row r="1274" customFormat="false" ht="15" hidden="false" customHeight="false" outlineLevel="0" collapsed="false">
      <c r="A1274" s="7" t="str">
        <f aca="false">B1274&amp;"."&amp;E1274</f>
        <v>produtos.taxa_fixa_override</v>
      </c>
      <c r="B1274" s="7" t="s">
        <v>217</v>
      </c>
      <c r="C1274" s="7" t="s">
        <v>119</v>
      </c>
      <c r="D1274" s="7" t="n">
        <v>10</v>
      </c>
      <c r="E1274" s="7" t="s">
        <v>1124</v>
      </c>
      <c r="F1274" s="7" t="s">
        <v>360</v>
      </c>
      <c r="G1274" s="7" t="s">
        <v>267</v>
      </c>
      <c r="H1274" s="7"/>
      <c r="I1274" s="7"/>
      <c r="J1274" s="7"/>
      <c r="K1274" s="7"/>
      <c r="L1274" s="7" t="str">
        <f aca="false">IFERROR(VLOOKUP(IF(ISNUMBER(SEARCH("(",F1274)),LEFT(F1274,SEARCH("(",F1274)-1),F1274),Tipos!$A:$B,2,FALSE()),"outro")</f>
        <v>decimal</v>
      </c>
      <c r="M1274" s="7" t="str">
        <f aca="false">IF(COUNTIF(Comparação!$H:$H,A1274)&gt;0,"sim",IF(AND(G1274="sim",H1274=""),"FALTA (obrigatória)","não"))</f>
        <v>não</v>
      </c>
    </row>
    <row r="1275" customFormat="false" ht="15" hidden="false" customHeight="false" outlineLevel="0" collapsed="false">
      <c r="A1275" s="7" t="str">
        <f aca="false">B1275&amp;"."&amp;E1275</f>
        <v>produtos.centro_custo_id</v>
      </c>
      <c r="B1275" s="7" t="s">
        <v>217</v>
      </c>
      <c r="C1275" s="7" t="s">
        <v>119</v>
      </c>
      <c r="D1275" s="7" t="n">
        <v>11</v>
      </c>
      <c r="E1275" s="7" t="s">
        <v>533</v>
      </c>
      <c r="F1275" s="7" t="s">
        <v>272</v>
      </c>
      <c r="G1275" s="7" t="s">
        <v>267</v>
      </c>
      <c r="H1275" s="7"/>
      <c r="I1275" s="7"/>
      <c r="J1275" s="7" t="s">
        <v>534</v>
      </c>
      <c r="K1275" s="7"/>
      <c r="L1275" s="7" t="str">
        <f aca="false">IFERROR(VLOOKUP(IF(ISNUMBER(SEARCH("(",F1275)),LEFT(F1275,SEARCH("(",F1275)-1),F1275),Tipos!$A:$B,2,FALSE()),"outro")</f>
        <v>uuid</v>
      </c>
      <c r="M1275" s="7" t="str">
        <f aca="false">IF(COUNTIF(Comparação!$H:$H,A1275)&gt;0,"sim",IF(AND(G1275="sim",H1275=""),"FALTA (obrigatória)","não"))</f>
        <v>não</v>
      </c>
    </row>
    <row r="1276" customFormat="false" ht="15" hidden="false" customHeight="false" outlineLevel="0" collapsed="false">
      <c r="A1276" s="7" t="str">
        <f aca="false">B1276&amp;"."&amp;E1276</f>
        <v>produtos.ativo</v>
      </c>
      <c r="B1276" s="7" t="s">
        <v>217</v>
      </c>
      <c r="C1276" s="7" t="s">
        <v>119</v>
      </c>
      <c r="D1276" s="7" t="n">
        <v>12</v>
      </c>
      <c r="E1276" s="7" t="s">
        <v>309</v>
      </c>
      <c r="F1276" s="7" t="s">
        <v>310</v>
      </c>
      <c r="G1276" s="7" t="s">
        <v>262</v>
      </c>
      <c r="H1276" s="7" t="s">
        <v>311</v>
      </c>
      <c r="I1276" s="7"/>
      <c r="J1276" s="7"/>
      <c r="K1276" s="7"/>
      <c r="L1276" s="7" t="str">
        <f aca="false">IFERROR(VLOOKUP(IF(ISNUMBER(SEARCH("(",F1276)),LEFT(F1276,SEARCH("(",F1276)-1),F1276),Tipos!$A:$B,2,FALSE()),"outro")</f>
        <v>booleano</v>
      </c>
      <c r="M1276" s="7" t="str">
        <f aca="false">IF(COUNTIF(Comparação!$H:$H,A1276)&gt;0,"sim",IF(AND(G1276="sim",H1276=""),"FALTA (obrigatória)","não"))</f>
        <v>não</v>
      </c>
    </row>
    <row r="1277" customFormat="false" ht="15" hidden="false" customHeight="false" outlineLevel="0" collapsed="false">
      <c r="A1277" s="7" t="str">
        <f aca="false">B1277&amp;"."&amp;E1277</f>
        <v>produtos.nivel_escada</v>
      </c>
      <c r="B1277" s="7" t="s">
        <v>217</v>
      </c>
      <c r="C1277" s="7" t="s">
        <v>119</v>
      </c>
      <c r="D1277" s="7" t="n">
        <v>13</v>
      </c>
      <c r="E1277" s="7" t="s">
        <v>1125</v>
      </c>
      <c r="F1277" s="7" t="s">
        <v>269</v>
      </c>
      <c r="G1277" s="7" t="s">
        <v>267</v>
      </c>
      <c r="H1277" s="7"/>
      <c r="I1277" s="7"/>
      <c r="J1277" s="7"/>
      <c r="K1277" s="7" t="s">
        <v>1126</v>
      </c>
      <c r="L1277" s="7" t="str">
        <f aca="false">IFERROR(VLOOKUP(IF(ISNUMBER(SEARCH("(",F1277)),LEFT(F1277,SEARCH("(",F1277)-1),F1277),Tipos!$A:$B,2,FALSE()),"outro")</f>
        <v>inteiro</v>
      </c>
      <c r="M1277" s="7" t="str">
        <f aca="false">IF(COUNTIF(Comparação!$H:$H,A1277)&gt;0,"sim",IF(AND(G1277="sim",H1277=""),"FALTA (obrigatória)","não"))</f>
        <v>não</v>
      </c>
    </row>
    <row r="1278" customFormat="false" ht="15" hidden="false" customHeight="false" outlineLevel="0" collapsed="false">
      <c r="A1278" s="7" t="str">
        <f aca="false">B1278&amp;"."&amp;E1278</f>
        <v>produtos.modelo_projeto_id</v>
      </c>
      <c r="B1278" s="7" t="s">
        <v>217</v>
      </c>
      <c r="C1278" s="7" t="s">
        <v>119</v>
      </c>
      <c r="D1278" s="7" t="n">
        <v>14</v>
      </c>
      <c r="E1278" s="7" t="s">
        <v>1127</v>
      </c>
      <c r="F1278" s="7" t="s">
        <v>272</v>
      </c>
      <c r="G1278" s="7" t="s">
        <v>267</v>
      </c>
      <c r="H1278" s="7"/>
      <c r="I1278" s="7"/>
      <c r="J1278" s="7" t="s">
        <v>491</v>
      </c>
      <c r="K1278" s="7"/>
      <c r="L1278" s="7" t="str">
        <f aca="false">IFERROR(VLOOKUP(IF(ISNUMBER(SEARCH("(",F1278)),LEFT(F1278,SEARCH("(",F1278)-1),F1278),Tipos!$A:$B,2,FALSE()),"outro")</f>
        <v>uuid</v>
      </c>
      <c r="M1278" s="7" t="str">
        <f aca="false">IF(COUNTIF(Comparação!$H:$H,A1278)&gt;0,"sim",IF(AND(G1278="sim",H1278=""),"FALTA (obrigatória)","não"))</f>
        <v>não</v>
      </c>
    </row>
    <row r="1279" customFormat="false" ht="15" hidden="false" customHeight="false" outlineLevel="0" collapsed="false">
      <c r="A1279" s="7" t="str">
        <f aca="false">B1279&amp;"."&amp;E1279</f>
        <v>produtos.extras</v>
      </c>
      <c r="B1279" s="7" t="s">
        <v>217</v>
      </c>
      <c r="C1279" s="7" t="s">
        <v>119</v>
      </c>
      <c r="D1279" s="7" t="n">
        <v>15</v>
      </c>
      <c r="E1279" s="7" t="s">
        <v>485</v>
      </c>
      <c r="F1279" s="7" t="s">
        <v>324</v>
      </c>
      <c r="G1279" s="7" t="s">
        <v>262</v>
      </c>
      <c r="H1279" s="7" t="s">
        <v>347</v>
      </c>
      <c r="I1279" s="7"/>
      <c r="J1279" s="7"/>
      <c r="K1279" s="7" t="s">
        <v>486</v>
      </c>
      <c r="L1279" s="7" t="str">
        <f aca="false">IFERROR(VLOOKUP(IF(ISNUMBER(SEARCH("(",F1279)),LEFT(F1279,SEARCH("(",F1279)-1),F1279),Tipos!$A:$B,2,FALSE()),"outro")</f>
        <v>json</v>
      </c>
      <c r="M1279" s="7" t="str">
        <f aca="false">IF(COUNTIF(Comparação!$H:$H,A1279)&gt;0,"sim",IF(AND(G1279="sim",H1279=""),"FALTA (obrigatória)","não"))</f>
        <v>não</v>
      </c>
    </row>
    <row r="1280" customFormat="false" ht="15" hidden="false" customHeight="false" outlineLevel="0" collapsed="false">
      <c r="A1280" s="7" t="str">
        <f aca="false">B1280&amp;"."&amp;E1280</f>
        <v>produtos.categoria</v>
      </c>
      <c r="B1280" s="7" t="s">
        <v>217</v>
      </c>
      <c r="C1280" s="7" t="s">
        <v>119</v>
      </c>
      <c r="D1280" s="7" t="n">
        <v>16</v>
      </c>
      <c r="E1280" s="7" t="s">
        <v>731</v>
      </c>
      <c r="F1280" s="7" t="s">
        <v>261</v>
      </c>
      <c r="G1280" s="7" t="s">
        <v>267</v>
      </c>
      <c r="H1280" s="7"/>
      <c r="I1280" s="7"/>
      <c r="J1280" s="7"/>
      <c r="K1280" s="7"/>
      <c r="L1280" s="7" t="str">
        <f aca="false">IFERROR(VLOOKUP(IF(ISNUMBER(SEARCH("(",F1280)),LEFT(F1280,SEARCH("(",F1280)-1),F1280),Tipos!$A:$B,2,FALSE()),"outro")</f>
        <v>texto</v>
      </c>
      <c r="M1280" s="7" t="str">
        <f aca="false">IF(COUNTIF(Comparação!$H:$H,A1280)&gt;0,"sim",IF(AND(G1280="sim",H1280=""),"FALTA (obrigatória)","não"))</f>
        <v>não</v>
      </c>
    </row>
    <row r="1281" customFormat="false" ht="15" hidden="false" customHeight="false" outlineLevel="0" collapsed="false">
      <c r="A1281" s="7" t="str">
        <f aca="false">B1281&amp;"."&amp;E1281</f>
        <v>projeto_atividades.id</v>
      </c>
      <c r="B1281" s="7" t="s">
        <v>219</v>
      </c>
      <c r="C1281" s="7" t="s">
        <v>220</v>
      </c>
      <c r="D1281" s="7" t="n">
        <v>1</v>
      </c>
      <c r="E1281" s="7" t="s">
        <v>271</v>
      </c>
      <c r="F1281" s="7" t="s">
        <v>272</v>
      </c>
      <c r="G1281" s="7" t="s">
        <v>262</v>
      </c>
      <c r="H1281" s="7" t="s">
        <v>273</v>
      </c>
      <c r="I1281" s="7" t="s">
        <v>263</v>
      </c>
      <c r="J1281" s="7"/>
      <c r="K1281" s="7"/>
      <c r="L1281" s="7" t="str">
        <f aca="false">IFERROR(VLOOKUP(IF(ISNUMBER(SEARCH("(",F1281)),LEFT(F1281,SEARCH("(",F1281)-1),F1281),Tipos!$A:$B,2,FALSE()),"outro")</f>
        <v>uuid</v>
      </c>
      <c r="M1281" s="7" t="str">
        <f aca="false">IF(COUNTIF(Comparação!$H:$H,A1281)&gt;0,"sim",IF(AND(G1281="sim",H1281=""),"FALTA (obrigatória)","não"))</f>
        <v>não</v>
      </c>
    </row>
    <row r="1282" customFormat="false" ht="15" hidden="false" customHeight="false" outlineLevel="0" collapsed="false">
      <c r="A1282" s="7" t="str">
        <f aca="false">B1282&amp;"."&amp;E1282</f>
        <v>projeto_atividades.workspace_id</v>
      </c>
      <c r="B1282" s="7" t="s">
        <v>219</v>
      </c>
      <c r="C1282" s="7" t="s">
        <v>220</v>
      </c>
      <c r="D1282" s="7" t="n">
        <v>2</v>
      </c>
      <c r="E1282" s="7" t="s">
        <v>274</v>
      </c>
      <c r="F1282" s="7" t="s">
        <v>272</v>
      </c>
      <c r="G1282" s="7" t="s">
        <v>262</v>
      </c>
      <c r="H1282" s="7"/>
      <c r="I1282" s="7"/>
      <c r="J1282" s="7" t="s">
        <v>275</v>
      </c>
      <c r="K1282" s="7"/>
      <c r="L1282" s="7" t="str">
        <f aca="false">IFERROR(VLOOKUP(IF(ISNUMBER(SEARCH("(",F1282)),LEFT(F1282,SEARCH("(",F1282)-1),F1282),Tipos!$A:$B,2,FALSE()),"outro")</f>
        <v>uuid</v>
      </c>
      <c r="M1282" s="7" t="str">
        <f aca="false">IF(COUNTIF(Comparação!$H:$H,A1282)&gt;0,"sim",IF(AND(G1282="sim",H1282=""),"FALTA (obrigatória)","não"))</f>
        <v>FALTA (obrigatória)</v>
      </c>
    </row>
    <row r="1283" customFormat="false" ht="15" hidden="false" customHeight="false" outlineLevel="0" collapsed="false">
      <c r="A1283" s="7" t="str">
        <f aca="false">B1283&amp;"."&amp;E1283</f>
        <v>projeto_atividades.projeto_id</v>
      </c>
      <c r="B1283" s="7" t="s">
        <v>219</v>
      </c>
      <c r="C1283" s="7" t="s">
        <v>220</v>
      </c>
      <c r="D1283" s="7" t="n">
        <v>3</v>
      </c>
      <c r="E1283" s="7" t="s">
        <v>838</v>
      </c>
      <c r="F1283" s="7" t="s">
        <v>272</v>
      </c>
      <c r="G1283" s="7" t="s">
        <v>262</v>
      </c>
      <c r="H1283" s="7"/>
      <c r="I1283" s="7"/>
      <c r="J1283" s="7" t="s">
        <v>839</v>
      </c>
      <c r="K1283" s="7"/>
      <c r="L1283" s="7" t="str">
        <f aca="false">IFERROR(VLOOKUP(IF(ISNUMBER(SEARCH("(",F1283)),LEFT(F1283,SEARCH("(",F1283)-1),F1283),Tipos!$A:$B,2,FALSE()),"outro")</f>
        <v>uuid</v>
      </c>
      <c r="M1283" s="7" t="str">
        <f aca="false">IF(COUNTIF(Comparação!$H:$H,A1283)&gt;0,"sim",IF(AND(G1283="sim",H1283=""),"FALTA (obrigatória)","não"))</f>
        <v>FALTA (obrigatória)</v>
      </c>
    </row>
    <row r="1284" customFormat="false" ht="15" hidden="false" customHeight="false" outlineLevel="0" collapsed="false">
      <c r="A1284" s="7" t="str">
        <f aca="false">B1284&amp;"."&amp;E1284</f>
        <v>projeto_atividades.pai_id</v>
      </c>
      <c r="B1284" s="7" t="s">
        <v>219</v>
      </c>
      <c r="C1284" s="7" t="s">
        <v>220</v>
      </c>
      <c r="D1284" s="7" t="n">
        <v>4</v>
      </c>
      <c r="E1284" s="7" t="s">
        <v>453</v>
      </c>
      <c r="F1284" s="7" t="s">
        <v>272</v>
      </c>
      <c r="G1284" s="7" t="s">
        <v>267</v>
      </c>
      <c r="H1284" s="7"/>
      <c r="I1284" s="7"/>
      <c r="J1284" s="7" t="s">
        <v>953</v>
      </c>
      <c r="K1284" s="7"/>
      <c r="L1284" s="7" t="str">
        <f aca="false">IFERROR(VLOOKUP(IF(ISNUMBER(SEARCH("(",F1284)),LEFT(F1284,SEARCH("(",F1284)-1),F1284),Tipos!$A:$B,2,FALSE()),"outro")</f>
        <v>uuid</v>
      </c>
      <c r="M1284" s="7" t="str">
        <f aca="false">IF(COUNTIF(Comparação!$H:$H,A1284)&gt;0,"sim",IF(AND(G1284="sim",H1284=""),"FALTA (obrigatória)","não"))</f>
        <v>não</v>
      </c>
    </row>
    <row r="1285" customFormat="false" ht="15" hidden="false" customHeight="false" outlineLevel="0" collapsed="false">
      <c r="A1285" s="7" t="str">
        <f aca="false">B1285&amp;"."&amp;E1285</f>
        <v>projeto_atividades.titulo</v>
      </c>
      <c r="B1285" s="7" t="s">
        <v>219</v>
      </c>
      <c r="C1285" s="7" t="s">
        <v>220</v>
      </c>
      <c r="D1285" s="7" t="n">
        <v>5</v>
      </c>
      <c r="E1285" s="7" t="s">
        <v>425</v>
      </c>
      <c r="F1285" s="7" t="s">
        <v>261</v>
      </c>
      <c r="G1285" s="7" t="s">
        <v>262</v>
      </c>
      <c r="H1285" s="7"/>
      <c r="I1285" s="7"/>
      <c r="J1285" s="7"/>
      <c r="K1285" s="7"/>
      <c r="L1285" s="7" t="str">
        <f aca="false">IFERROR(VLOOKUP(IF(ISNUMBER(SEARCH("(",F1285)),LEFT(F1285,SEARCH("(",F1285)-1),F1285),Tipos!$A:$B,2,FALSE()),"outro")</f>
        <v>texto</v>
      </c>
      <c r="M1285" s="7" t="str">
        <f aca="false">IF(COUNTIF(Comparação!$H:$H,A1285)&gt;0,"sim",IF(AND(G1285="sim",H1285=""),"FALTA (obrigatória)","não"))</f>
        <v>FALTA (obrigatória)</v>
      </c>
    </row>
    <row r="1286" customFormat="false" ht="15" hidden="false" customHeight="false" outlineLevel="0" collapsed="false">
      <c r="A1286" s="7" t="str">
        <f aca="false">B1286&amp;"."&amp;E1286</f>
        <v>projeto_atividades.descricao</v>
      </c>
      <c r="B1286" s="7" t="s">
        <v>219</v>
      </c>
      <c r="C1286" s="7" t="s">
        <v>220</v>
      </c>
      <c r="D1286" s="7" t="n">
        <v>6</v>
      </c>
      <c r="E1286" s="7" t="s">
        <v>427</v>
      </c>
      <c r="F1286" s="7" t="s">
        <v>261</v>
      </c>
      <c r="G1286" s="7" t="s">
        <v>267</v>
      </c>
      <c r="H1286" s="7"/>
      <c r="I1286" s="7"/>
      <c r="J1286" s="7"/>
      <c r="K1286" s="7"/>
      <c r="L1286" s="7" t="str">
        <f aca="false">IFERROR(VLOOKUP(IF(ISNUMBER(SEARCH("(",F1286)),LEFT(F1286,SEARCH("(",F1286)-1),F1286),Tipos!$A:$B,2,FALSE()),"outro")</f>
        <v>texto</v>
      </c>
      <c r="M1286" s="7" t="str">
        <f aca="false">IF(COUNTIF(Comparação!$H:$H,A1286)&gt;0,"sim",IF(AND(G1286="sim",H1286=""),"FALTA (obrigatória)","não"))</f>
        <v>não</v>
      </c>
    </row>
    <row r="1287" customFormat="false" ht="15" hidden="false" customHeight="false" outlineLevel="0" collapsed="false">
      <c r="A1287" s="7" t="str">
        <f aca="false">B1287&amp;"."&amp;E1287</f>
        <v>projeto_atividades.funcao</v>
      </c>
      <c r="B1287" s="7" t="s">
        <v>219</v>
      </c>
      <c r="C1287" s="7" t="s">
        <v>220</v>
      </c>
      <c r="D1287" s="7" t="n">
        <v>7</v>
      </c>
      <c r="E1287" s="7" t="s">
        <v>701</v>
      </c>
      <c r="F1287" s="7" t="s">
        <v>261</v>
      </c>
      <c r="G1287" s="7" t="s">
        <v>267</v>
      </c>
      <c r="H1287" s="7"/>
      <c r="I1287" s="7"/>
      <c r="J1287" s="7"/>
      <c r="K1287" s="7"/>
      <c r="L1287" s="7" t="str">
        <f aca="false">IFERROR(VLOOKUP(IF(ISNUMBER(SEARCH("(",F1287)),LEFT(F1287,SEARCH("(",F1287)-1),F1287),Tipos!$A:$B,2,FALSE()),"outro")</f>
        <v>texto</v>
      </c>
      <c r="M1287" s="7" t="str">
        <f aca="false">IF(COUNTIF(Comparação!$H:$H,A1287)&gt;0,"sim",IF(AND(G1287="sim",H1287=""),"FALTA (obrigatória)","não"))</f>
        <v>não</v>
      </c>
    </row>
    <row r="1288" customFormat="false" ht="15" hidden="false" customHeight="false" outlineLevel="0" collapsed="false">
      <c r="A1288" s="7" t="str">
        <f aca="false">B1288&amp;"."&amp;E1288</f>
        <v>projeto_atividades.responsavel_id</v>
      </c>
      <c r="B1288" s="7" t="s">
        <v>219</v>
      </c>
      <c r="C1288" s="7" t="s">
        <v>220</v>
      </c>
      <c r="D1288" s="7" t="n">
        <v>8</v>
      </c>
      <c r="E1288" s="7" t="s">
        <v>621</v>
      </c>
      <c r="F1288" s="7" t="s">
        <v>272</v>
      </c>
      <c r="G1288" s="7" t="s">
        <v>267</v>
      </c>
      <c r="H1288" s="7"/>
      <c r="I1288" s="7"/>
      <c r="J1288" s="7" t="s">
        <v>299</v>
      </c>
      <c r="K1288" s="7"/>
      <c r="L1288" s="7" t="str">
        <f aca="false">IFERROR(VLOOKUP(IF(ISNUMBER(SEARCH("(",F1288)),LEFT(F1288,SEARCH("(",F1288)-1),F1288),Tipos!$A:$B,2,FALSE()),"outro")</f>
        <v>uuid</v>
      </c>
      <c r="M1288" s="7" t="str">
        <f aca="false">IF(COUNTIF(Comparação!$H:$H,A1288)&gt;0,"sim",IF(AND(G1288="sim",H1288=""),"FALTA (obrigatória)","não"))</f>
        <v>não</v>
      </c>
    </row>
    <row r="1289" customFormat="false" ht="15" hidden="false" customHeight="false" outlineLevel="0" collapsed="false">
      <c r="A1289" s="7" t="str">
        <f aca="false">B1289&amp;"."&amp;E1289</f>
        <v>projeto_atividades.status</v>
      </c>
      <c r="B1289" s="7" t="s">
        <v>219</v>
      </c>
      <c r="C1289" s="7" t="s">
        <v>220</v>
      </c>
      <c r="D1289" s="7" t="n">
        <v>9</v>
      </c>
      <c r="E1289" s="7" t="s">
        <v>293</v>
      </c>
      <c r="F1289" s="7" t="s">
        <v>261</v>
      </c>
      <c r="G1289" s="7" t="s">
        <v>262</v>
      </c>
      <c r="H1289" s="7" t="s">
        <v>1128</v>
      </c>
      <c r="I1289" s="7"/>
      <c r="J1289" s="7"/>
      <c r="K1289" s="7" t="s">
        <v>1129</v>
      </c>
      <c r="L1289" s="7" t="str">
        <f aca="false">IFERROR(VLOOKUP(IF(ISNUMBER(SEARCH("(",F1289)),LEFT(F1289,SEARCH("(",F1289)-1),F1289),Tipos!$A:$B,2,FALSE()),"outro")</f>
        <v>texto</v>
      </c>
      <c r="M1289" s="7" t="str">
        <f aca="false">IF(COUNTIF(Comparação!$H:$H,A1289)&gt;0,"sim",IF(AND(G1289="sim",H1289=""),"FALTA (obrigatória)","não"))</f>
        <v>não</v>
      </c>
    </row>
    <row r="1290" customFormat="false" ht="15" hidden="false" customHeight="false" outlineLevel="0" collapsed="false">
      <c r="A1290" s="7" t="str">
        <f aca="false">B1290&amp;"."&amp;E1290</f>
        <v>projeto_atividades.ordem</v>
      </c>
      <c r="B1290" s="7" t="s">
        <v>219</v>
      </c>
      <c r="C1290" s="7" t="s">
        <v>220</v>
      </c>
      <c r="D1290" s="7" t="n">
        <v>10</v>
      </c>
      <c r="E1290" s="7" t="s">
        <v>268</v>
      </c>
      <c r="F1290" s="7" t="s">
        <v>269</v>
      </c>
      <c r="G1290" s="7" t="s">
        <v>262</v>
      </c>
      <c r="H1290" s="7" t="s">
        <v>270</v>
      </c>
      <c r="I1290" s="7"/>
      <c r="J1290" s="7"/>
      <c r="K1290" s="7"/>
      <c r="L1290" s="7" t="str">
        <f aca="false">IFERROR(VLOOKUP(IF(ISNUMBER(SEARCH("(",F1290)),LEFT(F1290,SEARCH("(",F1290)-1),F1290),Tipos!$A:$B,2,FALSE()),"outro")</f>
        <v>inteiro</v>
      </c>
      <c r="M1290" s="7" t="str">
        <f aca="false">IF(COUNTIF(Comparação!$H:$H,A1290)&gt;0,"sim",IF(AND(G1290="sim",H1290=""),"FALTA (obrigatória)","não"))</f>
        <v>não</v>
      </c>
    </row>
    <row r="1291" customFormat="false" ht="15" hidden="false" customHeight="false" outlineLevel="0" collapsed="false">
      <c r="A1291" s="7" t="str">
        <f aca="false">B1291&amp;"."&amp;E1291</f>
        <v>projeto_atividades.depende_de</v>
      </c>
      <c r="B1291" s="7" t="s">
        <v>219</v>
      </c>
      <c r="C1291" s="7" t="s">
        <v>220</v>
      </c>
      <c r="D1291" s="7" t="n">
        <v>11</v>
      </c>
      <c r="E1291" s="7" t="s">
        <v>1130</v>
      </c>
      <c r="F1291" s="7" t="s">
        <v>797</v>
      </c>
      <c r="G1291" s="7" t="s">
        <v>262</v>
      </c>
      <c r="H1291" s="7" t="s">
        <v>798</v>
      </c>
      <c r="I1291" s="7"/>
      <c r="J1291" s="7"/>
      <c r="K1291" s="7"/>
      <c r="L1291" s="7" t="str">
        <f aca="false">IFERROR(VLOOKUP(IF(ISNUMBER(SEARCH("(",F1291)),LEFT(F1291,SEARCH("(",F1291)-1),F1291),Tipos!$A:$B,2,FALSE()),"outro")</f>
        <v>lista</v>
      </c>
      <c r="M1291" s="7" t="str">
        <f aca="false">IF(COUNTIF(Comparação!$H:$H,A1291)&gt;0,"sim",IF(AND(G1291="sim",H1291=""),"FALTA (obrigatória)","não"))</f>
        <v>não</v>
      </c>
    </row>
    <row r="1292" customFormat="false" ht="15" hidden="false" customHeight="false" outlineLevel="0" collapsed="false">
      <c r="A1292" s="7" t="str">
        <f aca="false">B1292&amp;"."&amp;E1292</f>
        <v>projeto_atividades.prazo</v>
      </c>
      <c r="B1292" s="7" t="s">
        <v>219</v>
      </c>
      <c r="C1292" s="7" t="s">
        <v>220</v>
      </c>
      <c r="D1292" s="7" t="n">
        <v>12</v>
      </c>
      <c r="E1292" s="7" t="s">
        <v>432</v>
      </c>
      <c r="F1292" s="7" t="s">
        <v>379</v>
      </c>
      <c r="G1292" s="7" t="s">
        <v>267</v>
      </c>
      <c r="H1292" s="7"/>
      <c r="I1292" s="7"/>
      <c r="J1292" s="7"/>
      <c r="K1292" s="7"/>
      <c r="L1292" s="7" t="str">
        <f aca="false">IFERROR(VLOOKUP(IF(ISNUMBER(SEARCH("(",F1292)),LEFT(F1292,SEARCH("(",F1292)-1),F1292),Tipos!$A:$B,2,FALSE()),"outro")</f>
        <v>data</v>
      </c>
      <c r="M1292" s="7" t="str">
        <f aca="false">IF(COUNTIF(Comparação!$H:$H,A1292)&gt;0,"sim",IF(AND(G1292="sim",H1292=""),"FALTA (obrigatória)","não"))</f>
        <v>não</v>
      </c>
    </row>
    <row r="1293" customFormat="false" ht="15" hidden="false" customHeight="false" outlineLevel="0" collapsed="false">
      <c r="A1293" s="7" t="str">
        <f aca="false">B1293&amp;"."&amp;E1293</f>
        <v>projeto_atividades.liberada_em</v>
      </c>
      <c r="B1293" s="7" t="s">
        <v>219</v>
      </c>
      <c r="C1293" s="7" t="s">
        <v>220</v>
      </c>
      <c r="D1293" s="7" t="n">
        <v>13</v>
      </c>
      <c r="E1293" s="7" t="s">
        <v>1131</v>
      </c>
      <c r="F1293" s="7" t="s">
        <v>285</v>
      </c>
      <c r="G1293" s="7" t="s">
        <v>267</v>
      </c>
      <c r="H1293" s="7"/>
      <c r="I1293" s="7"/>
      <c r="J1293" s="7"/>
      <c r="K1293" s="7"/>
      <c r="L1293" s="7" t="str">
        <f aca="false">IFERROR(VLOOKUP(IF(ISNUMBER(SEARCH("(",F1293)),LEFT(F1293,SEARCH("(",F1293)-1),F1293),Tipos!$A:$B,2,FALSE()),"outro")</f>
        <v>data e hora</v>
      </c>
      <c r="M1293" s="7" t="str">
        <f aca="false">IF(COUNTIF(Comparação!$H:$H,A1293)&gt;0,"sim",IF(AND(G1293="sim",H1293=""),"FALTA (obrigatória)","não"))</f>
        <v>não</v>
      </c>
    </row>
    <row r="1294" customFormat="false" ht="15" hidden="false" customHeight="false" outlineLevel="0" collapsed="false">
      <c r="A1294" s="7" t="str">
        <f aca="false">B1294&amp;"."&amp;E1294</f>
        <v>projeto_atividades.iniciada_em</v>
      </c>
      <c r="B1294" s="7" t="s">
        <v>219</v>
      </c>
      <c r="C1294" s="7" t="s">
        <v>220</v>
      </c>
      <c r="D1294" s="7" t="n">
        <v>14</v>
      </c>
      <c r="E1294" s="7" t="s">
        <v>1132</v>
      </c>
      <c r="F1294" s="7" t="s">
        <v>285</v>
      </c>
      <c r="G1294" s="7" t="s">
        <v>267</v>
      </c>
      <c r="H1294" s="7"/>
      <c r="I1294" s="7"/>
      <c r="J1294" s="7"/>
      <c r="K1294" s="7"/>
      <c r="L1294" s="7" t="str">
        <f aca="false">IFERROR(VLOOKUP(IF(ISNUMBER(SEARCH("(",F1294)),LEFT(F1294,SEARCH("(",F1294)-1),F1294),Tipos!$A:$B,2,FALSE()),"outro")</f>
        <v>data e hora</v>
      </c>
      <c r="M1294" s="7" t="str">
        <f aca="false">IF(COUNTIF(Comparação!$H:$H,A1294)&gt;0,"sim",IF(AND(G1294="sim",H1294=""),"FALTA (obrigatória)","não"))</f>
        <v>não</v>
      </c>
    </row>
    <row r="1295" customFormat="false" ht="15" hidden="false" customHeight="false" outlineLevel="0" collapsed="false">
      <c r="A1295" s="7" t="str">
        <f aca="false">B1295&amp;"."&amp;E1295</f>
        <v>projeto_atividades.concluida_em</v>
      </c>
      <c r="B1295" s="7" t="s">
        <v>219</v>
      </c>
      <c r="C1295" s="7" t="s">
        <v>220</v>
      </c>
      <c r="D1295" s="7" t="n">
        <v>15</v>
      </c>
      <c r="E1295" s="7" t="s">
        <v>1133</v>
      </c>
      <c r="F1295" s="7" t="s">
        <v>285</v>
      </c>
      <c r="G1295" s="7" t="s">
        <v>267</v>
      </c>
      <c r="H1295" s="7"/>
      <c r="I1295" s="7"/>
      <c r="J1295" s="7"/>
      <c r="K1295" s="7"/>
      <c r="L1295" s="7" t="str">
        <f aca="false">IFERROR(VLOOKUP(IF(ISNUMBER(SEARCH("(",F1295)),LEFT(F1295,SEARCH("(",F1295)-1),F1295),Tipos!$A:$B,2,FALSE()),"outro")</f>
        <v>data e hora</v>
      </c>
      <c r="M1295" s="7" t="str">
        <f aca="false">IF(COUNTIF(Comparação!$H:$H,A1295)&gt;0,"sim",IF(AND(G1295="sim",H1295=""),"FALTA (obrigatória)","não"))</f>
        <v>não</v>
      </c>
    </row>
    <row r="1296" customFormat="false" ht="15" hidden="false" customHeight="false" outlineLevel="0" collapsed="false">
      <c r="A1296" s="7" t="str">
        <f aca="false">B1296&amp;"."&amp;E1296</f>
        <v>projeto_atividades.criado_em</v>
      </c>
      <c r="B1296" s="7" t="s">
        <v>219</v>
      </c>
      <c r="C1296" s="7" t="s">
        <v>220</v>
      </c>
      <c r="D1296" s="7" t="n">
        <v>16</v>
      </c>
      <c r="E1296" s="7" t="s">
        <v>344</v>
      </c>
      <c r="F1296" s="7" t="s">
        <v>285</v>
      </c>
      <c r="G1296" s="7" t="s">
        <v>262</v>
      </c>
      <c r="H1296" s="7" t="s">
        <v>286</v>
      </c>
      <c r="I1296" s="7"/>
      <c r="J1296" s="7"/>
      <c r="K1296" s="7"/>
      <c r="L1296" s="7" t="str">
        <f aca="false">IFERROR(VLOOKUP(IF(ISNUMBER(SEARCH("(",F1296)),LEFT(F1296,SEARCH("(",F1296)-1),F1296),Tipos!$A:$B,2,FALSE()),"outro")</f>
        <v>data e hora</v>
      </c>
      <c r="M1296" s="7" t="str">
        <f aca="false">IF(COUNTIF(Comparação!$H:$H,A1296)&gt;0,"sim",IF(AND(G1296="sim",H1296=""),"FALTA (obrigatória)","não"))</f>
        <v>não</v>
      </c>
    </row>
    <row r="1297" customFormat="false" ht="15" hidden="false" customHeight="false" outlineLevel="0" collapsed="false">
      <c r="A1297" s="7" t="str">
        <f aca="false">B1297&amp;"."&amp;E1297</f>
        <v>projeto_atividades.atualizado_em</v>
      </c>
      <c r="B1297" s="7" t="s">
        <v>219</v>
      </c>
      <c r="C1297" s="7" t="s">
        <v>220</v>
      </c>
      <c r="D1297" s="7" t="n">
        <v>17</v>
      </c>
      <c r="E1297" s="7" t="s">
        <v>335</v>
      </c>
      <c r="F1297" s="7" t="s">
        <v>285</v>
      </c>
      <c r="G1297" s="7" t="s">
        <v>262</v>
      </c>
      <c r="H1297" s="7" t="s">
        <v>286</v>
      </c>
      <c r="I1297" s="7"/>
      <c r="J1297" s="7"/>
      <c r="K1297" s="7"/>
      <c r="L1297" s="7" t="str">
        <f aca="false">IFERROR(VLOOKUP(IF(ISNUMBER(SEARCH("(",F1297)),LEFT(F1297,SEARCH("(",F1297)-1),F1297),Tipos!$A:$B,2,FALSE()),"outro")</f>
        <v>data e hora</v>
      </c>
      <c r="M1297" s="7" t="str">
        <f aca="false">IF(COUNTIF(Comparação!$H:$H,A1297)&gt;0,"sim",IF(AND(G1297="sim",H1297=""),"FALTA (obrigatória)","não"))</f>
        <v>não</v>
      </c>
    </row>
    <row r="1298" customFormat="false" ht="15" hidden="false" customHeight="false" outlineLevel="0" collapsed="false">
      <c r="A1298" s="7" t="str">
        <f aca="false">B1298&amp;"."&amp;E1298</f>
        <v>projeto_atividades.campanha_bloco_id</v>
      </c>
      <c r="B1298" s="7" t="s">
        <v>219</v>
      </c>
      <c r="C1298" s="7" t="s">
        <v>220</v>
      </c>
      <c r="D1298" s="7" t="n">
        <v>18</v>
      </c>
      <c r="E1298" s="7" t="s">
        <v>1134</v>
      </c>
      <c r="F1298" s="7" t="s">
        <v>272</v>
      </c>
      <c r="G1298" s="7" t="s">
        <v>267</v>
      </c>
      <c r="H1298" s="7"/>
      <c r="I1298" s="7"/>
      <c r="J1298" s="7" t="s">
        <v>401</v>
      </c>
      <c r="K1298" s="7"/>
      <c r="L1298" s="7" t="str">
        <f aca="false">IFERROR(VLOOKUP(IF(ISNUMBER(SEARCH("(",F1298)),LEFT(F1298,SEARCH("(",F1298)-1),F1298),Tipos!$A:$B,2,FALSE()),"outro")</f>
        <v>uuid</v>
      </c>
      <c r="M1298" s="7" t="str">
        <f aca="false">IF(COUNTIF(Comparação!$H:$H,A1298)&gt;0,"sim",IF(AND(G1298="sim",H1298=""),"FALTA (obrigatória)","não"))</f>
        <v>não</v>
      </c>
    </row>
    <row r="1299" customFormat="false" ht="15" hidden="false" customHeight="false" outlineLevel="0" collapsed="false">
      <c r="A1299" s="7" t="str">
        <f aca="false">B1299&amp;"."&amp;E1299</f>
        <v>projeto_atividades.tags</v>
      </c>
      <c r="B1299" s="7" t="s">
        <v>219</v>
      </c>
      <c r="C1299" s="7" t="s">
        <v>220</v>
      </c>
      <c r="D1299" s="7" t="n">
        <v>19</v>
      </c>
      <c r="E1299" s="7" t="s">
        <v>1050</v>
      </c>
      <c r="F1299" s="7" t="s">
        <v>322</v>
      </c>
      <c r="G1299" s="7" t="s">
        <v>262</v>
      </c>
      <c r="H1299" s="7" t="s">
        <v>610</v>
      </c>
      <c r="I1299" s="7"/>
      <c r="J1299" s="7"/>
      <c r="K1299" s="7"/>
      <c r="L1299" s="7" t="str">
        <f aca="false">IFERROR(VLOOKUP(IF(ISNUMBER(SEARCH("(",F1299)),LEFT(F1299,SEARCH("(",F1299)-1),F1299),Tipos!$A:$B,2,FALSE()),"outro")</f>
        <v>lista</v>
      </c>
      <c r="M1299" s="7" t="str">
        <f aca="false">IF(COUNTIF(Comparação!$H:$H,A1299)&gt;0,"sim",IF(AND(G1299="sim",H1299=""),"FALTA (obrigatória)","não"))</f>
        <v>não</v>
      </c>
    </row>
    <row r="1300" customFormat="false" ht="15" hidden="false" customHeight="false" outlineLevel="0" collapsed="false">
      <c r="A1300" s="7" t="str">
        <f aca="false">B1300&amp;"."&amp;E1300</f>
        <v>projeto_modelo_atividades.id</v>
      </c>
      <c r="B1300" s="7" t="s">
        <v>222</v>
      </c>
      <c r="C1300" s="7" t="s">
        <v>220</v>
      </c>
      <c r="D1300" s="7" t="n">
        <v>1</v>
      </c>
      <c r="E1300" s="7" t="s">
        <v>271</v>
      </c>
      <c r="F1300" s="7" t="s">
        <v>272</v>
      </c>
      <c r="G1300" s="7" t="s">
        <v>262</v>
      </c>
      <c r="H1300" s="7" t="s">
        <v>273</v>
      </c>
      <c r="I1300" s="7" t="s">
        <v>263</v>
      </c>
      <c r="J1300" s="7"/>
      <c r="K1300" s="7"/>
      <c r="L1300" s="7" t="str">
        <f aca="false">IFERROR(VLOOKUP(IF(ISNUMBER(SEARCH("(",F1300)),LEFT(F1300,SEARCH("(",F1300)-1),F1300),Tipos!$A:$B,2,FALSE()),"outro")</f>
        <v>uuid</v>
      </c>
      <c r="M1300" s="7" t="str">
        <f aca="false">IF(COUNTIF(Comparação!$H:$H,A1300)&gt;0,"sim",IF(AND(G1300="sim",H1300=""),"FALTA (obrigatória)","não"))</f>
        <v>não</v>
      </c>
    </row>
    <row r="1301" customFormat="false" ht="15" hidden="false" customHeight="false" outlineLevel="0" collapsed="false">
      <c r="A1301" s="7" t="str">
        <f aca="false">B1301&amp;"."&amp;E1301</f>
        <v>projeto_modelo_atividades.workspace_id</v>
      </c>
      <c r="B1301" s="7" t="s">
        <v>222</v>
      </c>
      <c r="C1301" s="7" t="s">
        <v>220</v>
      </c>
      <c r="D1301" s="7" t="n">
        <v>2</v>
      </c>
      <c r="E1301" s="7" t="s">
        <v>274</v>
      </c>
      <c r="F1301" s="7" t="s">
        <v>272</v>
      </c>
      <c r="G1301" s="7" t="s">
        <v>262</v>
      </c>
      <c r="H1301" s="7"/>
      <c r="I1301" s="7"/>
      <c r="J1301" s="7" t="s">
        <v>275</v>
      </c>
      <c r="K1301" s="7"/>
      <c r="L1301" s="7" t="str">
        <f aca="false">IFERROR(VLOOKUP(IF(ISNUMBER(SEARCH("(",F1301)),LEFT(F1301,SEARCH("(",F1301)-1),F1301),Tipos!$A:$B,2,FALSE()),"outro")</f>
        <v>uuid</v>
      </c>
      <c r="M1301" s="7" t="str">
        <f aca="false">IF(COUNTIF(Comparação!$H:$H,A1301)&gt;0,"sim",IF(AND(G1301="sim",H1301=""),"FALTA (obrigatória)","não"))</f>
        <v>FALTA (obrigatória)</v>
      </c>
    </row>
    <row r="1302" customFormat="false" ht="15" hidden="false" customHeight="false" outlineLevel="0" collapsed="false">
      <c r="A1302" s="7" t="str">
        <f aca="false">B1302&amp;"."&amp;E1302</f>
        <v>projeto_modelo_atividades.modelo_id</v>
      </c>
      <c r="B1302" s="7" t="s">
        <v>222</v>
      </c>
      <c r="C1302" s="7" t="s">
        <v>220</v>
      </c>
      <c r="D1302" s="7" t="n">
        <v>3</v>
      </c>
      <c r="E1302" s="7" t="s">
        <v>1135</v>
      </c>
      <c r="F1302" s="7" t="s">
        <v>272</v>
      </c>
      <c r="G1302" s="7" t="s">
        <v>262</v>
      </c>
      <c r="H1302" s="7"/>
      <c r="I1302" s="7"/>
      <c r="J1302" s="7" t="s">
        <v>491</v>
      </c>
      <c r="K1302" s="7"/>
      <c r="L1302" s="7" t="str">
        <f aca="false">IFERROR(VLOOKUP(IF(ISNUMBER(SEARCH("(",F1302)),LEFT(F1302,SEARCH("(",F1302)-1),F1302),Tipos!$A:$B,2,FALSE()),"outro")</f>
        <v>uuid</v>
      </c>
      <c r="M1302" s="7" t="str">
        <f aca="false">IF(COUNTIF(Comparação!$H:$H,A1302)&gt;0,"sim",IF(AND(G1302="sim",H1302=""),"FALTA (obrigatória)","não"))</f>
        <v>FALTA (obrigatória)</v>
      </c>
    </row>
    <row r="1303" customFormat="false" ht="15" hidden="false" customHeight="false" outlineLevel="0" collapsed="false">
      <c r="A1303" s="7" t="str">
        <f aca="false">B1303&amp;"."&amp;E1303</f>
        <v>projeto_modelo_atividades.pai_id</v>
      </c>
      <c r="B1303" s="7" t="s">
        <v>222</v>
      </c>
      <c r="C1303" s="7" t="s">
        <v>220</v>
      </c>
      <c r="D1303" s="7" t="n">
        <v>4</v>
      </c>
      <c r="E1303" s="7" t="s">
        <v>453</v>
      </c>
      <c r="F1303" s="7" t="s">
        <v>272</v>
      </c>
      <c r="G1303" s="7" t="s">
        <v>267</v>
      </c>
      <c r="H1303" s="7"/>
      <c r="I1303" s="7"/>
      <c r="J1303" s="7" t="s">
        <v>1136</v>
      </c>
      <c r="K1303" s="7"/>
      <c r="L1303" s="7" t="str">
        <f aca="false">IFERROR(VLOOKUP(IF(ISNUMBER(SEARCH("(",F1303)),LEFT(F1303,SEARCH("(",F1303)-1),F1303),Tipos!$A:$B,2,FALSE()),"outro")</f>
        <v>uuid</v>
      </c>
      <c r="M1303" s="7" t="str">
        <f aca="false">IF(COUNTIF(Comparação!$H:$H,A1303)&gt;0,"sim",IF(AND(G1303="sim",H1303=""),"FALTA (obrigatória)","não"))</f>
        <v>não</v>
      </c>
    </row>
    <row r="1304" customFormat="false" ht="15" hidden="false" customHeight="false" outlineLevel="0" collapsed="false">
      <c r="A1304" s="7" t="str">
        <f aca="false">B1304&amp;"."&amp;E1304</f>
        <v>projeto_modelo_atividades.titulo</v>
      </c>
      <c r="B1304" s="7" t="s">
        <v>222</v>
      </c>
      <c r="C1304" s="7" t="s">
        <v>220</v>
      </c>
      <c r="D1304" s="7" t="n">
        <v>5</v>
      </c>
      <c r="E1304" s="7" t="s">
        <v>425</v>
      </c>
      <c r="F1304" s="7" t="s">
        <v>261</v>
      </c>
      <c r="G1304" s="7" t="s">
        <v>262</v>
      </c>
      <c r="H1304" s="7"/>
      <c r="I1304" s="7"/>
      <c r="J1304" s="7"/>
      <c r="K1304" s="7"/>
      <c r="L1304" s="7" t="str">
        <f aca="false">IFERROR(VLOOKUP(IF(ISNUMBER(SEARCH("(",F1304)),LEFT(F1304,SEARCH("(",F1304)-1),F1304),Tipos!$A:$B,2,FALSE()),"outro")</f>
        <v>texto</v>
      </c>
      <c r="M1304" s="7" t="str">
        <f aca="false">IF(COUNTIF(Comparação!$H:$H,A1304)&gt;0,"sim",IF(AND(G1304="sim",H1304=""),"FALTA (obrigatória)","não"))</f>
        <v>FALTA (obrigatória)</v>
      </c>
    </row>
    <row r="1305" customFormat="false" ht="15" hidden="false" customHeight="false" outlineLevel="0" collapsed="false">
      <c r="A1305" s="7" t="str">
        <f aca="false">B1305&amp;"."&amp;E1305</f>
        <v>projeto_modelo_atividades.descricao</v>
      </c>
      <c r="B1305" s="7" t="s">
        <v>222</v>
      </c>
      <c r="C1305" s="7" t="s">
        <v>220</v>
      </c>
      <c r="D1305" s="7" t="n">
        <v>6</v>
      </c>
      <c r="E1305" s="7" t="s">
        <v>427</v>
      </c>
      <c r="F1305" s="7" t="s">
        <v>261</v>
      </c>
      <c r="G1305" s="7" t="s">
        <v>267</v>
      </c>
      <c r="H1305" s="7"/>
      <c r="I1305" s="7"/>
      <c r="J1305" s="7"/>
      <c r="K1305" s="7"/>
      <c r="L1305" s="7" t="str">
        <f aca="false">IFERROR(VLOOKUP(IF(ISNUMBER(SEARCH("(",F1305)),LEFT(F1305,SEARCH("(",F1305)-1),F1305),Tipos!$A:$B,2,FALSE()),"outro")</f>
        <v>texto</v>
      </c>
      <c r="M1305" s="7" t="str">
        <f aca="false">IF(COUNTIF(Comparação!$H:$H,A1305)&gt;0,"sim",IF(AND(G1305="sim",H1305=""),"FALTA (obrigatória)","não"))</f>
        <v>não</v>
      </c>
    </row>
    <row r="1306" customFormat="false" ht="15" hidden="false" customHeight="false" outlineLevel="0" collapsed="false">
      <c r="A1306" s="7" t="str">
        <f aca="false">B1306&amp;"."&amp;E1306</f>
        <v>projeto_modelo_atividades.funcao</v>
      </c>
      <c r="B1306" s="7" t="s">
        <v>222</v>
      </c>
      <c r="C1306" s="7" t="s">
        <v>220</v>
      </c>
      <c r="D1306" s="7" t="n">
        <v>7</v>
      </c>
      <c r="E1306" s="7" t="s">
        <v>701</v>
      </c>
      <c r="F1306" s="7" t="s">
        <v>261</v>
      </c>
      <c r="G1306" s="7" t="s">
        <v>267</v>
      </c>
      <c r="H1306" s="7"/>
      <c r="I1306" s="7"/>
      <c r="J1306" s="7"/>
      <c r="K1306" s="7"/>
      <c r="L1306" s="7" t="str">
        <f aca="false">IFERROR(VLOOKUP(IF(ISNUMBER(SEARCH("(",F1306)),LEFT(F1306,SEARCH("(",F1306)-1),F1306),Tipos!$A:$B,2,FALSE()),"outro")</f>
        <v>texto</v>
      </c>
      <c r="M1306" s="7" t="str">
        <f aca="false">IF(COUNTIF(Comparação!$H:$H,A1306)&gt;0,"sim",IF(AND(G1306="sim",H1306=""),"FALTA (obrigatória)","não"))</f>
        <v>não</v>
      </c>
    </row>
    <row r="1307" customFormat="false" ht="15" hidden="false" customHeight="false" outlineLevel="0" collapsed="false">
      <c r="A1307" s="7" t="str">
        <f aca="false">B1307&amp;"."&amp;E1307</f>
        <v>projeto_modelo_atividades.responsavel_id</v>
      </c>
      <c r="B1307" s="7" t="s">
        <v>222</v>
      </c>
      <c r="C1307" s="7" t="s">
        <v>220</v>
      </c>
      <c r="D1307" s="7" t="n">
        <v>8</v>
      </c>
      <c r="E1307" s="7" t="s">
        <v>621</v>
      </c>
      <c r="F1307" s="7" t="s">
        <v>272</v>
      </c>
      <c r="G1307" s="7" t="s">
        <v>267</v>
      </c>
      <c r="H1307" s="7"/>
      <c r="I1307" s="7"/>
      <c r="J1307" s="7" t="s">
        <v>299</v>
      </c>
      <c r="K1307" s="7"/>
      <c r="L1307" s="7" t="str">
        <f aca="false">IFERROR(VLOOKUP(IF(ISNUMBER(SEARCH("(",F1307)),LEFT(F1307,SEARCH("(",F1307)-1),F1307),Tipos!$A:$B,2,FALSE()),"outro")</f>
        <v>uuid</v>
      </c>
      <c r="M1307" s="7" t="str">
        <f aca="false">IF(COUNTIF(Comparação!$H:$H,A1307)&gt;0,"sim",IF(AND(G1307="sim",H1307=""),"FALTA (obrigatória)","não"))</f>
        <v>não</v>
      </c>
    </row>
    <row r="1308" customFormat="false" ht="15" hidden="false" customHeight="false" outlineLevel="0" collapsed="false">
      <c r="A1308" s="7" t="str">
        <f aca="false">B1308&amp;"."&amp;E1308</f>
        <v>projeto_modelo_atividades.ordem</v>
      </c>
      <c r="B1308" s="7" t="s">
        <v>222</v>
      </c>
      <c r="C1308" s="7" t="s">
        <v>220</v>
      </c>
      <c r="D1308" s="7" t="n">
        <v>9</v>
      </c>
      <c r="E1308" s="7" t="s">
        <v>268</v>
      </c>
      <c r="F1308" s="7" t="s">
        <v>269</v>
      </c>
      <c r="G1308" s="7" t="s">
        <v>262</v>
      </c>
      <c r="H1308" s="7" t="s">
        <v>270</v>
      </c>
      <c r="I1308" s="7"/>
      <c r="J1308" s="7"/>
      <c r="K1308" s="7"/>
      <c r="L1308" s="7" t="str">
        <f aca="false">IFERROR(VLOOKUP(IF(ISNUMBER(SEARCH("(",F1308)),LEFT(F1308,SEARCH("(",F1308)-1),F1308),Tipos!$A:$B,2,FALSE()),"outro")</f>
        <v>inteiro</v>
      </c>
      <c r="M1308" s="7" t="str">
        <f aca="false">IF(COUNTIF(Comparação!$H:$H,A1308)&gt;0,"sim",IF(AND(G1308="sim",H1308=""),"FALTA (obrigatória)","não"))</f>
        <v>não</v>
      </c>
    </row>
    <row r="1309" customFormat="false" ht="15" hidden="false" customHeight="false" outlineLevel="0" collapsed="false">
      <c r="A1309" s="7" t="str">
        <f aca="false">B1309&amp;"."&amp;E1309</f>
        <v>projeto_modelo_atividades.depende_de</v>
      </c>
      <c r="B1309" s="7" t="s">
        <v>222</v>
      </c>
      <c r="C1309" s="7" t="s">
        <v>220</v>
      </c>
      <c r="D1309" s="7" t="n">
        <v>10</v>
      </c>
      <c r="E1309" s="7" t="s">
        <v>1130</v>
      </c>
      <c r="F1309" s="7" t="s">
        <v>797</v>
      </c>
      <c r="G1309" s="7" t="s">
        <v>262</v>
      </c>
      <c r="H1309" s="7" t="s">
        <v>798</v>
      </c>
      <c r="I1309" s="7"/>
      <c r="J1309" s="7"/>
      <c r="K1309" s="7"/>
      <c r="L1309" s="7" t="str">
        <f aca="false">IFERROR(VLOOKUP(IF(ISNUMBER(SEARCH("(",F1309)),LEFT(F1309,SEARCH("(",F1309)-1),F1309),Tipos!$A:$B,2,FALSE()),"outro")</f>
        <v>lista</v>
      </c>
      <c r="M1309" s="7" t="str">
        <f aca="false">IF(COUNTIF(Comparação!$H:$H,A1309)&gt;0,"sim",IF(AND(G1309="sim",H1309=""),"FALTA (obrigatória)","não"))</f>
        <v>não</v>
      </c>
    </row>
    <row r="1310" customFormat="false" ht="15" hidden="false" customHeight="false" outlineLevel="0" collapsed="false">
      <c r="A1310" s="7" t="str">
        <f aca="false">B1310&amp;"."&amp;E1310</f>
        <v>projeto_modelo_atividades.prazo_dias</v>
      </c>
      <c r="B1310" s="7" t="s">
        <v>222</v>
      </c>
      <c r="C1310" s="7" t="s">
        <v>220</v>
      </c>
      <c r="D1310" s="7" t="n">
        <v>11</v>
      </c>
      <c r="E1310" s="7" t="s">
        <v>1137</v>
      </c>
      <c r="F1310" s="7" t="s">
        <v>269</v>
      </c>
      <c r="G1310" s="7" t="s">
        <v>262</v>
      </c>
      <c r="H1310" s="7" t="s">
        <v>270</v>
      </c>
      <c r="I1310" s="7"/>
      <c r="J1310" s="7"/>
      <c r="K1310" s="7" t="s">
        <v>1138</v>
      </c>
      <c r="L1310" s="7" t="str">
        <f aca="false">IFERROR(VLOOKUP(IF(ISNUMBER(SEARCH("(",F1310)),LEFT(F1310,SEARCH("(",F1310)-1),F1310),Tipos!$A:$B,2,FALSE()),"outro")</f>
        <v>inteiro</v>
      </c>
      <c r="M1310" s="7" t="str">
        <f aca="false">IF(COUNTIF(Comparação!$H:$H,A1310)&gt;0,"sim",IF(AND(G1310="sim",H1310=""),"FALTA (obrigatória)","não"))</f>
        <v>não</v>
      </c>
    </row>
    <row r="1311" customFormat="false" ht="15" hidden="false" customHeight="false" outlineLevel="0" collapsed="false">
      <c r="A1311" s="7" t="str">
        <f aca="false">B1311&amp;"."&amp;E1311</f>
        <v>projeto_modelos.id</v>
      </c>
      <c r="B1311" s="7" t="s">
        <v>224</v>
      </c>
      <c r="C1311" s="7" t="s">
        <v>220</v>
      </c>
      <c r="D1311" s="7" t="n">
        <v>1</v>
      </c>
      <c r="E1311" s="7" t="s">
        <v>271</v>
      </c>
      <c r="F1311" s="7" t="s">
        <v>272</v>
      </c>
      <c r="G1311" s="7" t="s">
        <v>262</v>
      </c>
      <c r="H1311" s="7" t="s">
        <v>273</v>
      </c>
      <c r="I1311" s="7" t="s">
        <v>263</v>
      </c>
      <c r="J1311" s="7"/>
      <c r="K1311" s="7"/>
      <c r="L1311" s="7" t="str">
        <f aca="false">IFERROR(VLOOKUP(IF(ISNUMBER(SEARCH("(",F1311)),LEFT(F1311,SEARCH("(",F1311)-1),F1311),Tipos!$A:$B,2,FALSE()),"outro")</f>
        <v>uuid</v>
      </c>
      <c r="M1311" s="7" t="str">
        <f aca="false">IF(COUNTIF(Comparação!$H:$H,A1311)&gt;0,"sim",IF(AND(G1311="sim",H1311=""),"FALTA (obrigatória)","não"))</f>
        <v>não</v>
      </c>
    </row>
    <row r="1312" customFormat="false" ht="15" hidden="false" customHeight="false" outlineLevel="0" collapsed="false">
      <c r="A1312" s="7" t="str">
        <f aca="false">B1312&amp;"."&amp;E1312</f>
        <v>projeto_modelos.workspace_id</v>
      </c>
      <c r="B1312" s="7" t="s">
        <v>224</v>
      </c>
      <c r="C1312" s="7" t="s">
        <v>220</v>
      </c>
      <c r="D1312" s="7" t="n">
        <v>2</v>
      </c>
      <c r="E1312" s="7" t="s">
        <v>274</v>
      </c>
      <c r="F1312" s="7" t="s">
        <v>272</v>
      </c>
      <c r="G1312" s="7" t="s">
        <v>262</v>
      </c>
      <c r="H1312" s="7"/>
      <c r="I1312" s="7"/>
      <c r="J1312" s="7" t="s">
        <v>275</v>
      </c>
      <c r="K1312" s="7"/>
      <c r="L1312" s="7" t="str">
        <f aca="false">IFERROR(VLOOKUP(IF(ISNUMBER(SEARCH("(",F1312)),LEFT(F1312,SEARCH("(",F1312)-1),F1312),Tipos!$A:$B,2,FALSE()),"outro")</f>
        <v>uuid</v>
      </c>
      <c r="M1312" s="7" t="str">
        <f aca="false">IF(COUNTIF(Comparação!$H:$H,A1312)&gt;0,"sim",IF(AND(G1312="sim",H1312=""),"FALTA (obrigatória)","não"))</f>
        <v>FALTA (obrigatória)</v>
      </c>
    </row>
    <row r="1313" customFormat="false" ht="15" hidden="false" customHeight="false" outlineLevel="0" collapsed="false">
      <c r="A1313" s="7" t="str">
        <f aca="false">B1313&amp;"."&amp;E1313</f>
        <v>projeto_modelos.nome</v>
      </c>
      <c r="B1313" s="7" t="s">
        <v>224</v>
      </c>
      <c r="C1313" s="7" t="s">
        <v>220</v>
      </c>
      <c r="D1313" s="7" t="n">
        <v>3</v>
      </c>
      <c r="E1313" s="7" t="s">
        <v>265</v>
      </c>
      <c r="F1313" s="7" t="s">
        <v>261</v>
      </c>
      <c r="G1313" s="7" t="s">
        <v>262</v>
      </c>
      <c r="H1313" s="7"/>
      <c r="I1313" s="7"/>
      <c r="J1313" s="7"/>
      <c r="K1313" s="7"/>
      <c r="L1313" s="7" t="str">
        <f aca="false">IFERROR(VLOOKUP(IF(ISNUMBER(SEARCH("(",F1313)),LEFT(F1313,SEARCH("(",F1313)-1),F1313),Tipos!$A:$B,2,FALSE()),"outro")</f>
        <v>texto</v>
      </c>
      <c r="M1313" s="7" t="str">
        <f aca="false">IF(COUNTIF(Comparação!$H:$H,A1313)&gt;0,"sim",IF(AND(G1313="sim",H1313=""),"FALTA (obrigatória)","não"))</f>
        <v>FALTA (obrigatória)</v>
      </c>
    </row>
    <row r="1314" customFormat="false" ht="15" hidden="false" customHeight="false" outlineLevel="0" collapsed="false">
      <c r="A1314" s="7" t="str">
        <f aca="false">B1314&amp;"."&amp;E1314</f>
        <v>projeto_modelos.descricao</v>
      </c>
      <c r="B1314" s="7" t="s">
        <v>224</v>
      </c>
      <c r="C1314" s="7" t="s">
        <v>220</v>
      </c>
      <c r="D1314" s="7" t="n">
        <v>4</v>
      </c>
      <c r="E1314" s="7" t="s">
        <v>427</v>
      </c>
      <c r="F1314" s="7" t="s">
        <v>261</v>
      </c>
      <c r="G1314" s="7" t="s">
        <v>267</v>
      </c>
      <c r="H1314" s="7"/>
      <c r="I1314" s="7"/>
      <c r="J1314" s="7"/>
      <c r="K1314" s="7"/>
      <c r="L1314" s="7" t="str">
        <f aca="false">IFERROR(VLOOKUP(IF(ISNUMBER(SEARCH("(",F1314)),LEFT(F1314,SEARCH("(",F1314)-1),F1314),Tipos!$A:$B,2,FALSE()),"outro")</f>
        <v>texto</v>
      </c>
      <c r="M1314" s="7" t="str">
        <f aca="false">IF(COUNTIF(Comparação!$H:$H,A1314)&gt;0,"sim",IF(AND(G1314="sim",H1314=""),"FALTA (obrigatória)","não"))</f>
        <v>não</v>
      </c>
    </row>
    <row r="1315" customFormat="false" ht="15" hidden="false" customHeight="false" outlineLevel="0" collapsed="false">
      <c r="A1315" s="7" t="str">
        <f aca="false">B1315&amp;"."&amp;E1315</f>
        <v>projeto_modelos.padrao_campanha</v>
      </c>
      <c r="B1315" s="7" t="s">
        <v>224</v>
      </c>
      <c r="C1315" s="7" t="s">
        <v>220</v>
      </c>
      <c r="D1315" s="7" t="n">
        <v>5</v>
      </c>
      <c r="E1315" s="7" t="s">
        <v>1139</v>
      </c>
      <c r="F1315" s="7" t="s">
        <v>310</v>
      </c>
      <c r="G1315" s="7" t="s">
        <v>262</v>
      </c>
      <c r="H1315" s="7" t="s">
        <v>375</v>
      </c>
      <c r="I1315" s="7"/>
      <c r="J1315" s="7"/>
      <c r="K1315" s="7"/>
      <c r="L1315" s="7" t="str">
        <f aca="false">IFERROR(VLOOKUP(IF(ISNUMBER(SEARCH("(",F1315)),LEFT(F1315,SEARCH("(",F1315)-1),F1315),Tipos!$A:$B,2,FALSE()),"outro")</f>
        <v>booleano</v>
      </c>
      <c r="M1315" s="7" t="str">
        <f aca="false">IF(COUNTIF(Comparação!$H:$H,A1315)&gt;0,"sim",IF(AND(G1315="sim",H1315=""),"FALTA (obrigatória)","não"))</f>
        <v>não</v>
      </c>
    </row>
    <row r="1316" customFormat="false" ht="15" hidden="false" customHeight="false" outlineLevel="0" collapsed="false">
      <c r="A1316" s="7" t="str">
        <f aca="false">B1316&amp;"."&amp;E1316</f>
        <v>projeto_modelos.ativo</v>
      </c>
      <c r="B1316" s="7" t="s">
        <v>224</v>
      </c>
      <c r="C1316" s="7" t="s">
        <v>220</v>
      </c>
      <c r="D1316" s="7" t="n">
        <v>6</v>
      </c>
      <c r="E1316" s="7" t="s">
        <v>309</v>
      </c>
      <c r="F1316" s="7" t="s">
        <v>310</v>
      </c>
      <c r="G1316" s="7" t="s">
        <v>262</v>
      </c>
      <c r="H1316" s="7" t="s">
        <v>311</v>
      </c>
      <c r="I1316" s="7"/>
      <c r="J1316" s="7"/>
      <c r="K1316" s="7"/>
      <c r="L1316" s="7" t="str">
        <f aca="false">IFERROR(VLOOKUP(IF(ISNUMBER(SEARCH("(",F1316)),LEFT(F1316,SEARCH("(",F1316)-1),F1316),Tipos!$A:$B,2,FALSE()),"outro")</f>
        <v>booleano</v>
      </c>
      <c r="M1316" s="7" t="str">
        <f aca="false">IF(COUNTIF(Comparação!$H:$H,A1316)&gt;0,"sim",IF(AND(G1316="sim",H1316=""),"FALTA (obrigatória)","não"))</f>
        <v>não</v>
      </c>
    </row>
    <row r="1317" customFormat="false" ht="15" hidden="false" customHeight="false" outlineLevel="0" collapsed="false">
      <c r="A1317" s="7" t="str">
        <f aca="false">B1317&amp;"."&amp;E1317</f>
        <v>projeto_modelos.criado_em</v>
      </c>
      <c r="B1317" s="7" t="s">
        <v>224</v>
      </c>
      <c r="C1317" s="7" t="s">
        <v>220</v>
      </c>
      <c r="D1317" s="7" t="n">
        <v>7</v>
      </c>
      <c r="E1317" s="7" t="s">
        <v>344</v>
      </c>
      <c r="F1317" s="7" t="s">
        <v>285</v>
      </c>
      <c r="G1317" s="7" t="s">
        <v>262</v>
      </c>
      <c r="H1317" s="7" t="s">
        <v>286</v>
      </c>
      <c r="I1317" s="7"/>
      <c r="J1317" s="7"/>
      <c r="K1317" s="7"/>
      <c r="L1317" s="7" t="str">
        <f aca="false">IFERROR(VLOOKUP(IF(ISNUMBER(SEARCH("(",F1317)),LEFT(F1317,SEARCH("(",F1317)-1),F1317),Tipos!$A:$B,2,FALSE()),"outro")</f>
        <v>data e hora</v>
      </c>
      <c r="M1317" s="7" t="str">
        <f aca="false">IF(COUNTIF(Comparação!$H:$H,A1317)&gt;0,"sim",IF(AND(G1317="sim",H1317=""),"FALTA (obrigatória)","não"))</f>
        <v>não</v>
      </c>
    </row>
    <row r="1318" customFormat="false" ht="15" hidden="false" customHeight="false" outlineLevel="0" collapsed="false">
      <c r="A1318" s="7" t="str">
        <f aca="false">B1318&amp;"."&amp;E1318</f>
        <v>projetos.id</v>
      </c>
      <c r="B1318" s="7" t="s">
        <v>225</v>
      </c>
      <c r="C1318" s="7" t="s">
        <v>220</v>
      </c>
      <c r="D1318" s="7" t="n">
        <v>1</v>
      </c>
      <c r="E1318" s="7" t="s">
        <v>271</v>
      </c>
      <c r="F1318" s="7" t="s">
        <v>272</v>
      </c>
      <c r="G1318" s="7" t="s">
        <v>262</v>
      </c>
      <c r="H1318" s="7" t="s">
        <v>273</v>
      </c>
      <c r="I1318" s="7" t="s">
        <v>263</v>
      </c>
      <c r="J1318" s="7"/>
      <c r="K1318" s="7"/>
      <c r="L1318" s="7" t="str">
        <f aca="false">IFERROR(VLOOKUP(IF(ISNUMBER(SEARCH("(",F1318)),LEFT(F1318,SEARCH("(",F1318)-1),F1318),Tipos!$A:$B,2,FALSE()),"outro")</f>
        <v>uuid</v>
      </c>
      <c r="M1318" s="7" t="str">
        <f aca="false">IF(COUNTIF(Comparação!$H:$H,A1318)&gt;0,"sim",IF(AND(G1318="sim",H1318=""),"FALTA (obrigatória)","não"))</f>
        <v>não</v>
      </c>
    </row>
    <row r="1319" customFormat="false" ht="15" hidden="false" customHeight="false" outlineLevel="0" collapsed="false">
      <c r="A1319" s="7" t="str">
        <f aca="false">B1319&amp;"."&amp;E1319</f>
        <v>projetos.workspace_id</v>
      </c>
      <c r="B1319" s="7" t="s">
        <v>225</v>
      </c>
      <c r="C1319" s="7" t="s">
        <v>220</v>
      </c>
      <c r="D1319" s="7" t="n">
        <v>2</v>
      </c>
      <c r="E1319" s="7" t="s">
        <v>274</v>
      </c>
      <c r="F1319" s="7" t="s">
        <v>272</v>
      </c>
      <c r="G1319" s="7" t="s">
        <v>262</v>
      </c>
      <c r="H1319" s="7"/>
      <c r="I1319" s="7"/>
      <c r="J1319" s="7" t="s">
        <v>275</v>
      </c>
      <c r="K1319" s="7"/>
      <c r="L1319" s="7" t="str">
        <f aca="false">IFERROR(VLOOKUP(IF(ISNUMBER(SEARCH("(",F1319)),LEFT(F1319,SEARCH("(",F1319)-1),F1319),Tipos!$A:$B,2,FALSE()),"outro")</f>
        <v>uuid</v>
      </c>
      <c r="M1319" s="7" t="str">
        <f aca="false">IF(COUNTIF(Comparação!$H:$H,A1319)&gt;0,"sim",IF(AND(G1319="sim",H1319=""),"FALTA (obrigatória)","não"))</f>
        <v>FALTA (obrigatória)</v>
      </c>
    </row>
    <row r="1320" customFormat="false" ht="15" hidden="false" customHeight="false" outlineLevel="0" collapsed="false">
      <c r="A1320" s="7" t="str">
        <f aca="false">B1320&amp;"."&amp;E1320</f>
        <v>projetos.nome</v>
      </c>
      <c r="B1320" s="7" t="s">
        <v>225</v>
      </c>
      <c r="C1320" s="7" t="s">
        <v>220</v>
      </c>
      <c r="D1320" s="7" t="n">
        <v>3</v>
      </c>
      <c r="E1320" s="7" t="s">
        <v>265</v>
      </c>
      <c r="F1320" s="7" t="s">
        <v>261</v>
      </c>
      <c r="G1320" s="7" t="s">
        <v>262</v>
      </c>
      <c r="H1320" s="7"/>
      <c r="I1320" s="7"/>
      <c r="J1320" s="7"/>
      <c r="K1320" s="7"/>
      <c r="L1320" s="7" t="str">
        <f aca="false">IFERROR(VLOOKUP(IF(ISNUMBER(SEARCH("(",F1320)),LEFT(F1320,SEARCH("(",F1320)-1),F1320),Tipos!$A:$B,2,FALSE()),"outro")</f>
        <v>texto</v>
      </c>
      <c r="M1320" s="7" t="str">
        <f aca="false">IF(COUNTIF(Comparação!$H:$H,A1320)&gt;0,"sim",IF(AND(G1320="sim",H1320=""),"FALTA (obrigatória)","não"))</f>
        <v>FALTA (obrigatória)</v>
      </c>
    </row>
    <row r="1321" customFormat="false" ht="15" hidden="false" customHeight="false" outlineLevel="0" collapsed="false">
      <c r="A1321" s="7" t="str">
        <f aca="false">B1321&amp;"."&amp;E1321</f>
        <v>projetos.descricao</v>
      </c>
      <c r="B1321" s="7" t="s">
        <v>225</v>
      </c>
      <c r="C1321" s="7" t="s">
        <v>220</v>
      </c>
      <c r="D1321" s="7" t="n">
        <v>4</v>
      </c>
      <c r="E1321" s="7" t="s">
        <v>427</v>
      </c>
      <c r="F1321" s="7" t="s">
        <v>261</v>
      </c>
      <c r="G1321" s="7" t="s">
        <v>267</v>
      </c>
      <c r="H1321" s="7"/>
      <c r="I1321" s="7"/>
      <c r="J1321" s="7"/>
      <c r="K1321" s="7"/>
      <c r="L1321" s="7" t="str">
        <f aca="false">IFERROR(VLOOKUP(IF(ISNUMBER(SEARCH("(",F1321)),LEFT(F1321,SEARCH("(",F1321)-1),F1321),Tipos!$A:$B,2,FALSE()),"outro")</f>
        <v>texto</v>
      </c>
      <c r="M1321" s="7" t="str">
        <f aca="false">IF(COUNTIF(Comparação!$H:$H,A1321)&gt;0,"sim",IF(AND(G1321="sim",H1321=""),"FALTA (obrigatória)","não"))</f>
        <v>não</v>
      </c>
    </row>
    <row r="1322" customFormat="false" ht="15" hidden="false" customHeight="false" outlineLevel="0" collapsed="false">
      <c r="A1322" s="7" t="str">
        <f aca="false">B1322&amp;"."&amp;E1322</f>
        <v>projetos.status</v>
      </c>
      <c r="B1322" s="7" t="s">
        <v>225</v>
      </c>
      <c r="C1322" s="7" t="s">
        <v>220</v>
      </c>
      <c r="D1322" s="7" t="n">
        <v>5</v>
      </c>
      <c r="E1322" s="7" t="s">
        <v>293</v>
      </c>
      <c r="F1322" s="7" t="s">
        <v>261</v>
      </c>
      <c r="G1322" s="7" t="s">
        <v>262</v>
      </c>
      <c r="H1322" s="7" t="s">
        <v>1140</v>
      </c>
      <c r="I1322" s="7"/>
      <c r="J1322" s="7"/>
      <c r="K1322" s="7" t="s">
        <v>1141</v>
      </c>
      <c r="L1322" s="7" t="str">
        <f aca="false">IFERROR(VLOOKUP(IF(ISNUMBER(SEARCH("(",F1322)),LEFT(F1322,SEARCH("(",F1322)-1),F1322),Tipos!$A:$B,2,FALSE()),"outro")</f>
        <v>texto</v>
      </c>
      <c r="M1322" s="7" t="str">
        <f aca="false">IF(COUNTIF(Comparação!$H:$H,A1322)&gt;0,"sim",IF(AND(G1322="sim",H1322=""),"FALTA (obrigatória)","não"))</f>
        <v>não</v>
      </c>
    </row>
    <row r="1323" customFormat="false" ht="15" hidden="false" customHeight="false" outlineLevel="0" collapsed="false">
      <c r="A1323" s="7" t="str">
        <f aca="false">B1323&amp;"."&amp;E1323</f>
        <v>projetos.campanha_id</v>
      </c>
      <c r="B1323" s="7" t="s">
        <v>225</v>
      </c>
      <c r="C1323" s="7" t="s">
        <v>220</v>
      </c>
      <c r="D1323" s="7" t="n">
        <v>6</v>
      </c>
      <c r="E1323" s="7" t="s">
        <v>336</v>
      </c>
      <c r="F1323" s="7" t="s">
        <v>272</v>
      </c>
      <c r="G1323" s="7" t="s">
        <v>267</v>
      </c>
      <c r="H1323" s="7"/>
      <c r="I1323" s="7" t="s">
        <v>290</v>
      </c>
      <c r="J1323" s="7" t="s">
        <v>337</v>
      </c>
      <c r="K1323" s="7"/>
      <c r="L1323" s="7" t="str">
        <f aca="false">IFERROR(VLOOKUP(IF(ISNUMBER(SEARCH("(",F1323)),LEFT(F1323,SEARCH("(",F1323)-1),F1323),Tipos!$A:$B,2,FALSE()),"outro")</f>
        <v>uuid</v>
      </c>
      <c r="M1323" s="7" t="str">
        <f aca="false">IF(COUNTIF(Comparação!$H:$H,A1323)&gt;0,"sim",IF(AND(G1323="sim",H1323=""),"FALTA (obrigatória)","não"))</f>
        <v>não</v>
      </c>
    </row>
    <row r="1324" customFormat="false" ht="15" hidden="false" customHeight="false" outlineLevel="0" collapsed="false">
      <c r="A1324" s="7" t="str">
        <f aca="false">B1324&amp;"."&amp;E1324</f>
        <v>projetos.modelo_id</v>
      </c>
      <c r="B1324" s="7" t="s">
        <v>225</v>
      </c>
      <c r="C1324" s="7" t="s">
        <v>220</v>
      </c>
      <c r="D1324" s="7" t="n">
        <v>7</v>
      </c>
      <c r="E1324" s="7" t="s">
        <v>1135</v>
      </c>
      <c r="F1324" s="7" t="s">
        <v>272</v>
      </c>
      <c r="G1324" s="7" t="s">
        <v>267</v>
      </c>
      <c r="H1324" s="7"/>
      <c r="I1324" s="7"/>
      <c r="J1324" s="7" t="s">
        <v>491</v>
      </c>
      <c r="K1324" s="7"/>
      <c r="L1324" s="7" t="str">
        <f aca="false">IFERROR(VLOOKUP(IF(ISNUMBER(SEARCH("(",F1324)),LEFT(F1324,SEARCH("(",F1324)-1),F1324),Tipos!$A:$B,2,FALSE()),"outro")</f>
        <v>uuid</v>
      </c>
      <c r="M1324" s="7" t="str">
        <f aca="false">IF(COUNTIF(Comparação!$H:$H,A1324)&gt;0,"sim",IF(AND(G1324="sim",H1324=""),"FALTA (obrigatória)","não"))</f>
        <v>não</v>
      </c>
    </row>
    <row r="1325" customFormat="false" ht="15" hidden="false" customHeight="false" outlineLevel="0" collapsed="false">
      <c r="A1325" s="7" t="str">
        <f aca="false">B1325&amp;"."&amp;E1325</f>
        <v>projetos.responsavel_id</v>
      </c>
      <c r="B1325" s="7" t="s">
        <v>225</v>
      </c>
      <c r="C1325" s="7" t="s">
        <v>220</v>
      </c>
      <c r="D1325" s="7" t="n">
        <v>8</v>
      </c>
      <c r="E1325" s="7" t="s">
        <v>621</v>
      </c>
      <c r="F1325" s="7" t="s">
        <v>272</v>
      </c>
      <c r="G1325" s="7" t="s">
        <v>267</v>
      </c>
      <c r="H1325" s="7"/>
      <c r="I1325" s="7"/>
      <c r="J1325" s="7" t="s">
        <v>299</v>
      </c>
      <c r="K1325" s="7"/>
      <c r="L1325" s="7" t="str">
        <f aca="false">IFERROR(VLOOKUP(IF(ISNUMBER(SEARCH("(",F1325)),LEFT(F1325,SEARCH("(",F1325)-1),F1325),Tipos!$A:$B,2,FALSE()),"outro")</f>
        <v>uuid</v>
      </c>
      <c r="M1325" s="7" t="str">
        <f aca="false">IF(COUNTIF(Comparação!$H:$H,A1325)&gt;0,"sim",IF(AND(G1325="sim",H1325=""),"FALTA (obrigatória)","não"))</f>
        <v>não</v>
      </c>
    </row>
    <row r="1326" customFormat="false" ht="15" hidden="false" customHeight="false" outlineLevel="0" collapsed="false">
      <c r="A1326" s="7" t="str">
        <f aca="false">B1326&amp;"."&amp;E1326</f>
        <v>projetos.data_inicio</v>
      </c>
      <c r="B1326" s="7" t="s">
        <v>225</v>
      </c>
      <c r="C1326" s="7" t="s">
        <v>220</v>
      </c>
      <c r="D1326" s="7" t="n">
        <v>9</v>
      </c>
      <c r="E1326" s="7" t="s">
        <v>472</v>
      </c>
      <c r="F1326" s="7" t="s">
        <v>379</v>
      </c>
      <c r="G1326" s="7" t="s">
        <v>267</v>
      </c>
      <c r="H1326" s="7"/>
      <c r="I1326" s="7"/>
      <c r="J1326" s="7"/>
      <c r="K1326" s="7"/>
      <c r="L1326" s="7" t="str">
        <f aca="false">IFERROR(VLOOKUP(IF(ISNUMBER(SEARCH("(",F1326)),LEFT(F1326,SEARCH("(",F1326)-1),F1326),Tipos!$A:$B,2,FALSE()),"outro")</f>
        <v>data</v>
      </c>
      <c r="M1326" s="7" t="str">
        <f aca="false">IF(COUNTIF(Comparação!$H:$H,A1326)&gt;0,"sim",IF(AND(G1326="sim",H1326=""),"FALTA (obrigatória)","não"))</f>
        <v>não</v>
      </c>
    </row>
    <row r="1327" customFormat="false" ht="15" hidden="false" customHeight="false" outlineLevel="0" collapsed="false">
      <c r="A1327" s="7" t="str">
        <f aca="false">B1327&amp;"."&amp;E1327</f>
        <v>projetos.data_fim_prevista</v>
      </c>
      <c r="B1327" s="7" t="s">
        <v>225</v>
      </c>
      <c r="C1327" s="7" t="s">
        <v>220</v>
      </c>
      <c r="D1327" s="7" t="n">
        <v>10</v>
      </c>
      <c r="E1327" s="7" t="s">
        <v>1142</v>
      </c>
      <c r="F1327" s="7" t="s">
        <v>379</v>
      </c>
      <c r="G1327" s="7" t="s">
        <v>267</v>
      </c>
      <c r="H1327" s="7"/>
      <c r="I1327" s="7"/>
      <c r="J1327" s="7"/>
      <c r="K1327" s="7"/>
      <c r="L1327" s="7" t="str">
        <f aca="false">IFERROR(VLOOKUP(IF(ISNUMBER(SEARCH("(",F1327)),LEFT(F1327,SEARCH("(",F1327)-1),F1327),Tipos!$A:$B,2,FALSE()),"outro")</f>
        <v>data</v>
      </c>
      <c r="M1327" s="7" t="str">
        <f aca="false">IF(COUNTIF(Comparação!$H:$H,A1327)&gt;0,"sim",IF(AND(G1327="sim",H1327=""),"FALTA (obrigatória)","não"))</f>
        <v>não</v>
      </c>
    </row>
    <row r="1328" customFormat="false" ht="15" hidden="false" customHeight="false" outlineLevel="0" collapsed="false">
      <c r="A1328" s="7" t="str">
        <f aca="false">B1328&amp;"."&amp;E1328</f>
        <v>projetos.criado_em</v>
      </c>
      <c r="B1328" s="7" t="s">
        <v>225</v>
      </c>
      <c r="C1328" s="7" t="s">
        <v>220</v>
      </c>
      <c r="D1328" s="7" t="n">
        <v>11</v>
      </c>
      <c r="E1328" s="7" t="s">
        <v>344</v>
      </c>
      <c r="F1328" s="7" t="s">
        <v>285</v>
      </c>
      <c r="G1328" s="7" t="s">
        <v>262</v>
      </c>
      <c r="H1328" s="7" t="s">
        <v>286</v>
      </c>
      <c r="I1328" s="7"/>
      <c r="J1328" s="7"/>
      <c r="K1328" s="7"/>
      <c r="L1328" s="7" t="str">
        <f aca="false">IFERROR(VLOOKUP(IF(ISNUMBER(SEARCH("(",F1328)),LEFT(F1328,SEARCH("(",F1328)-1),F1328),Tipos!$A:$B,2,FALSE()),"outro")</f>
        <v>data e hora</v>
      </c>
      <c r="M1328" s="7" t="str">
        <f aca="false">IF(COUNTIF(Comparação!$H:$H,A1328)&gt;0,"sim",IF(AND(G1328="sim",H1328=""),"FALTA (obrigatória)","não"))</f>
        <v>não</v>
      </c>
    </row>
    <row r="1329" customFormat="false" ht="15" hidden="false" customHeight="false" outlineLevel="0" collapsed="false">
      <c r="A1329" s="7" t="str">
        <f aca="false">B1329&amp;"."&amp;E1329</f>
        <v>projetos.concluido_em</v>
      </c>
      <c r="B1329" s="7" t="s">
        <v>225</v>
      </c>
      <c r="C1329" s="7" t="s">
        <v>220</v>
      </c>
      <c r="D1329" s="7" t="n">
        <v>12</v>
      </c>
      <c r="E1329" s="7" t="s">
        <v>830</v>
      </c>
      <c r="F1329" s="7" t="s">
        <v>285</v>
      </c>
      <c r="G1329" s="7" t="s">
        <v>267</v>
      </c>
      <c r="H1329" s="7"/>
      <c r="I1329" s="7"/>
      <c r="J1329" s="7"/>
      <c r="K1329" s="7"/>
      <c r="L1329" s="7" t="str">
        <f aca="false">IFERROR(VLOOKUP(IF(ISNUMBER(SEARCH("(",F1329)),LEFT(F1329,SEARCH("(",F1329)-1),F1329),Tipos!$A:$B,2,FALSE()),"outro")</f>
        <v>data e hora</v>
      </c>
      <c r="M1329" s="7" t="str">
        <f aca="false">IF(COUNTIF(Comparação!$H:$H,A1329)&gt;0,"sim",IF(AND(G1329="sim",H1329=""),"FALTA (obrigatória)","não"))</f>
        <v>não</v>
      </c>
    </row>
    <row r="1330" customFormat="false" ht="15" hidden="false" customHeight="false" outlineLevel="0" collapsed="false">
      <c r="A1330" s="7" t="str">
        <f aca="false">B1330&amp;"."&amp;E1330</f>
        <v>projetos.pessoa_id</v>
      </c>
      <c r="B1330" s="7" t="s">
        <v>225</v>
      </c>
      <c r="C1330" s="7" t="s">
        <v>220</v>
      </c>
      <c r="D1330" s="7" t="n">
        <v>13</v>
      </c>
      <c r="E1330" s="7" t="s">
        <v>278</v>
      </c>
      <c r="F1330" s="7" t="s">
        <v>272</v>
      </c>
      <c r="G1330" s="7" t="s">
        <v>267</v>
      </c>
      <c r="H1330" s="7"/>
      <c r="I1330" s="7"/>
      <c r="J1330" s="7" t="s">
        <v>279</v>
      </c>
      <c r="K1330" s="7"/>
      <c r="L1330" s="7" t="str">
        <f aca="false">IFERROR(VLOOKUP(IF(ISNUMBER(SEARCH("(",F1330)),LEFT(F1330,SEARCH("(",F1330)-1),F1330),Tipos!$A:$B,2,FALSE()),"outro")</f>
        <v>uuid</v>
      </c>
      <c r="M1330" s="7" t="str">
        <f aca="false">IF(COUNTIF(Comparação!$H:$H,A1330)&gt;0,"sim",IF(AND(G1330="sim",H1330=""),"FALTA (obrigatória)","não"))</f>
        <v>não</v>
      </c>
    </row>
    <row r="1331" customFormat="false" ht="15" hidden="false" customHeight="false" outlineLevel="0" collapsed="false">
      <c r="A1331" s="7" t="str">
        <f aca="false">B1331&amp;"."&amp;E1331</f>
        <v>projetos.contrato_id</v>
      </c>
      <c r="B1331" s="7" t="s">
        <v>225</v>
      </c>
      <c r="C1331" s="7" t="s">
        <v>220</v>
      </c>
      <c r="D1331" s="7" t="n">
        <v>14</v>
      </c>
      <c r="E1331" s="7" t="s">
        <v>300</v>
      </c>
      <c r="F1331" s="7" t="s">
        <v>272</v>
      </c>
      <c r="G1331" s="7" t="s">
        <v>267</v>
      </c>
      <c r="H1331" s="7"/>
      <c r="I1331" s="7"/>
      <c r="J1331" s="7" t="s">
        <v>301</v>
      </c>
      <c r="K1331" s="7"/>
      <c r="L1331" s="7" t="str">
        <f aca="false">IFERROR(VLOOKUP(IF(ISNUMBER(SEARCH("(",F1331)),LEFT(F1331,SEARCH("(",F1331)-1),F1331),Tipos!$A:$B,2,FALSE()),"outro")</f>
        <v>uuid</v>
      </c>
      <c r="M1331" s="7" t="str">
        <f aca="false">IF(COUNTIF(Comparação!$H:$H,A1331)&gt;0,"sim",IF(AND(G1331="sim",H1331=""),"FALTA (obrigatória)","não"))</f>
        <v>não</v>
      </c>
    </row>
    <row r="1332" customFormat="false" ht="15" hidden="false" customHeight="false" outlineLevel="0" collapsed="false">
      <c r="A1332" s="7" t="str">
        <f aca="false">B1332&amp;"."&amp;E1332</f>
        <v>projetos.venda_id</v>
      </c>
      <c r="B1332" s="7" t="s">
        <v>225</v>
      </c>
      <c r="C1332" s="7" t="s">
        <v>220</v>
      </c>
      <c r="D1332" s="7" t="n">
        <v>15</v>
      </c>
      <c r="E1332" s="7" t="s">
        <v>289</v>
      </c>
      <c r="F1332" s="7" t="s">
        <v>272</v>
      </c>
      <c r="G1332" s="7" t="s">
        <v>267</v>
      </c>
      <c r="H1332" s="7"/>
      <c r="I1332" s="7"/>
      <c r="J1332" s="7" t="s">
        <v>291</v>
      </c>
      <c r="K1332" s="7"/>
      <c r="L1332" s="7" t="str">
        <f aca="false">IFERROR(VLOOKUP(IF(ISNUMBER(SEARCH("(",F1332)),LEFT(F1332,SEARCH("(",F1332)-1),F1332),Tipos!$A:$B,2,FALSE()),"outro")</f>
        <v>uuid</v>
      </c>
      <c r="M1332" s="7" t="str">
        <f aca="false">IF(COUNTIF(Comparação!$H:$H,A1332)&gt;0,"sim",IF(AND(G1332="sim",H1332=""),"FALTA (obrigatória)","não"))</f>
        <v>não</v>
      </c>
    </row>
    <row r="1333" customFormat="false" ht="15" hidden="false" customHeight="false" outlineLevel="0" collapsed="false">
      <c r="A1333" s="7" t="str">
        <f aca="false">B1333&amp;"."&amp;E1333</f>
        <v>projetos.produto_id</v>
      </c>
      <c r="B1333" s="7" t="s">
        <v>225</v>
      </c>
      <c r="C1333" s="7" t="s">
        <v>220</v>
      </c>
      <c r="D1333" s="7" t="n">
        <v>16</v>
      </c>
      <c r="E1333" s="7" t="s">
        <v>287</v>
      </c>
      <c r="F1333" s="7" t="s">
        <v>272</v>
      </c>
      <c r="G1333" s="7" t="s">
        <v>267</v>
      </c>
      <c r="H1333" s="7"/>
      <c r="I1333" s="7"/>
      <c r="J1333" s="7" t="s">
        <v>288</v>
      </c>
      <c r="K1333" s="7"/>
      <c r="L1333" s="7" t="str">
        <f aca="false">IFERROR(VLOOKUP(IF(ISNUMBER(SEARCH("(",F1333)),LEFT(F1333,SEARCH("(",F1333)-1),F1333),Tipos!$A:$B,2,FALSE()),"outro")</f>
        <v>uuid</v>
      </c>
      <c r="M1333" s="7" t="str">
        <f aca="false">IF(COUNTIF(Comparação!$H:$H,A1333)&gt;0,"sim",IF(AND(G1333="sim",H1333=""),"FALTA (obrigatória)","não"))</f>
        <v>não</v>
      </c>
    </row>
    <row r="1334" customFormat="false" ht="15" hidden="false" customHeight="false" outlineLevel="0" collapsed="false">
      <c r="A1334" s="7" t="str">
        <f aca="false">B1334&amp;"."&amp;E1334</f>
        <v>projetos.tags</v>
      </c>
      <c r="B1334" s="7" t="s">
        <v>225</v>
      </c>
      <c r="C1334" s="7" t="s">
        <v>220</v>
      </c>
      <c r="D1334" s="7" t="n">
        <v>17</v>
      </c>
      <c r="E1334" s="7" t="s">
        <v>1050</v>
      </c>
      <c r="F1334" s="7" t="s">
        <v>322</v>
      </c>
      <c r="G1334" s="7" t="s">
        <v>262</v>
      </c>
      <c r="H1334" s="7" t="s">
        <v>610</v>
      </c>
      <c r="I1334" s="7"/>
      <c r="J1334" s="7"/>
      <c r="K1334" s="7"/>
      <c r="L1334" s="7" t="str">
        <f aca="false">IFERROR(VLOOKUP(IF(ISNUMBER(SEARCH("(",F1334)),LEFT(F1334,SEARCH("(",F1334)-1),F1334),Tipos!$A:$B,2,FALSE()),"outro")</f>
        <v>lista</v>
      </c>
      <c r="M1334" s="7" t="str">
        <f aca="false">IF(COUNTIF(Comparação!$H:$H,A1334)&gt;0,"sim",IF(AND(G1334="sim",H1334=""),"FALTA (obrigatória)","não"))</f>
        <v>não</v>
      </c>
    </row>
    <row r="1335" customFormat="false" ht="15" hidden="false" customHeight="false" outlineLevel="0" collapsed="false">
      <c r="A1335" s="7" t="str">
        <f aca="false">B1335&amp;"."&amp;E1335</f>
        <v>qualidade_regras.workspace_id</v>
      </c>
      <c r="B1335" s="7" t="s">
        <v>227</v>
      </c>
      <c r="C1335" s="7" t="s">
        <v>34</v>
      </c>
      <c r="D1335" s="7" t="n">
        <v>1</v>
      </c>
      <c r="E1335" s="7" t="s">
        <v>274</v>
      </c>
      <c r="F1335" s="7" t="s">
        <v>272</v>
      </c>
      <c r="G1335" s="7" t="s">
        <v>262</v>
      </c>
      <c r="H1335" s="7"/>
      <c r="I1335" s="7" t="s">
        <v>263</v>
      </c>
      <c r="J1335" s="7" t="s">
        <v>275</v>
      </c>
      <c r="K1335" s="7"/>
      <c r="L1335" s="7" t="str">
        <f aca="false">IFERROR(VLOOKUP(IF(ISNUMBER(SEARCH("(",F1335)),LEFT(F1335,SEARCH("(",F1335)-1),F1335),Tipos!$A:$B,2,FALSE()),"outro")</f>
        <v>uuid</v>
      </c>
      <c r="M1335" s="7" t="str">
        <f aca="false">IF(COUNTIF(Comparação!$H:$H,A1335)&gt;0,"sim",IF(AND(G1335="sim",H1335=""),"FALTA (obrigatória)","não"))</f>
        <v>FALTA (obrigatória)</v>
      </c>
    </row>
    <row r="1336" customFormat="false" ht="15" hidden="false" customHeight="false" outlineLevel="0" collapsed="false">
      <c r="A1336" s="7" t="str">
        <f aca="false">B1336&amp;"."&amp;E1336</f>
        <v>qualidade_regras.codigo</v>
      </c>
      <c r="B1336" s="7" t="s">
        <v>227</v>
      </c>
      <c r="C1336" s="7" t="s">
        <v>34</v>
      </c>
      <c r="D1336" s="7" t="n">
        <v>2</v>
      </c>
      <c r="E1336" s="7" t="s">
        <v>502</v>
      </c>
      <c r="F1336" s="7" t="s">
        <v>261</v>
      </c>
      <c r="G1336" s="7" t="s">
        <v>262</v>
      </c>
      <c r="H1336" s="7"/>
      <c r="I1336" s="7" t="s">
        <v>263</v>
      </c>
      <c r="J1336" s="7"/>
      <c r="K1336" s="7"/>
      <c r="L1336" s="7" t="str">
        <f aca="false">IFERROR(VLOOKUP(IF(ISNUMBER(SEARCH("(",F1336)),LEFT(F1336,SEARCH("(",F1336)-1),F1336),Tipos!$A:$B,2,FALSE()),"outro")</f>
        <v>texto</v>
      </c>
      <c r="M1336" s="7" t="str">
        <f aca="false">IF(COUNTIF(Comparação!$H:$H,A1336)&gt;0,"sim",IF(AND(G1336="sim",H1336=""),"FALTA (obrigatória)","não"))</f>
        <v>FALTA (obrigatória)</v>
      </c>
    </row>
    <row r="1337" customFormat="false" ht="15" hidden="false" customHeight="false" outlineLevel="0" collapsed="false">
      <c r="A1337" s="7" t="str">
        <f aca="false">B1337&amp;"."&amp;E1337</f>
        <v>qualidade_regras.ativa</v>
      </c>
      <c r="B1337" s="7" t="s">
        <v>227</v>
      </c>
      <c r="C1337" s="7" t="s">
        <v>34</v>
      </c>
      <c r="D1337" s="7" t="n">
        <v>3</v>
      </c>
      <c r="E1337" s="7" t="s">
        <v>399</v>
      </c>
      <c r="F1337" s="7" t="s">
        <v>310</v>
      </c>
      <c r="G1337" s="7" t="s">
        <v>262</v>
      </c>
      <c r="H1337" s="7" t="s">
        <v>311</v>
      </c>
      <c r="I1337" s="7"/>
      <c r="J1337" s="7"/>
      <c r="K1337" s="7"/>
      <c r="L1337" s="7" t="str">
        <f aca="false">IFERROR(VLOOKUP(IF(ISNUMBER(SEARCH("(",F1337)),LEFT(F1337,SEARCH("(",F1337)-1),F1337),Tipos!$A:$B,2,FALSE()),"outro")</f>
        <v>booleano</v>
      </c>
      <c r="M1337" s="7" t="str">
        <f aca="false">IF(COUNTIF(Comparação!$H:$H,A1337)&gt;0,"sim",IF(AND(G1337="sim",H1337=""),"FALTA (obrigatória)","não"))</f>
        <v>não</v>
      </c>
    </row>
    <row r="1338" customFormat="false" ht="15" hidden="false" customHeight="false" outlineLevel="0" collapsed="false">
      <c r="A1338" s="7" t="str">
        <f aca="false">B1338&amp;"."&amp;E1338</f>
        <v>qualidade_regras.tolerancia</v>
      </c>
      <c r="B1338" s="7" t="s">
        <v>227</v>
      </c>
      <c r="C1338" s="7" t="s">
        <v>34</v>
      </c>
      <c r="D1338" s="7" t="n">
        <v>4</v>
      </c>
      <c r="E1338" s="7" t="s">
        <v>904</v>
      </c>
      <c r="F1338" s="7" t="s">
        <v>380</v>
      </c>
      <c r="G1338" s="7" t="s">
        <v>267</v>
      </c>
      <c r="H1338" s="7"/>
      <c r="I1338" s="7"/>
      <c r="J1338" s="7"/>
      <c r="K1338" s="7"/>
      <c r="L1338" s="7" t="str">
        <f aca="false">IFERROR(VLOOKUP(IF(ISNUMBER(SEARCH("(",F1338)),LEFT(F1338,SEARCH("(",F1338)-1),F1338),Tipos!$A:$B,2,FALSE()),"outro")</f>
        <v>decimal</v>
      </c>
      <c r="M1338" s="7" t="str">
        <f aca="false">IF(COUNTIF(Comparação!$H:$H,A1338)&gt;0,"sim",IF(AND(G1338="sim",H1338=""),"FALTA (obrigatória)","não"))</f>
        <v>não</v>
      </c>
    </row>
    <row r="1339" customFormat="false" ht="15" hidden="false" customHeight="false" outlineLevel="0" collapsed="false">
      <c r="A1339" s="7" t="str">
        <f aca="false">B1339&amp;"."&amp;E1339</f>
        <v>qualidade_regras.atualizado_em</v>
      </c>
      <c r="B1339" s="7" t="s">
        <v>227</v>
      </c>
      <c r="C1339" s="7" t="s">
        <v>34</v>
      </c>
      <c r="D1339" s="7" t="n">
        <v>5</v>
      </c>
      <c r="E1339" s="7" t="s">
        <v>335</v>
      </c>
      <c r="F1339" s="7" t="s">
        <v>285</v>
      </c>
      <c r="G1339" s="7" t="s">
        <v>262</v>
      </c>
      <c r="H1339" s="7" t="s">
        <v>286</v>
      </c>
      <c r="I1339" s="7"/>
      <c r="J1339" s="7"/>
      <c r="K1339" s="7"/>
      <c r="L1339" s="7" t="str">
        <f aca="false">IFERROR(VLOOKUP(IF(ISNUMBER(SEARCH("(",F1339)),LEFT(F1339,SEARCH("(",F1339)-1),F1339),Tipos!$A:$B,2,FALSE()),"outro")</f>
        <v>data e hora</v>
      </c>
      <c r="M1339" s="7" t="str">
        <f aca="false">IF(COUNTIF(Comparação!$H:$H,A1339)&gt;0,"sim",IF(AND(G1339="sim",H1339=""),"FALTA (obrigatória)","não"))</f>
        <v>não</v>
      </c>
    </row>
    <row r="1340" customFormat="false" ht="15" hidden="false" customHeight="false" outlineLevel="0" collapsed="false">
      <c r="A1340" s="7" t="str">
        <f aca="false">B1340&amp;"."&amp;E1340</f>
        <v>rateio_itens.id</v>
      </c>
      <c r="B1340" s="7" t="s">
        <v>228</v>
      </c>
      <c r="C1340" s="7" t="s">
        <v>69</v>
      </c>
      <c r="D1340" s="7" t="n">
        <v>1</v>
      </c>
      <c r="E1340" s="7" t="s">
        <v>271</v>
      </c>
      <c r="F1340" s="7" t="s">
        <v>272</v>
      </c>
      <c r="G1340" s="7" t="s">
        <v>262</v>
      </c>
      <c r="H1340" s="7" t="s">
        <v>273</v>
      </c>
      <c r="I1340" s="7" t="s">
        <v>263</v>
      </c>
      <c r="J1340" s="7"/>
      <c r="K1340" s="7"/>
      <c r="L1340" s="7" t="str">
        <f aca="false">IFERROR(VLOOKUP(IF(ISNUMBER(SEARCH("(",F1340)),LEFT(F1340,SEARCH("(",F1340)-1),F1340),Tipos!$A:$B,2,FALSE()),"outro")</f>
        <v>uuid</v>
      </c>
      <c r="M1340" s="7" t="str">
        <f aca="false">IF(COUNTIF(Comparação!$H:$H,A1340)&gt;0,"sim",IF(AND(G1340="sim",H1340=""),"FALTA (obrigatória)","não"))</f>
        <v>não</v>
      </c>
    </row>
    <row r="1341" customFormat="false" ht="15" hidden="false" customHeight="false" outlineLevel="0" collapsed="false">
      <c r="A1341" s="7" t="str">
        <f aca="false">B1341&amp;"."&amp;E1341</f>
        <v>rateio_itens.workspace_id</v>
      </c>
      <c r="B1341" s="7" t="s">
        <v>228</v>
      </c>
      <c r="C1341" s="7" t="s">
        <v>69</v>
      </c>
      <c r="D1341" s="7" t="n">
        <v>2</v>
      </c>
      <c r="E1341" s="7" t="s">
        <v>274</v>
      </c>
      <c r="F1341" s="7" t="s">
        <v>272</v>
      </c>
      <c r="G1341" s="7" t="s">
        <v>262</v>
      </c>
      <c r="H1341" s="7"/>
      <c r="I1341" s="7"/>
      <c r="J1341" s="7" t="s">
        <v>275</v>
      </c>
      <c r="K1341" s="7"/>
      <c r="L1341" s="7" t="str">
        <f aca="false">IFERROR(VLOOKUP(IF(ISNUMBER(SEARCH("(",F1341)),LEFT(F1341,SEARCH("(",F1341)-1),F1341),Tipos!$A:$B,2,FALSE()),"outro")</f>
        <v>uuid</v>
      </c>
      <c r="M1341" s="7" t="str">
        <f aca="false">IF(COUNTIF(Comparação!$H:$H,A1341)&gt;0,"sim",IF(AND(G1341="sim",H1341=""),"FALTA (obrigatória)","não"))</f>
        <v>FALTA (obrigatória)</v>
      </c>
    </row>
    <row r="1342" customFormat="false" ht="15" hidden="false" customHeight="false" outlineLevel="0" collapsed="false">
      <c r="A1342" s="7" t="str">
        <f aca="false">B1342&amp;"."&amp;E1342</f>
        <v>rateio_itens.regra_id</v>
      </c>
      <c r="B1342" s="7" t="s">
        <v>228</v>
      </c>
      <c r="C1342" s="7" t="s">
        <v>69</v>
      </c>
      <c r="D1342" s="7" t="n">
        <v>3</v>
      </c>
      <c r="E1342" s="7" t="s">
        <v>1143</v>
      </c>
      <c r="F1342" s="7" t="s">
        <v>272</v>
      </c>
      <c r="G1342" s="7" t="s">
        <v>262</v>
      </c>
      <c r="H1342" s="7"/>
      <c r="I1342" s="7" t="s">
        <v>290</v>
      </c>
      <c r="J1342" s="7" t="s">
        <v>541</v>
      </c>
      <c r="K1342" s="7"/>
      <c r="L1342" s="7" t="str">
        <f aca="false">IFERROR(VLOOKUP(IF(ISNUMBER(SEARCH("(",F1342)),LEFT(F1342,SEARCH("(",F1342)-1),F1342),Tipos!$A:$B,2,FALSE()),"outro")</f>
        <v>uuid</v>
      </c>
      <c r="M1342" s="7" t="str">
        <f aca="false">IF(COUNTIF(Comparação!$H:$H,A1342)&gt;0,"sim",IF(AND(G1342="sim",H1342=""),"FALTA (obrigatória)","não"))</f>
        <v>FALTA (obrigatória)</v>
      </c>
    </row>
    <row r="1343" customFormat="false" ht="15" hidden="false" customHeight="false" outlineLevel="0" collapsed="false">
      <c r="A1343" s="7" t="str">
        <f aca="false">B1343&amp;"."&amp;E1343</f>
        <v>rateio_itens.centro_custo_id</v>
      </c>
      <c r="B1343" s="7" t="s">
        <v>228</v>
      </c>
      <c r="C1343" s="7" t="s">
        <v>69</v>
      </c>
      <c r="D1343" s="7" t="n">
        <v>4</v>
      </c>
      <c r="E1343" s="7" t="s">
        <v>533</v>
      </c>
      <c r="F1343" s="7" t="s">
        <v>272</v>
      </c>
      <c r="G1343" s="7" t="s">
        <v>262</v>
      </c>
      <c r="H1343" s="7"/>
      <c r="I1343" s="7" t="s">
        <v>290</v>
      </c>
      <c r="J1343" s="7" t="s">
        <v>534</v>
      </c>
      <c r="K1343" s="7"/>
      <c r="L1343" s="7" t="str">
        <f aca="false">IFERROR(VLOOKUP(IF(ISNUMBER(SEARCH("(",F1343)),LEFT(F1343,SEARCH("(",F1343)-1),F1343),Tipos!$A:$B,2,FALSE()),"outro")</f>
        <v>uuid</v>
      </c>
      <c r="M1343" s="7" t="str">
        <f aca="false">IF(COUNTIF(Comparação!$H:$H,A1343)&gt;0,"sim",IF(AND(G1343="sim",H1343=""),"FALTA (obrigatória)","não"))</f>
        <v>FALTA (obrigatória)</v>
      </c>
    </row>
    <row r="1344" customFormat="false" ht="15" hidden="false" customHeight="false" outlineLevel="0" collapsed="false">
      <c r="A1344" s="7" t="str">
        <f aca="false">B1344&amp;"."&amp;E1344</f>
        <v>rateio_itens.percentual</v>
      </c>
      <c r="B1344" s="7" t="s">
        <v>228</v>
      </c>
      <c r="C1344" s="7" t="s">
        <v>69</v>
      </c>
      <c r="D1344" s="7" t="n">
        <v>5</v>
      </c>
      <c r="E1344" s="7" t="s">
        <v>1144</v>
      </c>
      <c r="F1344" s="7" t="s">
        <v>1145</v>
      </c>
      <c r="G1344" s="7" t="s">
        <v>262</v>
      </c>
      <c r="H1344" s="7"/>
      <c r="I1344" s="7"/>
      <c r="J1344" s="7"/>
      <c r="K1344" s="7" t="s">
        <v>1146</v>
      </c>
      <c r="L1344" s="7" t="str">
        <f aca="false">IFERROR(VLOOKUP(IF(ISNUMBER(SEARCH("(",F1344)),LEFT(F1344,SEARCH("(",F1344)-1),F1344),Tipos!$A:$B,2,FALSE()),"outro")</f>
        <v>decimal</v>
      </c>
      <c r="M1344" s="7" t="str">
        <f aca="false">IF(COUNTIF(Comparação!$H:$H,A1344)&gt;0,"sim",IF(AND(G1344="sim",H1344=""),"FALTA (obrigatória)","não"))</f>
        <v>FALTA (obrigatória)</v>
      </c>
    </row>
    <row r="1345" customFormat="false" ht="15" hidden="false" customHeight="false" outlineLevel="0" collapsed="false">
      <c r="A1345" s="7" t="str">
        <f aca="false">B1345&amp;"."&amp;E1345</f>
        <v>rateio_regras.id</v>
      </c>
      <c r="B1345" s="7" t="s">
        <v>230</v>
      </c>
      <c r="C1345" s="7" t="s">
        <v>69</v>
      </c>
      <c r="D1345" s="7" t="n">
        <v>1</v>
      </c>
      <c r="E1345" s="7" t="s">
        <v>271</v>
      </c>
      <c r="F1345" s="7" t="s">
        <v>272</v>
      </c>
      <c r="G1345" s="7" t="s">
        <v>262</v>
      </c>
      <c r="H1345" s="7" t="s">
        <v>273</v>
      </c>
      <c r="I1345" s="7" t="s">
        <v>263</v>
      </c>
      <c r="J1345" s="7"/>
      <c r="K1345" s="7"/>
      <c r="L1345" s="7" t="str">
        <f aca="false">IFERROR(VLOOKUP(IF(ISNUMBER(SEARCH("(",F1345)),LEFT(F1345,SEARCH("(",F1345)-1),F1345),Tipos!$A:$B,2,FALSE()),"outro")</f>
        <v>uuid</v>
      </c>
      <c r="M1345" s="7" t="str">
        <f aca="false">IF(COUNTIF(Comparação!$H:$H,A1345)&gt;0,"sim",IF(AND(G1345="sim",H1345=""),"FALTA (obrigatória)","não"))</f>
        <v>não</v>
      </c>
    </row>
    <row r="1346" customFormat="false" ht="15" hidden="false" customHeight="false" outlineLevel="0" collapsed="false">
      <c r="A1346" s="7" t="str">
        <f aca="false">B1346&amp;"."&amp;E1346</f>
        <v>rateio_regras.workspace_id</v>
      </c>
      <c r="B1346" s="7" t="s">
        <v>230</v>
      </c>
      <c r="C1346" s="7" t="s">
        <v>69</v>
      </c>
      <c r="D1346" s="7" t="n">
        <v>2</v>
      </c>
      <c r="E1346" s="7" t="s">
        <v>274</v>
      </c>
      <c r="F1346" s="7" t="s">
        <v>272</v>
      </c>
      <c r="G1346" s="7" t="s">
        <v>262</v>
      </c>
      <c r="H1346" s="7"/>
      <c r="I1346" s="7" t="s">
        <v>290</v>
      </c>
      <c r="J1346" s="7" t="s">
        <v>275</v>
      </c>
      <c r="K1346" s="7"/>
      <c r="L1346" s="7" t="str">
        <f aca="false">IFERROR(VLOOKUP(IF(ISNUMBER(SEARCH("(",F1346)),LEFT(F1346,SEARCH("(",F1346)-1),F1346),Tipos!$A:$B,2,FALSE()),"outro")</f>
        <v>uuid</v>
      </c>
      <c r="M1346" s="7" t="str">
        <f aca="false">IF(COUNTIF(Comparação!$H:$H,A1346)&gt;0,"sim",IF(AND(G1346="sim",H1346=""),"FALTA (obrigatória)","não"))</f>
        <v>FALTA (obrigatória)</v>
      </c>
    </row>
    <row r="1347" customFormat="false" ht="15" hidden="false" customHeight="false" outlineLevel="0" collapsed="false">
      <c r="A1347" s="7" t="str">
        <f aca="false">B1347&amp;"."&amp;E1347</f>
        <v>rateio_regras.nome</v>
      </c>
      <c r="B1347" s="7" t="s">
        <v>230</v>
      </c>
      <c r="C1347" s="7" t="s">
        <v>69</v>
      </c>
      <c r="D1347" s="7" t="n">
        <v>3</v>
      </c>
      <c r="E1347" s="7" t="s">
        <v>265</v>
      </c>
      <c r="F1347" s="7" t="s">
        <v>261</v>
      </c>
      <c r="G1347" s="7" t="s">
        <v>262</v>
      </c>
      <c r="H1347" s="7"/>
      <c r="I1347" s="7" t="s">
        <v>290</v>
      </c>
      <c r="J1347" s="7"/>
      <c r="K1347" s="7"/>
      <c r="L1347" s="7" t="str">
        <f aca="false">IFERROR(VLOOKUP(IF(ISNUMBER(SEARCH("(",F1347)),LEFT(F1347,SEARCH("(",F1347)-1),F1347),Tipos!$A:$B,2,FALSE()),"outro")</f>
        <v>texto</v>
      </c>
      <c r="M1347" s="7" t="str">
        <f aca="false">IF(COUNTIF(Comparação!$H:$H,A1347)&gt;0,"sim",IF(AND(G1347="sim",H1347=""),"FALTA (obrigatória)","não"))</f>
        <v>FALTA (obrigatória)</v>
      </c>
    </row>
    <row r="1348" customFormat="false" ht="15" hidden="false" customHeight="false" outlineLevel="0" collapsed="false">
      <c r="A1348" s="7" t="str">
        <f aca="false">B1348&amp;"."&amp;E1348</f>
        <v>rateio_regras.descricao</v>
      </c>
      <c r="B1348" s="7" t="s">
        <v>230</v>
      </c>
      <c r="C1348" s="7" t="s">
        <v>69</v>
      </c>
      <c r="D1348" s="7" t="n">
        <v>4</v>
      </c>
      <c r="E1348" s="7" t="s">
        <v>427</v>
      </c>
      <c r="F1348" s="7" t="s">
        <v>261</v>
      </c>
      <c r="G1348" s="7" t="s">
        <v>267</v>
      </c>
      <c r="H1348" s="7"/>
      <c r="I1348" s="7"/>
      <c r="J1348" s="7"/>
      <c r="K1348" s="7"/>
      <c r="L1348" s="7" t="str">
        <f aca="false">IFERROR(VLOOKUP(IF(ISNUMBER(SEARCH("(",F1348)),LEFT(F1348,SEARCH("(",F1348)-1),F1348),Tipos!$A:$B,2,FALSE()),"outro")</f>
        <v>texto</v>
      </c>
      <c r="M1348" s="7" t="str">
        <f aca="false">IF(COUNTIF(Comparação!$H:$H,A1348)&gt;0,"sim",IF(AND(G1348="sim",H1348=""),"FALTA (obrigatória)","não"))</f>
        <v>não</v>
      </c>
    </row>
    <row r="1349" customFormat="false" ht="15" hidden="false" customHeight="false" outlineLevel="0" collapsed="false">
      <c r="A1349" s="7" t="str">
        <f aca="false">B1349&amp;"."&amp;E1349</f>
        <v>rateio_regras.ativo</v>
      </c>
      <c r="B1349" s="7" t="s">
        <v>230</v>
      </c>
      <c r="C1349" s="7" t="s">
        <v>69</v>
      </c>
      <c r="D1349" s="7" t="n">
        <v>5</v>
      </c>
      <c r="E1349" s="7" t="s">
        <v>309</v>
      </c>
      <c r="F1349" s="7" t="s">
        <v>310</v>
      </c>
      <c r="G1349" s="7" t="s">
        <v>262</v>
      </c>
      <c r="H1349" s="7" t="s">
        <v>311</v>
      </c>
      <c r="I1349" s="7"/>
      <c r="J1349" s="7"/>
      <c r="K1349" s="7"/>
      <c r="L1349" s="7" t="str">
        <f aca="false">IFERROR(VLOOKUP(IF(ISNUMBER(SEARCH("(",F1349)),LEFT(F1349,SEARCH("(",F1349)-1),F1349),Tipos!$A:$B,2,FALSE()),"outro")</f>
        <v>booleano</v>
      </c>
      <c r="M1349" s="7" t="str">
        <f aca="false">IF(COUNTIF(Comparação!$H:$H,A1349)&gt;0,"sim",IF(AND(G1349="sim",H1349=""),"FALTA (obrigatória)","não"))</f>
        <v>não</v>
      </c>
    </row>
    <row r="1350" customFormat="false" ht="15" hidden="false" customHeight="false" outlineLevel="0" collapsed="false">
      <c r="A1350" s="7" t="str">
        <f aca="false">B1350&amp;"."&amp;E1350</f>
        <v>rateio_regras.criado_em</v>
      </c>
      <c r="B1350" s="7" t="s">
        <v>230</v>
      </c>
      <c r="C1350" s="7" t="s">
        <v>69</v>
      </c>
      <c r="D1350" s="7" t="n">
        <v>6</v>
      </c>
      <c r="E1350" s="7" t="s">
        <v>344</v>
      </c>
      <c r="F1350" s="7" t="s">
        <v>285</v>
      </c>
      <c r="G1350" s="7" t="s">
        <v>262</v>
      </c>
      <c r="H1350" s="7" t="s">
        <v>286</v>
      </c>
      <c r="I1350" s="7"/>
      <c r="J1350" s="7"/>
      <c r="K1350" s="7"/>
      <c r="L1350" s="7" t="str">
        <f aca="false">IFERROR(VLOOKUP(IF(ISNUMBER(SEARCH("(",F1350)),LEFT(F1350,SEARCH("(",F1350)-1),F1350),Tipos!$A:$B,2,FALSE()),"outro")</f>
        <v>data e hora</v>
      </c>
      <c r="M1350" s="7" t="str">
        <f aca="false">IF(COUNTIF(Comparação!$H:$H,A1350)&gt;0,"sim",IF(AND(G1350="sim",H1350=""),"FALTA (obrigatória)","não"))</f>
        <v>não</v>
      </c>
    </row>
    <row r="1351" customFormat="false" ht="15" hidden="false" customHeight="false" outlineLevel="0" collapsed="false">
      <c r="A1351" s="7" t="str">
        <f aca="false">B1351&amp;"."&amp;E1351</f>
        <v>regras_contabilizacao.id</v>
      </c>
      <c r="B1351" s="7" t="s">
        <v>231</v>
      </c>
      <c r="C1351" s="7" t="s">
        <v>69</v>
      </c>
      <c r="D1351" s="7" t="n">
        <v>1</v>
      </c>
      <c r="E1351" s="7" t="s">
        <v>271</v>
      </c>
      <c r="F1351" s="7" t="s">
        <v>272</v>
      </c>
      <c r="G1351" s="7" t="s">
        <v>262</v>
      </c>
      <c r="H1351" s="7" t="s">
        <v>273</v>
      </c>
      <c r="I1351" s="7" t="s">
        <v>263</v>
      </c>
      <c r="J1351" s="7"/>
      <c r="K1351" s="7"/>
      <c r="L1351" s="7" t="str">
        <f aca="false">IFERROR(VLOOKUP(IF(ISNUMBER(SEARCH("(",F1351)),LEFT(F1351,SEARCH("(",F1351)-1),F1351),Tipos!$A:$B,2,FALSE()),"outro")</f>
        <v>uuid</v>
      </c>
      <c r="M1351" s="7" t="str">
        <f aca="false">IF(COUNTIF(Comparação!$H:$H,A1351)&gt;0,"sim",IF(AND(G1351="sim",H1351=""),"FALTA (obrigatória)","não"))</f>
        <v>não</v>
      </c>
    </row>
    <row r="1352" customFormat="false" ht="15" hidden="false" customHeight="false" outlineLevel="0" collapsed="false">
      <c r="A1352" s="7" t="str">
        <f aca="false">B1352&amp;"."&amp;E1352</f>
        <v>regras_contabilizacao.workspace_id</v>
      </c>
      <c r="B1352" s="7" t="s">
        <v>231</v>
      </c>
      <c r="C1352" s="7" t="s">
        <v>69</v>
      </c>
      <c r="D1352" s="7" t="n">
        <v>2</v>
      </c>
      <c r="E1352" s="7" t="s">
        <v>274</v>
      </c>
      <c r="F1352" s="7" t="s">
        <v>272</v>
      </c>
      <c r="G1352" s="7" t="s">
        <v>262</v>
      </c>
      <c r="H1352" s="7"/>
      <c r="I1352" s="7" t="s">
        <v>290</v>
      </c>
      <c r="J1352" s="7" t="s">
        <v>275</v>
      </c>
      <c r="K1352" s="7"/>
      <c r="L1352" s="7" t="str">
        <f aca="false">IFERROR(VLOOKUP(IF(ISNUMBER(SEARCH("(",F1352)),LEFT(F1352,SEARCH("(",F1352)-1),F1352),Tipos!$A:$B,2,FALSE()),"outro")</f>
        <v>uuid</v>
      </c>
      <c r="M1352" s="7" t="str">
        <f aca="false">IF(COUNTIF(Comparação!$H:$H,A1352)&gt;0,"sim",IF(AND(G1352="sim",H1352=""),"FALTA (obrigatória)","não"))</f>
        <v>FALTA (obrigatória)</v>
      </c>
    </row>
    <row r="1353" customFormat="false" ht="15" hidden="false" customHeight="false" outlineLevel="0" collapsed="false">
      <c r="A1353" s="7" t="str">
        <f aca="false">B1353&amp;"."&amp;E1353</f>
        <v>regras_contabilizacao.evento</v>
      </c>
      <c r="B1353" s="7" t="s">
        <v>231</v>
      </c>
      <c r="C1353" s="7" t="s">
        <v>69</v>
      </c>
      <c r="D1353" s="7" t="n">
        <v>3</v>
      </c>
      <c r="E1353" s="7" t="s">
        <v>1147</v>
      </c>
      <c r="F1353" s="7" t="s">
        <v>261</v>
      </c>
      <c r="G1353" s="7" t="s">
        <v>262</v>
      </c>
      <c r="H1353" s="7"/>
      <c r="I1353" s="7" t="s">
        <v>290</v>
      </c>
      <c r="J1353" s="7"/>
      <c r="K1353" s="7"/>
      <c r="L1353" s="7" t="str">
        <f aca="false">IFERROR(VLOOKUP(IF(ISNUMBER(SEARCH("(",F1353)),LEFT(F1353,SEARCH("(",F1353)-1),F1353),Tipos!$A:$B,2,FALSE()),"outro")</f>
        <v>texto</v>
      </c>
      <c r="M1353" s="7" t="str">
        <f aca="false">IF(COUNTIF(Comparação!$H:$H,A1353)&gt;0,"sim",IF(AND(G1353="sim",H1353=""),"FALTA (obrigatória)","não"))</f>
        <v>FALTA (obrigatória)</v>
      </c>
    </row>
    <row r="1354" customFormat="false" ht="15" hidden="false" customHeight="false" outlineLevel="0" collapsed="false">
      <c r="A1354" s="7" t="str">
        <f aca="false">B1354&amp;"."&amp;E1354</f>
        <v>regras_contabilizacao.descricao</v>
      </c>
      <c r="B1354" s="7" t="s">
        <v>231</v>
      </c>
      <c r="C1354" s="7" t="s">
        <v>69</v>
      </c>
      <c r="D1354" s="7" t="n">
        <v>4</v>
      </c>
      <c r="E1354" s="7" t="s">
        <v>427</v>
      </c>
      <c r="F1354" s="7" t="s">
        <v>261</v>
      </c>
      <c r="G1354" s="7" t="s">
        <v>267</v>
      </c>
      <c r="H1354" s="7"/>
      <c r="I1354" s="7"/>
      <c r="J1354" s="7"/>
      <c r="K1354" s="7"/>
      <c r="L1354" s="7" t="str">
        <f aca="false">IFERROR(VLOOKUP(IF(ISNUMBER(SEARCH("(",F1354)),LEFT(F1354,SEARCH("(",F1354)-1),F1354),Tipos!$A:$B,2,FALSE()),"outro")</f>
        <v>texto</v>
      </c>
      <c r="M1354" s="7" t="str">
        <f aca="false">IF(COUNTIF(Comparação!$H:$H,A1354)&gt;0,"sim",IF(AND(G1354="sim",H1354=""),"FALTA (obrigatória)","não"))</f>
        <v>não</v>
      </c>
    </row>
    <row r="1355" customFormat="false" ht="15" hidden="false" customHeight="false" outlineLevel="0" collapsed="false">
      <c r="A1355" s="7" t="str">
        <f aca="false">B1355&amp;"."&amp;E1355</f>
        <v>regras_contabilizacao.conta_debito_id</v>
      </c>
      <c r="B1355" s="7" t="s">
        <v>231</v>
      </c>
      <c r="C1355" s="7" t="s">
        <v>69</v>
      </c>
      <c r="D1355" s="7" t="n">
        <v>5</v>
      </c>
      <c r="E1355" s="7" t="s">
        <v>1148</v>
      </c>
      <c r="F1355" s="7" t="s">
        <v>272</v>
      </c>
      <c r="G1355" s="7" t="s">
        <v>267</v>
      </c>
      <c r="H1355" s="7"/>
      <c r="I1355" s="7"/>
      <c r="J1355" s="7" t="s">
        <v>521</v>
      </c>
      <c r="K1355" s="7"/>
      <c r="L1355" s="7" t="str">
        <f aca="false">IFERROR(VLOOKUP(IF(ISNUMBER(SEARCH("(",F1355)),LEFT(F1355,SEARCH("(",F1355)-1),F1355),Tipos!$A:$B,2,FALSE()),"outro")</f>
        <v>uuid</v>
      </c>
      <c r="M1355" s="7" t="str">
        <f aca="false">IF(COUNTIF(Comparação!$H:$H,A1355)&gt;0,"sim",IF(AND(G1355="sim",H1355=""),"FALTA (obrigatória)","não"))</f>
        <v>não</v>
      </c>
    </row>
    <row r="1356" customFormat="false" ht="15" hidden="false" customHeight="false" outlineLevel="0" collapsed="false">
      <c r="A1356" s="7" t="str">
        <f aca="false">B1356&amp;"."&amp;E1356</f>
        <v>regras_contabilizacao.conta_credito_id</v>
      </c>
      <c r="B1356" s="7" t="s">
        <v>231</v>
      </c>
      <c r="C1356" s="7" t="s">
        <v>69</v>
      </c>
      <c r="D1356" s="7" t="n">
        <v>6</v>
      </c>
      <c r="E1356" s="7" t="s">
        <v>1149</v>
      </c>
      <c r="F1356" s="7" t="s">
        <v>272</v>
      </c>
      <c r="G1356" s="7" t="s">
        <v>267</v>
      </c>
      <c r="H1356" s="7"/>
      <c r="I1356" s="7"/>
      <c r="J1356" s="7" t="s">
        <v>521</v>
      </c>
      <c r="K1356" s="7"/>
      <c r="L1356" s="7" t="str">
        <f aca="false">IFERROR(VLOOKUP(IF(ISNUMBER(SEARCH("(",F1356)),LEFT(F1356,SEARCH("(",F1356)-1),F1356),Tipos!$A:$B,2,FALSE()),"outro")</f>
        <v>uuid</v>
      </c>
      <c r="M1356" s="7" t="str">
        <f aca="false">IF(COUNTIF(Comparação!$H:$H,A1356)&gt;0,"sim",IF(AND(G1356="sim",H1356=""),"FALTA (obrigatória)","não"))</f>
        <v>não</v>
      </c>
    </row>
    <row r="1357" customFormat="false" ht="15" hidden="false" customHeight="false" outlineLevel="0" collapsed="false">
      <c r="A1357" s="7" t="str">
        <f aca="false">B1357&amp;"."&amp;E1357</f>
        <v>regras_contabilizacao.ativo</v>
      </c>
      <c r="B1357" s="7" t="s">
        <v>231</v>
      </c>
      <c r="C1357" s="7" t="s">
        <v>69</v>
      </c>
      <c r="D1357" s="7" t="n">
        <v>7</v>
      </c>
      <c r="E1357" s="7" t="s">
        <v>309</v>
      </c>
      <c r="F1357" s="7" t="s">
        <v>310</v>
      </c>
      <c r="G1357" s="7" t="s">
        <v>262</v>
      </c>
      <c r="H1357" s="7" t="s">
        <v>311</v>
      </c>
      <c r="I1357" s="7"/>
      <c r="J1357" s="7"/>
      <c r="K1357" s="7"/>
      <c r="L1357" s="7" t="str">
        <f aca="false">IFERROR(VLOOKUP(IF(ISNUMBER(SEARCH("(",F1357)),LEFT(F1357,SEARCH("(",F1357)-1),F1357),Tipos!$A:$B,2,FALSE()),"outro")</f>
        <v>booleano</v>
      </c>
      <c r="M1357" s="7" t="str">
        <f aca="false">IF(COUNTIF(Comparação!$H:$H,A1357)&gt;0,"sim",IF(AND(G1357="sim",H1357=""),"FALTA (obrigatória)","não"))</f>
        <v>não</v>
      </c>
    </row>
    <row r="1358" customFormat="false" ht="15" hidden="false" customHeight="false" outlineLevel="0" collapsed="false">
      <c r="A1358" s="7" t="str">
        <f aca="false">B1358&amp;"."&amp;E1358</f>
        <v>regras_contabilizacao.nome</v>
      </c>
      <c r="B1358" s="7" t="s">
        <v>231</v>
      </c>
      <c r="C1358" s="7" t="s">
        <v>69</v>
      </c>
      <c r="D1358" s="7" t="n">
        <v>8</v>
      </c>
      <c r="E1358" s="7" t="s">
        <v>265</v>
      </c>
      <c r="F1358" s="7" t="s">
        <v>261</v>
      </c>
      <c r="G1358" s="7" t="s">
        <v>267</v>
      </c>
      <c r="H1358" s="7"/>
      <c r="I1358" s="7"/>
      <c r="J1358" s="7"/>
      <c r="K1358" s="7"/>
      <c r="L1358" s="7" t="str">
        <f aca="false">IFERROR(VLOOKUP(IF(ISNUMBER(SEARCH("(",F1358)),LEFT(F1358,SEARCH("(",F1358)-1),F1358),Tipos!$A:$B,2,FALSE()),"outro")</f>
        <v>texto</v>
      </c>
      <c r="M1358" s="7" t="str">
        <f aca="false">IF(COUNTIF(Comparação!$H:$H,A1358)&gt;0,"sim",IF(AND(G1358="sim",H1358=""),"FALTA (obrigatória)","não"))</f>
        <v>não</v>
      </c>
    </row>
    <row r="1359" customFormat="false" ht="15" hidden="false" customHeight="false" outlineLevel="0" collapsed="false">
      <c r="A1359" s="7" t="str">
        <f aca="false">B1359&amp;"."&amp;E1359</f>
        <v>regras_contabilizacao.personalizada</v>
      </c>
      <c r="B1359" s="7" t="s">
        <v>231</v>
      </c>
      <c r="C1359" s="7" t="s">
        <v>69</v>
      </c>
      <c r="D1359" s="7" t="n">
        <v>9</v>
      </c>
      <c r="E1359" s="7" t="s">
        <v>1150</v>
      </c>
      <c r="F1359" s="7" t="s">
        <v>310</v>
      </c>
      <c r="G1359" s="7" t="s">
        <v>262</v>
      </c>
      <c r="H1359" s="7" t="s">
        <v>375</v>
      </c>
      <c r="I1359" s="7"/>
      <c r="J1359" s="7"/>
      <c r="K1359" s="7"/>
      <c r="L1359" s="7" t="str">
        <f aca="false">IFERROR(VLOOKUP(IF(ISNUMBER(SEARCH("(",F1359)),LEFT(F1359,SEARCH("(",F1359)-1),F1359),Tipos!$A:$B,2,FALSE()),"outro")</f>
        <v>booleano</v>
      </c>
      <c r="M1359" s="7" t="str">
        <f aca="false">IF(COUNTIF(Comparação!$H:$H,A1359)&gt;0,"sim",IF(AND(G1359="sim",H1359=""),"FALTA (obrigatória)","não"))</f>
        <v>não</v>
      </c>
    </row>
    <row r="1360" customFormat="false" ht="15" hidden="false" customHeight="false" outlineLevel="0" collapsed="false">
      <c r="A1360" s="7" t="str">
        <f aca="false">B1360&amp;"."&amp;E1360</f>
        <v>responsavel_historico.id</v>
      </c>
      <c r="B1360" s="7" t="s">
        <v>232</v>
      </c>
      <c r="C1360" s="7" t="s">
        <v>66</v>
      </c>
      <c r="D1360" s="7" t="n">
        <v>1</v>
      </c>
      <c r="E1360" s="7" t="s">
        <v>271</v>
      </c>
      <c r="F1360" s="7" t="s">
        <v>272</v>
      </c>
      <c r="G1360" s="7" t="s">
        <v>262</v>
      </c>
      <c r="H1360" s="7" t="s">
        <v>273</v>
      </c>
      <c r="I1360" s="7" t="s">
        <v>263</v>
      </c>
      <c r="J1360" s="7"/>
      <c r="K1360" s="7"/>
      <c r="L1360" s="7" t="str">
        <f aca="false">IFERROR(VLOOKUP(IF(ISNUMBER(SEARCH("(",F1360)),LEFT(F1360,SEARCH("(",F1360)-1),F1360),Tipos!$A:$B,2,FALSE()),"outro")</f>
        <v>uuid</v>
      </c>
      <c r="M1360" s="7" t="str">
        <f aca="false">IF(COUNTIF(Comparação!$H:$H,A1360)&gt;0,"sim",IF(AND(G1360="sim",H1360=""),"FALTA (obrigatória)","não"))</f>
        <v>não</v>
      </c>
    </row>
    <row r="1361" customFormat="false" ht="15" hidden="false" customHeight="false" outlineLevel="0" collapsed="false">
      <c r="A1361" s="7" t="str">
        <f aca="false">B1361&amp;"."&amp;E1361</f>
        <v>responsavel_historico.workspace_id</v>
      </c>
      <c r="B1361" s="7" t="s">
        <v>232</v>
      </c>
      <c r="C1361" s="7" t="s">
        <v>66</v>
      </c>
      <c r="D1361" s="7" t="n">
        <v>2</v>
      </c>
      <c r="E1361" s="7" t="s">
        <v>274</v>
      </c>
      <c r="F1361" s="7" t="s">
        <v>272</v>
      </c>
      <c r="G1361" s="7" t="s">
        <v>262</v>
      </c>
      <c r="H1361" s="7"/>
      <c r="I1361" s="7"/>
      <c r="J1361" s="7" t="s">
        <v>275</v>
      </c>
      <c r="K1361" s="7"/>
      <c r="L1361" s="7" t="str">
        <f aca="false">IFERROR(VLOOKUP(IF(ISNUMBER(SEARCH("(",F1361)),LEFT(F1361,SEARCH("(",F1361)-1),F1361),Tipos!$A:$B,2,FALSE()),"outro")</f>
        <v>uuid</v>
      </c>
      <c r="M1361" s="7" t="str">
        <f aca="false">IF(COUNTIF(Comparação!$H:$H,A1361)&gt;0,"sim",IF(AND(G1361="sim",H1361=""),"FALTA (obrigatória)","não"))</f>
        <v>FALTA (obrigatória)</v>
      </c>
    </row>
    <row r="1362" customFormat="false" ht="15" hidden="false" customHeight="false" outlineLevel="0" collapsed="false">
      <c r="A1362" s="7" t="str">
        <f aca="false">B1362&amp;"."&amp;E1362</f>
        <v>responsavel_historico.tipo</v>
      </c>
      <c r="B1362" s="7" t="s">
        <v>232</v>
      </c>
      <c r="C1362" s="7" t="s">
        <v>66</v>
      </c>
      <c r="D1362" s="7" t="n">
        <v>3</v>
      </c>
      <c r="E1362" s="7" t="s">
        <v>280</v>
      </c>
      <c r="F1362" s="7" t="s">
        <v>261</v>
      </c>
      <c r="G1362" s="7" t="s">
        <v>262</v>
      </c>
      <c r="H1362" s="7"/>
      <c r="I1362" s="7"/>
      <c r="J1362" s="7"/>
      <c r="K1362" s="7" t="s">
        <v>1151</v>
      </c>
      <c r="L1362" s="7" t="str">
        <f aca="false">IFERROR(VLOOKUP(IF(ISNUMBER(SEARCH("(",F1362)),LEFT(F1362,SEARCH("(",F1362)-1),F1362),Tipos!$A:$B,2,FALSE()),"outro")</f>
        <v>texto</v>
      </c>
      <c r="M1362" s="7" t="str">
        <f aca="false">IF(COUNTIF(Comparação!$H:$H,A1362)&gt;0,"sim",IF(AND(G1362="sim",H1362=""),"FALTA (obrigatória)","não"))</f>
        <v>FALTA (obrigatória)</v>
      </c>
    </row>
    <row r="1363" customFormat="false" ht="15" hidden="false" customHeight="false" outlineLevel="0" collapsed="false">
      <c r="A1363" s="7" t="str">
        <f aca="false">B1363&amp;"."&amp;E1363</f>
        <v>responsavel_historico.pessoa_id</v>
      </c>
      <c r="B1363" s="7" t="s">
        <v>232</v>
      </c>
      <c r="C1363" s="7" t="s">
        <v>66</v>
      </c>
      <c r="D1363" s="7" t="n">
        <v>4</v>
      </c>
      <c r="E1363" s="7" t="s">
        <v>278</v>
      </c>
      <c r="F1363" s="7" t="s">
        <v>272</v>
      </c>
      <c r="G1363" s="7" t="s">
        <v>262</v>
      </c>
      <c r="H1363" s="7"/>
      <c r="I1363" s="7"/>
      <c r="J1363" s="7" t="s">
        <v>279</v>
      </c>
      <c r="K1363" s="7"/>
      <c r="L1363" s="7" t="str">
        <f aca="false">IFERROR(VLOOKUP(IF(ISNUMBER(SEARCH("(",F1363)),LEFT(F1363,SEARCH("(",F1363)-1),F1363),Tipos!$A:$B,2,FALSE()),"outro")</f>
        <v>uuid</v>
      </c>
      <c r="M1363" s="7" t="str">
        <f aca="false">IF(COUNTIF(Comparação!$H:$H,A1363)&gt;0,"sim",IF(AND(G1363="sim",H1363=""),"FALTA (obrigatória)","não"))</f>
        <v>FALTA (obrigatória)</v>
      </c>
    </row>
    <row r="1364" customFormat="false" ht="15" hidden="false" customHeight="false" outlineLevel="0" collapsed="false">
      <c r="A1364" s="7" t="str">
        <f aca="false">B1364&amp;"."&amp;E1364</f>
        <v>responsavel_historico.aluno_id</v>
      </c>
      <c r="B1364" s="7" t="s">
        <v>232</v>
      </c>
      <c r="C1364" s="7" t="s">
        <v>66</v>
      </c>
      <c r="D1364" s="7" t="n">
        <v>5</v>
      </c>
      <c r="E1364" s="7" t="s">
        <v>276</v>
      </c>
      <c r="F1364" s="7" t="s">
        <v>272</v>
      </c>
      <c r="G1364" s="7" t="s">
        <v>267</v>
      </c>
      <c r="H1364" s="7"/>
      <c r="I1364" s="7"/>
      <c r="J1364" s="7" t="s">
        <v>277</v>
      </c>
      <c r="K1364" s="7"/>
      <c r="L1364" s="7" t="str">
        <f aca="false">IFERROR(VLOOKUP(IF(ISNUMBER(SEARCH("(",F1364)),LEFT(F1364,SEARCH("(",F1364)-1),F1364),Tipos!$A:$B,2,FALSE()),"outro")</f>
        <v>uuid</v>
      </c>
      <c r="M1364" s="7" t="str">
        <f aca="false">IF(COUNTIF(Comparação!$H:$H,A1364)&gt;0,"sim",IF(AND(G1364="sim",H1364=""),"FALTA (obrigatória)","não"))</f>
        <v>não</v>
      </c>
    </row>
    <row r="1365" customFormat="false" ht="15" hidden="false" customHeight="false" outlineLevel="0" collapsed="false">
      <c r="A1365" s="7" t="str">
        <f aca="false">B1365&amp;"."&amp;E1365</f>
        <v>responsavel_historico.de_equipe_id</v>
      </c>
      <c r="B1365" s="7" t="s">
        <v>232</v>
      </c>
      <c r="C1365" s="7" t="s">
        <v>66</v>
      </c>
      <c r="D1365" s="7" t="n">
        <v>6</v>
      </c>
      <c r="E1365" s="7" t="s">
        <v>1152</v>
      </c>
      <c r="F1365" s="7" t="s">
        <v>272</v>
      </c>
      <c r="G1365" s="7" t="s">
        <v>267</v>
      </c>
      <c r="H1365" s="7"/>
      <c r="I1365" s="7"/>
      <c r="J1365" s="7"/>
      <c r="K1365" s="7"/>
      <c r="L1365" s="7" t="str">
        <f aca="false">IFERROR(VLOOKUP(IF(ISNUMBER(SEARCH("(",F1365)),LEFT(F1365,SEARCH("(",F1365)-1),F1365),Tipos!$A:$B,2,FALSE()),"outro")</f>
        <v>uuid</v>
      </c>
      <c r="M1365" s="7" t="str">
        <f aca="false">IF(COUNTIF(Comparação!$H:$H,A1365)&gt;0,"sim",IF(AND(G1365="sim",H1365=""),"FALTA (obrigatória)","não"))</f>
        <v>não</v>
      </c>
    </row>
    <row r="1366" customFormat="false" ht="15" hidden="false" customHeight="false" outlineLevel="0" collapsed="false">
      <c r="A1366" s="7" t="str">
        <f aca="false">B1366&amp;"."&amp;E1366</f>
        <v>responsavel_historico.para_equipe_id</v>
      </c>
      <c r="B1366" s="7" t="s">
        <v>232</v>
      </c>
      <c r="C1366" s="7" t="s">
        <v>66</v>
      </c>
      <c r="D1366" s="7" t="n">
        <v>7</v>
      </c>
      <c r="E1366" s="7" t="s">
        <v>1153</v>
      </c>
      <c r="F1366" s="7" t="s">
        <v>272</v>
      </c>
      <c r="G1366" s="7" t="s">
        <v>267</v>
      </c>
      <c r="H1366" s="7"/>
      <c r="I1366" s="7"/>
      <c r="J1366" s="7"/>
      <c r="K1366" s="7"/>
      <c r="L1366" s="7" t="str">
        <f aca="false">IFERROR(VLOOKUP(IF(ISNUMBER(SEARCH("(",F1366)),LEFT(F1366,SEARCH("(",F1366)-1),F1366),Tipos!$A:$B,2,FALSE()),"outro")</f>
        <v>uuid</v>
      </c>
      <c r="M1366" s="7" t="str">
        <f aca="false">IF(COUNTIF(Comparação!$H:$H,A1366)&gt;0,"sim",IF(AND(G1366="sim",H1366=""),"FALTA (obrigatória)","não"))</f>
        <v>não</v>
      </c>
    </row>
    <row r="1367" customFormat="false" ht="15" hidden="false" customHeight="false" outlineLevel="0" collapsed="false">
      <c r="A1367" s="7" t="str">
        <f aca="false">B1367&amp;"."&amp;E1367</f>
        <v>responsavel_historico.de_nome</v>
      </c>
      <c r="B1367" s="7" t="s">
        <v>232</v>
      </c>
      <c r="C1367" s="7" t="s">
        <v>66</v>
      </c>
      <c r="D1367" s="7" t="n">
        <v>8</v>
      </c>
      <c r="E1367" s="7" t="s">
        <v>1154</v>
      </c>
      <c r="F1367" s="7" t="s">
        <v>261</v>
      </c>
      <c r="G1367" s="7" t="s">
        <v>267</v>
      </c>
      <c r="H1367" s="7"/>
      <c r="I1367" s="7"/>
      <c r="J1367" s="7"/>
      <c r="K1367" s="7"/>
      <c r="L1367" s="7" t="str">
        <f aca="false">IFERROR(VLOOKUP(IF(ISNUMBER(SEARCH("(",F1367)),LEFT(F1367,SEARCH("(",F1367)-1),F1367),Tipos!$A:$B,2,FALSE()),"outro")</f>
        <v>texto</v>
      </c>
      <c r="M1367" s="7" t="str">
        <f aca="false">IF(COUNTIF(Comparação!$H:$H,A1367)&gt;0,"sim",IF(AND(G1367="sim",H1367=""),"FALTA (obrigatória)","não"))</f>
        <v>não</v>
      </c>
    </row>
    <row r="1368" customFormat="false" ht="15" hidden="false" customHeight="false" outlineLevel="0" collapsed="false">
      <c r="A1368" s="7" t="str">
        <f aca="false">B1368&amp;"."&amp;E1368</f>
        <v>responsavel_historico.para_nome</v>
      </c>
      <c r="B1368" s="7" t="s">
        <v>232</v>
      </c>
      <c r="C1368" s="7" t="s">
        <v>66</v>
      </c>
      <c r="D1368" s="7" t="n">
        <v>9</v>
      </c>
      <c r="E1368" s="7" t="s">
        <v>1155</v>
      </c>
      <c r="F1368" s="7" t="s">
        <v>261</v>
      </c>
      <c r="G1368" s="7" t="s">
        <v>267</v>
      </c>
      <c r="H1368" s="7"/>
      <c r="I1368" s="7"/>
      <c r="J1368" s="7"/>
      <c r="K1368" s="7"/>
      <c r="L1368" s="7" t="str">
        <f aca="false">IFERROR(VLOOKUP(IF(ISNUMBER(SEARCH("(",F1368)),LEFT(F1368,SEARCH("(",F1368)-1),F1368),Tipos!$A:$B,2,FALSE()),"outro")</f>
        <v>texto</v>
      </c>
      <c r="M1368" s="7" t="str">
        <f aca="false">IF(COUNTIF(Comparação!$H:$H,A1368)&gt;0,"sim",IF(AND(G1368="sim",H1368=""),"FALTA (obrigatória)","não"))</f>
        <v>não</v>
      </c>
    </row>
    <row r="1369" customFormat="false" ht="15" hidden="false" customHeight="false" outlineLevel="0" collapsed="false">
      <c r="A1369" s="7" t="str">
        <f aca="false">B1369&amp;"."&amp;E1369</f>
        <v>responsavel_historico.alterado_por</v>
      </c>
      <c r="B1369" s="7" t="s">
        <v>232</v>
      </c>
      <c r="C1369" s="7" t="s">
        <v>66</v>
      </c>
      <c r="D1369" s="7" t="n">
        <v>10</v>
      </c>
      <c r="E1369" s="7" t="s">
        <v>1156</v>
      </c>
      <c r="F1369" s="7" t="s">
        <v>272</v>
      </c>
      <c r="G1369" s="7" t="s">
        <v>267</v>
      </c>
      <c r="H1369" s="7"/>
      <c r="I1369" s="7"/>
      <c r="J1369" s="7"/>
      <c r="K1369" s="7"/>
      <c r="L1369" s="7" t="str">
        <f aca="false">IFERROR(VLOOKUP(IF(ISNUMBER(SEARCH("(",F1369)),LEFT(F1369,SEARCH("(",F1369)-1),F1369),Tipos!$A:$B,2,FALSE()),"outro")</f>
        <v>uuid</v>
      </c>
      <c r="M1369" s="7" t="str">
        <f aca="false">IF(COUNTIF(Comparação!$H:$H,A1369)&gt;0,"sim",IF(AND(G1369="sim",H1369=""),"FALTA (obrigatória)","não"))</f>
        <v>não</v>
      </c>
    </row>
    <row r="1370" customFormat="false" ht="15" hidden="false" customHeight="false" outlineLevel="0" collapsed="false">
      <c r="A1370" s="7" t="str">
        <f aca="false">B1370&amp;"."&amp;E1370</f>
        <v>responsavel_historico.alterado_por_email</v>
      </c>
      <c r="B1370" s="7" t="s">
        <v>232</v>
      </c>
      <c r="C1370" s="7" t="s">
        <v>66</v>
      </c>
      <c r="D1370" s="7" t="n">
        <v>11</v>
      </c>
      <c r="E1370" s="7" t="s">
        <v>1157</v>
      </c>
      <c r="F1370" s="7" t="s">
        <v>261</v>
      </c>
      <c r="G1370" s="7" t="s">
        <v>267</v>
      </c>
      <c r="H1370" s="7"/>
      <c r="I1370" s="7"/>
      <c r="J1370" s="7"/>
      <c r="K1370" s="7"/>
      <c r="L1370" s="7" t="str">
        <f aca="false">IFERROR(VLOOKUP(IF(ISNUMBER(SEARCH("(",F1370)),LEFT(F1370,SEARCH("(",F1370)-1),F1370),Tipos!$A:$B,2,FALSE()),"outro")</f>
        <v>texto</v>
      </c>
      <c r="M1370" s="7" t="str">
        <f aca="false">IF(COUNTIF(Comparação!$H:$H,A1370)&gt;0,"sim",IF(AND(G1370="sim",H1370=""),"FALTA (obrigatória)","não"))</f>
        <v>não</v>
      </c>
    </row>
    <row r="1371" customFormat="false" ht="15" hidden="false" customHeight="false" outlineLevel="0" collapsed="false">
      <c r="A1371" s="7" t="str">
        <f aca="false">B1371&amp;"."&amp;E1371</f>
        <v>responsavel_historico.motivo</v>
      </c>
      <c r="B1371" s="7" t="s">
        <v>232</v>
      </c>
      <c r="C1371" s="7" t="s">
        <v>66</v>
      </c>
      <c r="D1371" s="7" t="n">
        <v>12</v>
      </c>
      <c r="E1371" s="7" t="s">
        <v>413</v>
      </c>
      <c r="F1371" s="7" t="s">
        <v>261</v>
      </c>
      <c r="G1371" s="7" t="s">
        <v>267</v>
      </c>
      <c r="H1371" s="7"/>
      <c r="I1371" s="7"/>
      <c r="J1371" s="7"/>
      <c r="K1371" s="7"/>
      <c r="L1371" s="7" t="str">
        <f aca="false">IFERROR(VLOOKUP(IF(ISNUMBER(SEARCH("(",F1371)),LEFT(F1371,SEARCH("(",F1371)-1),F1371),Tipos!$A:$B,2,FALSE()),"outro")</f>
        <v>texto</v>
      </c>
      <c r="M1371" s="7" t="str">
        <f aca="false">IF(COUNTIF(Comparação!$H:$H,A1371)&gt;0,"sim",IF(AND(G1371="sim",H1371=""),"FALTA (obrigatória)","não"))</f>
        <v>não</v>
      </c>
    </row>
    <row r="1372" customFormat="false" ht="15" hidden="false" customHeight="false" outlineLevel="0" collapsed="false">
      <c r="A1372" s="7" t="str">
        <f aca="false">B1372&amp;"."&amp;E1372</f>
        <v>responsavel_historico.alterado_em</v>
      </c>
      <c r="B1372" s="7" t="s">
        <v>232</v>
      </c>
      <c r="C1372" s="7" t="s">
        <v>66</v>
      </c>
      <c r="D1372" s="7" t="n">
        <v>13</v>
      </c>
      <c r="E1372" s="7" t="s">
        <v>1025</v>
      </c>
      <c r="F1372" s="7" t="s">
        <v>285</v>
      </c>
      <c r="G1372" s="7" t="s">
        <v>262</v>
      </c>
      <c r="H1372" s="7" t="s">
        <v>286</v>
      </c>
      <c r="I1372" s="7"/>
      <c r="J1372" s="7"/>
      <c r="K1372" s="7"/>
      <c r="L1372" s="7" t="str">
        <f aca="false">IFERROR(VLOOKUP(IF(ISNUMBER(SEARCH("(",F1372)),LEFT(F1372,SEARCH("(",F1372)-1),F1372),Tipos!$A:$B,2,FALSE()),"outro")</f>
        <v>data e hora</v>
      </c>
      <c r="M1372" s="7" t="str">
        <f aca="false">IF(COUNTIF(Comparação!$H:$H,A1372)&gt;0,"sim",IF(AND(G1372="sim",H1372=""),"FALTA (obrigatória)","não"))</f>
        <v>não</v>
      </c>
    </row>
    <row r="1373" customFormat="false" ht="15" hidden="false" customHeight="false" outlineLevel="0" collapsed="false">
      <c r="A1373" s="7" t="str">
        <f aca="false">B1373&amp;"."&amp;E1373</f>
        <v>revops_config.workspace_id</v>
      </c>
      <c r="B1373" s="7" t="s">
        <v>234</v>
      </c>
      <c r="C1373" s="7" t="s">
        <v>235</v>
      </c>
      <c r="D1373" s="7" t="n">
        <v>1</v>
      </c>
      <c r="E1373" s="7" t="s">
        <v>274</v>
      </c>
      <c r="F1373" s="7" t="s">
        <v>272</v>
      </c>
      <c r="G1373" s="7" t="s">
        <v>262</v>
      </c>
      <c r="H1373" s="7"/>
      <c r="I1373" s="7" t="s">
        <v>263</v>
      </c>
      <c r="J1373" s="7" t="s">
        <v>275</v>
      </c>
      <c r="K1373" s="7"/>
      <c r="L1373" s="7" t="str">
        <f aca="false">IFERROR(VLOOKUP(IF(ISNUMBER(SEARCH("(",F1373)),LEFT(F1373,SEARCH("(",F1373)-1),F1373),Tipos!$A:$B,2,FALSE()),"outro")</f>
        <v>uuid</v>
      </c>
      <c r="M1373" s="7" t="str">
        <f aca="false">IF(COUNTIF(Comparação!$H:$H,A1373)&gt;0,"sim",IF(AND(G1373="sim",H1373=""),"FALTA (obrigatória)","não"))</f>
        <v>FALTA (obrigatória)</v>
      </c>
    </row>
    <row r="1374" customFormat="false" ht="15" hidden="false" customHeight="false" outlineLevel="0" collapsed="false">
      <c r="A1374" s="7" t="str">
        <f aca="false">B1374&amp;"."&amp;E1374</f>
        <v>revops_config.simultanea</v>
      </c>
      <c r="B1374" s="7" t="s">
        <v>234</v>
      </c>
      <c r="C1374" s="7" t="s">
        <v>235</v>
      </c>
      <c r="D1374" s="7" t="n">
        <v>2</v>
      </c>
      <c r="E1374" s="7" t="s">
        <v>1158</v>
      </c>
      <c r="F1374" s="7" t="s">
        <v>261</v>
      </c>
      <c r="G1374" s="7" t="s">
        <v>262</v>
      </c>
      <c r="H1374" s="7" t="s">
        <v>1159</v>
      </c>
      <c r="I1374" s="7"/>
      <c r="J1374" s="7"/>
      <c r="K1374" s="7" t="s">
        <v>1160</v>
      </c>
      <c r="L1374" s="7" t="str">
        <f aca="false">IFERROR(VLOOKUP(IF(ISNUMBER(SEARCH("(",F1374)),LEFT(F1374,SEARCH("(",F1374)-1),F1374),Tipos!$A:$B,2,FALSE()),"outro")</f>
        <v>texto</v>
      </c>
      <c r="M1374" s="7" t="str">
        <f aca="false">IF(COUNTIF(Comparação!$H:$H,A1374)&gt;0,"sim",IF(AND(G1374="sim",H1374=""),"FALTA (obrigatória)","não"))</f>
        <v>não</v>
      </c>
    </row>
    <row r="1375" customFormat="false" ht="15" hidden="false" customHeight="false" outlineLevel="0" collapsed="false">
      <c r="A1375" s="7" t="str">
        <f aca="false">B1375&amp;"."&amp;E1375</f>
        <v>revops_config.rfm</v>
      </c>
      <c r="B1375" s="7" t="s">
        <v>234</v>
      </c>
      <c r="C1375" s="7" t="s">
        <v>235</v>
      </c>
      <c r="D1375" s="7" t="n">
        <v>3</v>
      </c>
      <c r="E1375" s="7" t="s">
        <v>1161</v>
      </c>
      <c r="F1375" s="7" t="s">
        <v>324</v>
      </c>
      <c r="G1375" s="7" t="s">
        <v>262</v>
      </c>
      <c r="H1375" s="7" t="s">
        <v>347</v>
      </c>
      <c r="I1375" s="7"/>
      <c r="J1375" s="7"/>
      <c r="K1375" s="7" t="s">
        <v>1162</v>
      </c>
      <c r="L1375" s="7" t="str">
        <f aca="false">IFERROR(VLOOKUP(IF(ISNUMBER(SEARCH("(",F1375)),LEFT(F1375,SEARCH("(",F1375)-1),F1375),Tipos!$A:$B,2,FALSE()),"outro")</f>
        <v>json</v>
      </c>
      <c r="M1375" s="7" t="str">
        <f aca="false">IF(COUNTIF(Comparação!$H:$H,A1375)&gt;0,"sim",IF(AND(G1375="sim",H1375=""),"FALTA (obrigatória)","não"))</f>
        <v>não</v>
      </c>
    </row>
    <row r="1376" customFormat="false" ht="15" hidden="false" customHeight="false" outlineLevel="0" collapsed="false">
      <c r="A1376" s="7" t="str">
        <f aca="false">B1376&amp;"."&amp;E1376</f>
        <v>revops_config.atualizado_em</v>
      </c>
      <c r="B1376" s="7" t="s">
        <v>234</v>
      </c>
      <c r="C1376" s="7" t="s">
        <v>235</v>
      </c>
      <c r="D1376" s="7" t="n">
        <v>4</v>
      </c>
      <c r="E1376" s="7" t="s">
        <v>335</v>
      </c>
      <c r="F1376" s="7" t="s">
        <v>285</v>
      </c>
      <c r="G1376" s="7" t="s">
        <v>262</v>
      </c>
      <c r="H1376" s="7" t="s">
        <v>286</v>
      </c>
      <c r="I1376" s="7"/>
      <c r="J1376" s="7"/>
      <c r="K1376" s="7"/>
      <c r="L1376" s="7" t="str">
        <f aca="false">IFERROR(VLOOKUP(IF(ISNUMBER(SEARCH("(",F1376)),LEFT(F1376,SEARCH("(",F1376)-1),F1376),Tipos!$A:$B,2,FALSE()),"outro")</f>
        <v>data e hora</v>
      </c>
      <c r="M1376" s="7" t="str">
        <f aca="false">IF(COUNTIF(Comparação!$H:$H,A1376)&gt;0,"sim",IF(AND(G1376="sim",H1376=""),"FALTA (obrigatória)","não"))</f>
        <v>não</v>
      </c>
    </row>
    <row r="1377" customFormat="false" ht="15" hidden="false" customHeight="false" outlineLevel="0" collapsed="false">
      <c r="A1377" s="7" t="str">
        <f aca="false">B1377&amp;"."&amp;E1377</f>
        <v>revops_visoes.id</v>
      </c>
      <c r="B1377" s="7" t="s">
        <v>236</v>
      </c>
      <c r="C1377" s="7" t="s">
        <v>235</v>
      </c>
      <c r="D1377" s="7" t="n">
        <v>1</v>
      </c>
      <c r="E1377" s="7" t="s">
        <v>271</v>
      </c>
      <c r="F1377" s="7" t="s">
        <v>272</v>
      </c>
      <c r="G1377" s="7" t="s">
        <v>262</v>
      </c>
      <c r="H1377" s="7" t="s">
        <v>273</v>
      </c>
      <c r="I1377" s="7" t="s">
        <v>263</v>
      </c>
      <c r="J1377" s="7"/>
      <c r="K1377" s="7"/>
      <c r="L1377" s="7" t="str">
        <f aca="false">IFERROR(VLOOKUP(IF(ISNUMBER(SEARCH("(",F1377)),LEFT(F1377,SEARCH("(",F1377)-1),F1377),Tipos!$A:$B,2,FALSE()),"outro")</f>
        <v>uuid</v>
      </c>
      <c r="M1377" s="7" t="str">
        <f aca="false">IF(COUNTIF(Comparação!$H:$H,A1377)&gt;0,"sim",IF(AND(G1377="sim",H1377=""),"FALTA (obrigatória)","não"))</f>
        <v>não</v>
      </c>
    </row>
    <row r="1378" customFormat="false" ht="15" hidden="false" customHeight="false" outlineLevel="0" collapsed="false">
      <c r="A1378" s="7" t="str">
        <f aca="false">B1378&amp;"."&amp;E1378</f>
        <v>revops_visoes.workspace_id</v>
      </c>
      <c r="B1378" s="7" t="s">
        <v>236</v>
      </c>
      <c r="C1378" s="7" t="s">
        <v>235</v>
      </c>
      <c r="D1378" s="7" t="n">
        <v>2</v>
      </c>
      <c r="E1378" s="7" t="s">
        <v>274</v>
      </c>
      <c r="F1378" s="7" t="s">
        <v>272</v>
      </c>
      <c r="G1378" s="7" t="s">
        <v>262</v>
      </c>
      <c r="H1378" s="7"/>
      <c r="I1378" s="7"/>
      <c r="J1378" s="7" t="s">
        <v>275</v>
      </c>
      <c r="K1378" s="7"/>
      <c r="L1378" s="7" t="str">
        <f aca="false">IFERROR(VLOOKUP(IF(ISNUMBER(SEARCH("(",F1378)),LEFT(F1378,SEARCH("(",F1378)-1),F1378),Tipos!$A:$B,2,FALSE()),"outro")</f>
        <v>uuid</v>
      </c>
      <c r="M1378" s="7" t="str">
        <f aca="false">IF(COUNTIF(Comparação!$H:$H,A1378)&gt;0,"sim",IF(AND(G1378="sim",H1378=""),"FALTA (obrigatória)","não"))</f>
        <v>FALTA (obrigatória)</v>
      </c>
    </row>
    <row r="1379" customFormat="false" ht="15" hidden="false" customHeight="false" outlineLevel="0" collapsed="false">
      <c r="A1379" s="7" t="str">
        <f aca="false">B1379&amp;"."&amp;E1379</f>
        <v>revops_visoes.usuario_id</v>
      </c>
      <c r="B1379" s="7" t="s">
        <v>236</v>
      </c>
      <c r="C1379" s="7" t="s">
        <v>235</v>
      </c>
      <c r="D1379" s="7" t="n">
        <v>3</v>
      </c>
      <c r="E1379" s="7" t="s">
        <v>326</v>
      </c>
      <c r="F1379" s="7" t="s">
        <v>272</v>
      </c>
      <c r="G1379" s="7" t="s">
        <v>262</v>
      </c>
      <c r="H1379" s="7" t="s">
        <v>406</v>
      </c>
      <c r="I1379" s="7"/>
      <c r="J1379" s="7"/>
      <c r="K1379" s="7"/>
      <c r="L1379" s="7" t="str">
        <f aca="false">IFERROR(VLOOKUP(IF(ISNUMBER(SEARCH("(",F1379)),LEFT(F1379,SEARCH("(",F1379)-1),F1379),Tipos!$A:$B,2,FALSE()),"outro")</f>
        <v>uuid</v>
      </c>
      <c r="M1379" s="7" t="str">
        <f aca="false">IF(COUNTIF(Comparação!$H:$H,A1379)&gt;0,"sim",IF(AND(G1379="sim",H1379=""),"FALTA (obrigatória)","não"))</f>
        <v>não</v>
      </c>
    </row>
    <row r="1380" customFormat="false" ht="15" hidden="false" customHeight="false" outlineLevel="0" collapsed="false">
      <c r="A1380" s="7" t="str">
        <f aca="false">B1380&amp;"."&amp;E1380</f>
        <v>revops_visoes.nome</v>
      </c>
      <c r="B1380" s="7" t="s">
        <v>236</v>
      </c>
      <c r="C1380" s="7" t="s">
        <v>235</v>
      </c>
      <c r="D1380" s="7" t="n">
        <v>4</v>
      </c>
      <c r="E1380" s="7" t="s">
        <v>265</v>
      </c>
      <c r="F1380" s="7" t="s">
        <v>261</v>
      </c>
      <c r="G1380" s="7" t="s">
        <v>262</v>
      </c>
      <c r="H1380" s="7"/>
      <c r="I1380" s="7"/>
      <c r="J1380" s="7"/>
      <c r="K1380" s="7" t="s">
        <v>389</v>
      </c>
      <c r="L1380" s="7" t="str">
        <f aca="false">IFERROR(VLOOKUP(IF(ISNUMBER(SEARCH("(",F1380)),LEFT(F1380,SEARCH("(",F1380)-1),F1380),Tipos!$A:$B,2,FALSE()),"outro")</f>
        <v>texto</v>
      </c>
      <c r="M1380" s="7" t="str">
        <f aca="false">IF(COUNTIF(Comparação!$H:$H,A1380)&gt;0,"sim",IF(AND(G1380="sim",H1380=""),"FALTA (obrigatória)","não"))</f>
        <v>FALTA (obrigatória)</v>
      </c>
    </row>
    <row r="1381" customFormat="false" ht="15" hidden="false" customHeight="false" outlineLevel="0" collapsed="false">
      <c r="A1381" s="7" t="str">
        <f aca="false">B1381&amp;"."&amp;E1381</f>
        <v>revops_visoes.aba</v>
      </c>
      <c r="B1381" s="7" t="s">
        <v>236</v>
      </c>
      <c r="C1381" s="7" t="s">
        <v>235</v>
      </c>
      <c r="D1381" s="7" t="n">
        <v>5</v>
      </c>
      <c r="E1381" s="7" t="s">
        <v>1163</v>
      </c>
      <c r="F1381" s="7" t="s">
        <v>261</v>
      </c>
      <c r="G1381" s="7" t="s">
        <v>262</v>
      </c>
      <c r="H1381" s="7" t="s">
        <v>1164</v>
      </c>
      <c r="I1381" s="7"/>
      <c r="J1381" s="7"/>
      <c r="K1381" s="7" t="s">
        <v>1165</v>
      </c>
      <c r="L1381" s="7" t="str">
        <f aca="false">IFERROR(VLOOKUP(IF(ISNUMBER(SEARCH("(",F1381)),LEFT(F1381,SEARCH("(",F1381)-1),F1381),Tipos!$A:$B,2,FALSE()),"outro")</f>
        <v>texto</v>
      </c>
      <c r="M1381" s="7" t="str">
        <f aca="false">IF(COUNTIF(Comparação!$H:$H,A1381)&gt;0,"sim",IF(AND(G1381="sim",H1381=""),"FALTA (obrigatória)","não"))</f>
        <v>não</v>
      </c>
    </row>
    <row r="1382" customFormat="false" ht="15" hidden="false" customHeight="false" outlineLevel="0" collapsed="false">
      <c r="A1382" s="7" t="str">
        <f aca="false">B1382&amp;"."&amp;E1382</f>
        <v>revops_visoes.filtros</v>
      </c>
      <c r="B1382" s="7" t="s">
        <v>236</v>
      </c>
      <c r="C1382" s="7" t="s">
        <v>235</v>
      </c>
      <c r="D1382" s="7" t="n">
        <v>6</v>
      </c>
      <c r="E1382" s="7" t="s">
        <v>1166</v>
      </c>
      <c r="F1382" s="7" t="s">
        <v>324</v>
      </c>
      <c r="G1382" s="7" t="s">
        <v>262</v>
      </c>
      <c r="H1382" s="7" t="s">
        <v>347</v>
      </c>
      <c r="I1382" s="7"/>
      <c r="J1382" s="7"/>
      <c r="K1382" s="7"/>
      <c r="L1382" s="7" t="str">
        <f aca="false">IFERROR(VLOOKUP(IF(ISNUMBER(SEARCH("(",F1382)),LEFT(F1382,SEARCH("(",F1382)-1),F1382),Tipos!$A:$B,2,FALSE()),"outro")</f>
        <v>json</v>
      </c>
      <c r="M1382" s="7" t="str">
        <f aca="false">IF(COUNTIF(Comparação!$H:$H,A1382)&gt;0,"sim",IF(AND(G1382="sim",H1382=""),"FALTA (obrigatória)","não"))</f>
        <v>não</v>
      </c>
    </row>
    <row r="1383" customFormat="false" ht="15" hidden="false" customHeight="false" outlineLevel="0" collapsed="false">
      <c r="A1383" s="7" t="str">
        <f aca="false">B1383&amp;"."&amp;E1383</f>
        <v>revops_visoes.criado_em</v>
      </c>
      <c r="B1383" s="7" t="s">
        <v>236</v>
      </c>
      <c r="C1383" s="7" t="s">
        <v>235</v>
      </c>
      <c r="D1383" s="7" t="n">
        <v>7</v>
      </c>
      <c r="E1383" s="7" t="s">
        <v>344</v>
      </c>
      <c r="F1383" s="7" t="s">
        <v>285</v>
      </c>
      <c r="G1383" s="7" t="s">
        <v>262</v>
      </c>
      <c r="H1383" s="7" t="s">
        <v>286</v>
      </c>
      <c r="I1383" s="7"/>
      <c r="J1383" s="7"/>
      <c r="K1383" s="7"/>
      <c r="L1383" s="7" t="str">
        <f aca="false">IFERROR(VLOOKUP(IF(ISNUMBER(SEARCH("(",F1383)),LEFT(F1383,SEARCH("(",F1383)-1),F1383),Tipos!$A:$B,2,FALSE()),"outro")</f>
        <v>data e hora</v>
      </c>
      <c r="M1383" s="7" t="str">
        <f aca="false">IF(COUNTIF(Comparação!$H:$H,A1383)&gt;0,"sim",IF(AND(G1383="sim",H1383=""),"FALTA (obrigatória)","não"))</f>
        <v>não</v>
      </c>
    </row>
    <row r="1384" customFormat="false" ht="15" hidden="false" customHeight="false" outlineLevel="0" collapsed="false">
      <c r="A1384" s="7" t="str">
        <f aca="false">B1384&amp;"."&amp;E1384</f>
        <v>simulador_cenarios.id</v>
      </c>
      <c r="B1384" s="7" t="s">
        <v>237</v>
      </c>
      <c r="C1384" s="7" t="s">
        <v>115</v>
      </c>
      <c r="D1384" s="7" t="n">
        <v>1</v>
      </c>
      <c r="E1384" s="7" t="s">
        <v>271</v>
      </c>
      <c r="F1384" s="7" t="s">
        <v>272</v>
      </c>
      <c r="G1384" s="7" t="s">
        <v>262</v>
      </c>
      <c r="H1384" s="7" t="s">
        <v>273</v>
      </c>
      <c r="I1384" s="7" t="s">
        <v>263</v>
      </c>
      <c r="J1384" s="7"/>
      <c r="K1384" s="7"/>
      <c r="L1384" s="7" t="str">
        <f aca="false">IFERROR(VLOOKUP(IF(ISNUMBER(SEARCH("(",F1384)),LEFT(F1384,SEARCH("(",F1384)-1),F1384),Tipos!$A:$B,2,FALSE()),"outro")</f>
        <v>uuid</v>
      </c>
      <c r="M1384" s="7" t="str">
        <f aca="false">IF(COUNTIF(Comparação!$H:$H,A1384)&gt;0,"sim",IF(AND(G1384="sim",H1384=""),"FALTA (obrigatória)","não"))</f>
        <v>não</v>
      </c>
    </row>
    <row r="1385" customFormat="false" ht="15" hidden="false" customHeight="false" outlineLevel="0" collapsed="false">
      <c r="A1385" s="7" t="str">
        <f aca="false">B1385&amp;"."&amp;E1385</f>
        <v>simulador_cenarios.workspace_id</v>
      </c>
      <c r="B1385" s="7" t="s">
        <v>237</v>
      </c>
      <c r="C1385" s="7" t="s">
        <v>115</v>
      </c>
      <c r="D1385" s="7" t="n">
        <v>2</v>
      </c>
      <c r="E1385" s="7" t="s">
        <v>274</v>
      </c>
      <c r="F1385" s="7" t="s">
        <v>272</v>
      </c>
      <c r="G1385" s="7" t="s">
        <v>262</v>
      </c>
      <c r="H1385" s="7"/>
      <c r="I1385" s="7"/>
      <c r="J1385" s="7" t="s">
        <v>275</v>
      </c>
      <c r="K1385" s="7"/>
      <c r="L1385" s="7" t="str">
        <f aca="false">IFERROR(VLOOKUP(IF(ISNUMBER(SEARCH("(",F1385)),LEFT(F1385,SEARCH("(",F1385)-1),F1385),Tipos!$A:$B,2,FALSE()),"outro")</f>
        <v>uuid</v>
      </c>
      <c r="M1385" s="7" t="str">
        <f aca="false">IF(COUNTIF(Comparação!$H:$H,A1385)&gt;0,"sim",IF(AND(G1385="sim",H1385=""),"FALTA (obrigatória)","não"))</f>
        <v>FALTA (obrigatória)</v>
      </c>
    </row>
    <row r="1386" customFormat="false" ht="15" hidden="false" customHeight="false" outlineLevel="0" collapsed="false">
      <c r="A1386" s="7" t="str">
        <f aca="false">B1386&amp;"."&amp;E1386</f>
        <v>simulador_cenarios.nome</v>
      </c>
      <c r="B1386" s="7" t="s">
        <v>237</v>
      </c>
      <c r="C1386" s="7" t="s">
        <v>115</v>
      </c>
      <c r="D1386" s="7" t="n">
        <v>3</v>
      </c>
      <c r="E1386" s="7" t="s">
        <v>265</v>
      </c>
      <c r="F1386" s="7" t="s">
        <v>261</v>
      </c>
      <c r="G1386" s="7" t="s">
        <v>262</v>
      </c>
      <c r="H1386" s="7"/>
      <c r="I1386" s="7"/>
      <c r="J1386" s="7"/>
      <c r="K1386" s="7"/>
      <c r="L1386" s="7" t="str">
        <f aca="false">IFERROR(VLOOKUP(IF(ISNUMBER(SEARCH("(",F1386)),LEFT(F1386,SEARCH("(",F1386)-1),F1386),Tipos!$A:$B,2,FALSE()),"outro")</f>
        <v>texto</v>
      </c>
      <c r="M1386" s="7" t="str">
        <f aca="false">IF(COUNTIF(Comparação!$H:$H,A1386)&gt;0,"sim",IF(AND(G1386="sim",H1386=""),"FALTA (obrigatória)","não"))</f>
        <v>FALTA (obrigatória)</v>
      </c>
    </row>
    <row r="1387" customFormat="false" ht="15" hidden="false" customHeight="false" outlineLevel="0" collapsed="false">
      <c r="A1387" s="7" t="str">
        <f aca="false">B1387&amp;"."&amp;E1387</f>
        <v>simulador_cenarios.dados</v>
      </c>
      <c r="B1387" s="7" t="s">
        <v>237</v>
      </c>
      <c r="C1387" s="7" t="s">
        <v>115</v>
      </c>
      <c r="D1387" s="7" t="n">
        <v>4</v>
      </c>
      <c r="E1387" s="7" t="s">
        <v>809</v>
      </c>
      <c r="F1387" s="7" t="s">
        <v>324</v>
      </c>
      <c r="G1387" s="7" t="s">
        <v>262</v>
      </c>
      <c r="H1387" s="7" t="s">
        <v>347</v>
      </c>
      <c r="I1387" s="7"/>
      <c r="J1387" s="7"/>
      <c r="K1387" s="7" t="s">
        <v>1167</v>
      </c>
      <c r="L1387" s="7" t="str">
        <f aca="false">IFERROR(VLOOKUP(IF(ISNUMBER(SEARCH("(",F1387)),LEFT(F1387,SEARCH("(",F1387)-1),F1387),Tipos!$A:$B,2,FALSE()),"outro")</f>
        <v>json</v>
      </c>
      <c r="M1387" s="7" t="str">
        <f aca="false">IF(COUNTIF(Comparação!$H:$H,A1387)&gt;0,"sim",IF(AND(G1387="sim",H1387=""),"FALTA (obrigatória)","não"))</f>
        <v>não</v>
      </c>
    </row>
    <row r="1388" customFormat="false" ht="15" hidden="false" customHeight="false" outlineLevel="0" collapsed="false">
      <c r="A1388" s="7" t="str">
        <f aca="false">B1388&amp;"."&amp;E1388</f>
        <v>simulador_cenarios.versao_formula</v>
      </c>
      <c r="B1388" s="7" t="s">
        <v>237</v>
      </c>
      <c r="C1388" s="7" t="s">
        <v>115</v>
      </c>
      <c r="D1388" s="7" t="n">
        <v>5</v>
      </c>
      <c r="E1388" s="7" t="s">
        <v>1168</v>
      </c>
      <c r="F1388" s="7" t="s">
        <v>261</v>
      </c>
      <c r="G1388" s="7" t="s">
        <v>262</v>
      </c>
      <c r="H1388" s="7" t="s">
        <v>1169</v>
      </c>
      <c r="I1388" s="7"/>
      <c r="J1388" s="7"/>
      <c r="K1388" s="7"/>
      <c r="L1388" s="7" t="str">
        <f aca="false">IFERROR(VLOOKUP(IF(ISNUMBER(SEARCH("(",F1388)),LEFT(F1388,SEARCH("(",F1388)-1),F1388),Tipos!$A:$B,2,FALSE()),"outro")</f>
        <v>texto</v>
      </c>
      <c r="M1388" s="7" t="str">
        <f aca="false">IF(COUNTIF(Comparação!$H:$H,A1388)&gt;0,"sim",IF(AND(G1388="sim",H1388=""),"FALTA (obrigatória)","não"))</f>
        <v>não</v>
      </c>
    </row>
    <row r="1389" customFormat="false" ht="15" hidden="false" customHeight="false" outlineLevel="0" collapsed="false">
      <c r="A1389" s="7" t="str">
        <f aca="false">B1389&amp;"."&amp;E1389</f>
        <v>simulador_cenarios.status</v>
      </c>
      <c r="B1389" s="7" t="s">
        <v>237</v>
      </c>
      <c r="C1389" s="7" t="s">
        <v>115</v>
      </c>
      <c r="D1389" s="7" t="n">
        <v>6</v>
      </c>
      <c r="E1389" s="7" t="s">
        <v>293</v>
      </c>
      <c r="F1389" s="7" t="s">
        <v>261</v>
      </c>
      <c r="G1389" s="7" t="s">
        <v>262</v>
      </c>
      <c r="H1389" s="7" t="s">
        <v>652</v>
      </c>
      <c r="I1389" s="7"/>
      <c r="J1389" s="7"/>
      <c r="K1389" s="7" t="s">
        <v>1170</v>
      </c>
      <c r="L1389" s="7" t="str">
        <f aca="false">IFERROR(VLOOKUP(IF(ISNUMBER(SEARCH("(",F1389)),LEFT(F1389,SEARCH("(",F1389)-1),F1389),Tipos!$A:$B,2,FALSE()),"outro")</f>
        <v>texto</v>
      </c>
      <c r="M1389" s="7" t="str">
        <f aca="false">IF(COUNTIF(Comparação!$H:$H,A1389)&gt;0,"sim",IF(AND(G1389="sim",H1389=""),"FALTA (obrigatória)","não"))</f>
        <v>não</v>
      </c>
    </row>
    <row r="1390" customFormat="false" ht="15" hidden="false" customHeight="false" outlineLevel="0" collapsed="false">
      <c r="A1390" s="7" t="str">
        <f aca="false">B1390&amp;"."&amp;E1390</f>
        <v>simulador_cenarios.criado_por</v>
      </c>
      <c r="B1390" s="7" t="s">
        <v>237</v>
      </c>
      <c r="C1390" s="7" t="s">
        <v>115</v>
      </c>
      <c r="D1390" s="7" t="n">
        <v>7</v>
      </c>
      <c r="E1390" s="7" t="s">
        <v>511</v>
      </c>
      <c r="F1390" s="7" t="s">
        <v>272</v>
      </c>
      <c r="G1390" s="7" t="s">
        <v>267</v>
      </c>
      <c r="H1390" s="7" t="s">
        <v>406</v>
      </c>
      <c r="I1390" s="7"/>
      <c r="J1390" s="7"/>
      <c r="K1390" s="7"/>
      <c r="L1390" s="7" t="str">
        <f aca="false">IFERROR(VLOOKUP(IF(ISNUMBER(SEARCH("(",F1390)),LEFT(F1390,SEARCH("(",F1390)-1),F1390),Tipos!$A:$B,2,FALSE()),"outro")</f>
        <v>uuid</v>
      </c>
      <c r="M1390" s="7" t="str">
        <f aca="false">IF(COUNTIF(Comparação!$H:$H,A1390)&gt;0,"sim",IF(AND(G1390="sim",H1390=""),"FALTA (obrigatória)","não"))</f>
        <v>não</v>
      </c>
    </row>
    <row r="1391" customFormat="false" ht="15" hidden="false" customHeight="false" outlineLevel="0" collapsed="false">
      <c r="A1391" s="7" t="str">
        <f aca="false">B1391&amp;"."&amp;E1391</f>
        <v>simulador_cenarios.criado_em</v>
      </c>
      <c r="B1391" s="7" t="s">
        <v>237</v>
      </c>
      <c r="C1391" s="7" t="s">
        <v>115</v>
      </c>
      <c r="D1391" s="7" t="n">
        <v>8</v>
      </c>
      <c r="E1391" s="7" t="s">
        <v>344</v>
      </c>
      <c r="F1391" s="7" t="s">
        <v>285</v>
      </c>
      <c r="G1391" s="7" t="s">
        <v>262</v>
      </c>
      <c r="H1391" s="7" t="s">
        <v>286</v>
      </c>
      <c r="I1391" s="7"/>
      <c r="J1391" s="7"/>
      <c r="K1391" s="7"/>
      <c r="L1391" s="7" t="str">
        <f aca="false">IFERROR(VLOOKUP(IF(ISNUMBER(SEARCH("(",F1391)),LEFT(F1391,SEARCH("(",F1391)-1),F1391),Tipos!$A:$B,2,FALSE()),"outro")</f>
        <v>data e hora</v>
      </c>
      <c r="M1391" s="7" t="str">
        <f aca="false">IF(COUNTIF(Comparação!$H:$H,A1391)&gt;0,"sim",IF(AND(G1391="sim",H1391=""),"FALTA (obrigatória)","não"))</f>
        <v>não</v>
      </c>
    </row>
    <row r="1392" customFormat="false" ht="15" hidden="false" customHeight="false" outlineLevel="0" collapsed="false">
      <c r="A1392" s="7" t="str">
        <f aca="false">B1392&amp;"."&amp;E1392</f>
        <v>simulador_cenarios.atualizado_em</v>
      </c>
      <c r="B1392" s="7" t="s">
        <v>237</v>
      </c>
      <c r="C1392" s="7" t="s">
        <v>115</v>
      </c>
      <c r="D1392" s="7" t="n">
        <v>9</v>
      </c>
      <c r="E1392" s="7" t="s">
        <v>335</v>
      </c>
      <c r="F1392" s="7" t="s">
        <v>285</v>
      </c>
      <c r="G1392" s="7" t="s">
        <v>262</v>
      </c>
      <c r="H1392" s="7" t="s">
        <v>286</v>
      </c>
      <c r="I1392" s="7"/>
      <c r="J1392" s="7"/>
      <c r="K1392" s="7"/>
      <c r="L1392" s="7" t="str">
        <f aca="false">IFERROR(VLOOKUP(IF(ISNUMBER(SEARCH("(",F1392)),LEFT(F1392,SEARCH("(",F1392)-1),F1392),Tipos!$A:$B,2,FALSE()),"outro")</f>
        <v>data e hora</v>
      </c>
      <c r="M1392" s="7" t="str">
        <f aca="false">IF(COUNTIF(Comparação!$H:$H,A1392)&gt;0,"sim",IF(AND(G1392="sim",H1392=""),"FALTA (obrigatória)","não"))</f>
        <v>não</v>
      </c>
    </row>
    <row r="1393" customFormat="false" ht="15" hidden="false" customHeight="false" outlineLevel="0" collapsed="false">
      <c r="A1393" s="7" t="str">
        <f aca="false">B1393&amp;"."&amp;E1393</f>
        <v>simulador_snapshots.id</v>
      </c>
      <c r="B1393" s="7" t="s">
        <v>238</v>
      </c>
      <c r="C1393" s="7" t="s">
        <v>115</v>
      </c>
      <c r="D1393" s="7" t="n">
        <v>1</v>
      </c>
      <c r="E1393" s="7" t="s">
        <v>271</v>
      </c>
      <c r="F1393" s="7" t="s">
        <v>272</v>
      </c>
      <c r="G1393" s="7" t="s">
        <v>262</v>
      </c>
      <c r="H1393" s="7" t="s">
        <v>273</v>
      </c>
      <c r="I1393" s="7" t="s">
        <v>263</v>
      </c>
      <c r="J1393" s="7"/>
      <c r="K1393" s="7"/>
      <c r="L1393" s="7" t="str">
        <f aca="false">IFERROR(VLOOKUP(IF(ISNUMBER(SEARCH("(",F1393)),LEFT(F1393,SEARCH("(",F1393)-1),F1393),Tipos!$A:$B,2,FALSE()),"outro")</f>
        <v>uuid</v>
      </c>
      <c r="M1393" s="7" t="str">
        <f aca="false">IF(COUNTIF(Comparação!$H:$H,A1393)&gt;0,"sim",IF(AND(G1393="sim",H1393=""),"FALTA (obrigatória)","não"))</f>
        <v>não</v>
      </c>
    </row>
    <row r="1394" customFormat="false" ht="15" hidden="false" customHeight="false" outlineLevel="0" collapsed="false">
      <c r="A1394" s="7" t="str">
        <f aca="false">B1394&amp;"."&amp;E1394</f>
        <v>simulador_snapshots.workspace_id</v>
      </c>
      <c r="B1394" s="7" t="s">
        <v>238</v>
      </c>
      <c r="C1394" s="7" t="s">
        <v>115</v>
      </c>
      <c r="D1394" s="7" t="n">
        <v>2</v>
      </c>
      <c r="E1394" s="7" t="s">
        <v>274</v>
      </c>
      <c r="F1394" s="7" t="s">
        <v>272</v>
      </c>
      <c r="G1394" s="7" t="s">
        <v>262</v>
      </c>
      <c r="H1394" s="7"/>
      <c r="I1394" s="7"/>
      <c r="J1394" s="7" t="s">
        <v>275</v>
      </c>
      <c r="K1394" s="7"/>
      <c r="L1394" s="7" t="str">
        <f aca="false">IFERROR(VLOOKUP(IF(ISNUMBER(SEARCH("(",F1394)),LEFT(F1394,SEARCH("(",F1394)-1),F1394),Tipos!$A:$B,2,FALSE()),"outro")</f>
        <v>uuid</v>
      </c>
      <c r="M1394" s="7" t="str">
        <f aca="false">IF(COUNTIF(Comparação!$H:$H,A1394)&gt;0,"sim",IF(AND(G1394="sim",H1394=""),"FALTA (obrigatória)","não"))</f>
        <v>FALTA (obrigatória)</v>
      </c>
    </row>
    <row r="1395" customFormat="false" ht="15" hidden="false" customHeight="false" outlineLevel="0" collapsed="false">
      <c r="A1395" s="7" t="str">
        <f aca="false">B1395&amp;"."&amp;E1395</f>
        <v>simulador_snapshots.cenario_id</v>
      </c>
      <c r="B1395" s="7" t="s">
        <v>238</v>
      </c>
      <c r="C1395" s="7" t="s">
        <v>115</v>
      </c>
      <c r="D1395" s="7" t="n">
        <v>3</v>
      </c>
      <c r="E1395" s="7" t="s">
        <v>785</v>
      </c>
      <c r="F1395" s="7" t="s">
        <v>272</v>
      </c>
      <c r="G1395" s="7" t="s">
        <v>262</v>
      </c>
      <c r="H1395" s="7"/>
      <c r="I1395" s="7"/>
      <c r="J1395" s="7" t="s">
        <v>764</v>
      </c>
      <c r="K1395" s="7"/>
      <c r="L1395" s="7" t="str">
        <f aca="false">IFERROR(VLOOKUP(IF(ISNUMBER(SEARCH("(",F1395)),LEFT(F1395,SEARCH("(",F1395)-1),F1395),Tipos!$A:$B,2,FALSE()),"outro")</f>
        <v>uuid</v>
      </c>
      <c r="M1395" s="7" t="str">
        <f aca="false">IF(COUNTIF(Comparação!$H:$H,A1395)&gt;0,"sim",IF(AND(G1395="sim",H1395=""),"FALTA (obrigatória)","não"))</f>
        <v>FALTA (obrigatória)</v>
      </c>
    </row>
    <row r="1396" customFormat="false" ht="15" hidden="false" customHeight="false" outlineLevel="0" collapsed="false">
      <c r="A1396" s="7" t="str">
        <f aca="false">B1396&amp;"."&amp;E1396</f>
        <v>simulador_snapshots.nome</v>
      </c>
      <c r="B1396" s="7" t="s">
        <v>238</v>
      </c>
      <c r="C1396" s="7" t="s">
        <v>115</v>
      </c>
      <c r="D1396" s="7" t="n">
        <v>4</v>
      </c>
      <c r="E1396" s="7" t="s">
        <v>265</v>
      </c>
      <c r="F1396" s="7" t="s">
        <v>261</v>
      </c>
      <c r="G1396" s="7" t="s">
        <v>262</v>
      </c>
      <c r="H1396" s="7"/>
      <c r="I1396" s="7"/>
      <c r="J1396" s="7"/>
      <c r="K1396" s="7"/>
      <c r="L1396" s="7" t="str">
        <f aca="false">IFERROR(VLOOKUP(IF(ISNUMBER(SEARCH("(",F1396)),LEFT(F1396,SEARCH("(",F1396)-1),F1396),Tipos!$A:$B,2,FALSE()),"outro")</f>
        <v>texto</v>
      </c>
      <c r="M1396" s="7" t="str">
        <f aca="false">IF(COUNTIF(Comparação!$H:$H,A1396)&gt;0,"sim",IF(AND(G1396="sim",H1396=""),"FALTA (obrigatória)","não"))</f>
        <v>FALTA (obrigatória)</v>
      </c>
    </row>
    <row r="1397" customFormat="false" ht="15" hidden="false" customHeight="false" outlineLevel="0" collapsed="false">
      <c r="A1397" s="7" t="str">
        <f aca="false">B1397&amp;"."&amp;E1397</f>
        <v>simulador_snapshots.versao_formula</v>
      </c>
      <c r="B1397" s="7" t="s">
        <v>238</v>
      </c>
      <c r="C1397" s="7" t="s">
        <v>115</v>
      </c>
      <c r="D1397" s="7" t="n">
        <v>5</v>
      </c>
      <c r="E1397" s="7" t="s">
        <v>1168</v>
      </c>
      <c r="F1397" s="7" t="s">
        <v>261</v>
      </c>
      <c r="G1397" s="7" t="s">
        <v>262</v>
      </c>
      <c r="H1397" s="7"/>
      <c r="I1397" s="7"/>
      <c r="J1397" s="7"/>
      <c r="K1397" s="7"/>
      <c r="L1397" s="7" t="str">
        <f aca="false">IFERROR(VLOOKUP(IF(ISNUMBER(SEARCH("(",F1397)),LEFT(F1397,SEARCH("(",F1397)-1),F1397),Tipos!$A:$B,2,FALSE()),"outro")</f>
        <v>texto</v>
      </c>
      <c r="M1397" s="7" t="str">
        <f aca="false">IF(COUNTIF(Comparação!$H:$H,A1397)&gt;0,"sim",IF(AND(G1397="sim",H1397=""),"FALTA (obrigatória)","não"))</f>
        <v>FALTA (obrigatória)</v>
      </c>
    </row>
    <row r="1398" customFormat="false" ht="15" hidden="false" customHeight="false" outlineLevel="0" collapsed="false">
      <c r="A1398" s="7" t="str">
        <f aca="false">B1398&amp;"."&amp;E1398</f>
        <v>simulador_snapshots.premissas</v>
      </c>
      <c r="B1398" s="7" t="s">
        <v>238</v>
      </c>
      <c r="C1398" s="7" t="s">
        <v>115</v>
      </c>
      <c r="D1398" s="7" t="n">
        <v>6</v>
      </c>
      <c r="E1398" s="7" t="s">
        <v>346</v>
      </c>
      <c r="F1398" s="7" t="s">
        <v>324</v>
      </c>
      <c r="G1398" s="7" t="s">
        <v>262</v>
      </c>
      <c r="H1398" s="7"/>
      <c r="I1398" s="7"/>
      <c r="J1398" s="7"/>
      <c r="K1398" s="7" t="s">
        <v>348</v>
      </c>
      <c r="L1398" s="7" t="str">
        <f aca="false">IFERROR(VLOOKUP(IF(ISNUMBER(SEARCH("(",F1398)),LEFT(F1398,SEARCH("(",F1398)-1),F1398),Tipos!$A:$B,2,FALSE()),"outro")</f>
        <v>json</v>
      </c>
      <c r="M1398" s="7" t="str">
        <f aca="false">IF(COUNTIF(Comparação!$H:$H,A1398)&gt;0,"sim",IF(AND(G1398="sim",H1398=""),"FALTA (obrigatória)","não"))</f>
        <v>FALTA (obrigatória)</v>
      </c>
    </row>
    <row r="1399" customFormat="false" ht="15" hidden="false" customHeight="false" outlineLevel="0" collapsed="false">
      <c r="A1399" s="7" t="str">
        <f aca="false">B1399&amp;"."&amp;E1399</f>
        <v>simulador_snapshots.metricas</v>
      </c>
      <c r="B1399" s="7" t="s">
        <v>238</v>
      </c>
      <c r="C1399" s="7" t="s">
        <v>115</v>
      </c>
      <c r="D1399" s="7" t="n">
        <v>7</v>
      </c>
      <c r="E1399" s="7" t="s">
        <v>1171</v>
      </c>
      <c r="F1399" s="7" t="s">
        <v>324</v>
      </c>
      <c r="G1399" s="7" t="s">
        <v>262</v>
      </c>
      <c r="H1399" s="7"/>
      <c r="I1399" s="7"/>
      <c r="J1399" s="7"/>
      <c r="K1399" s="7" t="s">
        <v>1172</v>
      </c>
      <c r="L1399" s="7" t="str">
        <f aca="false">IFERROR(VLOOKUP(IF(ISNUMBER(SEARCH("(",F1399)),LEFT(F1399,SEARCH("(",F1399)-1),F1399),Tipos!$A:$B,2,FALSE()),"outro")</f>
        <v>json</v>
      </c>
      <c r="M1399" s="7" t="str">
        <f aca="false">IF(COUNTIF(Comparação!$H:$H,A1399)&gt;0,"sim",IF(AND(G1399="sim",H1399=""),"FALTA (obrigatória)","não"))</f>
        <v>FALTA (obrigatória)</v>
      </c>
    </row>
    <row r="1400" customFormat="false" ht="15" hidden="false" customHeight="false" outlineLevel="0" collapsed="false">
      <c r="A1400" s="7" t="str">
        <f aca="false">B1400&amp;"."&amp;E1400</f>
        <v>simulador_snapshots.calculado_em</v>
      </c>
      <c r="B1400" s="7" t="s">
        <v>238</v>
      </c>
      <c r="C1400" s="7" t="s">
        <v>115</v>
      </c>
      <c r="D1400" s="7" t="n">
        <v>8</v>
      </c>
      <c r="E1400" s="7" t="s">
        <v>1173</v>
      </c>
      <c r="F1400" s="7" t="s">
        <v>285</v>
      </c>
      <c r="G1400" s="7" t="s">
        <v>262</v>
      </c>
      <c r="H1400" s="7" t="s">
        <v>286</v>
      </c>
      <c r="I1400" s="7"/>
      <c r="J1400" s="7"/>
      <c r="K1400" s="7"/>
      <c r="L1400" s="7" t="str">
        <f aca="false">IFERROR(VLOOKUP(IF(ISNUMBER(SEARCH("(",F1400)),LEFT(F1400,SEARCH("(",F1400)-1),F1400),Tipos!$A:$B,2,FALSE()),"outro")</f>
        <v>data e hora</v>
      </c>
      <c r="M1400" s="7" t="str">
        <f aca="false">IF(COUNTIF(Comparação!$H:$H,A1400)&gt;0,"sim",IF(AND(G1400="sim",H1400=""),"FALTA (obrigatória)","não"))</f>
        <v>não</v>
      </c>
    </row>
    <row r="1401" customFormat="false" ht="15" hidden="false" customHeight="false" outlineLevel="0" collapsed="false">
      <c r="A1401" s="7" t="str">
        <f aca="false">B1401&amp;"."&amp;E1401</f>
        <v>simulador_snapshots.criado_por</v>
      </c>
      <c r="B1401" s="7" t="s">
        <v>238</v>
      </c>
      <c r="C1401" s="7" t="s">
        <v>115</v>
      </c>
      <c r="D1401" s="7" t="n">
        <v>9</v>
      </c>
      <c r="E1401" s="7" t="s">
        <v>511</v>
      </c>
      <c r="F1401" s="7" t="s">
        <v>272</v>
      </c>
      <c r="G1401" s="7" t="s">
        <v>267</v>
      </c>
      <c r="H1401" s="7" t="s">
        <v>406</v>
      </c>
      <c r="I1401" s="7"/>
      <c r="J1401" s="7"/>
      <c r="K1401" s="7"/>
      <c r="L1401" s="7" t="str">
        <f aca="false">IFERROR(VLOOKUP(IF(ISNUMBER(SEARCH("(",F1401)),LEFT(F1401,SEARCH("(",F1401)-1),F1401),Tipos!$A:$B,2,FALSE()),"outro")</f>
        <v>uuid</v>
      </c>
      <c r="M1401" s="7" t="str">
        <f aca="false">IF(COUNTIF(Comparação!$H:$H,A1401)&gt;0,"sim",IF(AND(G1401="sim",H1401=""),"FALTA (obrigatória)","não"))</f>
        <v>não</v>
      </c>
    </row>
    <row r="1402" customFormat="false" ht="15" hidden="false" customHeight="false" outlineLevel="0" collapsed="false">
      <c r="A1402" s="7" t="str">
        <f aca="false">B1402&amp;"."&amp;E1402</f>
        <v>transferencias_casa.id</v>
      </c>
      <c r="B1402" s="7" t="s">
        <v>239</v>
      </c>
      <c r="C1402" s="7" t="s">
        <v>69</v>
      </c>
      <c r="D1402" s="7" t="n">
        <v>1</v>
      </c>
      <c r="E1402" s="7" t="s">
        <v>271</v>
      </c>
      <c r="F1402" s="7" t="s">
        <v>272</v>
      </c>
      <c r="G1402" s="7" t="s">
        <v>262</v>
      </c>
      <c r="H1402" s="7" t="s">
        <v>273</v>
      </c>
      <c r="I1402" s="7" t="s">
        <v>263</v>
      </c>
      <c r="J1402" s="7"/>
      <c r="K1402" s="7"/>
      <c r="L1402" s="7" t="str">
        <f aca="false">IFERROR(VLOOKUP(IF(ISNUMBER(SEARCH("(",F1402)),LEFT(F1402,SEARCH("(",F1402)-1),F1402),Tipos!$A:$B,2,FALSE()),"outro")</f>
        <v>uuid</v>
      </c>
      <c r="M1402" s="7" t="str">
        <f aca="false">IF(COUNTIF(Comparação!$H:$H,A1402)&gt;0,"sim",IF(AND(G1402="sim",H1402=""),"FALTA (obrigatória)","não"))</f>
        <v>não</v>
      </c>
    </row>
    <row r="1403" customFormat="false" ht="15" hidden="false" customHeight="false" outlineLevel="0" collapsed="false">
      <c r="A1403" s="7" t="str">
        <f aca="false">B1403&amp;"."&amp;E1403</f>
        <v>transferencias_casa.ws_origem</v>
      </c>
      <c r="B1403" s="7" t="s">
        <v>239</v>
      </c>
      <c r="C1403" s="7" t="s">
        <v>69</v>
      </c>
      <c r="D1403" s="7" t="n">
        <v>2</v>
      </c>
      <c r="E1403" s="7" t="s">
        <v>1174</v>
      </c>
      <c r="F1403" s="7" t="s">
        <v>272</v>
      </c>
      <c r="G1403" s="7" t="s">
        <v>262</v>
      </c>
      <c r="H1403" s="7"/>
      <c r="I1403" s="7"/>
      <c r="J1403" s="7" t="s">
        <v>275</v>
      </c>
      <c r="K1403" s="7"/>
      <c r="L1403" s="7" t="str">
        <f aca="false">IFERROR(VLOOKUP(IF(ISNUMBER(SEARCH("(",F1403)),LEFT(F1403,SEARCH("(",F1403)-1),F1403),Tipos!$A:$B,2,FALSE()),"outro")</f>
        <v>uuid</v>
      </c>
      <c r="M1403" s="7" t="str">
        <f aca="false">IF(COUNTIF(Comparação!$H:$H,A1403)&gt;0,"sim",IF(AND(G1403="sim",H1403=""),"FALTA (obrigatória)","não"))</f>
        <v>FALTA (obrigatória)</v>
      </c>
    </row>
    <row r="1404" customFormat="false" ht="15" hidden="false" customHeight="false" outlineLevel="0" collapsed="false">
      <c r="A1404" s="7" t="str">
        <f aca="false">B1404&amp;"."&amp;E1404</f>
        <v>transferencias_casa.ws_casa</v>
      </c>
      <c r="B1404" s="7" t="s">
        <v>239</v>
      </c>
      <c r="C1404" s="7" t="s">
        <v>69</v>
      </c>
      <c r="D1404" s="7" t="n">
        <v>3</v>
      </c>
      <c r="E1404" s="7" t="s">
        <v>1175</v>
      </c>
      <c r="F1404" s="7" t="s">
        <v>272</v>
      </c>
      <c r="G1404" s="7" t="s">
        <v>262</v>
      </c>
      <c r="H1404" s="7"/>
      <c r="I1404" s="7"/>
      <c r="J1404" s="7" t="s">
        <v>275</v>
      </c>
      <c r="K1404" s="7"/>
      <c r="L1404" s="7" t="str">
        <f aca="false">IFERROR(VLOOKUP(IF(ISNUMBER(SEARCH("(",F1404)),LEFT(F1404,SEARCH("(",F1404)-1),F1404),Tipos!$A:$B,2,FALSE()),"outro")</f>
        <v>uuid</v>
      </c>
      <c r="M1404" s="7" t="str">
        <f aca="false">IF(COUNTIF(Comparação!$H:$H,A1404)&gt;0,"sim",IF(AND(G1404="sim",H1404=""),"FALTA (obrigatória)","não"))</f>
        <v>FALTA (obrigatória)</v>
      </c>
    </row>
    <row r="1405" customFormat="false" ht="15" hidden="false" customHeight="false" outlineLevel="0" collapsed="false">
      <c r="A1405" s="7" t="str">
        <f aca="false">B1405&amp;"."&amp;E1405</f>
        <v>transferencias_casa.data</v>
      </c>
      <c r="B1405" s="7" t="s">
        <v>239</v>
      </c>
      <c r="C1405" s="7" t="s">
        <v>69</v>
      </c>
      <c r="D1405" s="7" t="n">
        <v>4</v>
      </c>
      <c r="E1405" s="7" t="s">
        <v>378</v>
      </c>
      <c r="F1405" s="7" t="s">
        <v>379</v>
      </c>
      <c r="G1405" s="7" t="s">
        <v>262</v>
      </c>
      <c r="H1405" s="7"/>
      <c r="I1405" s="7"/>
      <c r="J1405" s="7"/>
      <c r="K1405" s="7"/>
      <c r="L1405" s="7" t="str">
        <f aca="false">IFERROR(VLOOKUP(IF(ISNUMBER(SEARCH("(",F1405)),LEFT(F1405,SEARCH("(",F1405)-1),F1405),Tipos!$A:$B,2,FALSE()),"outro")</f>
        <v>data</v>
      </c>
      <c r="M1405" s="7" t="str">
        <f aca="false">IF(COUNTIF(Comparação!$H:$H,A1405)&gt;0,"sim",IF(AND(G1405="sim",H1405=""),"FALTA (obrigatória)","não"))</f>
        <v>FALTA (obrigatória)</v>
      </c>
    </row>
    <row r="1406" customFormat="false" ht="15" hidden="false" customHeight="false" outlineLevel="0" collapsed="false">
      <c r="A1406" s="7" t="str">
        <f aca="false">B1406&amp;"."&amp;E1406</f>
        <v>transferencias_casa.valor</v>
      </c>
      <c r="B1406" s="7" t="s">
        <v>239</v>
      </c>
      <c r="C1406" s="7" t="s">
        <v>69</v>
      </c>
      <c r="D1406" s="7" t="n">
        <v>5</v>
      </c>
      <c r="E1406" s="7" t="s">
        <v>330</v>
      </c>
      <c r="F1406" s="7" t="s">
        <v>380</v>
      </c>
      <c r="G1406" s="7" t="s">
        <v>262</v>
      </c>
      <c r="H1406" s="7"/>
      <c r="I1406" s="7"/>
      <c r="J1406" s="7"/>
      <c r="K1406" s="7" t="s">
        <v>529</v>
      </c>
      <c r="L1406" s="7" t="str">
        <f aca="false">IFERROR(VLOOKUP(IF(ISNUMBER(SEARCH("(",F1406)),LEFT(F1406,SEARCH("(",F1406)-1),F1406),Tipos!$A:$B,2,FALSE()),"outro")</f>
        <v>decimal</v>
      </c>
      <c r="M1406" s="7" t="str">
        <f aca="false">IF(COUNTIF(Comparação!$H:$H,A1406)&gt;0,"sim",IF(AND(G1406="sim",H1406=""),"FALTA (obrigatória)","não"))</f>
        <v>FALTA (obrigatória)</v>
      </c>
    </row>
    <row r="1407" customFormat="false" ht="15" hidden="false" customHeight="false" outlineLevel="0" collapsed="false">
      <c r="A1407" s="7" t="str">
        <f aca="false">B1407&amp;"."&amp;E1407</f>
        <v>transferencias_casa.descricao</v>
      </c>
      <c r="B1407" s="7" t="s">
        <v>239</v>
      </c>
      <c r="C1407" s="7" t="s">
        <v>69</v>
      </c>
      <c r="D1407" s="7" t="n">
        <v>6</v>
      </c>
      <c r="E1407" s="7" t="s">
        <v>427</v>
      </c>
      <c r="F1407" s="7" t="s">
        <v>261</v>
      </c>
      <c r="G1407" s="7" t="s">
        <v>262</v>
      </c>
      <c r="H1407" s="7"/>
      <c r="I1407" s="7"/>
      <c r="J1407" s="7"/>
      <c r="K1407" s="7"/>
      <c r="L1407" s="7" t="str">
        <f aca="false">IFERROR(VLOOKUP(IF(ISNUMBER(SEARCH("(",F1407)),LEFT(F1407,SEARCH("(",F1407)-1),F1407),Tipos!$A:$B,2,FALSE()),"outro")</f>
        <v>texto</v>
      </c>
      <c r="M1407" s="7" t="str">
        <f aca="false">IF(COUNTIF(Comparação!$H:$H,A1407)&gt;0,"sim",IF(AND(G1407="sim",H1407=""),"FALTA (obrigatória)","não"))</f>
        <v>FALTA (obrigatória)</v>
      </c>
    </row>
    <row r="1408" customFormat="false" ht="15" hidden="false" customHeight="false" outlineLevel="0" collapsed="false">
      <c r="A1408" s="7" t="str">
        <f aca="false">B1408&amp;"."&amp;E1408</f>
        <v>transferencias_casa.conta_pagar_id</v>
      </c>
      <c r="B1408" s="7" t="s">
        <v>239</v>
      </c>
      <c r="C1408" s="7" t="s">
        <v>69</v>
      </c>
      <c r="D1408" s="7" t="n">
        <v>7</v>
      </c>
      <c r="E1408" s="7" t="s">
        <v>1176</v>
      </c>
      <c r="F1408" s="7" t="s">
        <v>272</v>
      </c>
      <c r="G1408" s="7" t="s">
        <v>267</v>
      </c>
      <c r="H1408" s="7"/>
      <c r="I1408" s="7"/>
      <c r="J1408" s="7" t="s">
        <v>547</v>
      </c>
      <c r="K1408" s="7"/>
      <c r="L1408" s="7" t="str">
        <f aca="false">IFERROR(VLOOKUP(IF(ISNUMBER(SEARCH("(",F1408)),LEFT(F1408,SEARCH("(",F1408)-1),F1408),Tipos!$A:$B,2,FALSE()),"outro")</f>
        <v>uuid</v>
      </c>
      <c r="M1408" s="7" t="str">
        <f aca="false">IF(COUNTIF(Comparação!$H:$H,A1408)&gt;0,"sim",IF(AND(G1408="sim",H1408=""),"FALTA (obrigatória)","não"))</f>
        <v>não</v>
      </c>
    </row>
    <row r="1409" customFormat="false" ht="15" hidden="false" customHeight="false" outlineLevel="0" collapsed="false">
      <c r="A1409" s="7" t="str">
        <f aca="false">B1409&amp;"."&amp;E1409</f>
        <v>transferencias_casa.lancamento_origem</v>
      </c>
      <c r="B1409" s="7" t="s">
        <v>239</v>
      </c>
      <c r="C1409" s="7" t="s">
        <v>69</v>
      </c>
      <c r="D1409" s="7" t="n">
        <v>8</v>
      </c>
      <c r="E1409" s="7" t="s">
        <v>1177</v>
      </c>
      <c r="F1409" s="7" t="s">
        <v>272</v>
      </c>
      <c r="G1409" s="7" t="s">
        <v>267</v>
      </c>
      <c r="H1409" s="7"/>
      <c r="I1409" s="7"/>
      <c r="J1409" s="7" t="s">
        <v>713</v>
      </c>
      <c r="K1409" s="7"/>
      <c r="L1409" s="7" t="str">
        <f aca="false">IFERROR(VLOOKUP(IF(ISNUMBER(SEARCH("(",F1409)),LEFT(F1409,SEARCH("(",F1409)-1),F1409),Tipos!$A:$B,2,FALSE()),"outro")</f>
        <v>uuid</v>
      </c>
      <c r="M1409" s="7" t="str">
        <f aca="false">IF(COUNTIF(Comparação!$H:$H,A1409)&gt;0,"sim",IF(AND(G1409="sim",H1409=""),"FALTA (obrigatória)","não"))</f>
        <v>não</v>
      </c>
    </row>
    <row r="1410" customFormat="false" ht="15" hidden="false" customHeight="false" outlineLevel="0" collapsed="false">
      <c r="A1410" s="7" t="str">
        <f aca="false">B1410&amp;"."&amp;E1410</f>
        <v>transferencias_casa.conta_receber_casa</v>
      </c>
      <c r="B1410" s="7" t="s">
        <v>239</v>
      </c>
      <c r="C1410" s="7" t="s">
        <v>69</v>
      </c>
      <c r="D1410" s="7" t="n">
        <v>9</v>
      </c>
      <c r="E1410" s="7" t="s">
        <v>1178</v>
      </c>
      <c r="F1410" s="7" t="s">
        <v>272</v>
      </c>
      <c r="G1410" s="7" t="s">
        <v>267</v>
      </c>
      <c r="H1410" s="7"/>
      <c r="I1410" s="7"/>
      <c r="J1410" s="7" t="s">
        <v>554</v>
      </c>
      <c r="K1410" s="7"/>
      <c r="L1410" s="7" t="str">
        <f aca="false">IFERROR(VLOOKUP(IF(ISNUMBER(SEARCH("(",F1410)),LEFT(F1410,SEARCH("(",F1410)-1),F1410),Tipos!$A:$B,2,FALSE()),"outro")</f>
        <v>uuid</v>
      </c>
      <c r="M1410" s="7" t="str">
        <f aca="false">IF(COUNTIF(Comparação!$H:$H,A1410)&gt;0,"sim",IF(AND(G1410="sim",H1410=""),"FALTA (obrigatória)","não"))</f>
        <v>não</v>
      </c>
    </row>
    <row r="1411" customFormat="false" ht="15" hidden="false" customHeight="false" outlineLevel="0" collapsed="false">
      <c r="A1411" s="7" t="str">
        <f aca="false">B1411&amp;"."&amp;E1411</f>
        <v>transferencias_casa.desfeita_em</v>
      </c>
      <c r="B1411" s="7" t="s">
        <v>239</v>
      </c>
      <c r="C1411" s="7" t="s">
        <v>69</v>
      </c>
      <c r="D1411" s="7" t="n">
        <v>10</v>
      </c>
      <c r="E1411" s="7" t="s">
        <v>1179</v>
      </c>
      <c r="F1411" s="7" t="s">
        <v>285</v>
      </c>
      <c r="G1411" s="7" t="s">
        <v>267</v>
      </c>
      <c r="H1411" s="7"/>
      <c r="I1411" s="7"/>
      <c r="J1411" s="7"/>
      <c r="K1411" s="7"/>
      <c r="L1411" s="7" t="str">
        <f aca="false">IFERROR(VLOOKUP(IF(ISNUMBER(SEARCH("(",F1411)),LEFT(F1411,SEARCH("(",F1411)-1),F1411),Tipos!$A:$B,2,FALSE()),"outro")</f>
        <v>data e hora</v>
      </c>
      <c r="M1411" s="7" t="str">
        <f aca="false">IF(COUNTIF(Comparação!$H:$H,A1411)&gt;0,"sim",IF(AND(G1411="sim",H1411=""),"FALTA (obrigatória)","não"))</f>
        <v>não</v>
      </c>
    </row>
    <row r="1412" customFormat="false" ht="15" hidden="false" customHeight="false" outlineLevel="0" collapsed="false">
      <c r="A1412" s="7" t="str">
        <f aca="false">B1412&amp;"."&amp;E1412</f>
        <v>transferencias_casa.criado_por</v>
      </c>
      <c r="B1412" s="7" t="s">
        <v>239</v>
      </c>
      <c r="C1412" s="7" t="s">
        <v>69</v>
      </c>
      <c r="D1412" s="7" t="n">
        <v>11</v>
      </c>
      <c r="E1412" s="7" t="s">
        <v>511</v>
      </c>
      <c r="F1412" s="7" t="s">
        <v>272</v>
      </c>
      <c r="G1412" s="7" t="s">
        <v>267</v>
      </c>
      <c r="H1412" s="7" t="s">
        <v>406</v>
      </c>
      <c r="I1412" s="7"/>
      <c r="J1412" s="7"/>
      <c r="K1412" s="7"/>
      <c r="L1412" s="7" t="str">
        <f aca="false">IFERROR(VLOOKUP(IF(ISNUMBER(SEARCH("(",F1412)),LEFT(F1412,SEARCH("(",F1412)-1),F1412),Tipos!$A:$B,2,FALSE()),"outro")</f>
        <v>uuid</v>
      </c>
      <c r="M1412" s="7" t="str">
        <f aca="false">IF(COUNTIF(Comparação!$H:$H,A1412)&gt;0,"sim",IF(AND(G1412="sim",H1412=""),"FALTA (obrigatória)","não"))</f>
        <v>não</v>
      </c>
    </row>
    <row r="1413" customFormat="false" ht="15" hidden="false" customHeight="false" outlineLevel="0" collapsed="false">
      <c r="A1413" s="7" t="str">
        <f aca="false">B1413&amp;"."&amp;E1413</f>
        <v>transferencias_casa.criado_em</v>
      </c>
      <c r="B1413" s="7" t="s">
        <v>239</v>
      </c>
      <c r="C1413" s="7" t="s">
        <v>69</v>
      </c>
      <c r="D1413" s="7" t="n">
        <v>12</v>
      </c>
      <c r="E1413" s="7" t="s">
        <v>344</v>
      </c>
      <c r="F1413" s="7" t="s">
        <v>285</v>
      </c>
      <c r="G1413" s="7" t="s">
        <v>262</v>
      </c>
      <c r="H1413" s="7" t="s">
        <v>286</v>
      </c>
      <c r="I1413" s="7"/>
      <c r="J1413" s="7"/>
      <c r="K1413" s="7"/>
      <c r="L1413" s="7" t="str">
        <f aca="false">IFERROR(VLOOKUP(IF(ISNUMBER(SEARCH("(",F1413)),LEFT(F1413,SEARCH("(",F1413)-1),F1413),Tipos!$A:$B,2,FALSE()),"outro")</f>
        <v>data e hora</v>
      </c>
      <c r="M1413" s="7" t="str">
        <f aca="false">IF(COUNTIF(Comparação!$H:$H,A1413)&gt;0,"sim",IF(AND(G1413="sim",H1413=""),"FALTA (obrigatória)","não"))</f>
        <v>não</v>
      </c>
    </row>
    <row r="1414" customFormat="false" ht="15" hidden="false" customHeight="false" outlineLevel="0" collapsed="false">
      <c r="A1414" s="7" t="str">
        <f aca="false">B1414&amp;"."&amp;E1414</f>
        <v>uso_eventos.id</v>
      </c>
      <c r="B1414" s="7" t="s">
        <v>241</v>
      </c>
      <c r="C1414" s="7" t="s">
        <v>24</v>
      </c>
      <c r="D1414" s="7" t="n">
        <v>1</v>
      </c>
      <c r="E1414" s="7" t="s">
        <v>271</v>
      </c>
      <c r="F1414" s="7" t="s">
        <v>315</v>
      </c>
      <c r="G1414" s="7" t="s">
        <v>262</v>
      </c>
      <c r="H1414" s="7"/>
      <c r="I1414" s="7" t="s">
        <v>263</v>
      </c>
      <c r="J1414" s="7"/>
      <c r="K1414" s="7"/>
      <c r="L1414" s="7" t="str">
        <f aca="false">IFERROR(VLOOKUP(IF(ISNUMBER(SEARCH("(",F1414)),LEFT(F1414,SEARCH("(",F1414)-1),F1414),Tipos!$A:$B,2,FALSE()),"outro")</f>
        <v>inteiro</v>
      </c>
      <c r="M1414" s="7" t="str">
        <f aca="false">IF(COUNTIF(Comparação!$H:$H,A1414)&gt;0,"sim",IF(AND(G1414="sim",H1414=""),"FALTA (obrigatória)","não"))</f>
        <v>FALTA (obrigatória)</v>
      </c>
    </row>
    <row r="1415" customFormat="false" ht="15" hidden="false" customHeight="false" outlineLevel="0" collapsed="false">
      <c r="A1415" s="7" t="str">
        <f aca="false">B1415&amp;"."&amp;E1415</f>
        <v>uso_eventos.workspace_id</v>
      </c>
      <c r="B1415" s="7" t="s">
        <v>241</v>
      </c>
      <c r="C1415" s="7" t="s">
        <v>24</v>
      </c>
      <c r="D1415" s="7" t="n">
        <v>2</v>
      </c>
      <c r="E1415" s="7" t="s">
        <v>274</v>
      </c>
      <c r="F1415" s="7" t="s">
        <v>272</v>
      </c>
      <c r="G1415" s="7" t="s">
        <v>262</v>
      </c>
      <c r="H1415" s="7"/>
      <c r="I1415" s="7"/>
      <c r="J1415" s="7" t="s">
        <v>275</v>
      </c>
      <c r="K1415" s="7"/>
      <c r="L1415" s="7" t="str">
        <f aca="false">IFERROR(VLOOKUP(IF(ISNUMBER(SEARCH("(",F1415)),LEFT(F1415,SEARCH("(",F1415)-1),F1415),Tipos!$A:$B,2,FALSE()),"outro")</f>
        <v>uuid</v>
      </c>
      <c r="M1415" s="7" t="str">
        <f aca="false">IF(COUNTIF(Comparação!$H:$H,A1415)&gt;0,"sim",IF(AND(G1415="sim",H1415=""),"FALTA (obrigatória)","não"))</f>
        <v>FALTA (obrigatória)</v>
      </c>
    </row>
    <row r="1416" customFormat="false" ht="15" hidden="false" customHeight="false" outlineLevel="0" collapsed="false">
      <c r="A1416" s="7" t="str">
        <f aca="false">B1416&amp;"."&amp;E1416</f>
        <v>uso_eventos.user_id</v>
      </c>
      <c r="B1416" s="7" t="s">
        <v>241</v>
      </c>
      <c r="C1416" s="7" t="s">
        <v>24</v>
      </c>
      <c r="D1416" s="7" t="n">
        <v>3</v>
      </c>
      <c r="E1416" s="7" t="s">
        <v>667</v>
      </c>
      <c r="F1416" s="7" t="s">
        <v>272</v>
      </c>
      <c r="G1416" s="7" t="s">
        <v>262</v>
      </c>
      <c r="H1416" s="7" t="s">
        <v>406</v>
      </c>
      <c r="I1416" s="7"/>
      <c r="J1416" s="7"/>
      <c r="K1416" s="7"/>
      <c r="L1416" s="7" t="str">
        <f aca="false">IFERROR(VLOOKUP(IF(ISNUMBER(SEARCH("(",F1416)),LEFT(F1416,SEARCH("(",F1416)-1),F1416),Tipos!$A:$B,2,FALSE()),"outro")</f>
        <v>uuid</v>
      </c>
      <c r="M1416" s="7" t="str">
        <f aca="false">IF(COUNTIF(Comparação!$H:$H,A1416)&gt;0,"sim",IF(AND(G1416="sim",H1416=""),"FALTA (obrigatória)","não"))</f>
        <v>não</v>
      </c>
    </row>
    <row r="1417" customFormat="false" ht="15" hidden="false" customHeight="false" outlineLevel="0" collapsed="false">
      <c r="A1417" s="7" t="str">
        <f aca="false">B1417&amp;"."&amp;E1417</f>
        <v>uso_eventos.usuario_email</v>
      </c>
      <c r="B1417" s="7" t="s">
        <v>241</v>
      </c>
      <c r="C1417" s="7" t="s">
        <v>24</v>
      </c>
      <c r="D1417" s="7" t="n">
        <v>4</v>
      </c>
      <c r="E1417" s="7" t="s">
        <v>327</v>
      </c>
      <c r="F1417" s="7" t="s">
        <v>261</v>
      </c>
      <c r="G1417" s="7" t="s">
        <v>267</v>
      </c>
      <c r="H1417" s="7"/>
      <c r="I1417" s="7"/>
      <c r="J1417" s="7"/>
      <c r="K1417" s="7"/>
      <c r="L1417" s="7" t="str">
        <f aca="false">IFERROR(VLOOKUP(IF(ISNUMBER(SEARCH("(",F1417)),LEFT(F1417,SEARCH("(",F1417)-1),F1417),Tipos!$A:$B,2,FALSE()),"outro")</f>
        <v>texto</v>
      </c>
      <c r="M1417" s="7" t="str">
        <f aca="false">IF(COUNTIF(Comparação!$H:$H,A1417)&gt;0,"sim",IF(AND(G1417="sim",H1417=""),"FALTA (obrigatória)","não"))</f>
        <v>não</v>
      </c>
    </row>
    <row r="1418" customFormat="false" ht="15" hidden="false" customHeight="false" outlineLevel="0" collapsed="false">
      <c r="A1418" s="7" t="str">
        <f aca="false">B1418&amp;"."&amp;E1418</f>
        <v>uso_eventos.sessao</v>
      </c>
      <c r="B1418" s="7" t="s">
        <v>241</v>
      </c>
      <c r="C1418" s="7" t="s">
        <v>24</v>
      </c>
      <c r="D1418" s="7" t="n">
        <v>5</v>
      </c>
      <c r="E1418" s="7" t="s">
        <v>1180</v>
      </c>
      <c r="F1418" s="7" t="s">
        <v>261</v>
      </c>
      <c r="G1418" s="7" t="s">
        <v>262</v>
      </c>
      <c r="H1418" s="7"/>
      <c r="I1418" s="7"/>
      <c r="J1418" s="7"/>
      <c r="K1418" s="7"/>
      <c r="L1418" s="7" t="str">
        <f aca="false">IFERROR(VLOOKUP(IF(ISNUMBER(SEARCH("(",F1418)),LEFT(F1418,SEARCH("(",F1418)-1),F1418),Tipos!$A:$B,2,FALSE()),"outro")</f>
        <v>texto</v>
      </c>
      <c r="M1418" s="7" t="str">
        <f aca="false">IF(COUNTIF(Comparação!$H:$H,A1418)&gt;0,"sim",IF(AND(G1418="sim",H1418=""),"FALTA (obrigatória)","não"))</f>
        <v>FALTA (obrigatória)</v>
      </c>
    </row>
    <row r="1419" customFormat="false" ht="15" hidden="false" customHeight="false" outlineLevel="0" collapsed="false">
      <c r="A1419" s="7" t="str">
        <f aca="false">B1419&amp;"."&amp;E1419</f>
        <v>uso_eventos.tipo</v>
      </c>
      <c r="B1419" s="7" t="s">
        <v>241</v>
      </c>
      <c r="C1419" s="7" t="s">
        <v>24</v>
      </c>
      <c r="D1419" s="7" t="n">
        <v>6</v>
      </c>
      <c r="E1419" s="7" t="s">
        <v>280</v>
      </c>
      <c r="F1419" s="7" t="s">
        <v>261</v>
      </c>
      <c r="G1419" s="7" t="s">
        <v>262</v>
      </c>
      <c r="H1419" s="7"/>
      <c r="I1419" s="7"/>
      <c r="J1419" s="7"/>
      <c r="K1419" s="7" t="s">
        <v>1181</v>
      </c>
      <c r="L1419" s="7" t="str">
        <f aca="false">IFERROR(VLOOKUP(IF(ISNUMBER(SEARCH("(",F1419)),LEFT(F1419,SEARCH("(",F1419)-1),F1419),Tipos!$A:$B,2,FALSE()),"outro")</f>
        <v>texto</v>
      </c>
      <c r="M1419" s="7" t="str">
        <f aca="false">IF(COUNTIF(Comparação!$H:$H,A1419)&gt;0,"sim",IF(AND(G1419="sim",H1419=""),"FALTA (obrigatória)","não"))</f>
        <v>FALTA (obrigatória)</v>
      </c>
    </row>
    <row r="1420" customFormat="false" ht="15" hidden="false" customHeight="false" outlineLevel="0" collapsed="false">
      <c r="A1420" s="7" t="str">
        <f aca="false">B1420&amp;"."&amp;E1420</f>
        <v>uso_eventos.tela</v>
      </c>
      <c r="B1420" s="7" t="s">
        <v>241</v>
      </c>
      <c r="C1420" s="7" t="s">
        <v>24</v>
      </c>
      <c r="D1420" s="7" t="n">
        <v>7</v>
      </c>
      <c r="E1420" s="7" t="s">
        <v>260</v>
      </c>
      <c r="F1420" s="7" t="s">
        <v>261</v>
      </c>
      <c r="G1420" s="7" t="s">
        <v>262</v>
      </c>
      <c r="H1420" s="7"/>
      <c r="I1420" s="7"/>
      <c r="J1420" s="7"/>
      <c r="K1420" s="7"/>
      <c r="L1420" s="7" t="str">
        <f aca="false">IFERROR(VLOOKUP(IF(ISNUMBER(SEARCH("(",F1420)),LEFT(F1420,SEARCH("(",F1420)-1),F1420),Tipos!$A:$B,2,FALSE()),"outro")</f>
        <v>texto</v>
      </c>
      <c r="M1420" s="7" t="str">
        <f aca="false">IF(COUNTIF(Comparação!$H:$H,A1420)&gt;0,"sim",IF(AND(G1420="sim",H1420=""),"FALTA (obrigatória)","não"))</f>
        <v>FALTA (obrigatória)</v>
      </c>
    </row>
    <row r="1421" customFormat="false" ht="15" hidden="false" customHeight="false" outlineLevel="0" collapsed="false">
      <c r="A1421" s="7" t="str">
        <f aca="false">B1421&amp;"."&amp;E1421</f>
        <v>uso_eventos.detalhe</v>
      </c>
      <c r="B1421" s="7" t="s">
        <v>241</v>
      </c>
      <c r="C1421" s="7" t="s">
        <v>24</v>
      </c>
      <c r="D1421" s="7" t="n">
        <v>8</v>
      </c>
      <c r="E1421" s="7" t="s">
        <v>1182</v>
      </c>
      <c r="F1421" s="7" t="s">
        <v>261</v>
      </c>
      <c r="G1421" s="7" t="s">
        <v>267</v>
      </c>
      <c r="H1421" s="7"/>
      <c r="I1421" s="7"/>
      <c r="J1421" s="7"/>
      <c r="K1421" s="7"/>
      <c r="L1421" s="7" t="str">
        <f aca="false">IFERROR(VLOOKUP(IF(ISNUMBER(SEARCH("(",F1421)),LEFT(F1421,SEARCH("(",F1421)-1),F1421),Tipos!$A:$B,2,FALSE()),"outro")</f>
        <v>texto</v>
      </c>
      <c r="M1421" s="7" t="str">
        <f aca="false">IF(COUNTIF(Comparação!$H:$H,A1421)&gt;0,"sim",IF(AND(G1421="sim",H1421=""),"FALTA (obrigatória)","não"))</f>
        <v>não</v>
      </c>
    </row>
    <row r="1422" customFormat="false" ht="15" hidden="false" customHeight="false" outlineLevel="0" collapsed="false">
      <c r="A1422" s="7" t="str">
        <f aca="false">B1422&amp;"."&amp;E1422</f>
        <v>uso_eventos.segundos</v>
      </c>
      <c r="B1422" s="7" t="s">
        <v>241</v>
      </c>
      <c r="C1422" s="7" t="s">
        <v>24</v>
      </c>
      <c r="D1422" s="7" t="n">
        <v>9</v>
      </c>
      <c r="E1422" s="7" t="s">
        <v>1183</v>
      </c>
      <c r="F1422" s="7" t="s">
        <v>269</v>
      </c>
      <c r="G1422" s="7" t="s">
        <v>267</v>
      </c>
      <c r="H1422" s="7"/>
      <c r="I1422" s="7"/>
      <c r="J1422" s="7"/>
      <c r="K1422" s="7" t="s">
        <v>1184</v>
      </c>
      <c r="L1422" s="7" t="str">
        <f aca="false">IFERROR(VLOOKUP(IF(ISNUMBER(SEARCH("(",F1422)),LEFT(F1422,SEARCH("(",F1422)-1),F1422),Tipos!$A:$B,2,FALSE()),"outro")</f>
        <v>inteiro</v>
      </c>
      <c r="M1422" s="7" t="str">
        <f aca="false">IF(COUNTIF(Comparação!$H:$H,A1422)&gt;0,"sim",IF(AND(G1422="sim",H1422=""),"FALTA (obrigatória)","não"))</f>
        <v>não</v>
      </c>
    </row>
    <row r="1423" customFormat="false" ht="15" hidden="false" customHeight="false" outlineLevel="0" collapsed="false">
      <c r="A1423" s="7" t="str">
        <f aca="false">B1423&amp;"."&amp;E1423</f>
        <v>uso_eventos.criado_em</v>
      </c>
      <c r="B1423" s="7" t="s">
        <v>241</v>
      </c>
      <c r="C1423" s="7" t="s">
        <v>24</v>
      </c>
      <c r="D1423" s="7" t="n">
        <v>10</v>
      </c>
      <c r="E1423" s="7" t="s">
        <v>344</v>
      </c>
      <c r="F1423" s="7" t="s">
        <v>285</v>
      </c>
      <c r="G1423" s="7" t="s">
        <v>262</v>
      </c>
      <c r="H1423" s="7" t="s">
        <v>286</v>
      </c>
      <c r="I1423" s="7"/>
      <c r="J1423" s="7"/>
      <c r="K1423" s="7"/>
      <c r="L1423" s="7" t="str">
        <f aca="false">IFERROR(VLOOKUP(IF(ISNUMBER(SEARCH("(",F1423)),LEFT(F1423,SEARCH("(",F1423)-1),F1423),Tipos!$A:$B,2,FALSE()),"outro")</f>
        <v>data e hora</v>
      </c>
      <c r="M1423" s="7" t="str">
        <f aca="false">IF(COUNTIF(Comparação!$H:$H,A1423)&gt;0,"sim",IF(AND(G1423="sim",H1423=""),"FALTA (obrigatória)","não"))</f>
        <v>não</v>
      </c>
    </row>
    <row r="1424" customFormat="false" ht="15" hidden="false" customHeight="false" outlineLevel="0" collapsed="false">
      <c r="A1424" s="7" t="str">
        <f aca="false">B1424&amp;"."&amp;E1424</f>
        <v>venda_atribuicoes.id</v>
      </c>
      <c r="B1424" s="7" t="s">
        <v>242</v>
      </c>
      <c r="C1424" s="7" t="s">
        <v>72</v>
      </c>
      <c r="D1424" s="7" t="n">
        <v>1</v>
      </c>
      <c r="E1424" s="7" t="s">
        <v>271</v>
      </c>
      <c r="F1424" s="7" t="s">
        <v>272</v>
      </c>
      <c r="G1424" s="7" t="s">
        <v>262</v>
      </c>
      <c r="H1424" s="7" t="s">
        <v>273</v>
      </c>
      <c r="I1424" s="7" t="s">
        <v>263</v>
      </c>
      <c r="J1424" s="7"/>
      <c r="K1424" s="7"/>
      <c r="L1424" s="7" t="str">
        <f aca="false">IFERROR(VLOOKUP(IF(ISNUMBER(SEARCH("(",F1424)),LEFT(F1424,SEARCH("(",F1424)-1),F1424),Tipos!$A:$B,2,FALSE()),"outro")</f>
        <v>uuid</v>
      </c>
      <c r="M1424" s="7" t="str">
        <f aca="false">IF(COUNTIF(Comparação!$H:$H,A1424)&gt;0,"sim",IF(AND(G1424="sim",H1424=""),"FALTA (obrigatória)","não"))</f>
        <v>não</v>
      </c>
    </row>
    <row r="1425" customFormat="false" ht="15" hidden="false" customHeight="false" outlineLevel="0" collapsed="false">
      <c r="A1425" s="7" t="str">
        <f aca="false">B1425&amp;"."&amp;E1425</f>
        <v>venda_atribuicoes.workspace_id</v>
      </c>
      <c r="B1425" s="7" t="s">
        <v>242</v>
      </c>
      <c r="C1425" s="7" t="s">
        <v>72</v>
      </c>
      <c r="D1425" s="7" t="n">
        <v>2</v>
      </c>
      <c r="E1425" s="7" t="s">
        <v>274</v>
      </c>
      <c r="F1425" s="7" t="s">
        <v>272</v>
      </c>
      <c r="G1425" s="7" t="s">
        <v>262</v>
      </c>
      <c r="H1425" s="7"/>
      <c r="I1425" s="7"/>
      <c r="J1425" s="7" t="s">
        <v>275</v>
      </c>
      <c r="K1425" s="7"/>
      <c r="L1425" s="7" t="str">
        <f aca="false">IFERROR(VLOOKUP(IF(ISNUMBER(SEARCH("(",F1425)),LEFT(F1425,SEARCH("(",F1425)-1),F1425),Tipos!$A:$B,2,FALSE()),"outro")</f>
        <v>uuid</v>
      </c>
      <c r="M1425" s="7" t="str">
        <f aca="false">IF(COUNTIF(Comparação!$H:$H,A1425)&gt;0,"sim",IF(AND(G1425="sim",H1425=""),"FALTA (obrigatória)","não"))</f>
        <v>FALTA (obrigatória)</v>
      </c>
    </row>
    <row r="1426" customFormat="false" ht="15" hidden="false" customHeight="false" outlineLevel="0" collapsed="false">
      <c r="A1426" s="7" t="str">
        <f aca="false">B1426&amp;"."&amp;E1426</f>
        <v>venda_atribuicoes.venda_id</v>
      </c>
      <c r="B1426" s="7" t="s">
        <v>242</v>
      </c>
      <c r="C1426" s="7" t="s">
        <v>72</v>
      </c>
      <c r="D1426" s="7" t="n">
        <v>3</v>
      </c>
      <c r="E1426" s="7" t="s">
        <v>289</v>
      </c>
      <c r="F1426" s="7" t="s">
        <v>272</v>
      </c>
      <c r="G1426" s="7" t="s">
        <v>262</v>
      </c>
      <c r="H1426" s="7"/>
      <c r="I1426" s="7" t="s">
        <v>290</v>
      </c>
      <c r="J1426" s="7" t="s">
        <v>291</v>
      </c>
      <c r="K1426" s="7"/>
      <c r="L1426" s="7" t="str">
        <f aca="false">IFERROR(VLOOKUP(IF(ISNUMBER(SEARCH("(",F1426)),LEFT(F1426,SEARCH("(",F1426)-1),F1426),Tipos!$A:$B,2,FALSE()),"outro")</f>
        <v>uuid</v>
      </c>
      <c r="M1426" s="7" t="str">
        <f aca="false">IF(COUNTIF(Comparação!$H:$H,A1426)&gt;0,"sim",IF(AND(G1426="sim",H1426=""),"FALTA (obrigatória)","não"))</f>
        <v>FALTA (obrigatória)</v>
      </c>
    </row>
    <row r="1427" customFormat="false" ht="15" hidden="false" customHeight="false" outlineLevel="0" collapsed="false">
      <c r="A1427" s="7" t="str">
        <f aca="false">B1427&amp;"."&amp;E1427</f>
        <v>venda_atribuicoes.modelo</v>
      </c>
      <c r="B1427" s="7" t="s">
        <v>242</v>
      </c>
      <c r="C1427" s="7" t="s">
        <v>72</v>
      </c>
      <c r="D1427" s="7" t="n">
        <v>4</v>
      </c>
      <c r="E1427" s="7" t="s">
        <v>476</v>
      </c>
      <c r="F1427" s="7" t="s">
        <v>261</v>
      </c>
      <c r="G1427" s="7" t="s">
        <v>262</v>
      </c>
      <c r="H1427" s="7"/>
      <c r="I1427" s="7" t="s">
        <v>290</v>
      </c>
      <c r="J1427" s="7"/>
      <c r="K1427" s="7" t="s">
        <v>1185</v>
      </c>
      <c r="L1427" s="7" t="str">
        <f aca="false">IFERROR(VLOOKUP(IF(ISNUMBER(SEARCH("(",F1427)),LEFT(F1427,SEARCH("(",F1427)-1),F1427),Tipos!$A:$B,2,FALSE()),"outro")</f>
        <v>texto</v>
      </c>
      <c r="M1427" s="7" t="str">
        <f aca="false">IF(COUNTIF(Comparação!$H:$H,A1427)&gt;0,"sim",IF(AND(G1427="sim",H1427=""),"FALTA (obrigatória)","não"))</f>
        <v>FALTA (obrigatória)</v>
      </c>
    </row>
    <row r="1428" customFormat="false" ht="15" hidden="false" customHeight="false" outlineLevel="0" collapsed="false">
      <c r="A1428" s="7" t="str">
        <f aca="false">B1428&amp;"."&amp;E1428</f>
        <v>venda_atribuicoes.canal</v>
      </c>
      <c r="B1428" s="7" t="s">
        <v>242</v>
      </c>
      <c r="C1428" s="7" t="s">
        <v>72</v>
      </c>
      <c r="D1428" s="7" t="n">
        <v>5</v>
      </c>
      <c r="E1428" s="7" t="s">
        <v>350</v>
      </c>
      <c r="F1428" s="7" t="s">
        <v>261</v>
      </c>
      <c r="G1428" s="7" t="s">
        <v>267</v>
      </c>
      <c r="H1428" s="7"/>
      <c r="I1428" s="7"/>
      <c r="J1428" s="7"/>
      <c r="K1428" s="7"/>
      <c r="L1428" s="7" t="str">
        <f aca="false">IFERROR(VLOOKUP(IF(ISNUMBER(SEARCH("(",F1428)),LEFT(F1428,SEARCH("(",F1428)-1),F1428),Tipos!$A:$B,2,FALSE()),"outro")</f>
        <v>texto</v>
      </c>
      <c r="M1428" s="7" t="str">
        <f aca="false">IF(COUNTIF(Comparação!$H:$H,A1428)&gt;0,"sim",IF(AND(G1428="sim",H1428=""),"FALTA (obrigatória)","não"))</f>
        <v>não</v>
      </c>
    </row>
    <row r="1429" customFormat="false" ht="15" hidden="false" customHeight="false" outlineLevel="0" collapsed="false">
      <c r="A1429" s="7" t="str">
        <f aca="false">B1429&amp;"."&amp;E1429</f>
        <v>venda_atribuicoes.campanha_id</v>
      </c>
      <c r="B1429" s="7" t="s">
        <v>242</v>
      </c>
      <c r="C1429" s="7" t="s">
        <v>72</v>
      </c>
      <c r="D1429" s="7" t="n">
        <v>6</v>
      </c>
      <c r="E1429" s="7" t="s">
        <v>336</v>
      </c>
      <c r="F1429" s="7" t="s">
        <v>272</v>
      </c>
      <c r="G1429" s="7" t="s">
        <v>267</v>
      </c>
      <c r="H1429" s="7"/>
      <c r="I1429" s="7"/>
      <c r="J1429" s="7"/>
      <c r="K1429" s="7"/>
      <c r="L1429" s="7" t="str">
        <f aca="false">IFERROR(VLOOKUP(IF(ISNUMBER(SEARCH("(",F1429)),LEFT(F1429,SEARCH("(",F1429)-1),F1429),Tipos!$A:$B,2,FALSE()),"outro")</f>
        <v>uuid</v>
      </c>
      <c r="M1429" s="7" t="str">
        <f aca="false">IF(COUNTIF(Comparação!$H:$H,A1429)&gt;0,"sim",IF(AND(G1429="sim",H1429=""),"FALTA (obrigatória)","não"))</f>
        <v>não</v>
      </c>
    </row>
    <row r="1430" customFormat="false" ht="15" hidden="false" customHeight="false" outlineLevel="0" collapsed="false">
      <c r="A1430" s="7" t="str">
        <f aca="false">B1430&amp;"."&amp;E1430</f>
        <v>venda_atribuicoes.campanha_canal_id</v>
      </c>
      <c r="B1430" s="7" t="s">
        <v>242</v>
      </c>
      <c r="C1430" s="7" t="s">
        <v>72</v>
      </c>
      <c r="D1430" s="7" t="n">
        <v>7</v>
      </c>
      <c r="E1430" s="7" t="s">
        <v>304</v>
      </c>
      <c r="F1430" s="7" t="s">
        <v>272</v>
      </c>
      <c r="G1430" s="7" t="s">
        <v>267</v>
      </c>
      <c r="H1430" s="7"/>
      <c r="I1430" s="7"/>
      <c r="J1430" s="7"/>
      <c r="K1430" s="7"/>
      <c r="L1430" s="7" t="str">
        <f aca="false">IFERROR(VLOOKUP(IF(ISNUMBER(SEARCH("(",F1430)),LEFT(F1430,SEARCH("(",F1430)-1),F1430),Tipos!$A:$B,2,FALSE()),"outro")</f>
        <v>uuid</v>
      </c>
      <c r="M1430" s="7" t="str">
        <f aca="false">IF(COUNTIF(Comparação!$H:$H,A1430)&gt;0,"sim",IF(AND(G1430="sim",H1430=""),"FALTA (obrigatória)","não"))</f>
        <v>não</v>
      </c>
    </row>
    <row r="1431" customFormat="false" ht="15" hidden="false" customHeight="false" outlineLevel="0" collapsed="false">
      <c r="A1431" s="7" t="str">
        <f aca="false">B1431&amp;"."&amp;E1431</f>
        <v>venda_atribuicoes.temperatura</v>
      </c>
      <c r="B1431" s="7" t="s">
        <v>242</v>
      </c>
      <c r="C1431" s="7" t="s">
        <v>72</v>
      </c>
      <c r="D1431" s="7" t="n">
        <v>8</v>
      </c>
      <c r="E1431" s="7" t="s">
        <v>313</v>
      </c>
      <c r="F1431" s="7" t="s">
        <v>261</v>
      </c>
      <c r="G1431" s="7" t="s">
        <v>267</v>
      </c>
      <c r="H1431" s="7"/>
      <c r="I1431" s="7"/>
      <c r="J1431" s="7"/>
      <c r="K1431" s="7"/>
      <c r="L1431" s="7" t="str">
        <f aca="false">IFERROR(VLOOKUP(IF(ISNUMBER(SEARCH("(",F1431)),LEFT(F1431,SEARCH("(",F1431)-1),F1431),Tipos!$A:$B,2,FALSE()),"outro")</f>
        <v>texto</v>
      </c>
      <c r="M1431" s="7" t="str">
        <f aca="false">IF(COUNTIF(Comparação!$H:$H,A1431)&gt;0,"sim",IF(AND(G1431="sim",H1431=""),"FALTA (obrigatória)","não"))</f>
        <v>não</v>
      </c>
    </row>
    <row r="1432" customFormat="false" ht="15" hidden="false" customHeight="false" outlineLevel="0" collapsed="false">
      <c r="A1432" s="7" t="str">
        <f aca="false">B1432&amp;"."&amp;E1432</f>
        <v>venda_atribuicoes.utm_source</v>
      </c>
      <c r="B1432" s="7" t="s">
        <v>242</v>
      </c>
      <c r="C1432" s="7" t="s">
        <v>72</v>
      </c>
      <c r="D1432" s="7" t="n">
        <v>9</v>
      </c>
      <c r="E1432" s="7" t="s">
        <v>420</v>
      </c>
      <c r="F1432" s="7" t="s">
        <v>261</v>
      </c>
      <c r="G1432" s="7" t="s">
        <v>267</v>
      </c>
      <c r="H1432" s="7"/>
      <c r="I1432" s="7"/>
      <c r="J1432" s="7"/>
      <c r="K1432" s="7"/>
      <c r="L1432" s="7" t="str">
        <f aca="false">IFERROR(VLOOKUP(IF(ISNUMBER(SEARCH("(",F1432)),LEFT(F1432,SEARCH("(",F1432)-1),F1432),Tipos!$A:$B,2,FALSE()),"outro")</f>
        <v>texto</v>
      </c>
      <c r="M1432" s="7" t="str">
        <f aca="false">IF(COUNTIF(Comparação!$H:$H,A1432)&gt;0,"sim",IF(AND(G1432="sim",H1432=""),"FALTA (obrigatória)","não"))</f>
        <v>não</v>
      </c>
    </row>
    <row r="1433" customFormat="false" ht="15" hidden="false" customHeight="false" outlineLevel="0" collapsed="false">
      <c r="A1433" s="7" t="str">
        <f aca="false">B1433&amp;"."&amp;E1433</f>
        <v>venda_atribuicoes.utm_medium</v>
      </c>
      <c r="B1433" s="7" t="s">
        <v>242</v>
      </c>
      <c r="C1433" s="7" t="s">
        <v>72</v>
      </c>
      <c r="D1433" s="7" t="n">
        <v>10</v>
      </c>
      <c r="E1433" s="7" t="s">
        <v>421</v>
      </c>
      <c r="F1433" s="7" t="s">
        <v>261</v>
      </c>
      <c r="G1433" s="7" t="s">
        <v>267</v>
      </c>
      <c r="H1433" s="7"/>
      <c r="I1433" s="7"/>
      <c r="J1433" s="7"/>
      <c r="K1433" s="7"/>
      <c r="L1433" s="7" t="str">
        <f aca="false">IFERROR(VLOOKUP(IF(ISNUMBER(SEARCH("(",F1433)),LEFT(F1433,SEARCH("(",F1433)-1),F1433),Tipos!$A:$B,2,FALSE()),"outro")</f>
        <v>texto</v>
      </c>
      <c r="M1433" s="7" t="str">
        <f aca="false">IF(COUNTIF(Comparação!$H:$H,A1433)&gt;0,"sim",IF(AND(G1433="sim",H1433=""),"FALTA (obrigatória)","não"))</f>
        <v>não</v>
      </c>
    </row>
    <row r="1434" customFormat="false" ht="15" hidden="false" customHeight="false" outlineLevel="0" collapsed="false">
      <c r="A1434" s="7" t="str">
        <f aca="false">B1434&amp;"."&amp;E1434</f>
        <v>venda_atribuicoes.utm_campaign</v>
      </c>
      <c r="B1434" s="7" t="s">
        <v>242</v>
      </c>
      <c r="C1434" s="7" t="s">
        <v>72</v>
      </c>
      <c r="D1434" s="7" t="n">
        <v>11</v>
      </c>
      <c r="E1434" s="7" t="s">
        <v>352</v>
      </c>
      <c r="F1434" s="7" t="s">
        <v>261</v>
      </c>
      <c r="G1434" s="7" t="s">
        <v>267</v>
      </c>
      <c r="H1434" s="7"/>
      <c r="I1434" s="7"/>
      <c r="J1434" s="7"/>
      <c r="K1434" s="7"/>
      <c r="L1434" s="7" t="str">
        <f aca="false">IFERROR(VLOOKUP(IF(ISNUMBER(SEARCH("(",F1434)),LEFT(F1434,SEARCH("(",F1434)-1),F1434),Tipos!$A:$B,2,FALSE()),"outro")</f>
        <v>texto</v>
      </c>
      <c r="M1434" s="7" t="str">
        <f aca="false">IF(COUNTIF(Comparação!$H:$H,A1434)&gt;0,"sim",IF(AND(G1434="sim",H1434=""),"FALTA (obrigatória)","não"))</f>
        <v>não</v>
      </c>
    </row>
    <row r="1435" customFormat="false" ht="15" hidden="false" customHeight="false" outlineLevel="0" collapsed="false">
      <c r="A1435" s="7" t="str">
        <f aca="false">B1435&amp;"."&amp;E1435</f>
        <v>venda_atribuicoes.utm_content</v>
      </c>
      <c r="B1435" s="7" t="s">
        <v>242</v>
      </c>
      <c r="C1435" s="7" t="s">
        <v>72</v>
      </c>
      <c r="D1435" s="7" t="n">
        <v>12</v>
      </c>
      <c r="E1435" s="7" t="s">
        <v>306</v>
      </c>
      <c r="F1435" s="7" t="s">
        <v>261</v>
      </c>
      <c r="G1435" s="7" t="s">
        <v>267</v>
      </c>
      <c r="H1435" s="7"/>
      <c r="I1435" s="7"/>
      <c r="J1435" s="7"/>
      <c r="K1435" s="7"/>
      <c r="L1435" s="7" t="str">
        <f aca="false">IFERROR(VLOOKUP(IF(ISNUMBER(SEARCH("(",F1435)),LEFT(F1435,SEARCH("(",F1435)-1),F1435),Tipos!$A:$B,2,FALSE()),"outro")</f>
        <v>texto</v>
      </c>
      <c r="M1435" s="7" t="str">
        <f aca="false">IF(COUNTIF(Comparação!$H:$H,A1435)&gt;0,"sim",IF(AND(G1435="sim",H1435=""),"FALTA (obrigatória)","não"))</f>
        <v>não</v>
      </c>
    </row>
    <row r="1436" customFormat="false" ht="15" hidden="false" customHeight="false" outlineLevel="0" collapsed="false">
      <c r="A1436" s="7" t="str">
        <f aca="false">B1436&amp;"."&amp;E1436</f>
        <v>venda_atribuicoes.toque_id</v>
      </c>
      <c r="B1436" s="7" t="s">
        <v>242</v>
      </c>
      <c r="C1436" s="7" t="s">
        <v>72</v>
      </c>
      <c r="D1436" s="7" t="n">
        <v>13</v>
      </c>
      <c r="E1436" s="7" t="s">
        <v>1186</v>
      </c>
      <c r="F1436" s="7" t="s">
        <v>272</v>
      </c>
      <c r="G1436" s="7" t="s">
        <v>267</v>
      </c>
      <c r="H1436" s="7"/>
      <c r="I1436" s="7"/>
      <c r="J1436" s="7"/>
      <c r="K1436" s="7"/>
      <c r="L1436" s="7" t="str">
        <f aca="false">IFERROR(VLOOKUP(IF(ISNUMBER(SEARCH("(",F1436)),LEFT(F1436,SEARCH("(",F1436)-1),F1436),Tipos!$A:$B,2,FALSE()),"outro")</f>
        <v>uuid</v>
      </c>
      <c r="M1436" s="7" t="str">
        <f aca="false">IF(COUNTIF(Comparação!$H:$H,A1436)&gt;0,"sim",IF(AND(G1436="sim",H1436=""),"FALTA (obrigatória)","não"))</f>
        <v>não</v>
      </c>
    </row>
    <row r="1437" customFormat="false" ht="15" hidden="false" customHeight="false" outlineLevel="0" collapsed="false">
      <c r="A1437" s="7" t="str">
        <f aca="false">B1437&amp;"."&amp;E1437</f>
        <v>venda_atribuicoes.peso</v>
      </c>
      <c r="B1437" s="7" t="s">
        <v>242</v>
      </c>
      <c r="C1437" s="7" t="s">
        <v>72</v>
      </c>
      <c r="D1437" s="7" t="n">
        <v>14</v>
      </c>
      <c r="E1437" s="7" t="s">
        <v>1187</v>
      </c>
      <c r="F1437" s="7" t="s">
        <v>380</v>
      </c>
      <c r="G1437" s="7" t="s">
        <v>262</v>
      </c>
      <c r="H1437" s="7" t="s">
        <v>468</v>
      </c>
      <c r="I1437" s="7"/>
      <c r="J1437" s="7"/>
      <c r="K1437" s="7"/>
      <c r="L1437" s="7" t="str">
        <f aca="false">IFERROR(VLOOKUP(IF(ISNUMBER(SEARCH("(",F1437)),LEFT(F1437,SEARCH("(",F1437)-1),F1437),Tipos!$A:$B,2,FALSE()),"outro")</f>
        <v>decimal</v>
      </c>
      <c r="M1437" s="7" t="str">
        <f aca="false">IF(COUNTIF(Comparação!$H:$H,A1437)&gt;0,"sim",IF(AND(G1437="sim",H1437=""),"FALTA (obrigatória)","não"))</f>
        <v>não</v>
      </c>
    </row>
    <row r="1438" customFormat="false" ht="15" hidden="false" customHeight="false" outlineLevel="0" collapsed="false">
      <c r="A1438" s="7" t="str">
        <f aca="false">B1438&amp;"."&amp;E1438</f>
        <v>venda_atribuicoes.regra_versao</v>
      </c>
      <c r="B1438" s="7" t="s">
        <v>242</v>
      </c>
      <c r="C1438" s="7" t="s">
        <v>72</v>
      </c>
      <c r="D1438" s="7" t="n">
        <v>15</v>
      </c>
      <c r="E1438" s="7" t="s">
        <v>1188</v>
      </c>
      <c r="F1438" s="7" t="s">
        <v>269</v>
      </c>
      <c r="G1438" s="7" t="s">
        <v>262</v>
      </c>
      <c r="H1438" s="7" t="s">
        <v>468</v>
      </c>
      <c r="I1438" s="7"/>
      <c r="J1438" s="7"/>
      <c r="K1438" s="7"/>
      <c r="L1438" s="7" t="str">
        <f aca="false">IFERROR(VLOOKUP(IF(ISNUMBER(SEARCH("(",F1438)),LEFT(F1438,SEARCH("(",F1438)-1),F1438),Tipos!$A:$B,2,FALSE()),"outro")</f>
        <v>inteiro</v>
      </c>
      <c r="M1438" s="7" t="str">
        <f aca="false">IF(COUNTIF(Comparação!$H:$H,A1438)&gt;0,"sim",IF(AND(G1438="sim",H1438=""),"FALTA (obrigatória)","não"))</f>
        <v>não</v>
      </c>
    </row>
    <row r="1439" customFormat="false" ht="15" hidden="false" customHeight="false" outlineLevel="0" collapsed="false">
      <c r="A1439" s="7" t="str">
        <f aca="false">B1439&amp;"."&amp;E1439</f>
        <v>venda_atribuicoes.evidencia</v>
      </c>
      <c r="B1439" s="7" t="s">
        <v>242</v>
      </c>
      <c r="C1439" s="7" t="s">
        <v>72</v>
      </c>
      <c r="D1439" s="7" t="n">
        <v>16</v>
      </c>
      <c r="E1439" s="7" t="s">
        <v>1189</v>
      </c>
      <c r="F1439" s="7" t="s">
        <v>324</v>
      </c>
      <c r="G1439" s="7" t="s">
        <v>262</v>
      </c>
      <c r="H1439" s="7" t="s">
        <v>347</v>
      </c>
      <c r="I1439" s="7"/>
      <c r="J1439" s="7"/>
      <c r="K1439" s="7"/>
      <c r="L1439" s="7" t="str">
        <f aca="false">IFERROR(VLOOKUP(IF(ISNUMBER(SEARCH("(",F1439)),LEFT(F1439,SEARCH("(",F1439)-1),F1439),Tipos!$A:$B,2,FALSE()),"outro")</f>
        <v>json</v>
      </c>
      <c r="M1439" s="7" t="str">
        <f aca="false">IF(COUNTIF(Comparação!$H:$H,A1439)&gt;0,"sim",IF(AND(G1439="sim",H1439=""),"FALTA (obrigatória)","não"))</f>
        <v>não</v>
      </c>
    </row>
    <row r="1440" customFormat="false" ht="15" hidden="false" customHeight="false" outlineLevel="0" collapsed="false">
      <c r="A1440" s="7" t="str">
        <f aca="false">B1440&amp;"."&amp;E1440</f>
        <v>venda_atribuicoes.atribuido_em</v>
      </c>
      <c r="B1440" s="7" t="s">
        <v>242</v>
      </c>
      <c r="C1440" s="7" t="s">
        <v>72</v>
      </c>
      <c r="D1440" s="7" t="n">
        <v>17</v>
      </c>
      <c r="E1440" s="7" t="s">
        <v>1190</v>
      </c>
      <c r="F1440" s="7" t="s">
        <v>285</v>
      </c>
      <c r="G1440" s="7" t="s">
        <v>262</v>
      </c>
      <c r="H1440" s="7" t="s">
        <v>286</v>
      </c>
      <c r="I1440" s="7"/>
      <c r="J1440" s="7"/>
      <c r="K1440" s="7"/>
      <c r="L1440" s="7" t="str">
        <f aca="false">IFERROR(VLOOKUP(IF(ISNUMBER(SEARCH("(",F1440)),LEFT(F1440,SEARCH("(",F1440)-1),F1440),Tipos!$A:$B,2,FALSE()),"outro")</f>
        <v>data e hora</v>
      </c>
      <c r="M1440" s="7" t="str">
        <f aca="false">IF(COUNTIF(Comparação!$H:$H,A1440)&gt;0,"sim",IF(AND(G1440="sim",H1440=""),"FALTA (obrigatória)","não"))</f>
        <v>não</v>
      </c>
    </row>
    <row r="1441" customFormat="false" ht="15" hidden="false" customHeight="false" outlineLevel="0" collapsed="false">
      <c r="A1441" s="7" t="str">
        <f aca="false">B1441&amp;"."&amp;E1441</f>
        <v>vendas.id</v>
      </c>
      <c r="B1441" s="7" t="s">
        <v>244</v>
      </c>
      <c r="C1441" s="7" t="s">
        <v>72</v>
      </c>
      <c r="D1441" s="7" t="n">
        <v>1</v>
      </c>
      <c r="E1441" s="7" t="s">
        <v>271</v>
      </c>
      <c r="F1441" s="7" t="s">
        <v>272</v>
      </c>
      <c r="G1441" s="7" t="s">
        <v>262</v>
      </c>
      <c r="H1441" s="7" t="s">
        <v>273</v>
      </c>
      <c r="I1441" s="7" t="s">
        <v>263</v>
      </c>
      <c r="J1441" s="7"/>
      <c r="K1441" s="7"/>
      <c r="L1441" s="7" t="str">
        <f aca="false">IFERROR(VLOOKUP(IF(ISNUMBER(SEARCH("(",F1441)),LEFT(F1441,SEARCH("(",F1441)-1),F1441),Tipos!$A:$B,2,FALSE()),"outro")</f>
        <v>uuid</v>
      </c>
      <c r="M1441" s="7" t="str">
        <f aca="false">IF(COUNTIF(Comparação!$H:$H,A1441)&gt;0,"sim",IF(AND(G1441="sim",H1441=""),"FALTA (obrigatória)","não"))</f>
        <v>não</v>
      </c>
    </row>
    <row r="1442" customFormat="false" ht="15" hidden="false" customHeight="false" outlineLevel="0" collapsed="false">
      <c r="A1442" s="7" t="str">
        <f aca="false">B1442&amp;"."&amp;E1442</f>
        <v>vendas.workspace_id</v>
      </c>
      <c r="B1442" s="7" t="s">
        <v>244</v>
      </c>
      <c r="C1442" s="7" t="s">
        <v>72</v>
      </c>
      <c r="D1442" s="7" t="n">
        <v>2</v>
      </c>
      <c r="E1442" s="7" t="s">
        <v>274</v>
      </c>
      <c r="F1442" s="7" t="s">
        <v>272</v>
      </c>
      <c r="G1442" s="7" t="s">
        <v>262</v>
      </c>
      <c r="H1442" s="7"/>
      <c r="I1442" s="7"/>
      <c r="J1442" s="7" t="s">
        <v>275</v>
      </c>
      <c r="K1442" s="7"/>
      <c r="L1442" s="7" t="str">
        <f aca="false">IFERROR(VLOOKUP(IF(ISNUMBER(SEARCH("(",F1442)),LEFT(F1442,SEARCH("(",F1442)-1),F1442),Tipos!$A:$B,2,FALSE()),"outro")</f>
        <v>uuid</v>
      </c>
      <c r="M1442" s="7" t="str">
        <f aca="false">IF(COUNTIF(Comparação!$H:$H,A1442)&gt;0,"sim",IF(AND(G1442="sim",H1442=""),"FALTA (obrigatória)","não"))</f>
        <v>FALTA (obrigatória)</v>
      </c>
    </row>
    <row r="1443" customFormat="false" ht="15" hidden="false" customHeight="false" outlineLevel="0" collapsed="false">
      <c r="A1443" s="7" t="str">
        <f aca="false">B1443&amp;"."&amp;E1443</f>
        <v>vendas.pessoa_id</v>
      </c>
      <c r="B1443" s="7" t="s">
        <v>244</v>
      </c>
      <c r="C1443" s="7" t="s">
        <v>72</v>
      </c>
      <c r="D1443" s="7" t="n">
        <v>3</v>
      </c>
      <c r="E1443" s="7" t="s">
        <v>278</v>
      </c>
      <c r="F1443" s="7" t="s">
        <v>272</v>
      </c>
      <c r="G1443" s="7" t="s">
        <v>262</v>
      </c>
      <c r="H1443" s="7"/>
      <c r="I1443" s="7"/>
      <c r="J1443" s="7" t="s">
        <v>279</v>
      </c>
      <c r="K1443" s="7"/>
      <c r="L1443" s="7" t="str">
        <f aca="false">IFERROR(VLOOKUP(IF(ISNUMBER(SEARCH("(",F1443)),LEFT(F1443,SEARCH("(",F1443)-1),F1443),Tipos!$A:$B,2,FALSE()),"outro")</f>
        <v>uuid</v>
      </c>
      <c r="M1443" s="7" t="str">
        <f aca="false">IF(COUNTIF(Comparação!$H:$H,A1443)&gt;0,"sim",IF(AND(G1443="sim",H1443=""),"FALTA (obrigatória)","não"))</f>
        <v>FALTA (obrigatória)</v>
      </c>
    </row>
    <row r="1444" customFormat="false" ht="15" hidden="false" customHeight="false" outlineLevel="0" collapsed="false">
      <c r="A1444" s="7" t="str">
        <f aca="false">B1444&amp;"."&amp;E1444</f>
        <v>vendas.produto_id</v>
      </c>
      <c r="B1444" s="7" t="s">
        <v>244</v>
      </c>
      <c r="C1444" s="7" t="s">
        <v>72</v>
      </c>
      <c r="D1444" s="7" t="n">
        <v>4</v>
      </c>
      <c r="E1444" s="7" t="s">
        <v>287</v>
      </c>
      <c r="F1444" s="7" t="s">
        <v>272</v>
      </c>
      <c r="G1444" s="7" t="s">
        <v>262</v>
      </c>
      <c r="H1444" s="7"/>
      <c r="I1444" s="7"/>
      <c r="J1444" s="7" t="s">
        <v>288</v>
      </c>
      <c r="K1444" s="7"/>
      <c r="L1444" s="7" t="str">
        <f aca="false">IFERROR(VLOOKUP(IF(ISNUMBER(SEARCH("(",F1444)),LEFT(F1444,SEARCH("(",F1444)-1),F1444),Tipos!$A:$B,2,FALSE()),"outro")</f>
        <v>uuid</v>
      </c>
      <c r="M1444" s="7" t="str">
        <f aca="false">IF(COUNTIF(Comparação!$H:$H,A1444)&gt;0,"sim",IF(AND(G1444="sim",H1444=""),"FALTA (obrigatória)","não"))</f>
        <v>FALTA (obrigatória)</v>
      </c>
    </row>
    <row r="1445" customFormat="false" ht="15" hidden="false" customHeight="false" outlineLevel="0" collapsed="false">
      <c r="A1445" s="7" t="str">
        <f aca="false">B1445&amp;"."&amp;E1445</f>
        <v>vendas.plataforma_id</v>
      </c>
      <c r="B1445" s="7" t="s">
        <v>244</v>
      </c>
      <c r="C1445" s="7" t="s">
        <v>72</v>
      </c>
      <c r="D1445" s="7" t="n">
        <v>5</v>
      </c>
      <c r="E1445" s="7" t="s">
        <v>1107</v>
      </c>
      <c r="F1445" s="7" t="s">
        <v>272</v>
      </c>
      <c r="G1445" s="7" t="s">
        <v>267</v>
      </c>
      <c r="H1445" s="7"/>
      <c r="I1445" s="7"/>
      <c r="J1445" s="7" t="s">
        <v>1108</v>
      </c>
      <c r="K1445" s="7"/>
      <c r="L1445" s="7" t="str">
        <f aca="false">IFERROR(VLOOKUP(IF(ISNUMBER(SEARCH("(",F1445)),LEFT(F1445,SEARCH("(",F1445)-1),F1445),Tipos!$A:$B,2,FALSE()),"outro")</f>
        <v>uuid</v>
      </c>
      <c r="M1445" s="7" t="str">
        <f aca="false">IF(COUNTIF(Comparação!$H:$H,A1445)&gt;0,"sim",IF(AND(G1445="sim",H1445=""),"FALTA (obrigatória)","não"))</f>
        <v>não</v>
      </c>
    </row>
    <row r="1446" customFormat="false" ht="15" hidden="false" customHeight="false" outlineLevel="0" collapsed="false">
      <c r="A1446" s="7" t="str">
        <f aca="false">B1446&amp;"."&amp;E1446</f>
        <v>vendas.campanha_id</v>
      </c>
      <c r="B1446" s="7" t="s">
        <v>244</v>
      </c>
      <c r="C1446" s="7" t="s">
        <v>72</v>
      </c>
      <c r="D1446" s="7" t="n">
        <v>6</v>
      </c>
      <c r="E1446" s="7" t="s">
        <v>336</v>
      </c>
      <c r="F1446" s="7" t="s">
        <v>272</v>
      </c>
      <c r="G1446" s="7" t="s">
        <v>267</v>
      </c>
      <c r="H1446" s="7"/>
      <c r="I1446" s="7"/>
      <c r="J1446" s="7" t="s">
        <v>337</v>
      </c>
      <c r="K1446" s="7"/>
      <c r="L1446" s="7" t="str">
        <f aca="false">IFERROR(VLOOKUP(IF(ISNUMBER(SEARCH("(",F1446)),LEFT(F1446,SEARCH("(",F1446)-1),F1446),Tipos!$A:$B,2,FALSE()),"outro")</f>
        <v>uuid</v>
      </c>
      <c r="M1446" s="7" t="str">
        <f aca="false">IF(COUNTIF(Comparação!$H:$H,A1446)&gt;0,"sim",IF(AND(G1446="sim",H1446=""),"FALTA (obrigatória)","não"))</f>
        <v>não</v>
      </c>
    </row>
    <row r="1447" customFormat="false" ht="15" hidden="false" customHeight="false" outlineLevel="0" collapsed="false">
      <c r="A1447" s="7" t="str">
        <f aca="false">B1447&amp;"."&amp;E1447</f>
        <v>vendas.forma_pagamento</v>
      </c>
      <c r="B1447" s="7" t="s">
        <v>244</v>
      </c>
      <c r="C1447" s="7" t="s">
        <v>72</v>
      </c>
      <c r="D1447" s="7" t="n">
        <v>7</v>
      </c>
      <c r="E1447" s="7" t="s">
        <v>660</v>
      </c>
      <c r="F1447" s="7" t="s">
        <v>261</v>
      </c>
      <c r="G1447" s="7" t="s">
        <v>262</v>
      </c>
      <c r="H1447" s="7"/>
      <c r="I1447" s="7"/>
      <c r="J1447" s="7"/>
      <c r="K1447" s="7" t="s">
        <v>1109</v>
      </c>
      <c r="L1447" s="7" t="str">
        <f aca="false">IFERROR(VLOOKUP(IF(ISNUMBER(SEARCH("(",F1447)),LEFT(F1447,SEARCH("(",F1447)-1),F1447),Tipos!$A:$B,2,FALSE()),"outro")</f>
        <v>texto</v>
      </c>
      <c r="M1447" s="7" t="str">
        <f aca="false">IF(COUNTIF(Comparação!$H:$H,A1447)&gt;0,"sim",IF(AND(G1447="sim",H1447=""),"FALTA (obrigatória)","não"))</f>
        <v>FALTA (obrigatória)</v>
      </c>
    </row>
    <row r="1448" customFormat="false" ht="15" hidden="false" customHeight="false" outlineLevel="0" collapsed="false">
      <c r="A1448" s="7" t="str">
        <f aca="false">B1448&amp;"."&amp;E1448</f>
        <v>vendas.parcelas</v>
      </c>
      <c r="B1448" s="7" t="s">
        <v>244</v>
      </c>
      <c r="C1448" s="7" t="s">
        <v>72</v>
      </c>
      <c r="D1448" s="7" t="n">
        <v>8</v>
      </c>
      <c r="E1448" s="7" t="s">
        <v>670</v>
      </c>
      <c r="F1448" s="7" t="s">
        <v>269</v>
      </c>
      <c r="G1448" s="7" t="s">
        <v>262</v>
      </c>
      <c r="H1448" s="7" t="s">
        <v>468</v>
      </c>
      <c r="I1448" s="7"/>
      <c r="J1448" s="7"/>
      <c r="K1448" s="7" t="s">
        <v>1191</v>
      </c>
      <c r="L1448" s="7" t="str">
        <f aca="false">IFERROR(VLOOKUP(IF(ISNUMBER(SEARCH("(",F1448)),LEFT(F1448,SEARCH("(",F1448)-1),F1448),Tipos!$A:$B,2,FALSE()),"outro")</f>
        <v>inteiro</v>
      </c>
      <c r="M1448" s="7" t="str">
        <f aca="false">IF(COUNTIF(Comparação!$H:$H,A1448)&gt;0,"sim",IF(AND(G1448="sim",H1448=""),"FALTA (obrigatória)","não"))</f>
        <v>não</v>
      </c>
    </row>
    <row r="1449" customFormat="false" ht="15" hidden="false" customHeight="false" outlineLevel="0" collapsed="false">
      <c r="A1449" s="7" t="str">
        <f aca="false">B1449&amp;"."&amp;E1449</f>
        <v>vendas.status</v>
      </c>
      <c r="B1449" s="7" t="s">
        <v>244</v>
      </c>
      <c r="C1449" s="7" t="s">
        <v>72</v>
      </c>
      <c r="D1449" s="7" t="n">
        <v>9</v>
      </c>
      <c r="E1449" s="7" t="s">
        <v>293</v>
      </c>
      <c r="F1449" s="7" t="s">
        <v>261</v>
      </c>
      <c r="G1449" s="7" t="s">
        <v>262</v>
      </c>
      <c r="H1449" s="7" t="s">
        <v>1192</v>
      </c>
      <c r="I1449" s="7"/>
      <c r="J1449" s="7"/>
      <c r="K1449" s="7" t="s">
        <v>1193</v>
      </c>
      <c r="L1449" s="7" t="str">
        <f aca="false">IFERROR(VLOOKUP(IF(ISNUMBER(SEARCH("(",F1449)),LEFT(F1449,SEARCH("(",F1449)-1),F1449),Tipos!$A:$B,2,FALSE()),"outro")</f>
        <v>texto</v>
      </c>
      <c r="M1449" s="7" t="str">
        <f aca="false">IF(COUNTIF(Comparação!$H:$H,A1449)&gt;0,"sim",IF(AND(G1449="sim",H1449=""),"FALTA (obrigatória)","não"))</f>
        <v>não</v>
      </c>
    </row>
    <row r="1450" customFormat="false" ht="15" hidden="false" customHeight="false" outlineLevel="0" collapsed="false">
      <c r="A1450" s="7" t="str">
        <f aca="false">B1450&amp;"."&amp;E1450</f>
        <v>vendas.data_venda</v>
      </c>
      <c r="B1450" s="7" t="s">
        <v>244</v>
      </c>
      <c r="C1450" s="7" t="s">
        <v>72</v>
      </c>
      <c r="D1450" s="7" t="n">
        <v>10</v>
      </c>
      <c r="E1450" s="7" t="s">
        <v>1194</v>
      </c>
      <c r="F1450" s="7" t="s">
        <v>285</v>
      </c>
      <c r="G1450" s="7" t="s">
        <v>262</v>
      </c>
      <c r="H1450" s="7" t="s">
        <v>286</v>
      </c>
      <c r="I1450" s="7"/>
      <c r="J1450" s="7"/>
      <c r="K1450" s="7"/>
      <c r="L1450" s="7" t="str">
        <f aca="false">IFERROR(VLOOKUP(IF(ISNUMBER(SEARCH("(",F1450)),LEFT(F1450,SEARCH("(",F1450)-1),F1450),Tipos!$A:$B,2,FALSE()),"outro")</f>
        <v>data e hora</v>
      </c>
      <c r="M1450" s="7" t="str">
        <f aca="false">IF(COUNTIF(Comparação!$H:$H,A1450)&gt;0,"sim",IF(AND(G1450="sim",H1450=""),"FALTA (obrigatória)","não"))</f>
        <v>não</v>
      </c>
    </row>
    <row r="1451" customFormat="false" ht="15" hidden="false" customHeight="false" outlineLevel="0" collapsed="false">
      <c r="A1451" s="7" t="str">
        <f aca="false">B1451&amp;"."&amp;E1451</f>
        <v>vendas.valor_bruto</v>
      </c>
      <c r="B1451" s="7" t="s">
        <v>244</v>
      </c>
      <c r="C1451" s="7" t="s">
        <v>72</v>
      </c>
      <c r="D1451" s="7" t="n">
        <v>11</v>
      </c>
      <c r="E1451" s="7" t="s">
        <v>1195</v>
      </c>
      <c r="F1451" s="7" t="s">
        <v>354</v>
      </c>
      <c r="G1451" s="7" t="s">
        <v>262</v>
      </c>
      <c r="H1451" s="7"/>
      <c r="I1451" s="7"/>
      <c r="J1451" s="7"/>
      <c r="K1451" s="7" t="s">
        <v>1196</v>
      </c>
      <c r="L1451" s="7" t="str">
        <f aca="false">IFERROR(VLOOKUP(IF(ISNUMBER(SEARCH("(",F1451)),LEFT(F1451,SEARCH("(",F1451)-1),F1451),Tipos!$A:$B,2,FALSE()),"outro")</f>
        <v>decimal</v>
      </c>
      <c r="M1451" s="7" t="str">
        <f aca="false">IF(COUNTIF(Comparação!$H:$H,A1451)&gt;0,"sim",IF(AND(G1451="sim",H1451=""),"FALTA (obrigatória)","não"))</f>
        <v>FALTA (obrigatória)</v>
      </c>
    </row>
    <row r="1452" customFormat="false" ht="15" hidden="false" customHeight="false" outlineLevel="0" collapsed="false">
      <c r="A1452" s="7" t="str">
        <f aca="false">B1452&amp;"."&amp;E1452</f>
        <v>vendas.taxa_plataforma</v>
      </c>
      <c r="B1452" s="7" t="s">
        <v>244</v>
      </c>
      <c r="C1452" s="7" t="s">
        <v>72</v>
      </c>
      <c r="D1452" s="7" t="n">
        <v>12</v>
      </c>
      <c r="E1452" s="7" t="s">
        <v>1197</v>
      </c>
      <c r="F1452" s="7" t="s">
        <v>354</v>
      </c>
      <c r="G1452" s="7" t="s">
        <v>267</v>
      </c>
      <c r="H1452" s="7"/>
      <c r="I1452" s="7"/>
      <c r="J1452" s="7"/>
      <c r="K1452" s="7"/>
      <c r="L1452" s="7" t="str">
        <f aca="false">IFERROR(VLOOKUP(IF(ISNUMBER(SEARCH("(",F1452)),LEFT(F1452,SEARCH("(",F1452)-1),F1452),Tipos!$A:$B,2,FALSE()),"outro")</f>
        <v>decimal</v>
      </c>
      <c r="M1452" s="7" t="str">
        <f aca="false">IF(COUNTIF(Comparação!$H:$H,A1452)&gt;0,"sim",IF(AND(G1452="sim",H1452=""),"FALTA (obrigatória)","não"))</f>
        <v>não</v>
      </c>
    </row>
    <row r="1453" customFormat="false" ht="15" hidden="false" customHeight="false" outlineLevel="0" collapsed="false">
      <c r="A1453" s="7" t="str">
        <f aca="false">B1453&amp;"."&amp;E1453</f>
        <v>vendas.impostos</v>
      </c>
      <c r="B1453" s="7" t="s">
        <v>244</v>
      </c>
      <c r="C1453" s="7" t="s">
        <v>72</v>
      </c>
      <c r="D1453" s="7" t="n">
        <v>13</v>
      </c>
      <c r="E1453" s="7" t="s">
        <v>1198</v>
      </c>
      <c r="F1453" s="7" t="s">
        <v>354</v>
      </c>
      <c r="G1453" s="7" t="s">
        <v>267</v>
      </c>
      <c r="H1453" s="7"/>
      <c r="I1453" s="7"/>
      <c r="J1453" s="7"/>
      <c r="K1453" s="7"/>
      <c r="L1453" s="7" t="str">
        <f aca="false">IFERROR(VLOOKUP(IF(ISNUMBER(SEARCH("(",F1453)),LEFT(F1453,SEARCH("(",F1453)-1),F1453),Tipos!$A:$B,2,FALSE()),"outro")</f>
        <v>decimal</v>
      </c>
      <c r="M1453" s="7" t="str">
        <f aca="false">IF(COUNTIF(Comparação!$H:$H,A1453)&gt;0,"sim",IF(AND(G1453="sim",H1453=""),"FALTA (obrigatória)","não"))</f>
        <v>não</v>
      </c>
    </row>
    <row r="1454" customFormat="false" ht="15" hidden="false" customHeight="false" outlineLevel="0" collapsed="false">
      <c r="A1454" s="7" t="str">
        <f aca="false">B1454&amp;"."&amp;E1454</f>
        <v>vendas.valor_a_receber</v>
      </c>
      <c r="B1454" s="7" t="s">
        <v>244</v>
      </c>
      <c r="C1454" s="7" t="s">
        <v>72</v>
      </c>
      <c r="D1454" s="7" t="n">
        <v>14</v>
      </c>
      <c r="E1454" s="7" t="s">
        <v>1199</v>
      </c>
      <c r="F1454" s="7" t="s">
        <v>354</v>
      </c>
      <c r="G1454" s="7" t="s">
        <v>267</v>
      </c>
      <c r="H1454" s="7"/>
      <c r="I1454" s="7"/>
      <c r="J1454" s="7"/>
      <c r="K1454" s="7"/>
      <c r="L1454" s="7" t="str">
        <f aca="false">IFERROR(VLOOKUP(IF(ISNUMBER(SEARCH("(",F1454)),LEFT(F1454,SEARCH("(",F1454)-1),F1454),Tipos!$A:$B,2,FALSE()),"outro")</f>
        <v>decimal</v>
      </c>
      <c r="M1454" s="7" t="str">
        <f aca="false">IF(COUNTIF(Comparação!$H:$H,A1454)&gt;0,"sim",IF(AND(G1454="sim",H1454=""),"FALTA (obrigatória)","não"))</f>
        <v>não</v>
      </c>
    </row>
    <row r="1455" customFormat="false" ht="15" hidden="false" customHeight="false" outlineLevel="0" collapsed="false">
      <c r="A1455" s="7" t="str">
        <f aca="false">B1455&amp;"."&amp;E1455</f>
        <v>vendas.valor_liquido</v>
      </c>
      <c r="B1455" s="7" t="s">
        <v>244</v>
      </c>
      <c r="C1455" s="7" t="s">
        <v>72</v>
      </c>
      <c r="D1455" s="7" t="n">
        <v>15</v>
      </c>
      <c r="E1455" s="7" t="s">
        <v>1200</v>
      </c>
      <c r="F1455" s="7" t="s">
        <v>354</v>
      </c>
      <c r="G1455" s="7" t="s">
        <v>267</v>
      </c>
      <c r="H1455" s="7"/>
      <c r="I1455" s="7"/>
      <c r="J1455" s="7"/>
      <c r="K1455" s="7"/>
      <c r="L1455" s="7" t="str">
        <f aca="false">IFERROR(VLOOKUP(IF(ISNUMBER(SEARCH("(",F1455)),LEFT(F1455,SEARCH("(",F1455)-1),F1455),Tipos!$A:$B,2,FALSE()),"outro")</f>
        <v>decimal</v>
      </c>
      <c r="M1455" s="7" t="str">
        <f aca="false">IF(COUNTIF(Comparação!$H:$H,A1455)&gt;0,"sim",IF(AND(G1455="sim",H1455=""),"FALTA (obrigatória)","não"))</f>
        <v>não</v>
      </c>
    </row>
    <row r="1456" customFormat="false" ht="15" hidden="false" customHeight="false" outlineLevel="0" collapsed="false">
      <c r="A1456" s="7" t="str">
        <f aca="false">B1456&amp;"."&amp;E1456</f>
        <v>vendas.data_prevista_recebimento</v>
      </c>
      <c r="B1456" s="7" t="s">
        <v>244</v>
      </c>
      <c r="C1456" s="7" t="s">
        <v>72</v>
      </c>
      <c r="D1456" s="7" t="n">
        <v>16</v>
      </c>
      <c r="E1456" s="7" t="s">
        <v>1201</v>
      </c>
      <c r="F1456" s="7" t="s">
        <v>379</v>
      </c>
      <c r="G1456" s="7" t="s">
        <v>267</v>
      </c>
      <c r="H1456" s="7"/>
      <c r="I1456" s="7"/>
      <c r="J1456" s="7"/>
      <c r="K1456" s="7"/>
      <c r="L1456" s="7" t="str">
        <f aca="false">IFERROR(VLOOKUP(IF(ISNUMBER(SEARCH("(",F1456)),LEFT(F1456,SEARCH("(",F1456)-1),F1456),Tipos!$A:$B,2,FALSE()),"outro")</f>
        <v>data</v>
      </c>
      <c r="M1456" s="7" t="str">
        <f aca="false">IF(COUNTIF(Comparação!$H:$H,A1456)&gt;0,"sim",IF(AND(G1456="sim",H1456=""),"FALTA (obrigatória)","não"))</f>
        <v>não</v>
      </c>
    </row>
    <row r="1457" customFormat="false" ht="15" hidden="false" customHeight="false" outlineLevel="0" collapsed="false">
      <c r="A1457" s="7" t="str">
        <f aca="false">B1457&amp;"."&amp;E1457</f>
        <v>vendas.conta_bancaria_id</v>
      </c>
      <c r="B1457" s="7" t="s">
        <v>244</v>
      </c>
      <c r="C1457" s="7" t="s">
        <v>72</v>
      </c>
      <c r="D1457" s="7" t="n">
        <v>17</v>
      </c>
      <c r="E1457" s="7" t="s">
        <v>538</v>
      </c>
      <c r="F1457" s="7" t="s">
        <v>272</v>
      </c>
      <c r="G1457" s="7" t="s">
        <v>267</v>
      </c>
      <c r="H1457" s="7"/>
      <c r="I1457" s="7"/>
      <c r="J1457" s="7" t="s">
        <v>539</v>
      </c>
      <c r="K1457" s="7"/>
      <c r="L1457" s="7" t="str">
        <f aca="false">IFERROR(VLOOKUP(IF(ISNUMBER(SEARCH("(",F1457)),LEFT(F1457,SEARCH("(",F1457)-1),F1457),Tipos!$A:$B,2,FALSE()),"outro")</f>
        <v>uuid</v>
      </c>
      <c r="M1457" s="7" t="str">
        <f aca="false">IF(COUNTIF(Comparação!$H:$H,A1457)&gt;0,"sim",IF(AND(G1457="sim",H1457=""),"FALTA (obrigatória)","não"))</f>
        <v>não</v>
      </c>
    </row>
    <row r="1458" customFormat="false" ht="15" hidden="false" customHeight="false" outlineLevel="0" collapsed="false">
      <c r="A1458" s="7" t="str">
        <f aca="false">B1458&amp;"."&amp;E1458</f>
        <v>vendas.id_externo</v>
      </c>
      <c r="B1458" s="7" t="s">
        <v>244</v>
      </c>
      <c r="C1458" s="7" t="s">
        <v>72</v>
      </c>
      <c r="D1458" s="7" t="n">
        <v>18</v>
      </c>
      <c r="E1458" s="7" t="s">
        <v>308</v>
      </c>
      <c r="F1458" s="7" t="s">
        <v>261</v>
      </c>
      <c r="G1458" s="7" t="s">
        <v>267</v>
      </c>
      <c r="H1458" s="7"/>
      <c r="I1458" s="7"/>
      <c r="J1458" s="7"/>
      <c r="K1458" s="7"/>
      <c r="L1458" s="7" t="str">
        <f aca="false">IFERROR(VLOOKUP(IF(ISNUMBER(SEARCH("(",F1458)),LEFT(F1458,SEARCH("(",F1458)-1),F1458),Tipos!$A:$B,2,FALSE()),"outro")</f>
        <v>texto</v>
      </c>
      <c r="M1458" s="7" t="str">
        <f aca="false">IF(COUNTIF(Comparação!$H:$H,A1458)&gt;0,"sim",IF(AND(G1458="sim",H1458=""),"FALTA (obrigatória)","não"))</f>
        <v>não</v>
      </c>
    </row>
    <row r="1459" customFormat="false" ht="15" hidden="false" customHeight="false" outlineLevel="0" collapsed="false">
      <c r="A1459" s="7" t="str">
        <f aca="false">B1459&amp;"."&amp;E1459</f>
        <v>vendas.criado_em</v>
      </c>
      <c r="B1459" s="7" t="s">
        <v>244</v>
      </c>
      <c r="C1459" s="7" t="s">
        <v>72</v>
      </c>
      <c r="D1459" s="7" t="n">
        <v>19</v>
      </c>
      <c r="E1459" s="7" t="s">
        <v>344</v>
      </c>
      <c r="F1459" s="7" t="s">
        <v>285</v>
      </c>
      <c r="G1459" s="7" t="s">
        <v>262</v>
      </c>
      <c r="H1459" s="7" t="s">
        <v>286</v>
      </c>
      <c r="I1459" s="7"/>
      <c r="J1459" s="7"/>
      <c r="K1459" s="7"/>
      <c r="L1459" s="7" t="str">
        <f aca="false">IFERROR(VLOOKUP(IF(ISNUMBER(SEARCH("(",F1459)),LEFT(F1459,SEARCH("(",F1459)-1),F1459),Tipos!$A:$B,2,FALSE()),"outro")</f>
        <v>data e hora</v>
      </c>
      <c r="M1459" s="7" t="str">
        <f aca="false">IF(COUNTIF(Comparação!$H:$H,A1459)&gt;0,"sim",IF(AND(G1459="sim",H1459=""),"FALTA (obrigatória)","não"))</f>
        <v>não</v>
      </c>
    </row>
    <row r="1460" customFormat="false" ht="15" hidden="false" customHeight="false" outlineLevel="0" collapsed="false">
      <c r="A1460" s="7" t="str">
        <f aca="false">B1460&amp;"."&amp;E1460</f>
        <v>vendas.vendedor_id</v>
      </c>
      <c r="B1460" s="7" t="s">
        <v>244</v>
      </c>
      <c r="C1460" s="7" t="s">
        <v>72</v>
      </c>
      <c r="D1460" s="7" t="n">
        <v>20</v>
      </c>
      <c r="E1460" s="7" t="s">
        <v>664</v>
      </c>
      <c r="F1460" s="7" t="s">
        <v>272</v>
      </c>
      <c r="G1460" s="7" t="s">
        <v>267</v>
      </c>
      <c r="H1460" s="7"/>
      <c r="I1460" s="7"/>
      <c r="J1460" s="7"/>
      <c r="K1460" s="7"/>
      <c r="L1460" s="7" t="str">
        <f aca="false">IFERROR(VLOOKUP(IF(ISNUMBER(SEARCH("(",F1460)),LEFT(F1460,SEARCH("(",F1460)-1),F1460),Tipos!$A:$B,2,FALSE()),"outro")</f>
        <v>uuid</v>
      </c>
      <c r="M1460" s="7" t="str">
        <f aca="false">IF(COUNTIF(Comparação!$H:$H,A1460)&gt;0,"sim",IF(AND(G1460="sim",H1460=""),"FALTA (obrigatória)","não"))</f>
        <v>não</v>
      </c>
    </row>
    <row r="1461" customFormat="false" ht="15" hidden="false" customHeight="false" outlineLevel="0" collapsed="false">
      <c r="A1461" s="7" t="str">
        <f aca="false">B1461&amp;"."&amp;E1461</f>
        <v>vendas.extras</v>
      </c>
      <c r="B1461" s="7" t="s">
        <v>244</v>
      </c>
      <c r="C1461" s="7" t="s">
        <v>72</v>
      </c>
      <c r="D1461" s="7" t="n">
        <v>21</v>
      </c>
      <c r="E1461" s="7" t="s">
        <v>485</v>
      </c>
      <c r="F1461" s="7" t="s">
        <v>324</v>
      </c>
      <c r="G1461" s="7" t="s">
        <v>262</v>
      </c>
      <c r="H1461" s="7" t="s">
        <v>347</v>
      </c>
      <c r="I1461" s="7"/>
      <c r="J1461" s="7"/>
      <c r="K1461" s="7" t="s">
        <v>486</v>
      </c>
      <c r="L1461" s="7" t="str">
        <f aca="false">IFERROR(VLOOKUP(IF(ISNUMBER(SEARCH("(",F1461)),LEFT(F1461,SEARCH("(",F1461)-1),F1461),Tipos!$A:$B,2,FALSE()),"outro")</f>
        <v>json</v>
      </c>
      <c r="M1461" s="7" t="str">
        <f aca="false">IF(COUNTIF(Comparação!$H:$H,A1461)&gt;0,"sim",IF(AND(G1461="sim",H1461=""),"FALTA (obrigatória)","não"))</f>
        <v>não</v>
      </c>
    </row>
    <row r="1462" customFormat="false" ht="15" hidden="false" customHeight="false" outlineLevel="0" collapsed="false">
      <c r="A1462" s="7" t="str">
        <f aca="false">B1462&amp;"."&amp;E1462</f>
        <v>vendas.canal_fechamento</v>
      </c>
      <c r="B1462" s="7" t="s">
        <v>244</v>
      </c>
      <c r="C1462" s="7" t="s">
        <v>72</v>
      </c>
      <c r="D1462" s="7" t="n">
        <v>22</v>
      </c>
      <c r="E1462" s="7" t="s">
        <v>1202</v>
      </c>
      <c r="F1462" s="7" t="s">
        <v>261</v>
      </c>
      <c r="G1462" s="7" t="s">
        <v>267</v>
      </c>
      <c r="H1462" s="7"/>
      <c r="I1462" s="7"/>
      <c r="J1462" s="7"/>
      <c r="K1462" s="7" t="s">
        <v>1203</v>
      </c>
      <c r="L1462" s="7" t="str">
        <f aca="false">IFERROR(VLOOKUP(IF(ISNUMBER(SEARCH("(",F1462)),LEFT(F1462,SEARCH("(",F1462)-1),F1462),Tipos!$A:$B,2,FALSE()),"outro")</f>
        <v>texto</v>
      </c>
      <c r="M1462" s="7" t="str">
        <f aca="false">IF(COUNTIF(Comparação!$H:$H,A1462)&gt;0,"sim",IF(AND(G1462="sim",H1462=""),"FALTA (obrigatória)","não"))</f>
        <v>não</v>
      </c>
    </row>
    <row r="1463" customFormat="false" ht="15" hidden="false" customHeight="false" outlineLevel="0" collapsed="false">
      <c r="A1463" s="7" t="str">
        <f aca="false">B1463&amp;"."&amp;E1463</f>
        <v>vendas.utm_source</v>
      </c>
      <c r="B1463" s="7" t="s">
        <v>244</v>
      </c>
      <c r="C1463" s="7" t="s">
        <v>72</v>
      </c>
      <c r="D1463" s="7" t="n">
        <v>23</v>
      </c>
      <c r="E1463" s="7" t="s">
        <v>420</v>
      </c>
      <c r="F1463" s="7" t="s">
        <v>261</v>
      </c>
      <c r="G1463" s="7" t="s">
        <v>267</v>
      </c>
      <c r="H1463" s="7"/>
      <c r="I1463" s="7"/>
      <c r="J1463" s="7"/>
      <c r="K1463" s="7"/>
      <c r="L1463" s="7" t="str">
        <f aca="false">IFERROR(VLOOKUP(IF(ISNUMBER(SEARCH("(",F1463)),LEFT(F1463,SEARCH("(",F1463)-1),F1463),Tipos!$A:$B,2,FALSE()),"outro")</f>
        <v>texto</v>
      </c>
      <c r="M1463" s="7" t="str">
        <f aca="false">IF(COUNTIF(Comparação!$H:$H,A1463)&gt;0,"sim",IF(AND(G1463="sim",H1463=""),"FALTA (obrigatória)","não"))</f>
        <v>não</v>
      </c>
    </row>
    <row r="1464" customFormat="false" ht="15" hidden="false" customHeight="false" outlineLevel="0" collapsed="false">
      <c r="A1464" s="7" t="str">
        <f aca="false">B1464&amp;"."&amp;E1464</f>
        <v>vendas.utm_medium</v>
      </c>
      <c r="B1464" s="7" t="s">
        <v>244</v>
      </c>
      <c r="C1464" s="7" t="s">
        <v>72</v>
      </c>
      <c r="D1464" s="7" t="n">
        <v>24</v>
      </c>
      <c r="E1464" s="7" t="s">
        <v>421</v>
      </c>
      <c r="F1464" s="7" t="s">
        <v>261</v>
      </c>
      <c r="G1464" s="7" t="s">
        <v>267</v>
      </c>
      <c r="H1464" s="7"/>
      <c r="I1464" s="7"/>
      <c r="J1464" s="7"/>
      <c r="K1464" s="7"/>
      <c r="L1464" s="7" t="str">
        <f aca="false">IFERROR(VLOOKUP(IF(ISNUMBER(SEARCH("(",F1464)),LEFT(F1464,SEARCH("(",F1464)-1),F1464),Tipos!$A:$B,2,FALSE()),"outro")</f>
        <v>texto</v>
      </c>
      <c r="M1464" s="7" t="str">
        <f aca="false">IF(COUNTIF(Comparação!$H:$H,A1464)&gt;0,"sim",IF(AND(G1464="sim",H1464=""),"FALTA (obrigatória)","não"))</f>
        <v>não</v>
      </c>
    </row>
    <row r="1465" customFormat="false" ht="15" hidden="false" customHeight="false" outlineLevel="0" collapsed="false">
      <c r="A1465" s="7" t="str">
        <f aca="false">B1465&amp;"."&amp;E1465</f>
        <v>vendas.utm_campaign</v>
      </c>
      <c r="B1465" s="7" t="s">
        <v>244</v>
      </c>
      <c r="C1465" s="7" t="s">
        <v>72</v>
      </c>
      <c r="D1465" s="7" t="n">
        <v>25</v>
      </c>
      <c r="E1465" s="7" t="s">
        <v>352</v>
      </c>
      <c r="F1465" s="7" t="s">
        <v>261</v>
      </c>
      <c r="G1465" s="7" t="s">
        <v>267</v>
      </c>
      <c r="H1465" s="7"/>
      <c r="I1465" s="7"/>
      <c r="J1465" s="7"/>
      <c r="K1465" s="7"/>
      <c r="L1465" s="7" t="str">
        <f aca="false">IFERROR(VLOOKUP(IF(ISNUMBER(SEARCH("(",F1465)),LEFT(F1465,SEARCH("(",F1465)-1),F1465),Tipos!$A:$B,2,FALSE()),"outro")</f>
        <v>texto</v>
      </c>
      <c r="M1465" s="7" t="str">
        <f aca="false">IF(COUNTIF(Comparação!$H:$H,A1465)&gt;0,"sim",IF(AND(G1465="sim",H1465=""),"FALTA (obrigatória)","não"))</f>
        <v>não</v>
      </c>
    </row>
    <row r="1466" customFormat="false" ht="15" hidden="false" customHeight="false" outlineLevel="0" collapsed="false">
      <c r="A1466" s="7" t="str">
        <f aca="false">B1466&amp;"."&amp;E1466</f>
        <v>vendas.utm_content</v>
      </c>
      <c r="B1466" s="7" t="s">
        <v>244</v>
      </c>
      <c r="C1466" s="7" t="s">
        <v>72</v>
      </c>
      <c r="D1466" s="7" t="n">
        <v>26</v>
      </c>
      <c r="E1466" s="7" t="s">
        <v>306</v>
      </c>
      <c r="F1466" s="7" t="s">
        <v>261</v>
      </c>
      <c r="G1466" s="7" t="s">
        <v>267</v>
      </c>
      <c r="H1466" s="7"/>
      <c r="I1466" s="7"/>
      <c r="J1466" s="7"/>
      <c r="K1466" s="7"/>
      <c r="L1466" s="7" t="str">
        <f aca="false">IFERROR(VLOOKUP(IF(ISNUMBER(SEARCH("(",F1466)),LEFT(F1466,SEARCH("(",F1466)-1),F1466),Tipos!$A:$B,2,FALSE()),"outro")</f>
        <v>texto</v>
      </c>
      <c r="M1466" s="7" t="str">
        <f aca="false">IF(COUNTIF(Comparação!$H:$H,A1466)&gt;0,"sim",IF(AND(G1466="sim",H1466=""),"FALTA (obrigatória)","não"))</f>
        <v>não</v>
      </c>
    </row>
    <row r="1467" customFormat="false" ht="15" hidden="false" customHeight="false" outlineLevel="0" collapsed="false">
      <c r="A1467" s="7" t="str">
        <f aca="false">B1467&amp;"."&amp;E1467</f>
        <v>vendas.comprador_email</v>
      </c>
      <c r="B1467" s="7" t="s">
        <v>244</v>
      </c>
      <c r="C1467" s="7" t="s">
        <v>72</v>
      </c>
      <c r="D1467" s="7" t="n">
        <v>27</v>
      </c>
      <c r="E1467" s="7" t="s">
        <v>1204</v>
      </c>
      <c r="F1467" s="7" t="s">
        <v>261</v>
      </c>
      <c r="G1467" s="7" t="s">
        <v>267</v>
      </c>
      <c r="H1467" s="7"/>
      <c r="I1467" s="7"/>
      <c r="J1467" s="7"/>
      <c r="K1467" s="7"/>
      <c r="L1467" s="7" t="str">
        <f aca="false">IFERROR(VLOOKUP(IF(ISNUMBER(SEARCH("(",F1467)),LEFT(F1467,SEARCH("(",F1467)-1),F1467),Tipos!$A:$B,2,FALSE()),"outro")</f>
        <v>texto</v>
      </c>
      <c r="M1467" s="7" t="str">
        <f aca="false">IF(COUNTIF(Comparação!$H:$H,A1467)&gt;0,"sim",IF(AND(G1467="sim",H1467=""),"FALTA (obrigatória)","não"))</f>
        <v>não</v>
      </c>
    </row>
    <row r="1468" customFormat="false" ht="15" hidden="false" customHeight="false" outlineLevel="0" collapsed="false">
      <c r="A1468" s="7" t="str">
        <f aca="false">B1468&amp;"."&amp;E1468</f>
        <v>vendas.comprador_telefone</v>
      </c>
      <c r="B1468" s="7" t="s">
        <v>244</v>
      </c>
      <c r="C1468" s="7" t="s">
        <v>72</v>
      </c>
      <c r="D1468" s="7" t="n">
        <v>28</v>
      </c>
      <c r="E1468" s="7" t="s">
        <v>1205</v>
      </c>
      <c r="F1468" s="7" t="s">
        <v>261</v>
      </c>
      <c r="G1468" s="7" t="s">
        <v>267</v>
      </c>
      <c r="H1468" s="7"/>
      <c r="I1468" s="7"/>
      <c r="J1468" s="7"/>
      <c r="K1468" s="7"/>
      <c r="L1468" s="7" t="str">
        <f aca="false">IFERROR(VLOOKUP(IF(ISNUMBER(SEARCH("(",F1468)),LEFT(F1468,SEARCH("(",F1468)-1),F1468),Tipos!$A:$B,2,FALSE()),"outro")</f>
        <v>texto</v>
      </c>
      <c r="M1468" s="7" t="str">
        <f aca="false">IF(COUNTIF(Comparação!$H:$H,A1468)&gt;0,"sim",IF(AND(G1468="sim",H1468=""),"FALTA (obrigatória)","não"))</f>
        <v>não</v>
      </c>
    </row>
    <row r="1469" customFormat="false" ht="15" hidden="false" customHeight="false" outlineLevel="0" collapsed="false">
      <c r="A1469" s="7" t="str">
        <f aca="false">B1469&amp;"."&amp;E1469</f>
        <v>vendas.aprovada_em</v>
      </c>
      <c r="B1469" s="7" t="s">
        <v>244</v>
      </c>
      <c r="C1469" s="7" t="s">
        <v>72</v>
      </c>
      <c r="D1469" s="7" t="n">
        <v>29</v>
      </c>
      <c r="E1469" s="7" t="s">
        <v>1206</v>
      </c>
      <c r="F1469" s="7" t="s">
        <v>285</v>
      </c>
      <c r="G1469" s="7" t="s">
        <v>267</v>
      </c>
      <c r="H1469" s="7"/>
      <c r="I1469" s="7"/>
      <c r="J1469" s="7"/>
      <c r="K1469" s="7"/>
      <c r="L1469" s="7" t="str">
        <f aca="false">IFERROR(VLOOKUP(IF(ISNUMBER(SEARCH("(",F1469)),LEFT(F1469,SEARCH("(",F1469)-1),F1469),Tipos!$A:$B,2,FALSE()),"outro")</f>
        <v>data e hora</v>
      </c>
      <c r="M1469" s="7" t="str">
        <f aca="false">IF(COUNTIF(Comparação!$H:$H,A1469)&gt;0,"sim",IF(AND(G1469="sim",H1469=""),"FALTA (obrigatória)","não"))</f>
        <v>não</v>
      </c>
    </row>
    <row r="1470" customFormat="false" ht="15" hidden="false" customHeight="false" outlineLevel="0" collapsed="false">
      <c r="A1470" s="7" t="str">
        <f aca="false">B1470&amp;"."&amp;E1470</f>
        <v>vendas.reembolsada_em</v>
      </c>
      <c r="B1470" s="7" t="s">
        <v>244</v>
      </c>
      <c r="C1470" s="7" t="s">
        <v>72</v>
      </c>
      <c r="D1470" s="7" t="n">
        <v>30</v>
      </c>
      <c r="E1470" s="7" t="s">
        <v>1207</v>
      </c>
      <c r="F1470" s="7" t="s">
        <v>285</v>
      </c>
      <c r="G1470" s="7" t="s">
        <v>267</v>
      </c>
      <c r="H1470" s="7"/>
      <c r="I1470" s="7"/>
      <c r="J1470" s="7"/>
      <c r="K1470" s="7"/>
      <c r="L1470" s="7" t="str">
        <f aca="false">IFERROR(VLOOKUP(IF(ISNUMBER(SEARCH("(",F1470)),LEFT(F1470,SEARCH("(",F1470)-1),F1470),Tipos!$A:$B,2,FALSE()),"outro")</f>
        <v>data e hora</v>
      </c>
      <c r="M1470" s="7" t="str">
        <f aca="false">IF(COUNTIF(Comparação!$H:$H,A1470)&gt;0,"sim",IF(AND(G1470="sim",H1470=""),"FALTA (obrigatória)","não"))</f>
        <v>não</v>
      </c>
    </row>
    <row r="1471" customFormat="false" ht="15" hidden="false" customHeight="false" outlineLevel="0" collapsed="false">
      <c r="A1471" s="7" t="str">
        <f aca="false">B1471&amp;"."&amp;E1471</f>
        <v>vendas.cancelada_em</v>
      </c>
      <c r="B1471" s="7" t="s">
        <v>244</v>
      </c>
      <c r="C1471" s="7" t="s">
        <v>72</v>
      </c>
      <c r="D1471" s="7" t="n">
        <v>31</v>
      </c>
      <c r="E1471" s="7" t="s">
        <v>1208</v>
      </c>
      <c r="F1471" s="7" t="s">
        <v>285</v>
      </c>
      <c r="G1471" s="7" t="s">
        <v>267</v>
      </c>
      <c r="H1471" s="7"/>
      <c r="I1471" s="7"/>
      <c r="J1471" s="7"/>
      <c r="K1471" s="7"/>
      <c r="L1471" s="7" t="str">
        <f aca="false">IFERROR(VLOOKUP(IF(ISNUMBER(SEARCH("(",F1471)),LEFT(F1471,SEARCH("(",F1471)-1),F1471),Tipos!$A:$B,2,FALSE()),"outro")</f>
        <v>data e hora</v>
      </c>
      <c r="M1471" s="7" t="str">
        <f aca="false">IF(COUNTIF(Comparação!$H:$H,A1471)&gt;0,"sim",IF(AND(G1471="sim",H1471=""),"FALTA (obrigatória)","não"))</f>
        <v>não</v>
      </c>
    </row>
    <row r="1472" customFormat="false" ht="15" hidden="false" customHeight="false" outlineLevel="0" collapsed="false">
      <c r="A1472" s="7" t="str">
        <f aca="false">B1472&amp;"."&amp;E1472</f>
        <v>vendas.origem_dado</v>
      </c>
      <c r="B1472" s="7" t="s">
        <v>244</v>
      </c>
      <c r="C1472" s="7" t="s">
        <v>72</v>
      </c>
      <c r="D1472" s="7" t="n">
        <v>32</v>
      </c>
      <c r="E1472" s="7" t="s">
        <v>1209</v>
      </c>
      <c r="F1472" s="7" t="s">
        <v>261</v>
      </c>
      <c r="G1472" s="7" t="s">
        <v>262</v>
      </c>
      <c r="H1472" s="7" t="s">
        <v>381</v>
      </c>
      <c r="I1472" s="7"/>
      <c r="J1472" s="7"/>
      <c r="K1472" s="7" t="s">
        <v>1210</v>
      </c>
      <c r="L1472" s="7" t="str">
        <f aca="false">IFERROR(VLOOKUP(IF(ISNUMBER(SEARCH("(",F1472)),LEFT(F1472,SEARCH("(",F1472)-1),F1472),Tipos!$A:$B,2,FALSE()),"outro")</f>
        <v>texto</v>
      </c>
      <c r="M1472" s="7" t="str">
        <f aca="false">IF(COUNTIF(Comparação!$H:$H,A1472)&gt;0,"sim",IF(AND(G1472="sim",H1472=""),"FALTA (obrigatória)","não"))</f>
        <v>não</v>
      </c>
    </row>
    <row r="1473" customFormat="false" ht="15" hidden="false" customHeight="false" outlineLevel="0" collapsed="false">
      <c r="A1473" s="7" t="str">
        <f aca="false">B1473&amp;"."&amp;E1473</f>
        <v>vendas.pedido_ref</v>
      </c>
      <c r="B1473" s="7" t="s">
        <v>244</v>
      </c>
      <c r="C1473" s="7" t="s">
        <v>72</v>
      </c>
      <c r="D1473" s="7" t="n">
        <v>33</v>
      </c>
      <c r="E1473" s="7" t="s">
        <v>1211</v>
      </c>
      <c r="F1473" s="7" t="s">
        <v>261</v>
      </c>
      <c r="G1473" s="7" t="s">
        <v>267</v>
      </c>
      <c r="H1473" s="7"/>
      <c r="I1473" s="7"/>
      <c r="J1473" s="7"/>
      <c r="K1473" s="7"/>
      <c r="L1473" s="7" t="str">
        <f aca="false">IFERROR(VLOOKUP(IF(ISNUMBER(SEARCH("(",F1473)),LEFT(F1473,SEARCH("(",F1473)-1),F1473),Tipos!$A:$B,2,FALSE()),"outro")</f>
        <v>texto</v>
      </c>
      <c r="M1473" s="7" t="str">
        <f aca="false">IF(COUNTIF(Comparação!$H:$H,A1473)&gt;0,"sim",IF(AND(G1473="sim",H1473=""),"FALTA (obrigatória)","não"))</f>
        <v>não</v>
      </c>
    </row>
    <row r="1474" customFormat="false" ht="15" hidden="false" customHeight="false" outlineLevel="0" collapsed="false">
      <c r="A1474" s="7" t="str">
        <f aca="false">B1474&amp;"."&amp;E1474</f>
        <v>video_metricas_dia.id</v>
      </c>
      <c r="B1474" s="7" t="s">
        <v>246</v>
      </c>
      <c r="C1474" s="7" t="s">
        <v>31</v>
      </c>
      <c r="D1474" s="7" t="n">
        <v>1</v>
      </c>
      <c r="E1474" s="7" t="s">
        <v>271</v>
      </c>
      <c r="F1474" s="7" t="s">
        <v>272</v>
      </c>
      <c r="G1474" s="7" t="s">
        <v>262</v>
      </c>
      <c r="H1474" s="7" t="s">
        <v>273</v>
      </c>
      <c r="I1474" s="7" t="s">
        <v>263</v>
      </c>
      <c r="J1474" s="7"/>
      <c r="K1474" s="7"/>
      <c r="L1474" s="7" t="str">
        <f aca="false">IFERROR(VLOOKUP(IF(ISNUMBER(SEARCH("(",F1474)),LEFT(F1474,SEARCH("(",F1474)-1),F1474),Tipos!$A:$B,2,FALSE()),"outro")</f>
        <v>uuid</v>
      </c>
      <c r="M1474" s="7" t="str">
        <f aca="false">IF(COUNTIF(Comparação!$H:$H,A1474)&gt;0,"sim",IF(AND(G1474="sim",H1474=""),"FALTA (obrigatória)","não"))</f>
        <v>não</v>
      </c>
    </row>
    <row r="1475" customFormat="false" ht="15" hidden="false" customHeight="false" outlineLevel="0" collapsed="false">
      <c r="A1475" s="7" t="str">
        <f aca="false">B1475&amp;"."&amp;E1475</f>
        <v>video_metricas_dia.workspace_id</v>
      </c>
      <c r="B1475" s="7" t="s">
        <v>246</v>
      </c>
      <c r="C1475" s="7" t="s">
        <v>31</v>
      </c>
      <c r="D1475" s="7" t="n">
        <v>2</v>
      </c>
      <c r="E1475" s="7" t="s">
        <v>274</v>
      </c>
      <c r="F1475" s="7" t="s">
        <v>272</v>
      </c>
      <c r="G1475" s="7" t="s">
        <v>262</v>
      </c>
      <c r="H1475" s="7"/>
      <c r="I1475" s="7"/>
      <c r="J1475" s="7" t="s">
        <v>275</v>
      </c>
      <c r="K1475" s="7"/>
      <c r="L1475" s="7" t="str">
        <f aca="false">IFERROR(VLOOKUP(IF(ISNUMBER(SEARCH("(",F1475)),LEFT(F1475,SEARCH("(",F1475)-1),F1475),Tipos!$A:$B,2,FALSE()),"outro")</f>
        <v>uuid</v>
      </c>
      <c r="M1475" s="7" t="str">
        <f aca="false">IF(COUNTIF(Comparação!$H:$H,A1475)&gt;0,"sim",IF(AND(G1475="sim",H1475=""),"FALTA (obrigatória)","não"))</f>
        <v>FALTA (obrigatória)</v>
      </c>
    </row>
    <row r="1476" customFormat="false" ht="15" hidden="false" customHeight="false" outlineLevel="0" collapsed="false">
      <c r="A1476" s="7" t="str">
        <f aca="false">B1476&amp;"."&amp;E1476</f>
        <v>video_metricas_dia.fonte_id</v>
      </c>
      <c r="B1476" s="7" t="s">
        <v>246</v>
      </c>
      <c r="C1476" s="7" t="s">
        <v>31</v>
      </c>
      <c r="D1476" s="7" t="n">
        <v>3</v>
      </c>
      <c r="E1476" s="7" t="s">
        <v>1114</v>
      </c>
      <c r="F1476" s="7" t="s">
        <v>272</v>
      </c>
      <c r="G1476" s="7" t="s">
        <v>262</v>
      </c>
      <c r="H1476" s="7"/>
      <c r="I1476" s="7" t="s">
        <v>290</v>
      </c>
      <c r="J1476" s="7" t="s">
        <v>1115</v>
      </c>
      <c r="K1476" s="7"/>
      <c r="L1476" s="7" t="str">
        <f aca="false">IFERROR(VLOOKUP(IF(ISNUMBER(SEARCH("(",F1476)),LEFT(F1476,SEARCH("(",F1476)-1),F1476),Tipos!$A:$B,2,FALSE()),"outro")</f>
        <v>uuid</v>
      </c>
      <c r="M1476" s="7" t="str">
        <f aca="false">IF(COUNTIF(Comparação!$H:$H,A1476)&gt;0,"sim",IF(AND(G1476="sim",H1476=""),"FALTA (obrigatória)","não"))</f>
        <v>FALTA (obrigatória)</v>
      </c>
    </row>
    <row r="1477" customFormat="false" ht="15" hidden="false" customHeight="false" outlineLevel="0" collapsed="false">
      <c r="A1477" s="7" t="str">
        <f aca="false">B1477&amp;"."&amp;E1477</f>
        <v>video_metricas_dia.data</v>
      </c>
      <c r="B1477" s="7" t="s">
        <v>246</v>
      </c>
      <c r="C1477" s="7" t="s">
        <v>31</v>
      </c>
      <c r="D1477" s="7" t="n">
        <v>4</v>
      </c>
      <c r="E1477" s="7" t="s">
        <v>378</v>
      </c>
      <c r="F1477" s="7" t="s">
        <v>379</v>
      </c>
      <c r="G1477" s="7" t="s">
        <v>262</v>
      </c>
      <c r="H1477" s="7"/>
      <c r="I1477" s="7" t="s">
        <v>290</v>
      </c>
      <c r="J1477" s="7"/>
      <c r="K1477" s="7"/>
      <c r="L1477" s="7" t="str">
        <f aca="false">IFERROR(VLOOKUP(IF(ISNUMBER(SEARCH("(",F1477)),LEFT(F1477,SEARCH("(",F1477)-1),F1477),Tipos!$A:$B,2,FALSE()),"outro")</f>
        <v>data</v>
      </c>
      <c r="M1477" s="7" t="str">
        <f aca="false">IF(COUNTIF(Comparação!$H:$H,A1477)&gt;0,"sim",IF(AND(G1477="sim",H1477=""),"FALTA (obrigatória)","não"))</f>
        <v>FALTA (obrigatória)</v>
      </c>
    </row>
    <row r="1478" customFormat="false" ht="15" hidden="false" customHeight="false" outlineLevel="0" collapsed="false">
      <c r="A1478" s="7" t="str">
        <f aca="false">B1478&amp;"."&amp;E1478</f>
        <v>video_metricas_dia.plays</v>
      </c>
      <c r="B1478" s="7" t="s">
        <v>246</v>
      </c>
      <c r="C1478" s="7" t="s">
        <v>31</v>
      </c>
      <c r="D1478" s="7" t="n">
        <v>5</v>
      </c>
      <c r="E1478" s="7" t="s">
        <v>1212</v>
      </c>
      <c r="F1478" s="7" t="s">
        <v>269</v>
      </c>
      <c r="G1478" s="7" t="s">
        <v>262</v>
      </c>
      <c r="H1478" s="7" t="s">
        <v>270</v>
      </c>
      <c r="I1478" s="7"/>
      <c r="J1478" s="7"/>
      <c r="K1478" s="7" t="s">
        <v>1213</v>
      </c>
      <c r="L1478" s="7" t="str">
        <f aca="false">IFERROR(VLOOKUP(IF(ISNUMBER(SEARCH("(",F1478)),LEFT(F1478,SEARCH("(",F1478)-1),F1478),Tipos!$A:$B,2,FALSE()),"outro")</f>
        <v>inteiro</v>
      </c>
      <c r="M1478" s="7" t="str">
        <f aca="false">IF(COUNTIF(Comparação!$H:$H,A1478)&gt;0,"sim",IF(AND(G1478="sim",H1478=""),"FALTA (obrigatória)","não"))</f>
        <v>não</v>
      </c>
    </row>
    <row r="1479" customFormat="false" ht="15" hidden="false" customHeight="false" outlineLevel="0" collapsed="false">
      <c r="A1479" s="7" t="str">
        <f aca="false">B1479&amp;"."&amp;E1479</f>
        <v>video_metricas_dia.espectadores</v>
      </c>
      <c r="B1479" s="7" t="s">
        <v>246</v>
      </c>
      <c r="C1479" s="7" t="s">
        <v>31</v>
      </c>
      <c r="D1479" s="7" t="n">
        <v>6</v>
      </c>
      <c r="E1479" s="7" t="s">
        <v>1214</v>
      </c>
      <c r="F1479" s="7" t="s">
        <v>269</v>
      </c>
      <c r="G1479" s="7" t="s">
        <v>262</v>
      </c>
      <c r="H1479" s="7" t="s">
        <v>270</v>
      </c>
      <c r="I1479" s="7"/>
      <c r="J1479" s="7"/>
      <c r="K1479" s="7" t="s">
        <v>1215</v>
      </c>
      <c r="L1479" s="7" t="str">
        <f aca="false">IFERROR(VLOOKUP(IF(ISNUMBER(SEARCH("(",F1479)),LEFT(F1479,SEARCH("(",F1479)-1),F1479),Tipos!$A:$B,2,FALSE()),"outro")</f>
        <v>inteiro</v>
      </c>
      <c r="M1479" s="7" t="str">
        <f aca="false">IF(COUNTIF(Comparação!$H:$H,A1479)&gt;0,"sim",IF(AND(G1479="sim",H1479=""),"FALTA (obrigatória)","não"))</f>
        <v>não</v>
      </c>
    </row>
    <row r="1480" customFormat="false" ht="15" hidden="false" customHeight="false" outlineLevel="0" collapsed="false">
      <c r="A1480" s="7" t="str">
        <f aca="false">B1480&amp;"."&amp;E1480</f>
        <v>video_metricas_dia.tempo_assistido_seg</v>
      </c>
      <c r="B1480" s="7" t="s">
        <v>246</v>
      </c>
      <c r="C1480" s="7" t="s">
        <v>31</v>
      </c>
      <c r="D1480" s="7" t="n">
        <v>7</v>
      </c>
      <c r="E1480" s="7" t="s">
        <v>1216</v>
      </c>
      <c r="F1480" s="7" t="s">
        <v>315</v>
      </c>
      <c r="G1480" s="7" t="s">
        <v>262</v>
      </c>
      <c r="H1480" s="7" t="s">
        <v>270</v>
      </c>
      <c r="I1480" s="7"/>
      <c r="J1480" s="7"/>
      <c r="K1480" s="7" t="s">
        <v>1217</v>
      </c>
      <c r="L1480" s="7" t="str">
        <f aca="false">IFERROR(VLOOKUP(IF(ISNUMBER(SEARCH("(",F1480)),LEFT(F1480,SEARCH("(",F1480)-1),F1480),Tipos!$A:$B,2,FALSE()),"outro")</f>
        <v>inteiro</v>
      </c>
      <c r="M1480" s="7" t="str">
        <f aca="false">IF(COUNTIF(Comparação!$H:$H,A1480)&gt;0,"sim",IF(AND(G1480="sim",H1480=""),"FALTA (obrigatória)","não"))</f>
        <v>não</v>
      </c>
    </row>
    <row r="1481" customFormat="false" ht="15" hidden="false" customHeight="false" outlineLevel="0" collapsed="false">
      <c r="A1481" s="7" t="str">
        <f aca="false">B1481&amp;"."&amp;E1481</f>
        <v>video_metricas_dia.retencao_pct</v>
      </c>
      <c r="B1481" s="7" t="s">
        <v>246</v>
      </c>
      <c r="C1481" s="7" t="s">
        <v>31</v>
      </c>
      <c r="D1481" s="7" t="n">
        <v>8</v>
      </c>
      <c r="E1481" s="7" t="s">
        <v>1218</v>
      </c>
      <c r="F1481" s="7" t="s">
        <v>1219</v>
      </c>
      <c r="G1481" s="7" t="s">
        <v>267</v>
      </c>
      <c r="H1481" s="7"/>
      <c r="I1481" s="7"/>
      <c r="J1481" s="7"/>
      <c r="K1481" s="7" t="s">
        <v>1220</v>
      </c>
      <c r="L1481" s="7" t="str">
        <f aca="false">IFERROR(VLOOKUP(IF(ISNUMBER(SEARCH("(",F1481)),LEFT(F1481,SEARCH("(",F1481)-1),F1481),Tipos!$A:$B,2,FALSE()),"outro")</f>
        <v>decimal</v>
      </c>
      <c r="M1481" s="7" t="str">
        <f aca="false">IF(COUNTIF(Comparação!$H:$H,A1481)&gt;0,"sim",IF(AND(G1481="sim",H1481=""),"FALTA (obrigatória)","não"))</f>
        <v>não</v>
      </c>
    </row>
    <row r="1482" customFormat="false" ht="15" hidden="false" customHeight="false" outlineLevel="0" collapsed="false">
      <c r="A1482" s="7" t="str">
        <f aca="false">B1482&amp;"."&amp;E1482</f>
        <v>video_metricas_dia.conclusoes</v>
      </c>
      <c r="B1482" s="7" t="s">
        <v>246</v>
      </c>
      <c r="C1482" s="7" t="s">
        <v>31</v>
      </c>
      <c r="D1482" s="7" t="n">
        <v>9</v>
      </c>
      <c r="E1482" s="7" t="s">
        <v>1221</v>
      </c>
      <c r="F1482" s="7" t="s">
        <v>269</v>
      </c>
      <c r="G1482" s="7" t="s">
        <v>262</v>
      </c>
      <c r="H1482" s="7" t="s">
        <v>270</v>
      </c>
      <c r="I1482" s="7"/>
      <c r="J1482" s="7"/>
      <c r="K1482" s="7" t="s">
        <v>1222</v>
      </c>
      <c r="L1482" s="7" t="str">
        <f aca="false">IFERROR(VLOOKUP(IF(ISNUMBER(SEARCH("(",F1482)),LEFT(F1482,SEARCH("(",F1482)-1),F1482),Tipos!$A:$B,2,FALSE()),"outro")</f>
        <v>inteiro</v>
      </c>
      <c r="M1482" s="7" t="str">
        <f aca="false">IF(COUNTIF(Comparação!$H:$H,A1482)&gt;0,"sim",IF(AND(G1482="sim",H1482=""),"FALTA (obrigatória)","não"))</f>
        <v>não</v>
      </c>
    </row>
    <row r="1483" customFormat="false" ht="15" hidden="false" customHeight="false" outlineLevel="0" collapsed="false">
      <c r="A1483" s="7" t="str">
        <f aca="false">B1483&amp;"."&amp;E1483</f>
        <v>video_metricas_dia.cliques_cta</v>
      </c>
      <c r="B1483" s="7" t="s">
        <v>246</v>
      </c>
      <c r="C1483" s="7" t="s">
        <v>31</v>
      </c>
      <c r="D1483" s="7" t="n">
        <v>10</v>
      </c>
      <c r="E1483" s="7" t="s">
        <v>1223</v>
      </c>
      <c r="F1483" s="7" t="s">
        <v>269</v>
      </c>
      <c r="G1483" s="7" t="s">
        <v>262</v>
      </c>
      <c r="H1483" s="7" t="s">
        <v>270</v>
      </c>
      <c r="I1483" s="7"/>
      <c r="J1483" s="7"/>
      <c r="K1483" s="7" t="s">
        <v>1224</v>
      </c>
      <c r="L1483" s="7" t="str">
        <f aca="false">IFERROR(VLOOKUP(IF(ISNUMBER(SEARCH("(",F1483)),LEFT(F1483,SEARCH("(",F1483)-1),F1483),Tipos!$A:$B,2,FALSE()),"outro")</f>
        <v>inteiro</v>
      </c>
      <c r="M1483" s="7" t="str">
        <f aca="false">IF(COUNTIF(Comparação!$H:$H,A1483)&gt;0,"sim",IF(AND(G1483="sim",H1483=""),"FALTA (obrigatória)","não"))</f>
        <v>não</v>
      </c>
    </row>
    <row r="1484" customFormat="false" ht="15" hidden="false" customHeight="false" outlineLevel="0" collapsed="false">
      <c r="A1484" s="7" t="str">
        <f aca="false">B1484&amp;"."&amp;E1484</f>
        <v>video_metricas_dia.pico_simultaneo</v>
      </c>
      <c r="B1484" s="7" t="s">
        <v>246</v>
      </c>
      <c r="C1484" s="7" t="s">
        <v>31</v>
      </c>
      <c r="D1484" s="7" t="n">
        <v>11</v>
      </c>
      <c r="E1484" s="7" t="s">
        <v>1225</v>
      </c>
      <c r="F1484" s="7" t="s">
        <v>269</v>
      </c>
      <c r="G1484" s="7" t="s">
        <v>262</v>
      </c>
      <c r="H1484" s="7" t="s">
        <v>270</v>
      </c>
      <c r="I1484" s="7"/>
      <c r="J1484" s="7"/>
      <c r="K1484" s="7" t="s">
        <v>1226</v>
      </c>
      <c r="L1484" s="7" t="str">
        <f aca="false">IFERROR(VLOOKUP(IF(ISNUMBER(SEARCH("(",F1484)),LEFT(F1484,SEARCH("(",F1484)-1),F1484),Tipos!$A:$B,2,FALSE()),"outro")</f>
        <v>inteiro</v>
      </c>
      <c r="M1484" s="7" t="str">
        <f aca="false">IF(COUNTIF(Comparação!$H:$H,A1484)&gt;0,"sim",IF(AND(G1484="sim",H1484=""),"FALTA (obrigatória)","não"))</f>
        <v>não</v>
      </c>
    </row>
    <row r="1485" customFormat="false" ht="15" hidden="false" customHeight="false" outlineLevel="0" collapsed="false">
      <c r="A1485" s="7" t="str">
        <f aca="false">B1485&amp;"."&amp;E1485</f>
        <v>video_metricas_dia.origem</v>
      </c>
      <c r="B1485" s="7" t="s">
        <v>246</v>
      </c>
      <c r="C1485" s="7" t="s">
        <v>31</v>
      </c>
      <c r="D1485" s="7" t="n">
        <v>12</v>
      </c>
      <c r="E1485" s="7" t="s">
        <v>302</v>
      </c>
      <c r="F1485" s="7" t="s">
        <v>261</v>
      </c>
      <c r="G1485" s="7" t="s">
        <v>262</v>
      </c>
      <c r="H1485" s="7" t="s">
        <v>945</v>
      </c>
      <c r="I1485" s="7"/>
      <c r="J1485" s="7"/>
      <c r="K1485" s="7" t="s">
        <v>946</v>
      </c>
      <c r="L1485" s="7" t="str">
        <f aca="false">IFERROR(VLOOKUP(IF(ISNUMBER(SEARCH("(",F1485)),LEFT(F1485,SEARCH("(",F1485)-1),F1485),Tipos!$A:$B,2,FALSE()),"outro")</f>
        <v>texto</v>
      </c>
      <c r="M1485" s="7" t="str">
        <f aca="false">IF(COUNTIF(Comparação!$H:$H,A1485)&gt;0,"sim",IF(AND(G1485="sim",H1485=""),"FALTA (obrigatória)","não"))</f>
        <v>não</v>
      </c>
    </row>
    <row r="1486" customFormat="false" ht="15" hidden="false" customHeight="false" outlineLevel="0" collapsed="false">
      <c r="A1486" s="7" t="str">
        <f aca="false">B1486&amp;"."&amp;E1486</f>
        <v>video_metricas_dia.importacao_id</v>
      </c>
      <c r="B1486" s="7" t="s">
        <v>246</v>
      </c>
      <c r="C1486" s="7" t="s">
        <v>31</v>
      </c>
      <c r="D1486" s="7" t="n">
        <v>13</v>
      </c>
      <c r="E1486" s="7" t="s">
        <v>947</v>
      </c>
      <c r="F1486" s="7" t="s">
        <v>272</v>
      </c>
      <c r="G1486" s="7" t="s">
        <v>267</v>
      </c>
      <c r="H1486" s="7"/>
      <c r="I1486" s="7"/>
      <c r="J1486" s="7" t="s">
        <v>948</v>
      </c>
      <c r="K1486" s="7"/>
      <c r="L1486" s="7" t="str">
        <f aca="false">IFERROR(VLOOKUP(IF(ISNUMBER(SEARCH("(",F1486)),LEFT(F1486,SEARCH("(",F1486)-1),F1486),Tipos!$A:$B,2,FALSE()),"outro")</f>
        <v>uuid</v>
      </c>
      <c r="M1486" s="7" t="str">
        <f aca="false">IF(COUNTIF(Comparação!$H:$H,A1486)&gt;0,"sim",IF(AND(G1486="sim",H1486=""),"FALTA (obrigatória)","não"))</f>
        <v>não</v>
      </c>
    </row>
    <row r="1487" customFormat="false" ht="15" hidden="false" customHeight="false" outlineLevel="0" collapsed="false">
      <c r="A1487" s="7" t="str">
        <f aca="false">B1487&amp;"."&amp;E1487</f>
        <v>video_metricas_dia.disponibilidade</v>
      </c>
      <c r="B1487" s="7" t="s">
        <v>246</v>
      </c>
      <c r="C1487" s="7" t="s">
        <v>31</v>
      </c>
      <c r="D1487" s="7" t="n">
        <v>14</v>
      </c>
      <c r="E1487" s="7" t="s">
        <v>383</v>
      </c>
      <c r="F1487" s="7" t="s">
        <v>261</v>
      </c>
      <c r="G1487" s="7" t="s">
        <v>262</v>
      </c>
      <c r="H1487" s="7" t="s">
        <v>384</v>
      </c>
      <c r="I1487" s="7"/>
      <c r="J1487" s="7"/>
      <c r="K1487" s="7" t="s">
        <v>385</v>
      </c>
      <c r="L1487" s="7" t="str">
        <f aca="false">IFERROR(VLOOKUP(IF(ISNUMBER(SEARCH("(",F1487)),LEFT(F1487,SEARCH("(",F1487)-1),F1487),Tipos!$A:$B,2,FALSE()),"outro")</f>
        <v>texto</v>
      </c>
      <c r="M1487" s="7" t="str">
        <f aca="false">IF(COUNTIF(Comparação!$H:$H,A1487)&gt;0,"sim",IF(AND(G1487="sim",H1487=""),"FALTA (obrigatória)","não"))</f>
        <v>não</v>
      </c>
    </row>
    <row r="1488" customFormat="false" ht="15" hidden="false" customHeight="false" outlineLevel="0" collapsed="false">
      <c r="A1488" s="7" t="str">
        <f aca="false">B1488&amp;"."&amp;E1488</f>
        <v>video_metricas_dia.atualizado_na_origem</v>
      </c>
      <c r="B1488" s="7" t="s">
        <v>246</v>
      </c>
      <c r="C1488" s="7" t="s">
        <v>31</v>
      </c>
      <c r="D1488" s="7" t="n">
        <v>15</v>
      </c>
      <c r="E1488" s="7" t="s">
        <v>386</v>
      </c>
      <c r="F1488" s="7" t="s">
        <v>285</v>
      </c>
      <c r="G1488" s="7" t="s">
        <v>267</v>
      </c>
      <c r="H1488" s="7"/>
      <c r="I1488" s="7"/>
      <c r="J1488" s="7"/>
      <c r="K1488" s="7"/>
      <c r="L1488" s="7" t="str">
        <f aca="false">IFERROR(VLOOKUP(IF(ISNUMBER(SEARCH("(",F1488)),LEFT(F1488,SEARCH("(",F1488)-1),F1488),Tipos!$A:$B,2,FALSE()),"outro")</f>
        <v>data e hora</v>
      </c>
      <c r="M1488" s="7" t="str">
        <f aca="false">IF(COUNTIF(Comparação!$H:$H,A1488)&gt;0,"sim",IF(AND(G1488="sim",H1488=""),"FALTA (obrigatória)","não"))</f>
        <v>não</v>
      </c>
    </row>
    <row r="1489" customFormat="false" ht="15" hidden="false" customHeight="false" outlineLevel="0" collapsed="false">
      <c r="A1489" s="7" t="str">
        <f aca="false">B1489&amp;"."&amp;E1489</f>
        <v>workspace_membros.workspace_id</v>
      </c>
      <c r="B1489" s="7" t="s">
        <v>248</v>
      </c>
      <c r="C1489" s="7" t="s">
        <v>24</v>
      </c>
      <c r="D1489" s="7" t="n">
        <v>1</v>
      </c>
      <c r="E1489" s="7" t="s">
        <v>274</v>
      </c>
      <c r="F1489" s="7" t="s">
        <v>272</v>
      </c>
      <c r="G1489" s="7" t="s">
        <v>262</v>
      </c>
      <c r="H1489" s="7"/>
      <c r="I1489" s="7" t="s">
        <v>263</v>
      </c>
      <c r="J1489" s="7" t="s">
        <v>275</v>
      </c>
      <c r="K1489" s="7"/>
      <c r="L1489" s="7" t="str">
        <f aca="false">IFERROR(VLOOKUP(IF(ISNUMBER(SEARCH("(",F1489)),LEFT(F1489,SEARCH("(",F1489)-1),F1489),Tipos!$A:$B,2,FALSE()),"outro")</f>
        <v>uuid</v>
      </c>
      <c r="M1489" s="7" t="str">
        <f aca="false">IF(COUNTIF(Comparação!$H:$H,A1489)&gt;0,"sim",IF(AND(G1489="sim",H1489=""),"FALTA (obrigatória)","não"))</f>
        <v>FALTA (obrigatória)</v>
      </c>
    </row>
    <row r="1490" customFormat="false" ht="15" hidden="false" customHeight="false" outlineLevel="0" collapsed="false">
      <c r="A1490" s="7" t="str">
        <f aca="false">B1490&amp;"."&amp;E1490</f>
        <v>workspace_membros.user_id</v>
      </c>
      <c r="B1490" s="7" t="s">
        <v>248</v>
      </c>
      <c r="C1490" s="7" t="s">
        <v>24</v>
      </c>
      <c r="D1490" s="7" t="n">
        <v>2</v>
      </c>
      <c r="E1490" s="7" t="s">
        <v>667</v>
      </c>
      <c r="F1490" s="7" t="s">
        <v>272</v>
      </c>
      <c r="G1490" s="7" t="s">
        <v>262</v>
      </c>
      <c r="H1490" s="7"/>
      <c r="I1490" s="7" t="s">
        <v>263</v>
      </c>
      <c r="J1490" s="7" t="s">
        <v>708</v>
      </c>
      <c r="K1490" s="7"/>
      <c r="L1490" s="7" t="str">
        <f aca="false">IFERROR(VLOOKUP(IF(ISNUMBER(SEARCH("(",F1490)),LEFT(F1490,SEARCH("(",F1490)-1),F1490),Tipos!$A:$B,2,FALSE()),"outro")</f>
        <v>uuid</v>
      </c>
      <c r="M1490" s="7" t="str">
        <f aca="false">IF(COUNTIF(Comparação!$H:$H,A1490)&gt;0,"sim",IF(AND(G1490="sim",H1490=""),"FALTA (obrigatória)","não"))</f>
        <v>FALTA (obrigatória)</v>
      </c>
    </row>
    <row r="1491" customFormat="false" ht="15" hidden="false" customHeight="false" outlineLevel="0" collapsed="false">
      <c r="A1491" s="7" t="str">
        <f aca="false">B1491&amp;"."&amp;E1491</f>
        <v>workspace_membros.papel</v>
      </c>
      <c r="B1491" s="7" t="s">
        <v>248</v>
      </c>
      <c r="C1491" s="7" t="s">
        <v>24</v>
      </c>
      <c r="D1491" s="7" t="n">
        <v>3</v>
      </c>
      <c r="E1491" s="7" t="s">
        <v>402</v>
      </c>
      <c r="F1491" s="7" t="s">
        <v>261</v>
      </c>
      <c r="G1491" s="7" t="s">
        <v>262</v>
      </c>
      <c r="H1491" s="7" t="s">
        <v>1227</v>
      </c>
      <c r="I1491" s="7"/>
      <c r="J1491" s="7"/>
      <c r="K1491" s="7" t="s">
        <v>1228</v>
      </c>
      <c r="L1491" s="7" t="str">
        <f aca="false">IFERROR(VLOOKUP(IF(ISNUMBER(SEARCH("(",F1491)),LEFT(F1491,SEARCH("(",F1491)-1),F1491),Tipos!$A:$B,2,FALSE()),"outro")</f>
        <v>texto</v>
      </c>
      <c r="M1491" s="7" t="str">
        <f aca="false">IF(COUNTIF(Comparação!$H:$H,A1491)&gt;0,"sim",IF(AND(G1491="sim",H1491=""),"FALTA (obrigatória)","não"))</f>
        <v>não</v>
      </c>
    </row>
    <row r="1492" customFormat="false" ht="15" hidden="false" customHeight="false" outlineLevel="0" collapsed="false">
      <c r="A1492" s="7" t="str">
        <f aca="false">B1492&amp;"."&amp;E1492</f>
        <v>workspace_membros.funcao_id</v>
      </c>
      <c r="B1492" s="7" t="s">
        <v>248</v>
      </c>
      <c r="C1492" s="7" t="s">
        <v>24</v>
      </c>
      <c r="D1492" s="7" t="n">
        <v>4</v>
      </c>
      <c r="E1492" s="7" t="s">
        <v>705</v>
      </c>
      <c r="F1492" s="7" t="s">
        <v>272</v>
      </c>
      <c r="G1492" s="7" t="s">
        <v>267</v>
      </c>
      <c r="H1492" s="7"/>
      <c r="I1492" s="7"/>
      <c r="J1492" s="7" t="s">
        <v>706</v>
      </c>
      <c r="K1492" s="7"/>
      <c r="L1492" s="7" t="str">
        <f aca="false">IFERROR(VLOOKUP(IF(ISNUMBER(SEARCH("(",F1492)),LEFT(F1492,SEARCH("(",F1492)-1),F1492),Tipos!$A:$B,2,FALSE()),"outro")</f>
        <v>uuid</v>
      </c>
      <c r="M1492" s="7" t="str">
        <f aca="false">IF(COUNTIF(Comparação!$H:$H,A1492)&gt;0,"sim",IF(AND(G1492="sim",H1492=""),"FALTA (obrigatória)","não"))</f>
        <v>não</v>
      </c>
    </row>
    <row r="1493" customFormat="false" ht="15" hidden="false" customHeight="false" outlineLevel="0" collapsed="false">
      <c r="A1493" s="7" t="str">
        <f aca="false">B1493&amp;"."&amp;E1493</f>
        <v>workspaces.id</v>
      </c>
      <c r="B1493" s="7" t="s">
        <v>37</v>
      </c>
      <c r="C1493" s="7" t="s">
        <v>24</v>
      </c>
      <c r="D1493" s="7" t="n">
        <v>1</v>
      </c>
      <c r="E1493" s="7" t="s">
        <v>271</v>
      </c>
      <c r="F1493" s="7" t="s">
        <v>272</v>
      </c>
      <c r="G1493" s="7" t="s">
        <v>262</v>
      </c>
      <c r="H1493" s="7" t="s">
        <v>273</v>
      </c>
      <c r="I1493" s="7" t="s">
        <v>263</v>
      </c>
      <c r="J1493" s="7"/>
      <c r="K1493" s="7"/>
      <c r="L1493" s="7" t="str">
        <f aca="false">IFERROR(VLOOKUP(IF(ISNUMBER(SEARCH("(",F1493)),LEFT(F1493,SEARCH("(",F1493)-1),F1493),Tipos!$A:$B,2,FALSE()),"outro")</f>
        <v>uuid</v>
      </c>
      <c r="M1493" s="7" t="str">
        <f aca="false">IF(COUNTIF(Comparação!$H:$H,A1493)&gt;0,"sim",IF(AND(G1493="sim",H1493=""),"FALTA (obrigatória)","não"))</f>
        <v>não</v>
      </c>
    </row>
    <row r="1494" customFormat="false" ht="15" hidden="false" customHeight="false" outlineLevel="0" collapsed="false">
      <c r="A1494" s="7" t="str">
        <f aca="false">B1494&amp;"."&amp;E1494</f>
        <v>workspaces.nome</v>
      </c>
      <c r="B1494" s="7" t="s">
        <v>37</v>
      </c>
      <c r="C1494" s="7" t="s">
        <v>24</v>
      </c>
      <c r="D1494" s="7" t="n">
        <v>2</v>
      </c>
      <c r="E1494" s="7" t="s">
        <v>265</v>
      </c>
      <c r="F1494" s="7" t="s">
        <v>261</v>
      </c>
      <c r="G1494" s="7" t="s">
        <v>262</v>
      </c>
      <c r="H1494" s="7"/>
      <c r="I1494" s="7"/>
      <c r="J1494" s="7"/>
      <c r="K1494" s="7"/>
      <c r="L1494" s="7" t="str">
        <f aca="false">IFERROR(VLOOKUP(IF(ISNUMBER(SEARCH("(",F1494)),LEFT(F1494,SEARCH("(",F1494)-1),F1494),Tipos!$A:$B,2,FALSE()),"outro")</f>
        <v>texto</v>
      </c>
      <c r="M1494" s="7" t="str">
        <f aca="false">IF(COUNTIF(Comparação!$H:$H,A1494)&gt;0,"sim",IF(AND(G1494="sim",H1494=""),"FALTA (obrigatória)","não"))</f>
        <v>FALTA (obrigatória)</v>
      </c>
    </row>
    <row r="1495" customFormat="false" ht="15" hidden="false" customHeight="false" outlineLevel="0" collapsed="false">
      <c r="A1495" s="7" t="str">
        <f aca="false">B1495&amp;"."&amp;E1495</f>
        <v>workspaces.criado_em</v>
      </c>
      <c r="B1495" s="7" t="s">
        <v>37</v>
      </c>
      <c r="C1495" s="7" t="s">
        <v>24</v>
      </c>
      <c r="D1495" s="7" t="n">
        <v>3</v>
      </c>
      <c r="E1495" s="7" t="s">
        <v>344</v>
      </c>
      <c r="F1495" s="7" t="s">
        <v>285</v>
      </c>
      <c r="G1495" s="7" t="s">
        <v>262</v>
      </c>
      <c r="H1495" s="7" t="s">
        <v>286</v>
      </c>
      <c r="I1495" s="7"/>
      <c r="J1495" s="7"/>
      <c r="K1495" s="7"/>
      <c r="L1495" s="7" t="str">
        <f aca="false">IFERROR(VLOOKUP(IF(ISNUMBER(SEARCH("(",F1495)),LEFT(F1495,SEARCH("(",F1495)-1),F1495),Tipos!$A:$B,2,FALSE()),"outro")</f>
        <v>data e hora</v>
      </c>
      <c r="M1495" s="7" t="str">
        <f aca="false">IF(COUNTIF(Comparação!$H:$H,A1495)&gt;0,"sim",IF(AND(G1495="sim",H1495=""),"FALTA (obrigatória)","não"))</f>
        <v>não</v>
      </c>
    </row>
    <row r="1496" customFormat="false" ht="15" hidden="false" customHeight="false" outlineLevel="0" collapsed="false">
      <c r="A1496" s="7" t="str">
        <f aca="false">B1496&amp;"."&amp;E1496</f>
        <v>workspaces.modo_financeiro</v>
      </c>
      <c r="B1496" s="7" t="s">
        <v>37</v>
      </c>
      <c r="C1496" s="7" t="s">
        <v>24</v>
      </c>
      <c r="D1496" s="7" t="n">
        <v>4</v>
      </c>
      <c r="E1496" s="7" t="s">
        <v>1229</v>
      </c>
      <c r="F1496" s="7" t="s">
        <v>261</v>
      </c>
      <c r="G1496" s="7" t="s">
        <v>262</v>
      </c>
      <c r="H1496" s="7" t="s">
        <v>384</v>
      </c>
      <c r="I1496" s="7"/>
      <c r="J1496" s="7"/>
      <c r="K1496" s="7" t="s">
        <v>1230</v>
      </c>
      <c r="L1496" s="7" t="str">
        <f aca="false">IFERROR(VLOOKUP(IF(ISNUMBER(SEARCH("(",F1496)),LEFT(F1496,SEARCH("(",F1496)-1),F1496),Tipos!$A:$B,2,FALSE()),"outro")</f>
        <v>texto</v>
      </c>
      <c r="M1496" s="7" t="str">
        <f aca="false">IF(COUNTIF(Comparação!$H:$H,A1496)&gt;0,"sim",IF(AND(G1496="sim",H1496=""),"FALTA (obrigatória)","não"))</f>
        <v>não</v>
      </c>
    </row>
    <row r="1497" customFormat="false" ht="15" hidden="false" customHeight="false" outlineLevel="0" collapsed="false">
      <c r="A1497" s="7" t="str">
        <f aca="false">B1497&amp;"."&amp;E1497</f>
        <v>workspaces.modo_produto</v>
      </c>
      <c r="B1497" s="7" t="s">
        <v>37</v>
      </c>
      <c r="C1497" s="7" t="s">
        <v>24</v>
      </c>
      <c r="D1497" s="7" t="n">
        <v>5</v>
      </c>
      <c r="E1497" s="7" t="s">
        <v>1231</v>
      </c>
      <c r="F1497" s="7" t="s">
        <v>261</v>
      </c>
      <c r="G1497" s="7" t="s">
        <v>262</v>
      </c>
      <c r="H1497" s="7" t="s">
        <v>384</v>
      </c>
      <c r="I1497" s="7"/>
      <c r="J1497" s="7"/>
      <c r="K1497" s="7" t="s">
        <v>1232</v>
      </c>
      <c r="L1497" s="7" t="str">
        <f aca="false">IFERROR(VLOOKUP(IF(ISNUMBER(SEARCH("(",F1497)),LEFT(F1497,SEARCH("(",F1497)-1),F1497),Tipos!$A:$B,2,FALSE()),"outro")</f>
        <v>texto</v>
      </c>
      <c r="M1497" s="7" t="str">
        <f aca="false">IF(COUNTIF(Comparação!$H:$H,A1497)&gt;0,"sim",IF(AND(G1497="sim",H1497=""),"FALTA (obrigatória)","não"))</f>
        <v>não</v>
      </c>
    </row>
    <row r="1498" customFormat="false" ht="15" hidden="false" customHeight="false" outlineLevel="0" collapsed="false">
      <c r="A1498" s="7" t="str">
        <f aca="false">B1498&amp;"."&amp;E1498</f>
        <v>workspaces.agencia</v>
      </c>
      <c r="B1498" s="7" t="s">
        <v>37</v>
      </c>
      <c r="C1498" s="7" t="s">
        <v>24</v>
      </c>
      <c r="D1498" s="7" t="n">
        <v>6</v>
      </c>
      <c r="E1498" s="7" t="s">
        <v>1233</v>
      </c>
      <c r="F1498" s="7" t="s">
        <v>310</v>
      </c>
      <c r="G1498" s="7" t="s">
        <v>262</v>
      </c>
      <c r="H1498" s="7" t="s">
        <v>375</v>
      </c>
      <c r="I1498" s="7"/>
      <c r="J1498" s="7"/>
      <c r="K1498" s="7"/>
      <c r="L1498" s="7" t="str">
        <f aca="false">IFERROR(VLOOKUP(IF(ISNUMBER(SEARCH("(",F1498)),LEFT(F1498,SEARCH("(",F1498)-1),F1498),Tipos!$A:$B,2,FALSE()),"outro")</f>
        <v>booleano</v>
      </c>
      <c r="M1498" s="7" t="str">
        <f aca="false">IF(COUNTIF(Comparação!$H:$H,A1498)&gt;0,"sim",IF(AND(G1498="sim",H1498=""),"FALTA (obrigatória)","não"))</f>
        <v>não</v>
      </c>
    </row>
    <row r="1499" customFormat="false" ht="15" hidden="false" customHeight="false" outlineLevel="0" collapsed="false">
      <c r="A1499" s="7" t="str">
        <f aca="false">B1499&amp;"."&amp;E1499</f>
        <v>workspaces.pacote_id</v>
      </c>
      <c r="B1499" s="7" t="s">
        <v>37</v>
      </c>
      <c r="C1499" s="7" t="s">
        <v>24</v>
      </c>
      <c r="D1499" s="7" t="n">
        <v>7</v>
      </c>
      <c r="E1499" s="7" t="s">
        <v>1234</v>
      </c>
      <c r="F1499" s="7" t="s">
        <v>272</v>
      </c>
      <c r="G1499" s="7" t="s">
        <v>267</v>
      </c>
      <c r="H1499" s="7"/>
      <c r="I1499" s="7"/>
      <c r="J1499" s="7" t="s">
        <v>1235</v>
      </c>
      <c r="K1499" s="7"/>
      <c r="L1499" s="7" t="str">
        <f aca="false">IFERROR(VLOOKUP(IF(ISNUMBER(SEARCH("(",F1499)),LEFT(F1499,SEARCH("(",F1499)-1),F1499),Tipos!$A:$B,2,FALSE()),"outro")</f>
        <v>uuid</v>
      </c>
      <c r="M1499" s="7" t="str">
        <f aca="false">IF(COUNTIF(Comparação!$H:$H,A1499)&gt;0,"sim",IF(AND(G1499="sim",H1499=""),"FALTA (obrigatória)","não"))</f>
        <v>não</v>
      </c>
    </row>
    <row r="1500" customFormat="false" ht="15" hidden="false" customHeight="false" outlineLevel="0" collapsed="false">
      <c r="A1500" s="7" t="str">
        <f aca="false">B1500&amp;"."&amp;E1500</f>
        <v>workspaces.acesso_liga</v>
      </c>
      <c r="B1500" s="7" t="s">
        <v>37</v>
      </c>
      <c r="C1500" s="7" t="s">
        <v>24</v>
      </c>
      <c r="D1500" s="7" t="n">
        <v>8</v>
      </c>
      <c r="E1500" s="7" t="s">
        <v>1236</v>
      </c>
      <c r="F1500" s="7" t="s">
        <v>322</v>
      </c>
      <c r="G1500" s="7" t="s">
        <v>262</v>
      </c>
      <c r="H1500" s="7" t="s">
        <v>610</v>
      </c>
      <c r="I1500" s="7"/>
      <c r="J1500" s="7"/>
      <c r="K1500" s="7"/>
      <c r="L1500" s="7" t="str">
        <f aca="false">IFERROR(VLOOKUP(IF(ISNUMBER(SEARCH("(",F1500)),LEFT(F1500,SEARCH("(",F1500)-1),F1500),Tipos!$A:$B,2,FALSE()),"outro")</f>
        <v>lista</v>
      </c>
      <c r="M1500" s="7" t="str">
        <f aca="false">IF(COUNTIF(Comparação!$H:$H,A1500)&gt;0,"sim",IF(AND(G1500="sim",H1500=""),"FALTA (obrigatória)","não"))</f>
        <v>não</v>
      </c>
    </row>
    <row r="1501" customFormat="false" ht="15" hidden="false" customHeight="false" outlineLevel="0" collapsed="false">
      <c r="A1501" s="7" t="str">
        <f aca="false">B1501&amp;"."&amp;E1501</f>
        <v>workspaces.acesso_desliga</v>
      </c>
      <c r="B1501" s="7" t="s">
        <v>37</v>
      </c>
      <c r="C1501" s="7" t="s">
        <v>24</v>
      </c>
      <c r="D1501" s="7" t="n">
        <v>9</v>
      </c>
      <c r="E1501" s="7" t="s">
        <v>1237</v>
      </c>
      <c r="F1501" s="7" t="s">
        <v>322</v>
      </c>
      <c r="G1501" s="7" t="s">
        <v>262</v>
      </c>
      <c r="H1501" s="7" t="s">
        <v>610</v>
      </c>
      <c r="I1501" s="7"/>
      <c r="J1501" s="7"/>
      <c r="K1501" s="7"/>
      <c r="L1501" s="7" t="str">
        <f aca="false">IFERROR(VLOOKUP(IF(ISNUMBER(SEARCH("(",F1501)),LEFT(F1501,SEARCH("(",F1501)-1),F1501),Tipos!$A:$B,2,FALSE()),"outro")</f>
        <v>lista</v>
      </c>
      <c r="M1501" s="7" t="str">
        <f aca="false">IF(COUNTIF(Comparação!$H:$H,A1501)&gt;0,"sim",IF(AND(G1501="sim",H1501=""),"FALTA (obrigatória)","não"))</f>
        <v>não</v>
      </c>
    </row>
    <row r="1502" customFormat="false" ht="15" hidden="false" customHeight="false" outlineLevel="0" collapsed="false">
      <c r="A1502" s="7" t="str">
        <f aca="false">B1502&amp;"."&amp;E1502</f>
        <v>workspaces.casa_de</v>
      </c>
      <c r="B1502" s="7" t="s">
        <v>37</v>
      </c>
      <c r="C1502" s="7" t="s">
        <v>24</v>
      </c>
      <c r="D1502" s="7" t="n">
        <v>10</v>
      </c>
      <c r="E1502" s="7" t="s">
        <v>1238</v>
      </c>
      <c r="F1502" s="7" t="s">
        <v>272</v>
      </c>
      <c r="G1502" s="7" t="s">
        <v>267</v>
      </c>
      <c r="H1502" s="7"/>
      <c r="I1502" s="7"/>
      <c r="J1502" s="7" t="s">
        <v>275</v>
      </c>
      <c r="K1502" s="7"/>
      <c r="L1502" s="7" t="str">
        <f aca="false">IFERROR(VLOOKUP(IF(ISNUMBER(SEARCH("(",F1502)),LEFT(F1502,SEARCH("(",F1502)-1),F1502),Tipos!$A:$B,2,FALSE()),"outro")</f>
        <v>uuid</v>
      </c>
      <c r="M1502" s="7" t="str">
        <f aca="false">IF(COUNTIF(Comparação!$H:$H,A1502)&gt;0,"sim",IF(AND(G1502="sim",H1502=""),"FALTA (obrigatória)","não"))</f>
        <v>não</v>
      </c>
    </row>
    <row r="1503" customFormat="false" ht="15" hidden="false" customHeight="false" outlineLevel="0" collapsed="false">
      <c r="A1503" s="7" t="str">
        <f aca="false">B1503&amp;"."&amp;E1503</f>
        <v>workspaces.atribuicao_padrao</v>
      </c>
      <c r="B1503" s="7" t="s">
        <v>37</v>
      </c>
      <c r="C1503" s="7" t="s">
        <v>24</v>
      </c>
      <c r="D1503" s="7" t="n">
        <v>11</v>
      </c>
      <c r="E1503" s="7" t="s">
        <v>1239</v>
      </c>
      <c r="F1503" s="7" t="s">
        <v>261</v>
      </c>
      <c r="G1503" s="7" t="s">
        <v>262</v>
      </c>
      <c r="H1503" s="7" t="s">
        <v>1240</v>
      </c>
      <c r="I1503" s="7"/>
      <c r="J1503" s="7"/>
      <c r="K1503" s="7" t="s">
        <v>1241</v>
      </c>
      <c r="L1503" s="7" t="str">
        <f aca="false">IFERROR(VLOOKUP(IF(ISNUMBER(SEARCH("(",F1503)),LEFT(F1503,SEARCH("(",F1503)-1),F1503),Tipos!$A:$B,2,FALSE()),"outro")</f>
        <v>texto</v>
      </c>
      <c r="M1503" s="7" t="str">
        <f aca="false">IF(COUNTIF(Comparação!$H:$H,A1503)&gt;0,"sim",IF(AND(G1503="sim",H1503=""),"FALTA (obrigatória)","não"))</f>
        <v>não</v>
      </c>
    </row>
  </sheetData>
  <autoFilter ref="A1:M1503"/>
  <conditionalFormatting sqref="M2:M1503">
    <cfRule type="expression" priority="2" aboveAverage="0" equalAverage="0" bottom="0" percent="0" rank="0" text="" dxfId="5">
      <formula>LEFT(M2,5)="FALTA"</formula>
    </cfRule>
    <cfRule type="expression" priority="3" aboveAverage="0" equalAverage="0" bottom="0" percent="0" rank="0" text="" dxfId="6">
      <formula>M2="sim"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6" t="s">
        <v>1242</v>
      </c>
      <c r="B1" s="6" t="s">
        <v>1243</v>
      </c>
    </row>
    <row r="2" customFormat="false" ht="15" hidden="false" customHeight="false" outlineLevel="0" collapsed="false">
      <c r="A2" s="7" t="s">
        <v>261</v>
      </c>
      <c r="B2" s="7" t="s">
        <v>995</v>
      </c>
    </row>
    <row r="3" customFormat="false" ht="15" hidden="false" customHeight="false" outlineLevel="0" collapsed="false">
      <c r="A3" s="7" t="s">
        <v>1244</v>
      </c>
      <c r="B3" s="7" t="s">
        <v>995</v>
      </c>
    </row>
    <row r="4" customFormat="false" ht="15" hidden="false" customHeight="false" outlineLevel="0" collapsed="false">
      <c r="A4" s="7" t="s">
        <v>1245</v>
      </c>
      <c r="B4" s="7" t="s">
        <v>995</v>
      </c>
    </row>
    <row r="5" customFormat="false" ht="15" hidden="false" customHeight="false" outlineLevel="0" collapsed="false">
      <c r="A5" s="7" t="s">
        <v>1246</v>
      </c>
      <c r="B5" s="7" t="s">
        <v>995</v>
      </c>
    </row>
    <row r="6" customFormat="false" ht="15" hidden="false" customHeight="false" outlineLevel="0" collapsed="false">
      <c r="A6" s="7" t="s">
        <v>1247</v>
      </c>
      <c r="B6" s="7" t="s">
        <v>995</v>
      </c>
    </row>
    <row r="7" customFormat="false" ht="15" hidden="false" customHeight="false" outlineLevel="0" collapsed="false">
      <c r="A7" s="7" t="s">
        <v>1248</v>
      </c>
      <c r="B7" s="7" t="s">
        <v>995</v>
      </c>
    </row>
    <row r="8" customFormat="false" ht="15" hidden="false" customHeight="false" outlineLevel="0" collapsed="false">
      <c r="A8" s="7" t="s">
        <v>1249</v>
      </c>
      <c r="B8" s="7" t="s">
        <v>995</v>
      </c>
    </row>
    <row r="9" customFormat="false" ht="15" hidden="false" customHeight="false" outlineLevel="0" collapsed="false">
      <c r="A9" s="7" t="s">
        <v>1250</v>
      </c>
      <c r="B9" s="7" t="s">
        <v>995</v>
      </c>
    </row>
    <row r="10" customFormat="false" ht="15" hidden="false" customHeight="false" outlineLevel="0" collapsed="false">
      <c r="A10" s="7" t="s">
        <v>1251</v>
      </c>
      <c r="B10" s="7" t="s">
        <v>995</v>
      </c>
    </row>
    <row r="11" customFormat="false" ht="15" hidden="false" customHeight="false" outlineLevel="0" collapsed="false">
      <c r="A11" s="7" t="s">
        <v>1252</v>
      </c>
      <c r="B11" s="7" t="s">
        <v>995</v>
      </c>
    </row>
    <row r="12" customFormat="false" ht="15" hidden="false" customHeight="false" outlineLevel="0" collapsed="false">
      <c r="A12" s="7" t="s">
        <v>1253</v>
      </c>
      <c r="B12" s="7" t="s">
        <v>995</v>
      </c>
    </row>
    <row r="13" customFormat="false" ht="15" hidden="false" customHeight="false" outlineLevel="0" collapsed="false">
      <c r="A13" s="7" t="s">
        <v>1254</v>
      </c>
      <c r="B13" s="7" t="s">
        <v>995</v>
      </c>
    </row>
    <row r="14" customFormat="false" ht="15" hidden="false" customHeight="false" outlineLevel="0" collapsed="false">
      <c r="A14" s="7" t="s">
        <v>1255</v>
      </c>
      <c r="B14" s="7" t="s">
        <v>995</v>
      </c>
    </row>
    <row r="15" customFormat="false" ht="15" hidden="false" customHeight="false" outlineLevel="0" collapsed="false">
      <c r="A15" s="7" t="s">
        <v>269</v>
      </c>
      <c r="B15" s="7" t="s">
        <v>1256</v>
      </c>
    </row>
    <row r="16" customFormat="false" ht="15" hidden="false" customHeight="false" outlineLevel="0" collapsed="false">
      <c r="A16" s="7" t="s">
        <v>1257</v>
      </c>
      <c r="B16" s="7" t="s">
        <v>1256</v>
      </c>
    </row>
    <row r="17" customFormat="false" ht="15" hidden="false" customHeight="false" outlineLevel="0" collapsed="false">
      <c r="A17" s="7" t="s">
        <v>1258</v>
      </c>
      <c r="B17" s="7" t="s">
        <v>1256</v>
      </c>
    </row>
    <row r="18" customFormat="false" ht="15" hidden="false" customHeight="false" outlineLevel="0" collapsed="false">
      <c r="A18" s="7" t="s">
        <v>315</v>
      </c>
      <c r="B18" s="7" t="s">
        <v>1256</v>
      </c>
    </row>
    <row r="19" customFormat="false" ht="15" hidden="false" customHeight="false" outlineLevel="0" collapsed="false">
      <c r="A19" s="7" t="s">
        <v>1259</v>
      </c>
      <c r="B19" s="7" t="s">
        <v>1256</v>
      </c>
    </row>
    <row r="20" customFormat="false" ht="15" hidden="false" customHeight="false" outlineLevel="0" collapsed="false">
      <c r="A20" s="7" t="s">
        <v>736</v>
      </c>
      <c r="B20" s="7" t="s">
        <v>1256</v>
      </c>
    </row>
    <row r="21" customFormat="false" ht="15" hidden="false" customHeight="false" outlineLevel="0" collapsed="false">
      <c r="A21" s="7" t="s">
        <v>1260</v>
      </c>
      <c r="B21" s="7" t="s">
        <v>1256</v>
      </c>
    </row>
    <row r="22" customFormat="false" ht="15" hidden="false" customHeight="false" outlineLevel="0" collapsed="false">
      <c r="A22" s="7" t="s">
        <v>1261</v>
      </c>
      <c r="B22" s="7" t="s">
        <v>1256</v>
      </c>
    </row>
    <row r="23" customFormat="false" ht="15" hidden="false" customHeight="false" outlineLevel="0" collapsed="false">
      <c r="A23" s="7" t="s">
        <v>1262</v>
      </c>
      <c r="B23" s="7" t="s">
        <v>1256</v>
      </c>
    </row>
    <row r="24" customFormat="false" ht="15" hidden="false" customHeight="false" outlineLevel="0" collapsed="false">
      <c r="A24" s="7" t="s">
        <v>1263</v>
      </c>
      <c r="B24" s="7" t="s">
        <v>1256</v>
      </c>
    </row>
    <row r="25" customFormat="false" ht="15" hidden="false" customHeight="false" outlineLevel="0" collapsed="false">
      <c r="A25" s="7" t="s">
        <v>1264</v>
      </c>
      <c r="B25" s="7" t="s">
        <v>1256</v>
      </c>
    </row>
    <row r="26" customFormat="false" ht="15" hidden="false" customHeight="false" outlineLevel="0" collapsed="false">
      <c r="A26" s="7" t="s">
        <v>380</v>
      </c>
      <c r="B26" s="7" t="s">
        <v>1265</v>
      </c>
    </row>
    <row r="27" customFormat="false" ht="15" hidden="false" customHeight="false" outlineLevel="0" collapsed="false">
      <c r="A27" s="7" t="s">
        <v>1265</v>
      </c>
      <c r="B27" s="7" t="s">
        <v>1265</v>
      </c>
    </row>
    <row r="28" customFormat="false" ht="15" hidden="false" customHeight="false" outlineLevel="0" collapsed="false">
      <c r="A28" s="7" t="s">
        <v>1266</v>
      </c>
      <c r="B28" s="7" t="s">
        <v>1265</v>
      </c>
    </row>
    <row r="29" customFormat="false" ht="15" hidden="false" customHeight="false" outlineLevel="0" collapsed="false">
      <c r="A29" s="7" t="s">
        <v>1267</v>
      </c>
      <c r="B29" s="7" t="s">
        <v>1265</v>
      </c>
    </row>
    <row r="30" customFormat="false" ht="15" hidden="false" customHeight="false" outlineLevel="0" collapsed="false">
      <c r="A30" s="7" t="s">
        <v>1268</v>
      </c>
      <c r="B30" s="7" t="s">
        <v>1265</v>
      </c>
    </row>
    <row r="31" customFormat="false" ht="15" hidden="false" customHeight="false" outlineLevel="0" collapsed="false">
      <c r="A31" s="7" t="s">
        <v>1269</v>
      </c>
      <c r="B31" s="7" t="s">
        <v>1265</v>
      </c>
    </row>
    <row r="32" customFormat="false" ht="15" hidden="false" customHeight="false" outlineLevel="0" collapsed="false">
      <c r="A32" s="7" t="s">
        <v>1270</v>
      </c>
      <c r="B32" s="7" t="s">
        <v>1265</v>
      </c>
    </row>
    <row r="33" customFormat="false" ht="15" hidden="false" customHeight="false" outlineLevel="0" collapsed="false">
      <c r="A33" s="7" t="s">
        <v>1271</v>
      </c>
      <c r="B33" s="7" t="s">
        <v>1265</v>
      </c>
    </row>
    <row r="34" customFormat="false" ht="15" hidden="false" customHeight="false" outlineLevel="0" collapsed="false">
      <c r="A34" s="7" t="s">
        <v>1272</v>
      </c>
      <c r="B34" s="7" t="s">
        <v>1265</v>
      </c>
    </row>
    <row r="35" customFormat="false" ht="15" hidden="false" customHeight="false" outlineLevel="0" collapsed="false">
      <c r="A35" s="7" t="s">
        <v>1273</v>
      </c>
      <c r="B35" s="7" t="s">
        <v>1265</v>
      </c>
    </row>
    <row r="36" customFormat="false" ht="15" hidden="false" customHeight="false" outlineLevel="0" collapsed="false">
      <c r="A36" s="7" t="s">
        <v>310</v>
      </c>
      <c r="B36" s="7" t="s">
        <v>1274</v>
      </c>
    </row>
    <row r="37" customFormat="false" ht="15" hidden="false" customHeight="false" outlineLevel="0" collapsed="false">
      <c r="A37" s="7" t="s">
        <v>1275</v>
      </c>
      <c r="B37" s="7" t="s">
        <v>1274</v>
      </c>
    </row>
    <row r="38" customFormat="false" ht="15" hidden="false" customHeight="false" outlineLevel="0" collapsed="false">
      <c r="A38" s="7" t="s">
        <v>1276</v>
      </c>
      <c r="B38" s="7" t="s">
        <v>1274</v>
      </c>
    </row>
    <row r="39" customFormat="false" ht="15" hidden="false" customHeight="false" outlineLevel="0" collapsed="false">
      <c r="A39" s="7" t="s">
        <v>379</v>
      </c>
      <c r="B39" s="7" t="s">
        <v>378</v>
      </c>
    </row>
    <row r="40" customFormat="false" ht="15" hidden="false" customHeight="false" outlineLevel="0" collapsed="false">
      <c r="A40" s="7" t="s">
        <v>285</v>
      </c>
      <c r="B40" s="7" t="s">
        <v>1277</v>
      </c>
    </row>
    <row r="41" customFormat="false" ht="15" hidden="false" customHeight="false" outlineLevel="0" collapsed="false">
      <c r="A41" s="7" t="s">
        <v>1278</v>
      </c>
      <c r="B41" s="7" t="s">
        <v>1277</v>
      </c>
    </row>
    <row r="42" customFormat="false" ht="15" hidden="false" customHeight="false" outlineLevel="0" collapsed="false">
      <c r="A42" s="7" t="s">
        <v>1279</v>
      </c>
      <c r="B42" s="7" t="s">
        <v>1277</v>
      </c>
    </row>
    <row r="43" customFormat="false" ht="15" hidden="false" customHeight="false" outlineLevel="0" collapsed="false">
      <c r="A43" s="7" t="s">
        <v>1280</v>
      </c>
      <c r="B43" s="7" t="s">
        <v>1277</v>
      </c>
    </row>
    <row r="44" customFormat="false" ht="15" hidden="false" customHeight="false" outlineLevel="0" collapsed="false">
      <c r="A44" s="7" t="s">
        <v>1281</v>
      </c>
      <c r="B44" s="7" t="s">
        <v>1277</v>
      </c>
    </row>
    <row r="45" customFormat="false" ht="15" hidden="false" customHeight="false" outlineLevel="0" collapsed="false">
      <c r="A45" s="7" t="s">
        <v>1282</v>
      </c>
      <c r="B45" s="7" t="s">
        <v>1277</v>
      </c>
    </row>
    <row r="46" customFormat="false" ht="15" hidden="false" customHeight="false" outlineLevel="0" collapsed="false">
      <c r="A46" s="7" t="s">
        <v>1283</v>
      </c>
      <c r="B46" s="7" t="s">
        <v>1277</v>
      </c>
    </row>
    <row r="47" customFormat="false" ht="15" hidden="false" customHeight="false" outlineLevel="0" collapsed="false">
      <c r="A47" s="7" t="s">
        <v>1284</v>
      </c>
      <c r="B47" s="7" t="s">
        <v>1277</v>
      </c>
    </row>
    <row r="48" customFormat="false" ht="15" hidden="false" customHeight="false" outlineLevel="0" collapsed="false">
      <c r="A48" s="7" t="s">
        <v>1285</v>
      </c>
      <c r="B48" s="7" t="s">
        <v>1286</v>
      </c>
    </row>
    <row r="49" customFormat="false" ht="15" hidden="false" customHeight="false" outlineLevel="0" collapsed="false">
      <c r="A49" s="7" t="s">
        <v>1287</v>
      </c>
      <c r="B49" s="7" t="s">
        <v>1286</v>
      </c>
    </row>
    <row r="50" customFormat="false" ht="15" hidden="false" customHeight="false" outlineLevel="0" collapsed="false">
      <c r="A50" s="7" t="s">
        <v>1288</v>
      </c>
      <c r="B50" s="7" t="s">
        <v>1286</v>
      </c>
    </row>
    <row r="51" customFormat="false" ht="15" hidden="false" customHeight="false" outlineLevel="0" collapsed="false">
      <c r="A51" s="7" t="s">
        <v>272</v>
      </c>
      <c r="B51" s="7" t="s">
        <v>272</v>
      </c>
    </row>
    <row r="52" customFormat="false" ht="15" hidden="false" customHeight="false" outlineLevel="0" collapsed="false">
      <c r="A52" s="7" t="s">
        <v>1289</v>
      </c>
      <c r="B52" s="7" t="s">
        <v>272</v>
      </c>
    </row>
    <row r="53" customFormat="false" ht="15" hidden="false" customHeight="false" outlineLevel="0" collapsed="false">
      <c r="A53" s="7" t="s">
        <v>1290</v>
      </c>
      <c r="B53" s="7" t="s">
        <v>1290</v>
      </c>
    </row>
    <row r="54" customFormat="false" ht="15" hidden="false" customHeight="false" outlineLevel="0" collapsed="false">
      <c r="A54" s="7" t="s">
        <v>324</v>
      </c>
      <c r="B54" s="7" t="s">
        <v>1290</v>
      </c>
    </row>
    <row r="55" customFormat="false" ht="15" hidden="false" customHeight="false" outlineLevel="0" collapsed="false">
      <c r="A55" s="7" t="s">
        <v>1291</v>
      </c>
      <c r="B55" s="7" t="s">
        <v>1292</v>
      </c>
    </row>
    <row r="56" customFormat="false" ht="15" hidden="false" customHeight="false" outlineLevel="0" collapsed="false">
      <c r="A56" s="7" t="s">
        <v>322</v>
      </c>
      <c r="B56" s="7" t="s">
        <v>1292</v>
      </c>
    </row>
    <row r="57" customFormat="false" ht="15" hidden="false" customHeight="false" outlineLevel="0" collapsed="false">
      <c r="A57" s="7" t="s">
        <v>797</v>
      </c>
      <c r="B57" s="7" t="s">
        <v>1292</v>
      </c>
    </row>
    <row r="58" customFormat="false" ht="15" hidden="false" customHeight="false" outlineLevel="0" collapsed="false">
      <c r="A58" s="7" t="s">
        <v>1293</v>
      </c>
      <c r="B58" s="7" t="s">
        <v>1292</v>
      </c>
    </row>
    <row r="59" customFormat="false" ht="15" hidden="false" customHeight="false" outlineLevel="0" collapsed="false">
      <c r="A59" s="7" t="s">
        <v>1294</v>
      </c>
      <c r="B59" s="7" t="s">
        <v>1292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6" t="s">
        <v>317</v>
      </c>
      <c r="B1" s="6" t="s">
        <v>1295</v>
      </c>
      <c r="C1" s="6" t="s">
        <v>280</v>
      </c>
      <c r="D1" s="6" t="s">
        <v>1296</v>
      </c>
    </row>
    <row r="2" customFormat="false" ht="15" hidden="false" customHeight="false" outlineLevel="0" collapsed="false">
      <c r="A2" s="8" t="s">
        <v>1297</v>
      </c>
      <c r="B2" s="7"/>
      <c r="C2" s="7"/>
      <c r="D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26"/>
    <col collapsed="false" customWidth="true" hidden="false" outlineLevel="0" max="7" min="7" style="0" width="11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1" min="10" style="0" width="14"/>
    <col collapsed="false" customWidth="true" hidden="false" outlineLevel="0" max="12" min="12" style="0" width="24"/>
    <col collapsed="false" customWidth="true" hidden="false" outlineLevel="0" max="13" min="13" style="0" width="40"/>
  </cols>
  <sheetData>
    <row r="1" customFormat="false" ht="39.55" hidden="false" customHeight="false" outlineLevel="0" collapsed="false">
      <c r="A1" s="6" t="s">
        <v>1298</v>
      </c>
      <c r="B1" s="6" t="s">
        <v>1299</v>
      </c>
      <c r="C1" s="6" t="s">
        <v>1300</v>
      </c>
      <c r="D1" s="6" t="s">
        <v>1301</v>
      </c>
      <c r="E1" s="6" t="s">
        <v>1302</v>
      </c>
      <c r="F1" s="6" t="s">
        <v>1303</v>
      </c>
      <c r="G1" s="6" t="s">
        <v>1304</v>
      </c>
      <c r="H1" s="6" t="s">
        <v>1305</v>
      </c>
      <c r="I1" s="6" t="s">
        <v>1306</v>
      </c>
      <c r="J1" s="6" t="s">
        <v>1307</v>
      </c>
      <c r="K1" s="6" t="s">
        <v>1308</v>
      </c>
      <c r="L1" s="6" t="s">
        <v>1309</v>
      </c>
      <c r="M1" s="6" t="s">
        <v>1310</v>
      </c>
    </row>
    <row r="2" customFormat="false" ht="15" hidden="false" customHeight="false" outlineLevel="0" collapsed="false">
      <c r="A2" s="7" t="str">
        <f aca="false">IF('Outro banco'!A2="","",IF(LEFT('Outro banco'!A2,1)="(","",'Outro banco'!A2))</f>
        <v/>
      </c>
      <c r="B2" s="7" t="str">
        <f aca="false">IF(A2="","",'Outro banco'!B2)</f>
        <v/>
      </c>
      <c r="C2" s="7" t="str">
        <f aca="false">IF(A2="","",'Outro banco'!C2)</f>
        <v/>
      </c>
      <c r="D2" s="7" t="str">
        <f aca="false">IF(A2="","",'Outro banco'!D2)</f>
        <v/>
      </c>
      <c r="E2" s="9"/>
      <c r="F2" s="9"/>
      <c r="G2" s="7" t="str">
        <f aca="false">IF(A2="","",IF(COUNTIF(Tabelas!$A:$A,IF(E2="",A2,E2))&gt;0,"sim","não"))</f>
        <v/>
      </c>
      <c r="H2" s="7" t="str">
        <f aca="false">IF(A2="","",IF(E2="",A2,E2)&amp;"."&amp;IF(F2="",B2,F2))</f>
        <v/>
      </c>
      <c r="I2" s="7" t="str">
        <f aca="false">IF(A2="","",IFERROR(INDEX('Campos Growths'!$F:$F,MATCH(H2,'Campos Growths'!$A:$A,0)),""))</f>
        <v/>
      </c>
      <c r="J2" s="7" t="str">
        <f aca="false">IF(A2="","",IFERROR(VLOOKUP(IF(ISNUMBER(SEARCH("(",C2)),LEFT(C2,SEARCH("(",C2)-1),C2),Tipos!$A:$B,2,FALSE()),"outro"))</f>
        <v/>
      </c>
      <c r="K2" s="7" t="str">
        <f aca="false">IF(I2="","",IFERROR(INDEX('Campos Growths'!$L:$L,MATCH(H2,'Campos Growths'!$A:$A,0)),""))</f>
        <v/>
      </c>
      <c r="L2" s="7" t="str">
        <f aca="false">IF(A2="","",IF(G2="não","Sem tabela no Growths",IF(I2="","Sem campo no Growths",IF(J2=K2,"Importa direto","Ajustar tipo"))))</f>
        <v/>
      </c>
      <c r="M2" s="9"/>
    </row>
    <row r="3" customFormat="false" ht="15" hidden="false" customHeight="false" outlineLevel="0" collapsed="false">
      <c r="A3" s="7" t="str">
        <f aca="false">IF('Outro banco'!A3="","",IF(LEFT('Outro banco'!A3,1)="(","",'Outro banco'!A3))</f>
        <v/>
      </c>
      <c r="B3" s="7" t="str">
        <f aca="false">IF(A3="","",'Outro banco'!B3)</f>
        <v/>
      </c>
      <c r="C3" s="7" t="str">
        <f aca="false">IF(A3="","",'Outro banco'!C3)</f>
        <v/>
      </c>
      <c r="D3" s="7" t="str">
        <f aca="false">IF(A3="","",'Outro banco'!D3)</f>
        <v/>
      </c>
      <c r="E3" s="9"/>
      <c r="F3" s="9"/>
      <c r="G3" s="7" t="str">
        <f aca="false">IF(A3="","",IF(COUNTIF(Tabelas!$A:$A,IF(E3="",A3,E3))&gt;0,"sim","não"))</f>
        <v/>
      </c>
      <c r="H3" s="7" t="str">
        <f aca="false">IF(A3="","",IF(E3="",A3,E3)&amp;"."&amp;IF(F3="",B3,F3))</f>
        <v/>
      </c>
      <c r="I3" s="7" t="str">
        <f aca="false">IF(A3="","",IFERROR(INDEX('Campos Growths'!$F:$F,MATCH(H3,'Campos Growths'!$A:$A,0)),""))</f>
        <v/>
      </c>
      <c r="J3" s="7" t="str">
        <f aca="false">IF(A3="","",IFERROR(VLOOKUP(IF(ISNUMBER(SEARCH("(",C3)),LEFT(C3,SEARCH("(",C3)-1),C3),Tipos!$A:$B,2,FALSE()),"outro"))</f>
        <v/>
      </c>
      <c r="K3" s="7" t="str">
        <f aca="false">IF(I3="","",IFERROR(INDEX('Campos Growths'!$L:$L,MATCH(H3,'Campos Growths'!$A:$A,0)),""))</f>
        <v/>
      </c>
      <c r="L3" s="7" t="str">
        <f aca="false">IF(A3="","",IF(G3="não","Sem tabela no Growths",IF(I3="","Sem campo no Growths",IF(J3=K3,"Importa direto","Ajustar tipo"))))</f>
        <v/>
      </c>
      <c r="M3" s="9"/>
    </row>
    <row r="4" customFormat="false" ht="15" hidden="false" customHeight="false" outlineLevel="0" collapsed="false">
      <c r="A4" s="7" t="str">
        <f aca="false">IF('Outro banco'!A4="","",IF(LEFT('Outro banco'!A4,1)="(","",'Outro banco'!A4))</f>
        <v/>
      </c>
      <c r="B4" s="7" t="str">
        <f aca="false">IF(A4="","",'Outro banco'!B4)</f>
        <v/>
      </c>
      <c r="C4" s="7" t="str">
        <f aca="false">IF(A4="","",'Outro banco'!C4)</f>
        <v/>
      </c>
      <c r="D4" s="7" t="str">
        <f aca="false">IF(A4="","",'Outro banco'!D4)</f>
        <v/>
      </c>
      <c r="E4" s="9"/>
      <c r="F4" s="9"/>
      <c r="G4" s="7" t="str">
        <f aca="false">IF(A4="","",IF(COUNTIF(Tabelas!$A:$A,IF(E4="",A4,E4))&gt;0,"sim","não"))</f>
        <v/>
      </c>
      <c r="H4" s="7" t="str">
        <f aca="false">IF(A4="","",IF(E4="",A4,E4)&amp;"."&amp;IF(F4="",B4,F4))</f>
        <v/>
      </c>
      <c r="I4" s="7" t="str">
        <f aca="false">IF(A4="","",IFERROR(INDEX('Campos Growths'!$F:$F,MATCH(H4,'Campos Growths'!$A:$A,0)),""))</f>
        <v/>
      </c>
      <c r="J4" s="7" t="str">
        <f aca="false">IF(A4="","",IFERROR(VLOOKUP(IF(ISNUMBER(SEARCH("(",C4)),LEFT(C4,SEARCH("(",C4)-1),C4),Tipos!$A:$B,2,FALSE()),"outro"))</f>
        <v/>
      </c>
      <c r="K4" s="7" t="str">
        <f aca="false">IF(I4="","",IFERROR(INDEX('Campos Growths'!$L:$L,MATCH(H4,'Campos Growths'!$A:$A,0)),""))</f>
        <v/>
      </c>
      <c r="L4" s="7" t="str">
        <f aca="false">IF(A4="","",IF(G4="não","Sem tabela no Growths",IF(I4="","Sem campo no Growths",IF(J4=K4,"Importa direto","Ajustar tipo"))))</f>
        <v/>
      </c>
      <c r="M4" s="9"/>
    </row>
    <row r="5" customFormat="false" ht="15" hidden="false" customHeight="false" outlineLevel="0" collapsed="false">
      <c r="A5" s="7" t="str">
        <f aca="false">IF('Outro banco'!A5="","",IF(LEFT('Outro banco'!A5,1)="(","",'Outro banco'!A5))</f>
        <v/>
      </c>
      <c r="B5" s="7" t="str">
        <f aca="false">IF(A5="","",'Outro banco'!B5)</f>
        <v/>
      </c>
      <c r="C5" s="7" t="str">
        <f aca="false">IF(A5="","",'Outro banco'!C5)</f>
        <v/>
      </c>
      <c r="D5" s="7" t="str">
        <f aca="false">IF(A5="","",'Outro banco'!D5)</f>
        <v/>
      </c>
      <c r="E5" s="9"/>
      <c r="F5" s="9"/>
      <c r="G5" s="7" t="str">
        <f aca="false">IF(A5="","",IF(COUNTIF(Tabelas!$A:$A,IF(E5="",A5,E5))&gt;0,"sim","não"))</f>
        <v/>
      </c>
      <c r="H5" s="7" t="str">
        <f aca="false">IF(A5="","",IF(E5="",A5,E5)&amp;"."&amp;IF(F5="",B5,F5))</f>
        <v/>
      </c>
      <c r="I5" s="7" t="str">
        <f aca="false">IF(A5="","",IFERROR(INDEX('Campos Growths'!$F:$F,MATCH(H5,'Campos Growths'!$A:$A,0)),""))</f>
        <v/>
      </c>
      <c r="J5" s="7" t="str">
        <f aca="false">IF(A5="","",IFERROR(VLOOKUP(IF(ISNUMBER(SEARCH("(",C5)),LEFT(C5,SEARCH("(",C5)-1),C5),Tipos!$A:$B,2,FALSE()),"outro"))</f>
        <v/>
      </c>
      <c r="K5" s="7" t="str">
        <f aca="false">IF(I5="","",IFERROR(INDEX('Campos Growths'!$L:$L,MATCH(H5,'Campos Growths'!$A:$A,0)),""))</f>
        <v/>
      </c>
      <c r="L5" s="7" t="str">
        <f aca="false">IF(A5="","",IF(G5="não","Sem tabela no Growths",IF(I5="","Sem campo no Growths",IF(J5=K5,"Importa direto","Ajustar tipo"))))</f>
        <v/>
      </c>
      <c r="M5" s="9"/>
    </row>
    <row r="6" customFormat="false" ht="15" hidden="false" customHeight="false" outlineLevel="0" collapsed="false">
      <c r="A6" s="7" t="str">
        <f aca="false">IF('Outro banco'!A6="","",IF(LEFT('Outro banco'!A6,1)="(","",'Outro banco'!A6))</f>
        <v/>
      </c>
      <c r="B6" s="7" t="str">
        <f aca="false">IF(A6="","",'Outro banco'!B6)</f>
        <v/>
      </c>
      <c r="C6" s="7" t="str">
        <f aca="false">IF(A6="","",'Outro banco'!C6)</f>
        <v/>
      </c>
      <c r="D6" s="7" t="str">
        <f aca="false">IF(A6="","",'Outro banco'!D6)</f>
        <v/>
      </c>
      <c r="E6" s="9"/>
      <c r="F6" s="9"/>
      <c r="G6" s="7" t="str">
        <f aca="false">IF(A6="","",IF(COUNTIF(Tabelas!$A:$A,IF(E6="",A6,E6))&gt;0,"sim","não"))</f>
        <v/>
      </c>
      <c r="H6" s="7" t="str">
        <f aca="false">IF(A6="","",IF(E6="",A6,E6)&amp;"."&amp;IF(F6="",B6,F6))</f>
        <v/>
      </c>
      <c r="I6" s="7" t="str">
        <f aca="false">IF(A6="","",IFERROR(INDEX('Campos Growths'!$F:$F,MATCH(H6,'Campos Growths'!$A:$A,0)),""))</f>
        <v/>
      </c>
      <c r="J6" s="7" t="str">
        <f aca="false">IF(A6="","",IFERROR(VLOOKUP(IF(ISNUMBER(SEARCH("(",C6)),LEFT(C6,SEARCH("(",C6)-1),C6),Tipos!$A:$B,2,FALSE()),"outro"))</f>
        <v/>
      </c>
      <c r="K6" s="7" t="str">
        <f aca="false">IF(I6="","",IFERROR(INDEX('Campos Growths'!$L:$L,MATCH(H6,'Campos Growths'!$A:$A,0)),""))</f>
        <v/>
      </c>
      <c r="L6" s="7" t="str">
        <f aca="false">IF(A6="","",IF(G6="não","Sem tabela no Growths",IF(I6="","Sem campo no Growths",IF(J6=K6,"Importa direto","Ajustar tipo"))))</f>
        <v/>
      </c>
      <c r="M6" s="9"/>
    </row>
    <row r="7" customFormat="false" ht="15" hidden="false" customHeight="false" outlineLevel="0" collapsed="false">
      <c r="A7" s="7" t="str">
        <f aca="false">IF('Outro banco'!A7="","",IF(LEFT('Outro banco'!A7,1)="(","",'Outro banco'!A7))</f>
        <v/>
      </c>
      <c r="B7" s="7" t="str">
        <f aca="false">IF(A7="","",'Outro banco'!B7)</f>
        <v/>
      </c>
      <c r="C7" s="7" t="str">
        <f aca="false">IF(A7="","",'Outro banco'!C7)</f>
        <v/>
      </c>
      <c r="D7" s="7" t="str">
        <f aca="false">IF(A7="","",'Outro banco'!D7)</f>
        <v/>
      </c>
      <c r="E7" s="9"/>
      <c r="F7" s="9"/>
      <c r="G7" s="7" t="str">
        <f aca="false">IF(A7="","",IF(COUNTIF(Tabelas!$A:$A,IF(E7="",A7,E7))&gt;0,"sim","não"))</f>
        <v/>
      </c>
      <c r="H7" s="7" t="str">
        <f aca="false">IF(A7="","",IF(E7="",A7,E7)&amp;"."&amp;IF(F7="",B7,F7))</f>
        <v/>
      </c>
      <c r="I7" s="7" t="str">
        <f aca="false">IF(A7="","",IFERROR(INDEX('Campos Growths'!$F:$F,MATCH(H7,'Campos Growths'!$A:$A,0)),""))</f>
        <v/>
      </c>
      <c r="J7" s="7" t="str">
        <f aca="false">IF(A7="","",IFERROR(VLOOKUP(IF(ISNUMBER(SEARCH("(",C7)),LEFT(C7,SEARCH("(",C7)-1),C7),Tipos!$A:$B,2,FALSE()),"outro"))</f>
        <v/>
      </c>
      <c r="K7" s="7" t="str">
        <f aca="false">IF(I7="","",IFERROR(INDEX('Campos Growths'!$L:$L,MATCH(H7,'Campos Growths'!$A:$A,0)),""))</f>
        <v/>
      </c>
      <c r="L7" s="7" t="str">
        <f aca="false">IF(A7="","",IF(G7="não","Sem tabela no Growths",IF(I7="","Sem campo no Growths",IF(J7=K7,"Importa direto","Ajustar tipo"))))</f>
        <v/>
      </c>
      <c r="M7" s="9"/>
    </row>
    <row r="8" customFormat="false" ht="15" hidden="false" customHeight="false" outlineLevel="0" collapsed="false">
      <c r="A8" s="7" t="str">
        <f aca="false">IF('Outro banco'!A8="","",IF(LEFT('Outro banco'!A8,1)="(","",'Outro banco'!A8))</f>
        <v/>
      </c>
      <c r="B8" s="7" t="str">
        <f aca="false">IF(A8="","",'Outro banco'!B8)</f>
        <v/>
      </c>
      <c r="C8" s="7" t="str">
        <f aca="false">IF(A8="","",'Outro banco'!C8)</f>
        <v/>
      </c>
      <c r="D8" s="7" t="str">
        <f aca="false">IF(A8="","",'Outro banco'!D8)</f>
        <v/>
      </c>
      <c r="E8" s="9"/>
      <c r="F8" s="9"/>
      <c r="G8" s="7" t="str">
        <f aca="false">IF(A8="","",IF(COUNTIF(Tabelas!$A:$A,IF(E8="",A8,E8))&gt;0,"sim","não"))</f>
        <v/>
      </c>
      <c r="H8" s="7" t="str">
        <f aca="false">IF(A8="","",IF(E8="",A8,E8)&amp;"."&amp;IF(F8="",B8,F8))</f>
        <v/>
      </c>
      <c r="I8" s="7" t="str">
        <f aca="false">IF(A8="","",IFERROR(INDEX('Campos Growths'!$F:$F,MATCH(H8,'Campos Growths'!$A:$A,0)),""))</f>
        <v/>
      </c>
      <c r="J8" s="7" t="str">
        <f aca="false">IF(A8="","",IFERROR(VLOOKUP(IF(ISNUMBER(SEARCH("(",C8)),LEFT(C8,SEARCH("(",C8)-1),C8),Tipos!$A:$B,2,FALSE()),"outro"))</f>
        <v/>
      </c>
      <c r="K8" s="7" t="str">
        <f aca="false">IF(I8="","",IFERROR(INDEX('Campos Growths'!$L:$L,MATCH(H8,'Campos Growths'!$A:$A,0)),""))</f>
        <v/>
      </c>
      <c r="L8" s="7" t="str">
        <f aca="false">IF(A8="","",IF(G8="não","Sem tabela no Growths",IF(I8="","Sem campo no Growths",IF(J8=K8,"Importa direto","Ajustar tipo"))))</f>
        <v/>
      </c>
      <c r="M8" s="9"/>
    </row>
    <row r="9" customFormat="false" ht="15" hidden="false" customHeight="false" outlineLevel="0" collapsed="false">
      <c r="A9" s="7" t="str">
        <f aca="false">IF('Outro banco'!A9="","",IF(LEFT('Outro banco'!A9,1)="(","",'Outro banco'!A9))</f>
        <v/>
      </c>
      <c r="B9" s="7" t="str">
        <f aca="false">IF(A9="","",'Outro banco'!B9)</f>
        <v/>
      </c>
      <c r="C9" s="7" t="str">
        <f aca="false">IF(A9="","",'Outro banco'!C9)</f>
        <v/>
      </c>
      <c r="D9" s="7" t="str">
        <f aca="false">IF(A9="","",'Outro banco'!D9)</f>
        <v/>
      </c>
      <c r="E9" s="9"/>
      <c r="F9" s="9"/>
      <c r="G9" s="7" t="str">
        <f aca="false">IF(A9="","",IF(COUNTIF(Tabelas!$A:$A,IF(E9="",A9,E9))&gt;0,"sim","não"))</f>
        <v/>
      </c>
      <c r="H9" s="7" t="str">
        <f aca="false">IF(A9="","",IF(E9="",A9,E9)&amp;"."&amp;IF(F9="",B9,F9))</f>
        <v/>
      </c>
      <c r="I9" s="7" t="str">
        <f aca="false">IF(A9="","",IFERROR(INDEX('Campos Growths'!$F:$F,MATCH(H9,'Campos Growths'!$A:$A,0)),""))</f>
        <v/>
      </c>
      <c r="J9" s="7" t="str">
        <f aca="false">IF(A9="","",IFERROR(VLOOKUP(IF(ISNUMBER(SEARCH("(",C9)),LEFT(C9,SEARCH("(",C9)-1),C9),Tipos!$A:$B,2,FALSE()),"outro"))</f>
        <v/>
      </c>
      <c r="K9" s="7" t="str">
        <f aca="false">IF(I9="","",IFERROR(INDEX('Campos Growths'!$L:$L,MATCH(H9,'Campos Growths'!$A:$A,0)),""))</f>
        <v/>
      </c>
      <c r="L9" s="7" t="str">
        <f aca="false">IF(A9="","",IF(G9="não","Sem tabela no Growths",IF(I9="","Sem campo no Growths",IF(J9=K9,"Importa direto","Ajustar tipo"))))</f>
        <v/>
      </c>
      <c r="M9" s="9"/>
    </row>
    <row r="10" customFormat="false" ht="15" hidden="false" customHeight="false" outlineLevel="0" collapsed="false">
      <c r="A10" s="7" t="str">
        <f aca="false">IF('Outro banco'!A10="","",IF(LEFT('Outro banco'!A10,1)="(","",'Outro banco'!A10))</f>
        <v/>
      </c>
      <c r="B10" s="7" t="str">
        <f aca="false">IF(A10="","",'Outro banco'!B10)</f>
        <v/>
      </c>
      <c r="C10" s="7" t="str">
        <f aca="false">IF(A10="","",'Outro banco'!C10)</f>
        <v/>
      </c>
      <c r="D10" s="7" t="str">
        <f aca="false">IF(A10="","",'Outro banco'!D10)</f>
        <v/>
      </c>
      <c r="E10" s="9"/>
      <c r="F10" s="9"/>
      <c r="G10" s="7" t="str">
        <f aca="false">IF(A10="","",IF(COUNTIF(Tabelas!$A:$A,IF(E10="",A10,E10))&gt;0,"sim","não"))</f>
        <v/>
      </c>
      <c r="H10" s="7" t="str">
        <f aca="false">IF(A10="","",IF(E10="",A10,E10)&amp;"."&amp;IF(F10="",B10,F10))</f>
        <v/>
      </c>
      <c r="I10" s="7" t="str">
        <f aca="false">IF(A10="","",IFERROR(INDEX('Campos Growths'!$F:$F,MATCH(H10,'Campos Growths'!$A:$A,0)),""))</f>
        <v/>
      </c>
      <c r="J10" s="7" t="str">
        <f aca="false">IF(A10="","",IFERROR(VLOOKUP(IF(ISNUMBER(SEARCH("(",C10)),LEFT(C10,SEARCH("(",C10)-1),C10),Tipos!$A:$B,2,FALSE()),"outro"))</f>
        <v/>
      </c>
      <c r="K10" s="7" t="str">
        <f aca="false">IF(I10="","",IFERROR(INDEX('Campos Growths'!$L:$L,MATCH(H10,'Campos Growths'!$A:$A,0)),""))</f>
        <v/>
      </c>
      <c r="L10" s="7" t="str">
        <f aca="false">IF(A10="","",IF(G10="não","Sem tabela no Growths",IF(I10="","Sem campo no Growths",IF(J10=K10,"Importa direto","Ajustar tipo"))))</f>
        <v/>
      </c>
      <c r="M10" s="9"/>
    </row>
    <row r="11" customFormat="false" ht="15" hidden="false" customHeight="false" outlineLevel="0" collapsed="false">
      <c r="A11" s="7" t="str">
        <f aca="false">IF('Outro banco'!A11="","",IF(LEFT('Outro banco'!A11,1)="(","",'Outro banco'!A11))</f>
        <v/>
      </c>
      <c r="B11" s="7" t="str">
        <f aca="false">IF(A11="","",'Outro banco'!B11)</f>
        <v/>
      </c>
      <c r="C11" s="7" t="str">
        <f aca="false">IF(A11="","",'Outro banco'!C11)</f>
        <v/>
      </c>
      <c r="D11" s="7" t="str">
        <f aca="false">IF(A11="","",'Outro banco'!D11)</f>
        <v/>
      </c>
      <c r="E11" s="9"/>
      <c r="F11" s="9"/>
      <c r="G11" s="7" t="str">
        <f aca="false">IF(A11="","",IF(COUNTIF(Tabelas!$A:$A,IF(E11="",A11,E11))&gt;0,"sim","não"))</f>
        <v/>
      </c>
      <c r="H11" s="7" t="str">
        <f aca="false">IF(A11="","",IF(E11="",A11,E11)&amp;"."&amp;IF(F11="",B11,F11))</f>
        <v/>
      </c>
      <c r="I11" s="7" t="str">
        <f aca="false">IF(A11="","",IFERROR(INDEX('Campos Growths'!$F:$F,MATCH(H11,'Campos Growths'!$A:$A,0)),""))</f>
        <v/>
      </c>
      <c r="J11" s="7" t="str">
        <f aca="false">IF(A11="","",IFERROR(VLOOKUP(IF(ISNUMBER(SEARCH("(",C11)),LEFT(C11,SEARCH("(",C11)-1),C11),Tipos!$A:$B,2,FALSE()),"outro"))</f>
        <v/>
      </c>
      <c r="K11" s="7" t="str">
        <f aca="false">IF(I11="","",IFERROR(INDEX('Campos Growths'!$L:$L,MATCH(H11,'Campos Growths'!$A:$A,0)),""))</f>
        <v/>
      </c>
      <c r="L11" s="7" t="str">
        <f aca="false">IF(A11="","",IF(G11="não","Sem tabela no Growths",IF(I11="","Sem campo no Growths",IF(J11=K11,"Importa direto","Ajustar tipo"))))</f>
        <v/>
      </c>
      <c r="M11" s="9"/>
    </row>
    <row r="12" customFormat="false" ht="15" hidden="false" customHeight="false" outlineLevel="0" collapsed="false">
      <c r="A12" s="7" t="str">
        <f aca="false">IF('Outro banco'!A12="","",IF(LEFT('Outro banco'!A12,1)="(","",'Outro banco'!A12))</f>
        <v/>
      </c>
      <c r="B12" s="7" t="str">
        <f aca="false">IF(A12="","",'Outro banco'!B12)</f>
        <v/>
      </c>
      <c r="C12" s="7" t="str">
        <f aca="false">IF(A12="","",'Outro banco'!C12)</f>
        <v/>
      </c>
      <c r="D12" s="7" t="str">
        <f aca="false">IF(A12="","",'Outro banco'!D12)</f>
        <v/>
      </c>
      <c r="E12" s="9"/>
      <c r="F12" s="9"/>
      <c r="G12" s="7" t="str">
        <f aca="false">IF(A12="","",IF(COUNTIF(Tabelas!$A:$A,IF(E12="",A12,E12))&gt;0,"sim","não"))</f>
        <v/>
      </c>
      <c r="H12" s="7" t="str">
        <f aca="false">IF(A12="","",IF(E12="",A12,E12)&amp;"."&amp;IF(F12="",B12,F12))</f>
        <v/>
      </c>
      <c r="I12" s="7" t="str">
        <f aca="false">IF(A12="","",IFERROR(INDEX('Campos Growths'!$F:$F,MATCH(H12,'Campos Growths'!$A:$A,0)),""))</f>
        <v/>
      </c>
      <c r="J12" s="7" t="str">
        <f aca="false">IF(A12="","",IFERROR(VLOOKUP(IF(ISNUMBER(SEARCH("(",C12)),LEFT(C12,SEARCH("(",C12)-1),C12),Tipos!$A:$B,2,FALSE()),"outro"))</f>
        <v/>
      </c>
      <c r="K12" s="7" t="str">
        <f aca="false">IF(I12="","",IFERROR(INDEX('Campos Growths'!$L:$L,MATCH(H12,'Campos Growths'!$A:$A,0)),""))</f>
        <v/>
      </c>
      <c r="L12" s="7" t="str">
        <f aca="false">IF(A12="","",IF(G12="não","Sem tabela no Growths",IF(I12="","Sem campo no Growths",IF(J12=K12,"Importa direto","Ajustar tipo"))))</f>
        <v/>
      </c>
      <c r="M12" s="9"/>
    </row>
    <row r="13" customFormat="false" ht="15" hidden="false" customHeight="false" outlineLevel="0" collapsed="false">
      <c r="A13" s="7" t="str">
        <f aca="false">IF('Outro banco'!A13="","",IF(LEFT('Outro banco'!A13,1)="(","",'Outro banco'!A13))</f>
        <v/>
      </c>
      <c r="B13" s="7" t="str">
        <f aca="false">IF(A13="","",'Outro banco'!B13)</f>
        <v/>
      </c>
      <c r="C13" s="7" t="str">
        <f aca="false">IF(A13="","",'Outro banco'!C13)</f>
        <v/>
      </c>
      <c r="D13" s="7" t="str">
        <f aca="false">IF(A13="","",'Outro banco'!D13)</f>
        <v/>
      </c>
      <c r="E13" s="9"/>
      <c r="F13" s="9"/>
      <c r="G13" s="7" t="str">
        <f aca="false">IF(A13="","",IF(COUNTIF(Tabelas!$A:$A,IF(E13="",A13,E13))&gt;0,"sim","não"))</f>
        <v/>
      </c>
      <c r="H13" s="7" t="str">
        <f aca="false">IF(A13="","",IF(E13="",A13,E13)&amp;"."&amp;IF(F13="",B13,F13))</f>
        <v/>
      </c>
      <c r="I13" s="7" t="str">
        <f aca="false">IF(A13="","",IFERROR(INDEX('Campos Growths'!$F:$F,MATCH(H13,'Campos Growths'!$A:$A,0)),""))</f>
        <v/>
      </c>
      <c r="J13" s="7" t="str">
        <f aca="false">IF(A13="","",IFERROR(VLOOKUP(IF(ISNUMBER(SEARCH("(",C13)),LEFT(C13,SEARCH("(",C13)-1),C13),Tipos!$A:$B,2,FALSE()),"outro"))</f>
        <v/>
      </c>
      <c r="K13" s="7" t="str">
        <f aca="false">IF(I13="","",IFERROR(INDEX('Campos Growths'!$L:$L,MATCH(H13,'Campos Growths'!$A:$A,0)),""))</f>
        <v/>
      </c>
      <c r="L13" s="7" t="str">
        <f aca="false">IF(A13="","",IF(G13="não","Sem tabela no Growths",IF(I13="","Sem campo no Growths",IF(J13=K13,"Importa direto","Ajustar tipo"))))</f>
        <v/>
      </c>
      <c r="M13" s="9"/>
    </row>
    <row r="14" customFormat="false" ht="15" hidden="false" customHeight="false" outlineLevel="0" collapsed="false">
      <c r="A14" s="7" t="str">
        <f aca="false">IF('Outro banco'!A14="","",IF(LEFT('Outro banco'!A14,1)="(","",'Outro banco'!A14))</f>
        <v/>
      </c>
      <c r="B14" s="7" t="str">
        <f aca="false">IF(A14="","",'Outro banco'!B14)</f>
        <v/>
      </c>
      <c r="C14" s="7" t="str">
        <f aca="false">IF(A14="","",'Outro banco'!C14)</f>
        <v/>
      </c>
      <c r="D14" s="7" t="str">
        <f aca="false">IF(A14="","",'Outro banco'!D14)</f>
        <v/>
      </c>
      <c r="E14" s="9"/>
      <c r="F14" s="9"/>
      <c r="G14" s="7" t="str">
        <f aca="false">IF(A14="","",IF(COUNTIF(Tabelas!$A:$A,IF(E14="",A14,E14))&gt;0,"sim","não"))</f>
        <v/>
      </c>
      <c r="H14" s="7" t="str">
        <f aca="false">IF(A14="","",IF(E14="",A14,E14)&amp;"."&amp;IF(F14="",B14,F14))</f>
        <v/>
      </c>
      <c r="I14" s="7" t="str">
        <f aca="false">IF(A14="","",IFERROR(INDEX('Campos Growths'!$F:$F,MATCH(H14,'Campos Growths'!$A:$A,0)),""))</f>
        <v/>
      </c>
      <c r="J14" s="7" t="str">
        <f aca="false">IF(A14="","",IFERROR(VLOOKUP(IF(ISNUMBER(SEARCH("(",C14)),LEFT(C14,SEARCH("(",C14)-1),C14),Tipos!$A:$B,2,FALSE()),"outro"))</f>
        <v/>
      </c>
      <c r="K14" s="7" t="str">
        <f aca="false">IF(I14="","",IFERROR(INDEX('Campos Growths'!$L:$L,MATCH(H14,'Campos Growths'!$A:$A,0)),""))</f>
        <v/>
      </c>
      <c r="L14" s="7" t="str">
        <f aca="false">IF(A14="","",IF(G14="não","Sem tabela no Growths",IF(I14="","Sem campo no Growths",IF(J14=K14,"Importa direto","Ajustar tipo"))))</f>
        <v/>
      </c>
      <c r="M14" s="9"/>
    </row>
    <row r="15" customFormat="false" ht="15" hidden="false" customHeight="false" outlineLevel="0" collapsed="false">
      <c r="A15" s="7" t="str">
        <f aca="false">IF('Outro banco'!A15="","",IF(LEFT('Outro banco'!A15,1)="(","",'Outro banco'!A15))</f>
        <v/>
      </c>
      <c r="B15" s="7" t="str">
        <f aca="false">IF(A15="","",'Outro banco'!B15)</f>
        <v/>
      </c>
      <c r="C15" s="7" t="str">
        <f aca="false">IF(A15="","",'Outro banco'!C15)</f>
        <v/>
      </c>
      <c r="D15" s="7" t="str">
        <f aca="false">IF(A15="","",'Outro banco'!D15)</f>
        <v/>
      </c>
      <c r="E15" s="9"/>
      <c r="F15" s="9"/>
      <c r="G15" s="7" t="str">
        <f aca="false">IF(A15="","",IF(COUNTIF(Tabelas!$A:$A,IF(E15="",A15,E15))&gt;0,"sim","não"))</f>
        <v/>
      </c>
      <c r="H15" s="7" t="str">
        <f aca="false">IF(A15="","",IF(E15="",A15,E15)&amp;"."&amp;IF(F15="",B15,F15))</f>
        <v/>
      </c>
      <c r="I15" s="7" t="str">
        <f aca="false">IF(A15="","",IFERROR(INDEX('Campos Growths'!$F:$F,MATCH(H15,'Campos Growths'!$A:$A,0)),""))</f>
        <v/>
      </c>
      <c r="J15" s="7" t="str">
        <f aca="false">IF(A15="","",IFERROR(VLOOKUP(IF(ISNUMBER(SEARCH("(",C15)),LEFT(C15,SEARCH("(",C15)-1),C15),Tipos!$A:$B,2,FALSE()),"outro"))</f>
        <v/>
      </c>
      <c r="K15" s="7" t="str">
        <f aca="false">IF(I15="","",IFERROR(INDEX('Campos Growths'!$L:$L,MATCH(H15,'Campos Growths'!$A:$A,0)),""))</f>
        <v/>
      </c>
      <c r="L15" s="7" t="str">
        <f aca="false">IF(A15="","",IF(G15="não","Sem tabela no Growths",IF(I15="","Sem campo no Growths",IF(J15=K15,"Importa direto","Ajustar tipo"))))</f>
        <v/>
      </c>
      <c r="M15" s="9"/>
    </row>
    <row r="16" customFormat="false" ht="15" hidden="false" customHeight="false" outlineLevel="0" collapsed="false">
      <c r="A16" s="7" t="str">
        <f aca="false">IF('Outro banco'!A16="","",IF(LEFT('Outro banco'!A16,1)="(","",'Outro banco'!A16))</f>
        <v/>
      </c>
      <c r="B16" s="7" t="str">
        <f aca="false">IF(A16="","",'Outro banco'!B16)</f>
        <v/>
      </c>
      <c r="C16" s="7" t="str">
        <f aca="false">IF(A16="","",'Outro banco'!C16)</f>
        <v/>
      </c>
      <c r="D16" s="7" t="str">
        <f aca="false">IF(A16="","",'Outro banco'!D16)</f>
        <v/>
      </c>
      <c r="E16" s="9"/>
      <c r="F16" s="9"/>
      <c r="G16" s="7" t="str">
        <f aca="false">IF(A16="","",IF(COUNTIF(Tabelas!$A:$A,IF(E16="",A16,E16))&gt;0,"sim","não"))</f>
        <v/>
      </c>
      <c r="H16" s="7" t="str">
        <f aca="false">IF(A16="","",IF(E16="",A16,E16)&amp;"."&amp;IF(F16="",B16,F16))</f>
        <v/>
      </c>
      <c r="I16" s="7" t="str">
        <f aca="false">IF(A16="","",IFERROR(INDEX('Campos Growths'!$F:$F,MATCH(H16,'Campos Growths'!$A:$A,0)),""))</f>
        <v/>
      </c>
      <c r="J16" s="7" t="str">
        <f aca="false">IF(A16="","",IFERROR(VLOOKUP(IF(ISNUMBER(SEARCH("(",C16)),LEFT(C16,SEARCH("(",C16)-1),C16),Tipos!$A:$B,2,FALSE()),"outro"))</f>
        <v/>
      </c>
      <c r="K16" s="7" t="str">
        <f aca="false">IF(I16="","",IFERROR(INDEX('Campos Growths'!$L:$L,MATCH(H16,'Campos Growths'!$A:$A,0)),""))</f>
        <v/>
      </c>
      <c r="L16" s="7" t="str">
        <f aca="false">IF(A16="","",IF(G16="não","Sem tabela no Growths",IF(I16="","Sem campo no Growths",IF(J16=K16,"Importa direto","Ajustar tipo"))))</f>
        <v/>
      </c>
      <c r="M16" s="9"/>
    </row>
    <row r="17" customFormat="false" ht="15" hidden="false" customHeight="false" outlineLevel="0" collapsed="false">
      <c r="A17" s="7" t="str">
        <f aca="false">IF('Outro banco'!A17="","",IF(LEFT('Outro banco'!A17,1)="(","",'Outro banco'!A17))</f>
        <v/>
      </c>
      <c r="B17" s="7" t="str">
        <f aca="false">IF(A17="","",'Outro banco'!B17)</f>
        <v/>
      </c>
      <c r="C17" s="7" t="str">
        <f aca="false">IF(A17="","",'Outro banco'!C17)</f>
        <v/>
      </c>
      <c r="D17" s="7" t="str">
        <f aca="false">IF(A17="","",'Outro banco'!D17)</f>
        <v/>
      </c>
      <c r="E17" s="9"/>
      <c r="F17" s="9"/>
      <c r="G17" s="7" t="str">
        <f aca="false">IF(A17="","",IF(COUNTIF(Tabelas!$A:$A,IF(E17="",A17,E17))&gt;0,"sim","não"))</f>
        <v/>
      </c>
      <c r="H17" s="7" t="str">
        <f aca="false">IF(A17="","",IF(E17="",A17,E17)&amp;"."&amp;IF(F17="",B17,F17))</f>
        <v/>
      </c>
      <c r="I17" s="7" t="str">
        <f aca="false">IF(A17="","",IFERROR(INDEX('Campos Growths'!$F:$F,MATCH(H17,'Campos Growths'!$A:$A,0)),""))</f>
        <v/>
      </c>
      <c r="J17" s="7" t="str">
        <f aca="false">IF(A17="","",IFERROR(VLOOKUP(IF(ISNUMBER(SEARCH("(",C17)),LEFT(C17,SEARCH("(",C17)-1),C17),Tipos!$A:$B,2,FALSE()),"outro"))</f>
        <v/>
      </c>
      <c r="K17" s="7" t="str">
        <f aca="false">IF(I17="","",IFERROR(INDEX('Campos Growths'!$L:$L,MATCH(H17,'Campos Growths'!$A:$A,0)),""))</f>
        <v/>
      </c>
      <c r="L17" s="7" t="str">
        <f aca="false">IF(A17="","",IF(G17="não","Sem tabela no Growths",IF(I17="","Sem campo no Growths",IF(J17=K17,"Importa direto","Ajustar tipo"))))</f>
        <v/>
      </c>
      <c r="M17" s="9"/>
    </row>
    <row r="18" customFormat="false" ht="15" hidden="false" customHeight="false" outlineLevel="0" collapsed="false">
      <c r="A18" s="7" t="str">
        <f aca="false">IF('Outro banco'!A18="","",IF(LEFT('Outro banco'!A18,1)="(","",'Outro banco'!A18))</f>
        <v/>
      </c>
      <c r="B18" s="7" t="str">
        <f aca="false">IF(A18="","",'Outro banco'!B18)</f>
        <v/>
      </c>
      <c r="C18" s="7" t="str">
        <f aca="false">IF(A18="","",'Outro banco'!C18)</f>
        <v/>
      </c>
      <c r="D18" s="7" t="str">
        <f aca="false">IF(A18="","",'Outro banco'!D18)</f>
        <v/>
      </c>
      <c r="E18" s="9"/>
      <c r="F18" s="9"/>
      <c r="G18" s="7" t="str">
        <f aca="false">IF(A18="","",IF(COUNTIF(Tabelas!$A:$A,IF(E18="",A18,E18))&gt;0,"sim","não"))</f>
        <v/>
      </c>
      <c r="H18" s="7" t="str">
        <f aca="false">IF(A18="","",IF(E18="",A18,E18)&amp;"."&amp;IF(F18="",B18,F18))</f>
        <v/>
      </c>
      <c r="I18" s="7" t="str">
        <f aca="false">IF(A18="","",IFERROR(INDEX('Campos Growths'!$F:$F,MATCH(H18,'Campos Growths'!$A:$A,0)),""))</f>
        <v/>
      </c>
      <c r="J18" s="7" t="str">
        <f aca="false">IF(A18="","",IFERROR(VLOOKUP(IF(ISNUMBER(SEARCH("(",C18)),LEFT(C18,SEARCH("(",C18)-1),C18),Tipos!$A:$B,2,FALSE()),"outro"))</f>
        <v/>
      </c>
      <c r="K18" s="7" t="str">
        <f aca="false">IF(I18="","",IFERROR(INDEX('Campos Growths'!$L:$L,MATCH(H18,'Campos Growths'!$A:$A,0)),""))</f>
        <v/>
      </c>
      <c r="L18" s="7" t="str">
        <f aca="false">IF(A18="","",IF(G18="não","Sem tabela no Growths",IF(I18="","Sem campo no Growths",IF(J18=K18,"Importa direto","Ajustar tipo"))))</f>
        <v/>
      </c>
      <c r="M18" s="9"/>
    </row>
    <row r="19" customFormat="false" ht="15" hidden="false" customHeight="false" outlineLevel="0" collapsed="false">
      <c r="A19" s="7" t="str">
        <f aca="false">IF('Outro banco'!A19="","",IF(LEFT('Outro banco'!A19,1)="(","",'Outro banco'!A19))</f>
        <v/>
      </c>
      <c r="B19" s="7" t="str">
        <f aca="false">IF(A19="","",'Outro banco'!B19)</f>
        <v/>
      </c>
      <c r="C19" s="7" t="str">
        <f aca="false">IF(A19="","",'Outro banco'!C19)</f>
        <v/>
      </c>
      <c r="D19" s="7" t="str">
        <f aca="false">IF(A19="","",'Outro banco'!D19)</f>
        <v/>
      </c>
      <c r="E19" s="9"/>
      <c r="F19" s="9"/>
      <c r="G19" s="7" t="str">
        <f aca="false">IF(A19="","",IF(COUNTIF(Tabelas!$A:$A,IF(E19="",A19,E19))&gt;0,"sim","não"))</f>
        <v/>
      </c>
      <c r="H19" s="7" t="str">
        <f aca="false">IF(A19="","",IF(E19="",A19,E19)&amp;"."&amp;IF(F19="",B19,F19))</f>
        <v/>
      </c>
      <c r="I19" s="7" t="str">
        <f aca="false">IF(A19="","",IFERROR(INDEX('Campos Growths'!$F:$F,MATCH(H19,'Campos Growths'!$A:$A,0)),""))</f>
        <v/>
      </c>
      <c r="J19" s="7" t="str">
        <f aca="false">IF(A19="","",IFERROR(VLOOKUP(IF(ISNUMBER(SEARCH("(",C19)),LEFT(C19,SEARCH("(",C19)-1),C19),Tipos!$A:$B,2,FALSE()),"outro"))</f>
        <v/>
      </c>
      <c r="K19" s="7" t="str">
        <f aca="false">IF(I19="","",IFERROR(INDEX('Campos Growths'!$L:$L,MATCH(H19,'Campos Growths'!$A:$A,0)),""))</f>
        <v/>
      </c>
      <c r="L19" s="7" t="str">
        <f aca="false">IF(A19="","",IF(G19="não","Sem tabela no Growths",IF(I19="","Sem campo no Growths",IF(J19=K19,"Importa direto","Ajustar tipo"))))</f>
        <v/>
      </c>
      <c r="M19" s="9"/>
    </row>
    <row r="20" customFormat="false" ht="15" hidden="false" customHeight="false" outlineLevel="0" collapsed="false">
      <c r="A20" s="7" t="str">
        <f aca="false">IF('Outro banco'!A20="","",IF(LEFT('Outro banco'!A20,1)="(","",'Outro banco'!A20))</f>
        <v/>
      </c>
      <c r="B20" s="7" t="str">
        <f aca="false">IF(A20="","",'Outro banco'!B20)</f>
        <v/>
      </c>
      <c r="C20" s="7" t="str">
        <f aca="false">IF(A20="","",'Outro banco'!C20)</f>
        <v/>
      </c>
      <c r="D20" s="7" t="str">
        <f aca="false">IF(A20="","",'Outro banco'!D20)</f>
        <v/>
      </c>
      <c r="E20" s="9"/>
      <c r="F20" s="9"/>
      <c r="G20" s="7" t="str">
        <f aca="false">IF(A20="","",IF(COUNTIF(Tabelas!$A:$A,IF(E20="",A20,E20))&gt;0,"sim","não"))</f>
        <v/>
      </c>
      <c r="H20" s="7" t="str">
        <f aca="false">IF(A20="","",IF(E20="",A20,E20)&amp;"."&amp;IF(F20="",B20,F20))</f>
        <v/>
      </c>
      <c r="I20" s="7" t="str">
        <f aca="false">IF(A20="","",IFERROR(INDEX('Campos Growths'!$F:$F,MATCH(H20,'Campos Growths'!$A:$A,0)),""))</f>
        <v/>
      </c>
      <c r="J20" s="7" t="str">
        <f aca="false">IF(A20="","",IFERROR(VLOOKUP(IF(ISNUMBER(SEARCH("(",C20)),LEFT(C20,SEARCH("(",C20)-1),C20),Tipos!$A:$B,2,FALSE()),"outro"))</f>
        <v/>
      </c>
      <c r="K20" s="7" t="str">
        <f aca="false">IF(I20="","",IFERROR(INDEX('Campos Growths'!$L:$L,MATCH(H20,'Campos Growths'!$A:$A,0)),""))</f>
        <v/>
      </c>
      <c r="L20" s="7" t="str">
        <f aca="false">IF(A20="","",IF(G20="não","Sem tabela no Growths",IF(I20="","Sem campo no Growths",IF(J20=K20,"Importa direto","Ajustar tipo"))))</f>
        <v/>
      </c>
      <c r="M20" s="9"/>
    </row>
    <row r="21" customFormat="false" ht="15" hidden="false" customHeight="false" outlineLevel="0" collapsed="false">
      <c r="A21" s="7" t="str">
        <f aca="false">IF('Outro banco'!A21="","",IF(LEFT('Outro banco'!A21,1)="(","",'Outro banco'!A21))</f>
        <v/>
      </c>
      <c r="B21" s="7" t="str">
        <f aca="false">IF(A21="","",'Outro banco'!B21)</f>
        <v/>
      </c>
      <c r="C21" s="7" t="str">
        <f aca="false">IF(A21="","",'Outro banco'!C21)</f>
        <v/>
      </c>
      <c r="D21" s="7" t="str">
        <f aca="false">IF(A21="","",'Outro banco'!D21)</f>
        <v/>
      </c>
      <c r="E21" s="9"/>
      <c r="F21" s="9"/>
      <c r="G21" s="7" t="str">
        <f aca="false">IF(A21="","",IF(COUNTIF(Tabelas!$A:$A,IF(E21="",A21,E21))&gt;0,"sim","não"))</f>
        <v/>
      </c>
      <c r="H21" s="7" t="str">
        <f aca="false">IF(A21="","",IF(E21="",A21,E21)&amp;"."&amp;IF(F21="",B21,F21))</f>
        <v/>
      </c>
      <c r="I21" s="7" t="str">
        <f aca="false">IF(A21="","",IFERROR(INDEX('Campos Growths'!$F:$F,MATCH(H21,'Campos Growths'!$A:$A,0)),""))</f>
        <v/>
      </c>
      <c r="J21" s="7" t="str">
        <f aca="false">IF(A21="","",IFERROR(VLOOKUP(IF(ISNUMBER(SEARCH("(",C21)),LEFT(C21,SEARCH("(",C21)-1),C21),Tipos!$A:$B,2,FALSE()),"outro"))</f>
        <v/>
      </c>
      <c r="K21" s="7" t="str">
        <f aca="false">IF(I21="","",IFERROR(INDEX('Campos Growths'!$L:$L,MATCH(H21,'Campos Growths'!$A:$A,0)),""))</f>
        <v/>
      </c>
      <c r="L21" s="7" t="str">
        <f aca="false">IF(A21="","",IF(G21="não","Sem tabela no Growths",IF(I21="","Sem campo no Growths",IF(J21=K21,"Importa direto","Ajustar tipo"))))</f>
        <v/>
      </c>
      <c r="M21" s="9"/>
    </row>
    <row r="22" customFormat="false" ht="15" hidden="false" customHeight="false" outlineLevel="0" collapsed="false">
      <c r="A22" s="7" t="str">
        <f aca="false">IF('Outro banco'!A22="","",IF(LEFT('Outro banco'!A22,1)="(","",'Outro banco'!A22))</f>
        <v/>
      </c>
      <c r="B22" s="7" t="str">
        <f aca="false">IF(A22="","",'Outro banco'!B22)</f>
        <v/>
      </c>
      <c r="C22" s="7" t="str">
        <f aca="false">IF(A22="","",'Outro banco'!C22)</f>
        <v/>
      </c>
      <c r="D22" s="7" t="str">
        <f aca="false">IF(A22="","",'Outro banco'!D22)</f>
        <v/>
      </c>
      <c r="E22" s="9"/>
      <c r="F22" s="9"/>
      <c r="G22" s="7" t="str">
        <f aca="false">IF(A22="","",IF(COUNTIF(Tabelas!$A:$A,IF(E22="",A22,E22))&gt;0,"sim","não"))</f>
        <v/>
      </c>
      <c r="H22" s="7" t="str">
        <f aca="false">IF(A22="","",IF(E22="",A22,E22)&amp;"."&amp;IF(F22="",B22,F22))</f>
        <v/>
      </c>
      <c r="I22" s="7" t="str">
        <f aca="false">IF(A22="","",IFERROR(INDEX('Campos Growths'!$F:$F,MATCH(H22,'Campos Growths'!$A:$A,0)),""))</f>
        <v/>
      </c>
      <c r="J22" s="7" t="str">
        <f aca="false">IF(A22="","",IFERROR(VLOOKUP(IF(ISNUMBER(SEARCH("(",C22)),LEFT(C22,SEARCH("(",C22)-1),C22),Tipos!$A:$B,2,FALSE()),"outro"))</f>
        <v/>
      </c>
      <c r="K22" s="7" t="str">
        <f aca="false">IF(I22="","",IFERROR(INDEX('Campos Growths'!$L:$L,MATCH(H22,'Campos Growths'!$A:$A,0)),""))</f>
        <v/>
      </c>
      <c r="L22" s="7" t="str">
        <f aca="false">IF(A22="","",IF(G22="não","Sem tabela no Growths",IF(I22="","Sem campo no Growths",IF(J22=K22,"Importa direto","Ajustar tipo"))))</f>
        <v/>
      </c>
      <c r="M22" s="9"/>
    </row>
    <row r="23" customFormat="false" ht="15" hidden="false" customHeight="false" outlineLevel="0" collapsed="false">
      <c r="A23" s="7" t="str">
        <f aca="false">IF('Outro banco'!A23="","",IF(LEFT('Outro banco'!A23,1)="(","",'Outro banco'!A23))</f>
        <v/>
      </c>
      <c r="B23" s="7" t="str">
        <f aca="false">IF(A23="","",'Outro banco'!B23)</f>
        <v/>
      </c>
      <c r="C23" s="7" t="str">
        <f aca="false">IF(A23="","",'Outro banco'!C23)</f>
        <v/>
      </c>
      <c r="D23" s="7" t="str">
        <f aca="false">IF(A23="","",'Outro banco'!D23)</f>
        <v/>
      </c>
      <c r="E23" s="9"/>
      <c r="F23" s="9"/>
      <c r="G23" s="7" t="str">
        <f aca="false">IF(A23="","",IF(COUNTIF(Tabelas!$A:$A,IF(E23="",A23,E23))&gt;0,"sim","não"))</f>
        <v/>
      </c>
      <c r="H23" s="7" t="str">
        <f aca="false">IF(A23="","",IF(E23="",A23,E23)&amp;"."&amp;IF(F23="",B23,F23))</f>
        <v/>
      </c>
      <c r="I23" s="7" t="str">
        <f aca="false">IF(A23="","",IFERROR(INDEX('Campos Growths'!$F:$F,MATCH(H23,'Campos Growths'!$A:$A,0)),""))</f>
        <v/>
      </c>
      <c r="J23" s="7" t="str">
        <f aca="false">IF(A23="","",IFERROR(VLOOKUP(IF(ISNUMBER(SEARCH("(",C23)),LEFT(C23,SEARCH("(",C23)-1),C23),Tipos!$A:$B,2,FALSE()),"outro"))</f>
        <v/>
      </c>
      <c r="K23" s="7" t="str">
        <f aca="false">IF(I23="","",IFERROR(INDEX('Campos Growths'!$L:$L,MATCH(H23,'Campos Growths'!$A:$A,0)),""))</f>
        <v/>
      </c>
      <c r="L23" s="7" t="str">
        <f aca="false">IF(A23="","",IF(G23="não","Sem tabela no Growths",IF(I23="","Sem campo no Growths",IF(J23=K23,"Importa direto","Ajustar tipo"))))</f>
        <v/>
      </c>
      <c r="M23" s="9"/>
    </row>
    <row r="24" customFormat="false" ht="15" hidden="false" customHeight="false" outlineLevel="0" collapsed="false">
      <c r="A24" s="7" t="str">
        <f aca="false">IF('Outro banco'!A24="","",IF(LEFT('Outro banco'!A24,1)="(","",'Outro banco'!A24))</f>
        <v/>
      </c>
      <c r="B24" s="7" t="str">
        <f aca="false">IF(A24="","",'Outro banco'!B24)</f>
        <v/>
      </c>
      <c r="C24" s="7" t="str">
        <f aca="false">IF(A24="","",'Outro banco'!C24)</f>
        <v/>
      </c>
      <c r="D24" s="7" t="str">
        <f aca="false">IF(A24="","",'Outro banco'!D24)</f>
        <v/>
      </c>
      <c r="E24" s="9"/>
      <c r="F24" s="9"/>
      <c r="G24" s="7" t="str">
        <f aca="false">IF(A24="","",IF(COUNTIF(Tabelas!$A:$A,IF(E24="",A24,E24))&gt;0,"sim","não"))</f>
        <v/>
      </c>
      <c r="H24" s="7" t="str">
        <f aca="false">IF(A24="","",IF(E24="",A24,E24)&amp;"."&amp;IF(F24="",B24,F24))</f>
        <v/>
      </c>
      <c r="I24" s="7" t="str">
        <f aca="false">IF(A24="","",IFERROR(INDEX('Campos Growths'!$F:$F,MATCH(H24,'Campos Growths'!$A:$A,0)),""))</f>
        <v/>
      </c>
      <c r="J24" s="7" t="str">
        <f aca="false">IF(A24="","",IFERROR(VLOOKUP(IF(ISNUMBER(SEARCH("(",C24)),LEFT(C24,SEARCH("(",C24)-1),C24),Tipos!$A:$B,2,FALSE()),"outro"))</f>
        <v/>
      </c>
      <c r="K24" s="7" t="str">
        <f aca="false">IF(I24="","",IFERROR(INDEX('Campos Growths'!$L:$L,MATCH(H24,'Campos Growths'!$A:$A,0)),""))</f>
        <v/>
      </c>
      <c r="L24" s="7" t="str">
        <f aca="false">IF(A24="","",IF(G24="não","Sem tabela no Growths",IF(I24="","Sem campo no Growths",IF(J24=K24,"Importa direto","Ajustar tipo"))))</f>
        <v/>
      </c>
      <c r="M24" s="9"/>
    </row>
    <row r="25" customFormat="false" ht="15" hidden="false" customHeight="false" outlineLevel="0" collapsed="false">
      <c r="A25" s="7" t="str">
        <f aca="false">IF('Outro banco'!A25="","",IF(LEFT('Outro banco'!A25,1)="(","",'Outro banco'!A25))</f>
        <v/>
      </c>
      <c r="B25" s="7" t="str">
        <f aca="false">IF(A25="","",'Outro banco'!B25)</f>
        <v/>
      </c>
      <c r="C25" s="7" t="str">
        <f aca="false">IF(A25="","",'Outro banco'!C25)</f>
        <v/>
      </c>
      <c r="D25" s="7" t="str">
        <f aca="false">IF(A25="","",'Outro banco'!D25)</f>
        <v/>
      </c>
      <c r="E25" s="9"/>
      <c r="F25" s="9"/>
      <c r="G25" s="7" t="str">
        <f aca="false">IF(A25="","",IF(COUNTIF(Tabelas!$A:$A,IF(E25="",A25,E25))&gt;0,"sim","não"))</f>
        <v/>
      </c>
      <c r="H25" s="7" t="str">
        <f aca="false">IF(A25="","",IF(E25="",A25,E25)&amp;"."&amp;IF(F25="",B25,F25))</f>
        <v/>
      </c>
      <c r="I25" s="7" t="str">
        <f aca="false">IF(A25="","",IFERROR(INDEX('Campos Growths'!$F:$F,MATCH(H25,'Campos Growths'!$A:$A,0)),""))</f>
        <v/>
      </c>
      <c r="J25" s="7" t="str">
        <f aca="false">IF(A25="","",IFERROR(VLOOKUP(IF(ISNUMBER(SEARCH("(",C25)),LEFT(C25,SEARCH("(",C25)-1),C25),Tipos!$A:$B,2,FALSE()),"outro"))</f>
        <v/>
      </c>
      <c r="K25" s="7" t="str">
        <f aca="false">IF(I25="","",IFERROR(INDEX('Campos Growths'!$L:$L,MATCH(H25,'Campos Growths'!$A:$A,0)),""))</f>
        <v/>
      </c>
      <c r="L25" s="7" t="str">
        <f aca="false">IF(A25="","",IF(G25="não","Sem tabela no Growths",IF(I25="","Sem campo no Growths",IF(J25=K25,"Importa direto","Ajustar tipo"))))</f>
        <v/>
      </c>
      <c r="M25" s="9"/>
    </row>
    <row r="26" customFormat="false" ht="15" hidden="false" customHeight="false" outlineLevel="0" collapsed="false">
      <c r="A26" s="7" t="str">
        <f aca="false">IF('Outro banco'!A26="","",IF(LEFT('Outro banco'!A26,1)="(","",'Outro banco'!A26))</f>
        <v/>
      </c>
      <c r="B26" s="7" t="str">
        <f aca="false">IF(A26="","",'Outro banco'!B26)</f>
        <v/>
      </c>
      <c r="C26" s="7" t="str">
        <f aca="false">IF(A26="","",'Outro banco'!C26)</f>
        <v/>
      </c>
      <c r="D26" s="7" t="str">
        <f aca="false">IF(A26="","",'Outro banco'!D26)</f>
        <v/>
      </c>
      <c r="E26" s="9"/>
      <c r="F26" s="9"/>
      <c r="G26" s="7" t="str">
        <f aca="false">IF(A26="","",IF(COUNTIF(Tabelas!$A:$A,IF(E26="",A26,E26))&gt;0,"sim","não"))</f>
        <v/>
      </c>
      <c r="H26" s="7" t="str">
        <f aca="false">IF(A26="","",IF(E26="",A26,E26)&amp;"."&amp;IF(F26="",B26,F26))</f>
        <v/>
      </c>
      <c r="I26" s="7" t="str">
        <f aca="false">IF(A26="","",IFERROR(INDEX('Campos Growths'!$F:$F,MATCH(H26,'Campos Growths'!$A:$A,0)),""))</f>
        <v/>
      </c>
      <c r="J26" s="7" t="str">
        <f aca="false">IF(A26="","",IFERROR(VLOOKUP(IF(ISNUMBER(SEARCH("(",C26)),LEFT(C26,SEARCH("(",C26)-1),C26),Tipos!$A:$B,2,FALSE()),"outro"))</f>
        <v/>
      </c>
      <c r="K26" s="7" t="str">
        <f aca="false">IF(I26="","",IFERROR(INDEX('Campos Growths'!$L:$L,MATCH(H26,'Campos Growths'!$A:$A,0)),""))</f>
        <v/>
      </c>
      <c r="L26" s="7" t="str">
        <f aca="false">IF(A26="","",IF(G26="não","Sem tabela no Growths",IF(I26="","Sem campo no Growths",IF(J26=K26,"Importa direto","Ajustar tipo"))))</f>
        <v/>
      </c>
      <c r="M26" s="9"/>
    </row>
    <row r="27" customFormat="false" ht="15" hidden="false" customHeight="false" outlineLevel="0" collapsed="false">
      <c r="A27" s="7" t="str">
        <f aca="false">IF('Outro banco'!A27="","",IF(LEFT('Outro banco'!A27,1)="(","",'Outro banco'!A27))</f>
        <v/>
      </c>
      <c r="B27" s="7" t="str">
        <f aca="false">IF(A27="","",'Outro banco'!B27)</f>
        <v/>
      </c>
      <c r="C27" s="7" t="str">
        <f aca="false">IF(A27="","",'Outro banco'!C27)</f>
        <v/>
      </c>
      <c r="D27" s="7" t="str">
        <f aca="false">IF(A27="","",'Outro banco'!D27)</f>
        <v/>
      </c>
      <c r="E27" s="9"/>
      <c r="F27" s="9"/>
      <c r="G27" s="7" t="str">
        <f aca="false">IF(A27="","",IF(COUNTIF(Tabelas!$A:$A,IF(E27="",A27,E27))&gt;0,"sim","não"))</f>
        <v/>
      </c>
      <c r="H27" s="7" t="str">
        <f aca="false">IF(A27="","",IF(E27="",A27,E27)&amp;"."&amp;IF(F27="",B27,F27))</f>
        <v/>
      </c>
      <c r="I27" s="7" t="str">
        <f aca="false">IF(A27="","",IFERROR(INDEX('Campos Growths'!$F:$F,MATCH(H27,'Campos Growths'!$A:$A,0)),""))</f>
        <v/>
      </c>
      <c r="J27" s="7" t="str">
        <f aca="false">IF(A27="","",IFERROR(VLOOKUP(IF(ISNUMBER(SEARCH("(",C27)),LEFT(C27,SEARCH("(",C27)-1),C27),Tipos!$A:$B,2,FALSE()),"outro"))</f>
        <v/>
      </c>
      <c r="K27" s="7" t="str">
        <f aca="false">IF(I27="","",IFERROR(INDEX('Campos Growths'!$L:$L,MATCH(H27,'Campos Growths'!$A:$A,0)),""))</f>
        <v/>
      </c>
      <c r="L27" s="7" t="str">
        <f aca="false">IF(A27="","",IF(G27="não","Sem tabela no Growths",IF(I27="","Sem campo no Growths",IF(J27=K27,"Importa direto","Ajustar tipo"))))</f>
        <v/>
      </c>
      <c r="M27" s="9"/>
    </row>
    <row r="28" customFormat="false" ht="15" hidden="false" customHeight="false" outlineLevel="0" collapsed="false">
      <c r="A28" s="7" t="str">
        <f aca="false">IF('Outro banco'!A28="","",IF(LEFT('Outro banco'!A28,1)="(","",'Outro banco'!A28))</f>
        <v/>
      </c>
      <c r="B28" s="7" t="str">
        <f aca="false">IF(A28="","",'Outro banco'!B28)</f>
        <v/>
      </c>
      <c r="C28" s="7" t="str">
        <f aca="false">IF(A28="","",'Outro banco'!C28)</f>
        <v/>
      </c>
      <c r="D28" s="7" t="str">
        <f aca="false">IF(A28="","",'Outro banco'!D28)</f>
        <v/>
      </c>
      <c r="E28" s="9"/>
      <c r="F28" s="9"/>
      <c r="G28" s="7" t="str">
        <f aca="false">IF(A28="","",IF(COUNTIF(Tabelas!$A:$A,IF(E28="",A28,E28))&gt;0,"sim","não"))</f>
        <v/>
      </c>
      <c r="H28" s="7" t="str">
        <f aca="false">IF(A28="","",IF(E28="",A28,E28)&amp;"."&amp;IF(F28="",B28,F28))</f>
        <v/>
      </c>
      <c r="I28" s="7" t="str">
        <f aca="false">IF(A28="","",IFERROR(INDEX('Campos Growths'!$F:$F,MATCH(H28,'Campos Growths'!$A:$A,0)),""))</f>
        <v/>
      </c>
      <c r="J28" s="7" t="str">
        <f aca="false">IF(A28="","",IFERROR(VLOOKUP(IF(ISNUMBER(SEARCH("(",C28)),LEFT(C28,SEARCH("(",C28)-1),C28),Tipos!$A:$B,2,FALSE()),"outro"))</f>
        <v/>
      </c>
      <c r="K28" s="7" t="str">
        <f aca="false">IF(I28="","",IFERROR(INDEX('Campos Growths'!$L:$L,MATCH(H28,'Campos Growths'!$A:$A,0)),""))</f>
        <v/>
      </c>
      <c r="L28" s="7" t="str">
        <f aca="false">IF(A28="","",IF(G28="não","Sem tabela no Growths",IF(I28="","Sem campo no Growths",IF(J28=K28,"Importa direto","Ajustar tipo"))))</f>
        <v/>
      </c>
      <c r="M28" s="9"/>
    </row>
    <row r="29" customFormat="false" ht="15" hidden="false" customHeight="false" outlineLevel="0" collapsed="false">
      <c r="A29" s="7" t="str">
        <f aca="false">IF('Outro banco'!A29="","",IF(LEFT('Outro banco'!A29,1)="(","",'Outro banco'!A29))</f>
        <v/>
      </c>
      <c r="B29" s="7" t="str">
        <f aca="false">IF(A29="","",'Outro banco'!B29)</f>
        <v/>
      </c>
      <c r="C29" s="7" t="str">
        <f aca="false">IF(A29="","",'Outro banco'!C29)</f>
        <v/>
      </c>
      <c r="D29" s="7" t="str">
        <f aca="false">IF(A29="","",'Outro banco'!D29)</f>
        <v/>
      </c>
      <c r="E29" s="9"/>
      <c r="F29" s="9"/>
      <c r="G29" s="7" t="str">
        <f aca="false">IF(A29="","",IF(COUNTIF(Tabelas!$A:$A,IF(E29="",A29,E29))&gt;0,"sim","não"))</f>
        <v/>
      </c>
      <c r="H29" s="7" t="str">
        <f aca="false">IF(A29="","",IF(E29="",A29,E29)&amp;"."&amp;IF(F29="",B29,F29))</f>
        <v/>
      </c>
      <c r="I29" s="7" t="str">
        <f aca="false">IF(A29="","",IFERROR(INDEX('Campos Growths'!$F:$F,MATCH(H29,'Campos Growths'!$A:$A,0)),""))</f>
        <v/>
      </c>
      <c r="J29" s="7" t="str">
        <f aca="false">IF(A29="","",IFERROR(VLOOKUP(IF(ISNUMBER(SEARCH("(",C29)),LEFT(C29,SEARCH("(",C29)-1),C29),Tipos!$A:$B,2,FALSE()),"outro"))</f>
        <v/>
      </c>
      <c r="K29" s="7" t="str">
        <f aca="false">IF(I29="","",IFERROR(INDEX('Campos Growths'!$L:$L,MATCH(H29,'Campos Growths'!$A:$A,0)),""))</f>
        <v/>
      </c>
      <c r="L29" s="7" t="str">
        <f aca="false">IF(A29="","",IF(G29="não","Sem tabela no Growths",IF(I29="","Sem campo no Growths",IF(J29=K29,"Importa direto","Ajustar tipo"))))</f>
        <v/>
      </c>
      <c r="M29" s="9"/>
    </row>
    <row r="30" customFormat="false" ht="15" hidden="false" customHeight="false" outlineLevel="0" collapsed="false">
      <c r="A30" s="7" t="str">
        <f aca="false">IF('Outro banco'!A30="","",IF(LEFT('Outro banco'!A30,1)="(","",'Outro banco'!A30))</f>
        <v/>
      </c>
      <c r="B30" s="7" t="str">
        <f aca="false">IF(A30="","",'Outro banco'!B30)</f>
        <v/>
      </c>
      <c r="C30" s="7" t="str">
        <f aca="false">IF(A30="","",'Outro banco'!C30)</f>
        <v/>
      </c>
      <c r="D30" s="7" t="str">
        <f aca="false">IF(A30="","",'Outro banco'!D30)</f>
        <v/>
      </c>
      <c r="E30" s="9"/>
      <c r="F30" s="9"/>
      <c r="G30" s="7" t="str">
        <f aca="false">IF(A30="","",IF(COUNTIF(Tabelas!$A:$A,IF(E30="",A30,E30))&gt;0,"sim","não"))</f>
        <v/>
      </c>
      <c r="H30" s="7" t="str">
        <f aca="false">IF(A30="","",IF(E30="",A30,E30)&amp;"."&amp;IF(F30="",B30,F30))</f>
        <v/>
      </c>
      <c r="I30" s="7" t="str">
        <f aca="false">IF(A30="","",IFERROR(INDEX('Campos Growths'!$F:$F,MATCH(H30,'Campos Growths'!$A:$A,0)),""))</f>
        <v/>
      </c>
      <c r="J30" s="7" t="str">
        <f aca="false">IF(A30="","",IFERROR(VLOOKUP(IF(ISNUMBER(SEARCH("(",C30)),LEFT(C30,SEARCH("(",C30)-1),C30),Tipos!$A:$B,2,FALSE()),"outro"))</f>
        <v/>
      </c>
      <c r="K30" s="7" t="str">
        <f aca="false">IF(I30="","",IFERROR(INDEX('Campos Growths'!$L:$L,MATCH(H30,'Campos Growths'!$A:$A,0)),""))</f>
        <v/>
      </c>
      <c r="L30" s="7" t="str">
        <f aca="false">IF(A30="","",IF(G30="não","Sem tabela no Growths",IF(I30="","Sem campo no Growths",IF(J30=K30,"Importa direto","Ajustar tipo"))))</f>
        <v/>
      </c>
      <c r="M30" s="9"/>
    </row>
    <row r="31" customFormat="false" ht="15" hidden="false" customHeight="false" outlineLevel="0" collapsed="false">
      <c r="A31" s="7" t="str">
        <f aca="false">IF('Outro banco'!A31="","",IF(LEFT('Outro banco'!A31,1)="(","",'Outro banco'!A31))</f>
        <v/>
      </c>
      <c r="B31" s="7" t="str">
        <f aca="false">IF(A31="","",'Outro banco'!B31)</f>
        <v/>
      </c>
      <c r="C31" s="7" t="str">
        <f aca="false">IF(A31="","",'Outro banco'!C31)</f>
        <v/>
      </c>
      <c r="D31" s="7" t="str">
        <f aca="false">IF(A31="","",'Outro banco'!D31)</f>
        <v/>
      </c>
      <c r="E31" s="9"/>
      <c r="F31" s="9"/>
      <c r="G31" s="7" t="str">
        <f aca="false">IF(A31="","",IF(COUNTIF(Tabelas!$A:$A,IF(E31="",A31,E31))&gt;0,"sim","não"))</f>
        <v/>
      </c>
      <c r="H31" s="7" t="str">
        <f aca="false">IF(A31="","",IF(E31="",A31,E31)&amp;"."&amp;IF(F31="",B31,F31))</f>
        <v/>
      </c>
      <c r="I31" s="7" t="str">
        <f aca="false">IF(A31="","",IFERROR(INDEX('Campos Growths'!$F:$F,MATCH(H31,'Campos Growths'!$A:$A,0)),""))</f>
        <v/>
      </c>
      <c r="J31" s="7" t="str">
        <f aca="false">IF(A31="","",IFERROR(VLOOKUP(IF(ISNUMBER(SEARCH("(",C31)),LEFT(C31,SEARCH("(",C31)-1),C31),Tipos!$A:$B,2,FALSE()),"outro"))</f>
        <v/>
      </c>
      <c r="K31" s="7" t="str">
        <f aca="false">IF(I31="","",IFERROR(INDEX('Campos Growths'!$L:$L,MATCH(H31,'Campos Growths'!$A:$A,0)),""))</f>
        <v/>
      </c>
      <c r="L31" s="7" t="str">
        <f aca="false">IF(A31="","",IF(G31="não","Sem tabela no Growths",IF(I31="","Sem campo no Growths",IF(J31=K31,"Importa direto","Ajustar tipo"))))</f>
        <v/>
      </c>
      <c r="M31" s="9"/>
    </row>
    <row r="32" customFormat="false" ht="15" hidden="false" customHeight="false" outlineLevel="0" collapsed="false">
      <c r="A32" s="7" t="str">
        <f aca="false">IF('Outro banco'!A32="","",IF(LEFT('Outro banco'!A32,1)="(","",'Outro banco'!A32))</f>
        <v/>
      </c>
      <c r="B32" s="7" t="str">
        <f aca="false">IF(A32="","",'Outro banco'!B32)</f>
        <v/>
      </c>
      <c r="C32" s="7" t="str">
        <f aca="false">IF(A32="","",'Outro banco'!C32)</f>
        <v/>
      </c>
      <c r="D32" s="7" t="str">
        <f aca="false">IF(A32="","",'Outro banco'!D32)</f>
        <v/>
      </c>
      <c r="E32" s="9"/>
      <c r="F32" s="9"/>
      <c r="G32" s="7" t="str">
        <f aca="false">IF(A32="","",IF(COUNTIF(Tabelas!$A:$A,IF(E32="",A32,E32))&gt;0,"sim","não"))</f>
        <v/>
      </c>
      <c r="H32" s="7" t="str">
        <f aca="false">IF(A32="","",IF(E32="",A32,E32)&amp;"."&amp;IF(F32="",B32,F32))</f>
        <v/>
      </c>
      <c r="I32" s="7" t="str">
        <f aca="false">IF(A32="","",IFERROR(INDEX('Campos Growths'!$F:$F,MATCH(H32,'Campos Growths'!$A:$A,0)),""))</f>
        <v/>
      </c>
      <c r="J32" s="7" t="str">
        <f aca="false">IF(A32="","",IFERROR(VLOOKUP(IF(ISNUMBER(SEARCH("(",C32)),LEFT(C32,SEARCH("(",C32)-1),C32),Tipos!$A:$B,2,FALSE()),"outro"))</f>
        <v/>
      </c>
      <c r="K32" s="7" t="str">
        <f aca="false">IF(I32="","",IFERROR(INDEX('Campos Growths'!$L:$L,MATCH(H32,'Campos Growths'!$A:$A,0)),""))</f>
        <v/>
      </c>
      <c r="L32" s="7" t="str">
        <f aca="false">IF(A32="","",IF(G32="não","Sem tabela no Growths",IF(I32="","Sem campo no Growths",IF(J32=K32,"Importa direto","Ajustar tipo"))))</f>
        <v/>
      </c>
      <c r="M32" s="9"/>
    </row>
    <row r="33" customFormat="false" ht="15" hidden="false" customHeight="false" outlineLevel="0" collapsed="false">
      <c r="A33" s="7" t="str">
        <f aca="false">IF('Outro banco'!A33="","",IF(LEFT('Outro banco'!A33,1)="(","",'Outro banco'!A33))</f>
        <v/>
      </c>
      <c r="B33" s="7" t="str">
        <f aca="false">IF(A33="","",'Outro banco'!B33)</f>
        <v/>
      </c>
      <c r="C33" s="7" t="str">
        <f aca="false">IF(A33="","",'Outro banco'!C33)</f>
        <v/>
      </c>
      <c r="D33" s="7" t="str">
        <f aca="false">IF(A33="","",'Outro banco'!D33)</f>
        <v/>
      </c>
      <c r="E33" s="9"/>
      <c r="F33" s="9"/>
      <c r="G33" s="7" t="str">
        <f aca="false">IF(A33="","",IF(COUNTIF(Tabelas!$A:$A,IF(E33="",A33,E33))&gt;0,"sim","não"))</f>
        <v/>
      </c>
      <c r="H33" s="7" t="str">
        <f aca="false">IF(A33="","",IF(E33="",A33,E33)&amp;"."&amp;IF(F33="",B33,F33))</f>
        <v/>
      </c>
      <c r="I33" s="7" t="str">
        <f aca="false">IF(A33="","",IFERROR(INDEX('Campos Growths'!$F:$F,MATCH(H33,'Campos Growths'!$A:$A,0)),""))</f>
        <v/>
      </c>
      <c r="J33" s="7" t="str">
        <f aca="false">IF(A33="","",IFERROR(VLOOKUP(IF(ISNUMBER(SEARCH("(",C33)),LEFT(C33,SEARCH("(",C33)-1),C33),Tipos!$A:$B,2,FALSE()),"outro"))</f>
        <v/>
      </c>
      <c r="K33" s="7" t="str">
        <f aca="false">IF(I33="","",IFERROR(INDEX('Campos Growths'!$L:$L,MATCH(H33,'Campos Growths'!$A:$A,0)),""))</f>
        <v/>
      </c>
      <c r="L33" s="7" t="str">
        <f aca="false">IF(A33="","",IF(G33="não","Sem tabela no Growths",IF(I33="","Sem campo no Growths",IF(J33=K33,"Importa direto","Ajustar tipo"))))</f>
        <v/>
      </c>
      <c r="M33" s="9"/>
    </row>
    <row r="34" customFormat="false" ht="15" hidden="false" customHeight="false" outlineLevel="0" collapsed="false">
      <c r="A34" s="7" t="str">
        <f aca="false">IF('Outro banco'!A34="","",IF(LEFT('Outro banco'!A34,1)="(","",'Outro banco'!A34))</f>
        <v/>
      </c>
      <c r="B34" s="7" t="str">
        <f aca="false">IF(A34="","",'Outro banco'!B34)</f>
        <v/>
      </c>
      <c r="C34" s="7" t="str">
        <f aca="false">IF(A34="","",'Outro banco'!C34)</f>
        <v/>
      </c>
      <c r="D34" s="7" t="str">
        <f aca="false">IF(A34="","",'Outro banco'!D34)</f>
        <v/>
      </c>
      <c r="E34" s="9"/>
      <c r="F34" s="9"/>
      <c r="G34" s="7" t="str">
        <f aca="false">IF(A34="","",IF(COUNTIF(Tabelas!$A:$A,IF(E34="",A34,E34))&gt;0,"sim","não"))</f>
        <v/>
      </c>
      <c r="H34" s="7" t="str">
        <f aca="false">IF(A34="","",IF(E34="",A34,E34)&amp;"."&amp;IF(F34="",B34,F34))</f>
        <v/>
      </c>
      <c r="I34" s="7" t="str">
        <f aca="false">IF(A34="","",IFERROR(INDEX('Campos Growths'!$F:$F,MATCH(H34,'Campos Growths'!$A:$A,0)),""))</f>
        <v/>
      </c>
      <c r="J34" s="7" t="str">
        <f aca="false">IF(A34="","",IFERROR(VLOOKUP(IF(ISNUMBER(SEARCH("(",C34)),LEFT(C34,SEARCH("(",C34)-1),C34),Tipos!$A:$B,2,FALSE()),"outro"))</f>
        <v/>
      </c>
      <c r="K34" s="7" t="str">
        <f aca="false">IF(I34="","",IFERROR(INDEX('Campos Growths'!$L:$L,MATCH(H34,'Campos Growths'!$A:$A,0)),""))</f>
        <v/>
      </c>
      <c r="L34" s="7" t="str">
        <f aca="false">IF(A34="","",IF(G34="não","Sem tabela no Growths",IF(I34="","Sem campo no Growths",IF(J34=K34,"Importa direto","Ajustar tipo"))))</f>
        <v/>
      </c>
      <c r="M34" s="9"/>
    </row>
    <row r="35" customFormat="false" ht="15" hidden="false" customHeight="false" outlineLevel="0" collapsed="false">
      <c r="A35" s="7" t="str">
        <f aca="false">IF('Outro banco'!A35="","",IF(LEFT('Outro banco'!A35,1)="(","",'Outro banco'!A35))</f>
        <v/>
      </c>
      <c r="B35" s="7" t="str">
        <f aca="false">IF(A35="","",'Outro banco'!B35)</f>
        <v/>
      </c>
      <c r="C35" s="7" t="str">
        <f aca="false">IF(A35="","",'Outro banco'!C35)</f>
        <v/>
      </c>
      <c r="D35" s="7" t="str">
        <f aca="false">IF(A35="","",'Outro banco'!D35)</f>
        <v/>
      </c>
      <c r="E35" s="9"/>
      <c r="F35" s="9"/>
      <c r="G35" s="7" t="str">
        <f aca="false">IF(A35="","",IF(COUNTIF(Tabelas!$A:$A,IF(E35="",A35,E35))&gt;0,"sim","não"))</f>
        <v/>
      </c>
      <c r="H35" s="7" t="str">
        <f aca="false">IF(A35="","",IF(E35="",A35,E35)&amp;"."&amp;IF(F35="",B35,F35))</f>
        <v/>
      </c>
      <c r="I35" s="7" t="str">
        <f aca="false">IF(A35="","",IFERROR(INDEX('Campos Growths'!$F:$F,MATCH(H35,'Campos Growths'!$A:$A,0)),""))</f>
        <v/>
      </c>
      <c r="J35" s="7" t="str">
        <f aca="false">IF(A35="","",IFERROR(VLOOKUP(IF(ISNUMBER(SEARCH("(",C35)),LEFT(C35,SEARCH("(",C35)-1),C35),Tipos!$A:$B,2,FALSE()),"outro"))</f>
        <v/>
      </c>
      <c r="K35" s="7" t="str">
        <f aca="false">IF(I35="","",IFERROR(INDEX('Campos Growths'!$L:$L,MATCH(H35,'Campos Growths'!$A:$A,0)),""))</f>
        <v/>
      </c>
      <c r="L35" s="7" t="str">
        <f aca="false">IF(A35="","",IF(G35="não","Sem tabela no Growths",IF(I35="","Sem campo no Growths",IF(J35=K35,"Importa direto","Ajustar tipo"))))</f>
        <v/>
      </c>
      <c r="M35" s="9"/>
    </row>
    <row r="36" customFormat="false" ht="15" hidden="false" customHeight="false" outlineLevel="0" collapsed="false">
      <c r="A36" s="7" t="str">
        <f aca="false">IF('Outro banco'!A36="","",IF(LEFT('Outro banco'!A36,1)="(","",'Outro banco'!A36))</f>
        <v/>
      </c>
      <c r="B36" s="7" t="str">
        <f aca="false">IF(A36="","",'Outro banco'!B36)</f>
        <v/>
      </c>
      <c r="C36" s="7" t="str">
        <f aca="false">IF(A36="","",'Outro banco'!C36)</f>
        <v/>
      </c>
      <c r="D36" s="7" t="str">
        <f aca="false">IF(A36="","",'Outro banco'!D36)</f>
        <v/>
      </c>
      <c r="E36" s="9"/>
      <c r="F36" s="9"/>
      <c r="G36" s="7" t="str">
        <f aca="false">IF(A36="","",IF(COUNTIF(Tabelas!$A:$A,IF(E36="",A36,E36))&gt;0,"sim","não"))</f>
        <v/>
      </c>
      <c r="H36" s="7" t="str">
        <f aca="false">IF(A36="","",IF(E36="",A36,E36)&amp;"."&amp;IF(F36="",B36,F36))</f>
        <v/>
      </c>
      <c r="I36" s="7" t="str">
        <f aca="false">IF(A36="","",IFERROR(INDEX('Campos Growths'!$F:$F,MATCH(H36,'Campos Growths'!$A:$A,0)),""))</f>
        <v/>
      </c>
      <c r="J36" s="7" t="str">
        <f aca="false">IF(A36="","",IFERROR(VLOOKUP(IF(ISNUMBER(SEARCH("(",C36)),LEFT(C36,SEARCH("(",C36)-1),C36),Tipos!$A:$B,2,FALSE()),"outro"))</f>
        <v/>
      </c>
      <c r="K36" s="7" t="str">
        <f aca="false">IF(I36="","",IFERROR(INDEX('Campos Growths'!$L:$L,MATCH(H36,'Campos Growths'!$A:$A,0)),""))</f>
        <v/>
      </c>
      <c r="L36" s="7" t="str">
        <f aca="false">IF(A36="","",IF(G36="não","Sem tabela no Growths",IF(I36="","Sem campo no Growths",IF(J36=K36,"Importa direto","Ajustar tipo"))))</f>
        <v/>
      </c>
      <c r="M36" s="9"/>
    </row>
    <row r="37" customFormat="false" ht="15" hidden="false" customHeight="false" outlineLevel="0" collapsed="false">
      <c r="A37" s="7" t="str">
        <f aca="false">IF('Outro banco'!A37="","",IF(LEFT('Outro banco'!A37,1)="(","",'Outro banco'!A37))</f>
        <v/>
      </c>
      <c r="B37" s="7" t="str">
        <f aca="false">IF(A37="","",'Outro banco'!B37)</f>
        <v/>
      </c>
      <c r="C37" s="7" t="str">
        <f aca="false">IF(A37="","",'Outro banco'!C37)</f>
        <v/>
      </c>
      <c r="D37" s="7" t="str">
        <f aca="false">IF(A37="","",'Outro banco'!D37)</f>
        <v/>
      </c>
      <c r="E37" s="9"/>
      <c r="F37" s="9"/>
      <c r="G37" s="7" t="str">
        <f aca="false">IF(A37="","",IF(COUNTIF(Tabelas!$A:$A,IF(E37="",A37,E37))&gt;0,"sim","não"))</f>
        <v/>
      </c>
      <c r="H37" s="7" t="str">
        <f aca="false">IF(A37="","",IF(E37="",A37,E37)&amp;"."&amp;IF(F37="",B37,F37))</f>
        <v/>
      </c>
      <c r="I37" s="7" t="str">
        <f aca="false">IF(A37="","",IFERROR(INDEX('Campos Growths'!$F:$F,MATCH(H37,'Campos Growths'!$A:$A,0)),""))</f>
        <v/>
      </c>
      <c r="J37" s="7" t="str">
        <f aca="false">IF(A37="","",IFERROR(VLOOKUP(IF(ISNUMBER(SEARCH("(",C37)),LEFT(C37,SEARCH("(",C37)-1),C37),Tipos!$A:$B,2,FALSE()),"outro"))</f>
        <v/>
      </c>
      <c r="K37" s="7" t="str">
        <f aca="false">IF(I37="","",IFERROR(INDEX('Campos Growths'!$L:$L,MATCH(H37,'Campos Growths'!$A:$A,0)),""))</f>
        <v/>
      </c>
      <c r="L37" s="7" t="str">
        <f aca="false">IF(A37="","",IF(G37="não","Sem tabela no Growths",IF(I37="","Sem campo no Growths",IF(J37=K37,"Importa direto","Ajustar tipo"))))</f>
        <v/>
      </c>
      <c r="M37" s="9"/>
    </row>
    <row r="38" customFormat="false" ht="15" hidden="false" customHeight="false" outlineLevel="0" collapsed="false">
      <c r="A38" s="7" t="str">
        <f aca="false">IF('Outro banco'!A38="","",IF(LEFT('Outro banco'!A38,1)="(","",'Outro banco'!A38))</f>
        <v/>
      </c>
      <c r="B38" s="7" t="str">
        <f aca="false">IF(A38="","",'Outro banco'!B38)</f>
        <v/>
      </c>
      <c r="C38" s="7" t="str">
        <f aca="false">IF(A38="","",'Outro banco'!C38)</f>
        <v/>
      </c>
      <c r="D38" s="7" t="str">
        <f aca="false">IF(A38="","",'Outro banco'!D38)</f>
        <v/>
      </c>
      <c r="E38" s="9"/>
      <c r="F38" s="9"/>
      <c r="G38" s="7" t="str">
        <f aca="false">IF(A38="","",IF(COUNTIF(Tabelas!$A:$A,IF(E38="",A38,E38))&gt;0,"sim","não"))</f>
        <v/>
      </c>
      <c r="H38" s="7" t="str">
        <f aca="false">IF(A38="","",IF(E38="",A38,E38)&amp;"."&amp;IF(F38="",B38,F38))</f>
        <v/>
      </c>
      <c r="I38" s="7" t="str">
        <f aca="false">IF(A38="","",IFERROR(INDEX('Campos Growths'!$F:$F,MATCH(H38,'Campos Growths'!$A:$A,0)),""))</f>
        <v/>
      </c>
      <c r="J38" s="7" t="str">
        <f aca="false">IF(A38="","",IFERROR(VLOOKUP(IF(ISNUMBER(SEARCH("(",C38)),LEFT(C38,SEARCH("(",C38)-1),C38),Tipos!$A:$B,2,FALSE()),"outro"))</f>
        <v/>
      </c>
      <c r="K38" s="7" t="str">
        <f aca="false">IF(I38="","",IFERROR(INDEX('Campos Growths'!$L:$L,MATCH(H38,'Campos Growths'!$A:$A,0)),""))</f>
        <v/>
      </c>
      <c r="L38" s="7" t="str">
        <f aca="false">IF(A38="","",IF(G38="não","Sem tabela no Growths",IF(I38="","Sem campo no Growths",IF(J38=K38,"Importa direto","Ajustar tipo"))))</f>
        <v/>
      </c>
      <c r="M38" s="9"/>
    </row>
    <row r="39" customFormat="false" ht="15" hidden="false" customHeight="false" outlineLevel="0" collapsed="false">
      <c r="A39" s="7" t="str">
        <f aca="false">IF('Outro banco'!A39="","",IF(LEFT('Outro banco'!A39,1)="(","",'Outro banco'!A39))</f>
        <v/>
      </c>
      <c r="B39" s="7" t="str">
        <f aca="false">IF(A39="","",'Outro banco'!B39)</f>
        <v/>
      </c>
      <c r="C39" s="7" t="str">
        <f aca="false">IF(A39="","",'Outro banco'!C39)</f>
        <v/>
      </c>
      <c r="D39" s="7" t="str">
        <f aca="false">IF(A39="","",'Outro banco'!D39)</f>
        <v/>
      </c>
      <c r="E39" s="9"/>
      <c r="F39" s="9"/>
      <c r="G39" s="7" t="str">
        <f aca="false">IF(A39="","",IF(COUNTIF(Tabelas!$A:$A,IF(E39="",A39,E39))&gt;0,"sim","não"))</f>
        <v/>
      </c>
      <c r="H39" s="7" t="str">
        <f aca="false">IF(A39="","",IF(E39="",A39,E39)&amp;"."&amp;IF(F39="",B39,F39))</f>
        <v/>
      </c>
      <c r="I39" s="7" t="str">
        <f aca="false">IF(A39="","",IFERROR(INDEX('Campos Growths'!$F:$F,MATCH(H39,'Campos Growths'!$A:$A,0)),""))</f>
        <v/>
      </c>
      <c r="J39" s="7" t="str">
        <f aca="false">IF(A39="","",IFERROR(VLOOKUP(IF(ISNUMBER(SEARCH("(",C39)),LEFT(C39,SEARCH("(",C39)-1),C39),Tipos!$A:$B,2,FALSE()),"outro"))</f>
        <v/>
      </c>
      <c r="K39" s="7" t="str">
        <f aca="false">IF(I39="","",IFERROR(INDEX('Campos Growths'!$L:$L,MATCH(H39,'Campos Growths'!$A:$A,0)),""))</f>
        <v/>
      </c>
      <c r="L39" s="7" t="str">
        <f aca="false">IF(A39="","",IF(G39="não","Sem tabela no Growths",IF(I39="","Sem campo no Growths",IF(J39=K39,"Importa direto","Ajustar tipo"))))</f>
        <v/>
      </c>
      <c r="M39" s="9"/>
    </row>
    <row r="40" customFormat="false" ht="15" hidden="false" customHeight="false" outlineLevel="0" collapsed="false">
      <c r="A40" s="7" t="str">
        <f aca="false">IF('Outro banco'!A40="","",IF(LEFT('Outro banco'!A40,1)="(","",'Outro banco'!A40))</f>
        <v/>
      </c>
      <c r="B40" s="7" t="str">
        <f aca="false">IF(A40="","",'Outro banco'!B40)</f>
        <v/>
      </c>
      <c r="C40" s="7" t="str">
        <f aca="false">IF(A40="","",'Outro banco'!C40)</f>
        <v/>
      </c>
      <c r="D40" s="7" t="str">
        <f aca="false">IF(A40="","",'Outro banco'!D40)</f>
        <v/>
      </c>
      <c r="E40" s="9"/>
      <c r="F40" s="9"/>
      <c r="G40" s="7" t="str">
        <f aca="false">IF(A40="","",IF(COUNTIF(Tabelas!$A:$A,IF(E40="",A40,E40))&gt;0,"sim","não"))</f>
        <v/>
      </c>
      <c r="H40" s="7" t="str">
        <f aca="false">IF(A40="","",IF(E40="",A40,E40)&amp;"."&amp;IF(F40="",B40,F40))</f>
        <v/>
      </c>
      <c r="I40" s="7" t="str">
        <f aca="false">IF(A40="","",IFERROR(INDEX('Campos Growths'!$F:$F,MATCH(H40,'Campos Growths'!$A:$A,0)),""))</f>
        <v/>
      </c>
      <c r="J40" s="7" t="str">
        <f aca="false">IF(A40="","",IFERROR(VLOOKUP(IF(ISNUMBER(SEARCH("(",C40)),LEFT(C40,SEARCH("(",C40)-1),C40),Tipos!$A:$B,2,FALSE()),"outro"))</f>
        <v/>
      </c>
      <c r="K40" s="7" t="str">
        <f aca="false">IF(I40="","",IFERROR(INDEX('Campos Growths'!$L:$L,MATCH(H40,'Campos Growths'!$A:$A,0)),""))</f>
        <v/>
      </c>
      <c r="L40" s="7" t="str">
        <f aca="false">IF(A40="","",IF(G40="não","Sem tabela no Growths",IF(I40="","Sem campo no Growths",IF(J40=K40,"Importa direto","Ajustar tipo"))))</f>
        <v/>
      </c>
      <c r="M40" s="9"/>
    </row>
    <row r="41" customFormat="false" ht="15" hidden="false" customHeight="false" outlineLevel="0" collapsed="false">
      <c r="A41" s="7" t="str">
        <f aca="false">IF('Outro banco'!A41="","",IF(LEFT('Outro banco'!A41,1)="(","",'Outro banco'!A41))</f>
        <v/>
      </c>
      <c r="B41" s="7" t="str">
        <f aca="false">IF(A41="","",'Outro banco'!B41)</f>
        <v/>
      </c>
      <c r="C41" s="7" t="str">
        <f aca="false">IF(A41="","",'Outro banco'!C41)</f>
        <v/>
      </c>
      <c r="D41" s="7" t="str">
        <f aca="false">IF(A41="","",'Outro banco'!D41)</f>
        <v/>
      </c>
      <c r="E41" s="9"/>
      <c r="F41" s="9"/>
      <c r="G41" s="7" t="str">
        <f aca="false">IF(A41="","",IF(COUNTIF(Tabelas!$A:$A,IF(E41="",A41,E41))&gt;0,"sim","não"))</f>
        <v/>
      </c>
      <c r="H41" s="7" t="str">
        <f aca="false">IF(A41="","",IF(E41="",A41,E41)&amp;"."&amp;IF(F41="",B41,F41))</f>
        <v/>
      </c>
      <c r="I41" s="7" t="str">
        <f aca="false">IF(A41="","",IFERROR(INDEX('Campos Growths'!$F:$F,MATCH(H41,'Campos Growths'!$A:$A,0)),""))</f>
        <v/>
      </c>
      <c r="J41" s="7" t="str">
        <f aca="false">IF(A41="","",IFERROR(VLOOKUP(IF(ISNUMBER(SEARCH("(",C41)),LEFT(C41,SEARCH("(",C41)-1),C41),Tipos!$A:$B,2,FALSE()),"outro"))</f>
        <v/>
      </c>
      <c r="K41" s="7" t="str">
        <f aca="false">IF(I41="","",IFERROR(INDEX('Campos Growths'!$L:$L,MATCH(H41,'Campos Growths'!$A:$A,0)),""))</f>
        <v/>
      </c>
      <c r="L41" s="7" t="str">
        <f aca="false">IF(A41="","",IF(G41="não","Sem tabela no Growths",IF(I41="","Sem campo no Growths",IF(J41=K41,"Importa direto","Ajustar tipo"))))</f>
        <v/>
      </c>
      <c r="M41" s="9"/>
    </row>
    <row r="42" customFormat="false" ht="15" hidden="false" customHeight="false" outlineLevel="0" collapsed="false">
      <c r="A42" s="7" t="str">
        <f aca="false">IF('Outro banco'!A42="","",IF(LEFT('Outro banco'!A42,1)="(","",'Outro banco'!A42))</f>
        <v/>
      </c>
      <c r="B42" s="7" t="str">
        <f aca="false">IF(A42="","",'Outro banco'!B42)</f>
        <v/>
      </c>
      <c r="C42" s="7" t="str">
        <f aca="false">IF(A42="","",'Outro banco'!C42)</f>
        <v/>
      </c>
      <c r="D42" s="7" t="str">
        <f aca="false">IF(A42="","",'Outro banco'!D42)</f>
        <v/>
      </c>
      <c r="E42" s="9"/>
      <c r="F42" s="9"/>
      <c r="G42" s="7" t="str">
        <f aca="false">IF(A42="","",IF(COUNTIF(Tabelas!$A:$A,IF(E42="",A42,E42))&gt;0,"sim","não"))</f>
        <v/>
      </c>
      <c r="H42" s="7" t="str">
        <f aca="false">IF(A42="","",IF(E42="",A42,E42)&amp;"."&amp;IF(F42="",B42,F42))</f>
        <v/>
      </c>
      <c r="I42" s="7" t="str">
        <f aca="false">IF(A42="","",IFERROR(INDEX('Campos Growths'!$F:$F,MATCH(H42,'Campos Growths'!$A:$A,0)),""))</f>
        <v/>
      </c>
      <c r="J42" s="7" t="str">
        <f aca="false">IF(A42="","",IFERROR(VLOOKUP(IF(ISNUMBER(SEARCH("(",C42)),LEFT(C42,SEARCH("(",C42)-1),C42),Tipos!$A:$B,2,FALSE()),"outro"))</f>
        <v/>
      </c>
      <c r="K42" s="7" t="str">
        <f aca="false">IF(I42="","",IFERROR(INDEX('Campos Growths'!$L:$L,MATCH(H42,'Campos Growths'!$A:$A,0)),""))</f>
        <v/>
      </c>
      <c r="L42" s="7" t="str">
        <f aca="false">IF(A42="","",IF(G42="não","Sem tabela no Growths",IF(I42="","Sem campo no Growths",IF(J42=K42,"Importa direto","Ajustar tipo"))))</f>
        <v/>
      </c>
      <c r="M42" s="9"/>
    </row>
    <row r="43" customFormat="false" ht="15" hidden="false" customHeight="false" outlineLevel="0" collapsed="false">
      <c r="A43" s="7" t="str">
        <f aca="false">IF('Outro banco'!A43="","",IF(LEFT('Outro banco'!A43,1)="(","",'Outro banco'!A43))</f>
        <v/>
      </c>
      <c r="B43" s="7" t="str">
        <f aca="false">IF(A43="","",'Outro banco'!B43)</f>
        <v/>
      </c>
      <c r="C43" s="7" t="str">
        <f aca="false">IF(A43="","",'Outro banco'!C43)</f>
        <v/>
      </c>
      <c r="D43" s="7" t="str">
        <f aca="false">IF(A43="","",'Outro banco'!D43)</f>
        <v/>
      </c>
      <c r="E43" s="9"/>
      <c r="F43" s="9"/>
      <c r="G43" s="7" t="str">
        <f aca="false">IF(A43="","",IF(COUNTIF(Tabelas!$A:$A,IF(E43="",A43,E43))&gt;0,"sim","não"))</f>
        <v/>
      </c>
      <c r="H43" s="7" t="str">
        <f aca="false">IF(A43="","",IF(E43="",A43,E43)&amp;"."&amp;IF(F43="",B43,F43))</f>
        <v/>
      </c>
      <c r="I43" s="7" t="str">
        <f aca="false">IF(A43="","",IFERROR(INDEX('Campos Growths'!$F:$F,MATCH(H43,'Campos Growths'!$A:$A,0)),""))</f>
        <v/>
      </c>
      <c r="J43" s="7" t="str">
        <f aca="false">IF(A43="","",IFERROR(VLOOKUP(IF(ISNUMBER(SEARCH("(",C43)),LEFT(C43,SEARCH("(",C43)-1),C43),Tipos!$A:$B,2,FALSE()),"outro"))</f>
        <v/>
      </c>
      <c r="K43" s="7" t="str">
        <f aca="false">IF(I43="","",IFERROR(INDEX('Campos Growths'!$L:$L,MATCH(H43,'Campos Growths'!$A:$A,0)),""))</f>
        <v/>
      </c>
      <c r="L43" s="7" t="str">
        <f aca="false">IF(A43="","",IF(G43="não","Sem tabela no Growths",IF(I43="","Sem campo no Growths",IF(J43=K43,"Importa direto","Ajustar tipo"))))</f>
        <v/>
      </c>
      <c r="M43" s="9"/>
    </row>
    <row r="44" customFormat="false" ht="15" hidden="false" customHeight="false" outlineLevel="0" collapsed="false">
      <c r="A44" s="7" t="str">
        <f aca="false">IF('Outro banco'!A44="","",IF(LEFT('Outro banco'!A44,1)="(","",'Outro banco'!A44))</f>
        <v/>
      </c>
      <c r="B44" s="7" t="str">
        <f aca="false">IF(A44="","",'Outro banco'!B44)</f>
        <v/>
      </c>
      <c r="C44" s="7" t="str">
        <f aca="false">IF(A44="","",'Outro banco'!C44)</f>
        <v/>
      </c>
      <c r="D44" s="7" t="str">
        <f aca="false">IF(A44="","",'Outro banco'!D44)</f>
        <v/>
      </c>
      <c r="E44" s="9"/>
      <c r="F44" s="9"/>
      <c r="G44" s="7" t="str">
        <f aca="false">IF(A44="","",IF(COUNTIF(Tabelas!$A:$A,IF(E44="",A44,E44))&gt;0,"sim","não"))</f>
        <v/>
      </c>
      <c r="H44" s="7" t="str">
        <f aca="false">IF(A44="","",IF(E44="",A44,E44)&amp;"."&amp;IF(F44="",B44,F44))</f>
        <v/>
      </c>
      <c r="I44" s="7" t="str">
        <f aca="false">IF(A44="","",IFERROR(INDEX('Campos Growths'!$F:$F,MATCH(H44,'Campos Growths'!$A:$A,0)),""))</f>
        <v/>
      </c>
      <c r="J44" s="7" t="str">
        <f aca="false">IF(A44="","",IFERROR(VLOOKUP(IF(ISNUMBER(SEARCH("(",C44)),LEFT(C44,SEARCH("(",C44)-1),C44),Tipos!$A:$B,2,FALSE()),"outro"))</f>
        <v/>
      </c>
      <c r="K44" s="7" t="str">
        <f aca="false">IF(I44="","",IFERROR(INDEX('Campos Growths'!$L:$L,MATCH(H44,'Campos Growths'!$A:$A,0)),""))</f>
        <v/>
      </c>
      <c r="L44" s="7" t="str">
        <f aca="false">IF(A44="","",IF(G44="não","Sem tabela no Growths",IF(I44="","Sem campo no Growths",IF(J44=K44,"Importa direto","Ajustar tipo"))))</f>
        <v/>
      </c>
      <c r="M44" s="9"/>
    </row>
    <row r="45" customFormat="false" ht="15" hidden="false" customHeight="false" outlineLevel="0" collapsed="false">
      <c r="A45" s="7" t="str">
        <f aca="false">IF('Outro banco'!A45="","",IF(LEFT('Outro banco'!A45,1)="(","",'Outro banco'!A45))</f>
        <v/>
      </c>
      <c r="B45" s="7" t="str">
        <f aca="false">IF(A45="","",'Outro banco'!B45)</f>
        <v/>
      </c>
      <c r="C45" s="7" t="str">
        <f aca="false">IF(A45="","",'Outro banco'!C45)</f>
        <v/>
      </c>
      <c r="D45" s="7" t="str">
        <f aca="false">IF(A45="","",'Outro banco'!D45)</f>
        <v/>
      </c>
      <c r="E45" s="9"/>
      <c r="F45" s="9"/>
      <c r="G45" s="7" t="str">
        <f aca="false">IF(A45="","",IF(COUNTIF(Tabelas!$A:$A,IF(E45="",A45,E45))&gt;0,"sim","não"))</f>
        <v/>
      </c>
      <c r="H45" s="7" t="str">
        <f aca="false">IF(A45="","",IF(E45="",A45,E45)&amp;"."&amp;IF(F45="",B45,F45))</f>
        <v/>
      </c>
      <c r="I45" s="7" t="str">
        <f aca="false">IF(A45="","",IFERROR(INDEX('Campos Growths'!$F:$F,MATCH(H45,'Campos Growths'!$A:$A,0)),""))</f>
        <v/>
      </c>
      <c r="J45" s="7" t="str">
        <f aca="false">IF(A45="","",IFERROR(VLOOKUP(IF(ISNUMBER(SEARCH("(",C45)),LEFT(C45,SEARCH("(",C45)-1),C45),Tipos!$A:$B,2,FALSE()),"outro"))</f>
        <v/>
      </c>
      <c r="K45" s="7" t="str">
        <f aca="false">IF(I45="","",IFERROR(INDEX('Campos Growths'!$L:$L,MATCH(H45,'Campos Growths'!$A:$A,0)),""))</f>
        <v/>
      </c>
      <c r="L45" s="7" t="str">
        <f aca="false">IF(A45="","",IF(G45="não","Sem tabela no Growths",IF(I45="","Sem campo no Growths",IF(J45=K45,"Importa direto","Ajustar tipo"))))</f>
        <v/>
      </c>
      <c r="M45" s="9"/>
    </row>
    <row r="46" customFormat="false" ht="15" hidden="false" customHeight="false" outlineLevel="0" collapsed="false">
      <c r="A46" s="7" t="str">
        <f aca="false">IF('Outro banco'!A46="","",IF(LEFT('Outro banco'!A46,1)="(","",'Outro banco'!A46))</f>
        <v/>
      </c>
      <c r="B46" s="7" t="str">
        <f aca="false">IF(A46="","",'Outro banco'!B46)</f>
        <v/>
      </c>
      <c r="C46" s="7" t="str">
        <f aca="false">IF(A46="","",'Outro banco'!C46)</f>
        <v/>
      </c>
      <c r="D46" s="7" t="str">
        <f aca="false">IF(A46="","",'Outro banco'!D46)</f>
        <v/>
      </c>
      <c r="E46" s="9"/>
      <c r="F46" s="9"/>
      <c r="G46" s="7" t="str">
        <f aca="false">IF(A46="","",IF(COUNTIF(Tabelas!$A:$A,IF(E46="",A46,E46))&gt;0,"sim","não"))</f>
        <v/>
      </c>
      <c r="H46" s="7" t="str">
        <f aca="false">IF(A46="","",IF(E46="",A46,E46)&amp;"."&amp;IF(F46="",B46,F46))</f>
        <v/>
      </c>
      <c r="I46" s="7" t="str">
        <f aca="false">IF(A46="","",IFERROR(INDEX('Campos Growths'!$F:$F,MATCH(H46,'Campos Growths'!$A:$A,0)),""))</f>
        <v/>
      </c>
      <c r="J46" s="7" t="str">
        <f aca="false">IF(A46="","",IFERROR(VLOOKUP(IF(ISNUMBER(SEARCH("(",C46)),LEFT(C46,SEARCH("(",C46)-1),C46),Tipos!$A:$B,2,FALSE()),"outro"))</f>
        <v/>
      </c>
      <c r="K46" s="7" t="str">
        <f aca="false">IF(I46="","",IFERROR(INDEX('Campos Growths'!$L:$L,MATCH(H46,'Campos Growths'!$A:$A,0)),""))</f>
        <v/>
      </c>
      <c r="L46" s="7" t="str">
        <f aca="false">IF(A46="","",IF(G46="não","Sem tabela no Growths",IF(I46="","Sem campo no Growths",IF(J46=K46,"Importa direto","Ajustar tipo"))))</f>
        <v/>
      </c>
      <c r="M46" s="9"/>
    </row>
    <row r="47" customFormat="false" ht="15" hidden="false" customHeight="false" outlineLevel="0" collapsed="false">
      <c r="A47" s="7" t="str">
        <f aca="false">IF('Outro banco'!A47="","",IF(LEFT('Outro banco'!A47,1)="(","",'Outro banco'!A47))</f>
        <v/>
      </c>
      <c r="B47" s="7" t="str">
        <f aca="false">IF(A47="","",'Outro banco'!B47)</f>
        <v/>
      </c>
      <c r="C47" s="7" t="str">
        <f aca="false">IF(A47="","",'Outro banco'!C47)</f>
        <v/>
      </c>
      <c r="D47" s="7" t="str">
        <f aca="false">IF(A47="","",'Outro banco'!D47)</f>
        <v/>
      </c>
      <c r="E47" s="9"/>
      <c r="F47" s="9"/>
      <c r="G47" s="7" t="str">
        <f aca="false">IF(A47="","",IF(COUNTIF(Tabelas!$A:$A,IF(E47="",A47,E47))&gt;0,"sim","não"))</f>
        <v/>
      </c>
      <c r="H47" s="7" t="str">
        <f aca="false">IF(A47="","",IF(E47="",A47,E47)&amp;"."&amp;IF(F47="",B47,F47))</f>
        <v/>
      </c>
      <c r="I47" s="7" t="str">
        <f aca="false">IF(A47="","",IFERROR(INDEX('Campos Growths'!$F:$F,MATCH(H47,'Campos Growths'!$A:$A,0)),""))</f>
        <v/>
      </c>
      <c r="J47" s="7" t="str">
        <f aca="false">IF(A47="","",IFERROR(VLOOKUP(IF(ISNUMBER(SEARCH("(",C47)),LEFT(C47,SEARCH("(",C47)-1),C47),Tipos!$A:$B,2,FALSE()),"outro"))</f>
        <v/>
      </c>
      <c r="K47" s="7" t="str">
        <f aca="false">IF(I47="","",IFERROR(INDEX('Campos Growths'!$L:$L,MATCH(H47,'Campos Growths'!$A:$A,0)),""))</f>
        <v/>
      </c>
      <c r="L47" s="7" t="str">
        <f aca="false">IF(A47="","",IF(G47="não","Sem tabela no Growths",IF(I47="","Sem campo no Growths",IF(J47=K47,"Importa direto","Ajustar tipo"))))</f>
        <v/>
      </c>
      <c r="M47" s="9"/>
    </row>
    <row r="48" customFormat="false" ht="15" hidden="false" customHeight="false" outlineLevel="0" collapsed="false">
      <c r="A48" s="7" t="str">
        <f aca="false">IF('Outro banco'!A48="","",IF(LEFT('Outro banco'!A48,1)="(","",'Outro banco'!A48))</f>
        <v/>
      </c>
      <c r="B48" s="7" t="str">
        <f aca="false">IF(A48="","",'Outro banco'!B48)</f>
        <v/>
      </c>
      <c r="C48" s="7" t="str">
        <f aca="false">IF(A48="","",'Outro banco'!C48)</f>
        <v/>
      </c>
      <c r="D48" s="7" t="str">
        <f aca="false">IF(A48="","",'Outro banco'!D48)</f>
        <v/>
      </c>
      <c r="E48" s="9"/>
      <c r="F48" s="9"/>
      <c r="G48" s="7" t="str">
        <f aca="false">IF(A48="","",IF(COUNTIF(Tabelas!$A:$A,IF(E48="",A48,E48))&gt;0,"sim","não"))</f>
        <v/>
      </c>
      <c r="H48" s="7" t="str">
        <f aca="false">IF(A48="","",IF(E48="",A48,E48)&amp;"."&amp;IF(F48="",B48,F48))</f>
        <v/>
      </c>
      <c r="I48" s="7" t="str">
        <f aca="false">IF(A48="","",IFERROR(INDEX('Campos Growths'!$F:$F,MATCH(H48,'Campos Growths'!$A:$A,0)),""))</f>
        <v/>
      </c>
      <c r="J48" s="7" t="str">
        <f aca="false">IF(A48="","",IFERROR(VLOOKUP(IF(ISNUMBER(SEARCH("(",C48)),LEFT(C48,SEARCH("(",C48)-1),C48),Tipos!$A:$B,2,FALSE()),"outro"))</f>
        <v/>
      </c>
      <c r="K48" s="7" t="str">
        <f aca="false">IF(I48="","",IFERROR(INDEX('Campos Growths'!$L:$L,MATCH(H48,'Campos Growths'!$A:$A,0)),""))</f>
        <v/>
      </c>
      <c r="L48" s="7" t="str">
        <f aca="false">IF(A48="","",IF(G48="não","Sem tabela no Growths",IF(I48="","Sem campo no Growths",IF(J48=K48,"Importa direto","Ajustar tipo"))))</f>
        <v/>
      </c>
      <c r="M48" s="9"/>
    </row>
    <row r="49" customFormat="false" ht="15" hidden="false" customHeight="false" outlineLevel="0" collapsed="false">
      <c r="A49" s="7" t="str">
        <f aca="false">IF('Outro banco'!A49="","",IF(LEFT('Outro banco'!A49,1)="(","",'Outro banco'!A49))</f>
        <v/>
      </c>
      <c r="B49" s="7" t="str">
        <f aca="false">IF(A49="","",'Outro banco'!B49)</f>
        <v/>
      </c>
      <c r="C49" s="7" t="str">
        <f aca="false">IF(A49="","",'Outro banco'!C49)</f>
        <v/>
      </c>
      <c r="D49" s="7" t="str">
        <f aca="false">IF(A49="","",'Outro banco'!D49)</f>
        <v/>
      </c>
      <c r="E49" s="9"/>
      <c r="F49" s="9"/>
      <c r="G49" s="7" t="str">
        <f aca="false">IF(A49="","",IF(COUNTIF(Tabelas!$A:$A,IF(E49="",A49,E49))&gt;0,"sim","não"))</f>
        <v/>
      </c>
      <c r="H49" s="7" t="str">
        <f aca="false">IF(A49="","",IF(E49="",A49,E49)&amp;"."&amp;IF(F49="",B49,F49))</f>
        <v/>
      </c>
      <c r="I49" s="7" t="str">
        <f aca="false">IF(A49="","",IFERROR(INDEX('Campos Growths'!$F:$F,MATCH(H49,'Campos Growths'!$A:$A,0)),""))</f>
        <v/>
      </c>
      <c r="J49" s="7" t="str">
        <f aca="false">IF(A49="","",IFERROR(VLOOKUP(IF(ISNUMBER(SEARCH("(",C49)),LEFT(C49,SEARCH("(",C49)-1),C49),Tipos!$A:$B,2,FALSE()),"outro"))</f>
        <v/>
      </c>
      <c r="K49" s="7" t="str">
        <f aca="false">IF(I49="","",IFERROR(INDEX('Campos Growths'!$L:$L,MATCH(H49,'Campos Growths'!$A:$A,0)),""))</f>
        <v/>
      </c>
      <c r="L49" s="7" t="str">
        <f aca="false">IF(A49="","",IF(G49="não","Sem tabela no Growths",IF(I49="","Sem campo no Growths",IF(J49=K49,"Importa direto","Ajustar tipo"))))</f>
        <v/>
      </c>
      <c r="M49" s="9"/>
    </row>
    <row r="50" customFormat="false" ht="15" hidden="false" customHeight="false" outlineLevel="0" collapsed="false">
      <c r="A50" s="7" t="str">
        <f aca="false">IF('Outro banco'!A50="","",IF(LEFT('Outro banco'!A50,1)="(","",'Outro banco'!A50))</f>
        <v/>
      </c>
      <c r="B50" s="7" t="str">
        <f aca="false">IF(A50="","",'Outro banco'!B50)</f>
        <v/>
      </c>
      <c r="C50" s="7" t="str">
        <f aca="false">IF(A50="","",'Outro banco'!C50)</f>
        <v/>
      </c>
      <c r="D50" s="7" t="str">
        <f aca="false">IF(A50="","",'Outro banco'!D50)</f>
        <v/>
      </c>
      <c r="E50" s="9"/>
      <c r="F50" s="9"/>
      <c r="G50" s="7" t="str">
        <f aca="false">IF(A50="","",IF(COUNTIF(Tabelas!$A:$A,IF(E50="",A50,E50))&gt;0,"sim","não"))</f>
        <v/>
      </c>
      <c r="H50" s="7" t="str">
        <f aca="false">IF(A50="","",IF(E50="",A50,E50)&amp;"."&amp;IF(F50="",B50,F50))</f>
        <v/>
      </c>
      <c r="I50" s="7" t="str">
        <f aca="false">IF(A50="","",IFERROR(INDEX('Campos Growths'!$F:$F,MATCH(H50,'Campos Growths'!$A:$A,0)),""))</f>
        <v/>
      </c>
      <c r="J50" s="7" t="str">
        <f aca="false">IF(A50="","",IFERROR(VLOOKUP(IF(ISNUMBER(SEARCH("(",C50)),LEFT(C50,SEARCH("(",C50)-1),C50),Tipos!$A:$B,2,FALSE()),"outro"))</f>
        <v/>
      </c>
      <c r="K50" s="7" t="str">
        <f aca="false">IF(I50="","",IFERROR(INDEX('Campos Growths'!$L:$L,MATCH(H50,'Campos Growths'!$A:$A,0)),""))</f>
        <v/>
      </c>
      <c r="L50" s="7" t="str">
        <f aca="false">IF(A50="","",IF(G50="não","Sem tabela no Growths",IF(I50="","Sem campo no Growths",IF(J50=K50,"Importa direto","Ajustar tipo"))))</f>
        <v/>
      </c>
      <c r="M50" s="9"/>
    </row>
    <row r="51" customFormat="false" ht="15" hidden="false" customHeight="false" outlineLevel="0" collapsed="false">
      <c r="A51" s="7" t="str">
        <f aca="false">IF('Outro banco'!A51="","",IF(LEFT('Outro banco'!A51,1)="(","",'Outro banco'!A51))</f>
        <v/>
      </c>
      <c r="B51" s="7" t="str">
        <f aca="false">IF(A51="","",'Outro banco'!B51)</f>
        <v/>
      </c>
      <c r="C51" s="7" t="str">
        <f aca="false">IF(A51="","",'Outro banco'!C51)</f>
        <v/>
      </c>
      <c r="D51" s="7" t="str">
        <f aca="false">IF(A51="","",'Outro banco'!D51)</f>
        <v/>
      </c>
      <c r="E51" s="9"/>
      <c r="F51" s="9"/>
      <c r="G51" s="7" t="str">
        <f aca="false">IF(A51="","",IF(COUNTIF(Tabelas!$A:$A,IF(E51="",A51,E51))&gt;0,"sim","não"))</f>
        <v/>
      </c>
      <c r="H51" s="7" t="str">
        <f aca="false">IF(A51="","",IF(E51="",A51,E51)&amp;"."&amp;IF(F51="",B51,F51))</f>
        <v/>
      </c>
      <c r="I51" s="7" t="str">
        <f aca="false">IF(A51="","",IFERROR(INDEX('Campos Growths'!$F:$F,MATCH(H51,'Campos Growths'!$A:$A,0)),""))</f>
        <v/>
      </c>
      <c r="J51" s="7" t="str">
        <f aca="false">IF(A51="","",IFERROR(VLOOKUP(IF(ISNUMBER(SEARCH("(",C51)),LEFT(C51,SEARCH("(",C51)-1),C51),Tipos!$A:$B,2,FALSE()),"outro"))</f>
        <v/>
      </c>
      <c r="K51" s="7" t="str">
        <f aca="false">IF(I51="","",IFERROR(INDEX('Campos Growths'!$L:$L,MATCH(H51,'Campos Growths'!$A:$A,0)),""))</f>
        <v/>
      </c>
      <c r="L51" s="7" t="str">
        <f aca="false">IF(A51="","",IF(G51="não","Sem tabela no Growths",IF(I51="","Sem campo no Growths",IF(J51=K51,"Importa direto","Ajustar tipo"))))</f>
        <v/>
      </c>
      <c r="M51" s="9"/>
    </row>
    <row r="52" customFormat="false" ht="15" hidden="false" customHeight="false" outlineLevel="0" collapsed="false">
      <c r="A52" s="7" t="str">
        <f aca="false">IF('Outro banco'!A52="","",IF(LEFT('Outro banco'!A52,1)="(","",'Outro banco'!A52))</f>
        <v/>
      </c>
      <c r="B52" s="7" t="str">
        <f aca="false">IF(A52="","",'Outro banco'!B52)</f>
        <v/>
      </c>
      <c r="C52" s="7" t="str">
        <f aca="false">IF(A52="","",'Outro banco'!C52)</f>
        <v/>
      </c>
      <c r="D52" s="7" t="str">
        <f aca="false">IF(A52="","",'Outro banco'!D52)</f>
        <v/>
      </c>
      <c r="E52" s="9"/>
      <c r="F52" s="9"/>
      <c r="G52" s="7" t="str">
        <f aca="false">IF(A52="","",IF(COUNTIF(Tabelas!$A:$A,IF(E52="",A52,E52))&gt;0,"sim","não"))</f>
        <v/>
      </c>
      <c r="H52" s="7" t="str">
        <f aca="false">IF(A52="","",IF(E52="",A52,E52)&amp;"."&amp;IF(F52="",B52,F52))</f>
        <v/>
      </c>
      <c r="I52" s="7" t="str">
        <f aca="false">IF(A52="","",IFERROR(INDEX('Campos Growths'!$F:$F,MATCH(H52,'Campos Growths'!$A:$A,0)),""))</f>
        <v/>
      </c>
      <c r="J52" s="7" t="str">
        <f aca="false">IF(A52="","",IFERROR(VLOOKUP(IF(ISNUMBER(SEARCH("(",C52)),LEFT(C52,SEARCH("(",C52)-1),C52),Tipos!$A:$B,2,FALSE()),"outro"))</f>
        <v/>
      </c>
      <c r="K52" s="7" t="str">
        <f aca="false">IF(I52="","",IFERROR(INDEX('Campos Growths'!$L:$L,MATCH(H52,'Campos Growths'!$A:$A,0)),""))</f>
        <v/>
      </c>
      <c r="L52" s="7" t="str">
        <f aca="false">IF(A52="","",IF(G52="não","Sem tabela no Growths",IF(I52="","Sem campo no Growths",IF(J52=K52,"Importa direto","Ajustar tipo"))))</f>
        <v/>
      </c>
      <c r="M52" s="9"/>
    </row>
    <row r="53" customFormat="false" ht="15" hidden="false" customHeight="false" outlineLevel="0" collapsed="false">
      <c r="A53" s="7" t="str">
        <f aca="false">IF('Outro banco'!A53="","",IF(LEFT('Outro banco'!A53,1)="(","",'Outro banco'!A53))</f>
        <v/>
      </c>
      <c r="B53" s="7" t="str">
        <f aca="false">IF(A53="","",'Outro banco'!B53)</f>
        <v/>
      </c>
      <c r="C53" s="7" t="str">
        <f aca="false">IF(A53="","",'Outro banco'!C53)</f>
        <v/>
      </c>
      <c r="D53" s="7" t="str">
        <f aca="false">IF(A53="","",'Outro banco'!D53)</f>
        <v/>
      </c>
      <c r="E53" s="9"/>
      <c r="F53" s="9"/>
      <c r="G53" s="7" t="str">
        <f aca="false">IF(A53="","",IF(COUNTIF(Tabelas!$A:$A,IF(E53="",A53,E53))&gt;0,"sim","não"))</f>
        <v/>
      </c>
      <c r="H53" s="7" t="str">
        <f aca="false">IF(A53="","",IF(E53="",A53,E53)&amp;"."&amp;IF(F53="",B53,F53))</f>
        <v/>
      </c>
      <c r="I53" s="7" t="str">
        <f aca="false">IF(A53="","",IFERROR(INDEX('Campos Growths'!$F:$F,MATCH(H53,'Campos Growths'!$A:$A,0)),""))</f>
        <v/>
      </c>
      <c r="J53" s="7" t="str">
        <f aca="false">IF(A53="","",IFERROR(VLOOKUP(IF(ISNUMBER(SEARCH("(",C53)),LEFT(C53,SEARCH("(",C53)-1),C53),Tipos!$A:$B,2,FALSE()),"outro"))</f>
        <v/>
      </c>
      <c r="K53" s="7" t="str">
        <f aca="false">IF(I53="","",IFERROR(INDEX('Campos Growths'!$L:$L,MATCH(H53,'Campos Growths'!$A:$A,0)),""))</f>
        <v/>
      </c>
      <c r="L53" s="7" t="str">
        <f aca="false">IF(A53="","",IF(G53="não","Sem tabela no Growths",IF(I53="","Sem campo no Growths",IF(J53=K53,"Importa direto","Ajustar tipo"))))</f>
        <v/>
      </c>
      <c r="M53" s="9"/>
    </row>
    <row r="54" customFormat="false" ht="15" hidden="false" customHeight="false" outlineLevel="0" collapsed="false">
      <c r="A54" s="7" t="str">
        <f aca="false">IF('Outro banco'!A54="","",IF(LEFT('Outro banco'!A54,1)="(","",'Outro banco'!A54))</f>
        <v/>
      </c>
      <c r="B54" s="7" t="str">
        <f aca="false">IF(A54="","",'Outro banco'!B54)</f>
        <v/>
      </c>
      <c r="C54" s="7" t="str">
        <f aca="false">IF(A54="","",'Outro banco'!C54)</f>
        <v/>
      </c>
      <c r="D54" s="7" t="str">
        <f aca="false">IF(A54="","",'Outro banco'!D54)</f>
        <v/>
      </c>
      <c r="E54" s="9"/>
      <c r="F54" s="9"/>
      <c r="G54" s="7" t="str">
        <f aca="false">IF(A54="","",IF(COUNTIF(Tabelas!$A:$A,IF(E54="",A54,E54))&gt;0,"sim","não"))</f>
        <v/>
      </c>
      <c r="H54" s="7" t="str">
        <f aca="false">IF(A54="","",IF(E54="",A54,E54)&amp;"."&amp;IF(F54="",B54,F54))</f>
        <v/>
      </c>
      <c r="I54" s="7" t="str">
        <f aca="false">IF(A54="","",IFERROR(INDEX('Campos Growths'!$F:$F,MATCH(H54,'Campos Growths'!$A:$A,0)),""))</f>
        <v/>
      </c>
      <c r="J54" s="7" t="str">
        <f aca="false">IF(A54="","",IFERROR(VLOOKUP(IF(ISNUMBER(SEARCH("(",C54)),LEFT(C54,SEARCH("(",C54)-1),C54),Tipos!$A:$B,2,FALSE()),"outro"))</f>
        <v/>
      </c>
      <c r="K54" s="7" t="str">
        <f aca="false">IF(I54="","",IFERROR(INDEX('Campos Growths'!$L:$L,MATCH(H54,'Campos Growths'!$A:$A,0)),""))</f>
        <v/>
      </c>
      <c r="L54" s="7" t="str">
        <f aca="false">IF(A54="","",IF(G54="não","Sem tabela no Growths",IF(I54="","Sem campo no Growths",IF(J54=K54,"Importa direto","Ajustar tipo"))))</f>
        <v/>
      </c>
      <c r="M54" s="9"/>
    </row>
    <row r="55" customFormat="false" ht="15" hidden="false" customHeight="false" outlineLevel="0" collapsed="false">
      <c r="A55" s="7" t="str">
        <f aca="false">IF('Outro banco'!A55="","",IF(LEFT('Outro banco'!A55,1)="(","",'Outro banco'!A55))</f>
        <v/>
      </c>
      <c r="B55" s="7" t="str">
        <f aca="false">IF(A55="","",'Outro banco'!B55)</f>
        <v/>
      </c>
      <c r="C55" s="7" t="str">
        <f aca="false">IF(A55="","",'Outro banco'!C55)</f>
        <v/>
      </c>
      <c r="D55" s="7" t="str">
        <f aca="false">IF(A55="","",'Outro banco'!D55)</f>
        <v/>
      </c>
      <c r="E55" s="9"/>
      <c r="F55" s="9"/>
      <c r="G55" s="7" t="str">
        <f aca="false">IF(A55="","",IF(COUNTIF(Tabelas!$A:$A,IF(E55="",A55,E55))&gt;0,"sim","não"))</f>
        <v/>
      </c>
      <c r="H55" s="7" t="str">
        <f aca="false">IF(A55="","",IF(E55="",A55,E55)&amp;"."&amp;IF(F55="",B55,F55))</f>
        <v/>
      </c>
      <c r="I55" s="7" t="str">
        <f aca="false">IF(A55="","",IFERROR(INDEX('Campos Growths'!$F:$F,MATCH(H55,'Campos Growths'!$A:$A,0)),""))</f>
        <v/>
      </c>
      <c r="J55" s="7" t="str">
        <f aca="false">IF(A55="","",IFERROR(VLOOKUP(IF(ISNUMBER(SEARCH("(",C55)),LEFT(C55,SEARCH("(",C55)-1),C55),Tipos!$A:$B,2,FALSE()),"outro"))</f>
        <v/>
      </c>
      <c r="K55" s="7" t="str">
        <f aca="false">IF(I55="","",IFERROR(INDEX('Campos Growths'!$L:$L,MATCH(H55,'Campos Growths'!$A:$A,0)),""))</f>
        <v/>
      </c>
      <c r="L55" s="7" t="str">
        <f aca="false">IF(A55="","",IF(G55="não","Sem tabela no Growths",IF(I55="","Sem campo no Growths",IF(J55=K55,"Importa direto","Ajustar tipo"))))</f>
        <v/>
      </c>
      <c r="M55" s="9"/>
    </row>
    <row r="56" customFormat="false" ht="15" hidden="false" customHeight="false" outlineLevel="0" collapsed="false">
      <c r="A56" s="7" t="str">
        <f aca="false">IF('Outro banco'!A56="","",IF(LEFT('Outro banco'!A56,1)="(","",'Outro banco'!A56))</f>
        <v/>
      </c>
      <c r="B56" s="7" t="str">
        <f aca="false">IF(A56="","",'Outro banco'!B56)</f>
        <v/>
      </c>
      <c r="C56" s="7" t="str">
        <f aca="false">IF(A56="","",'Outro banco'!C56)</f>
        <v/>
      </c>
      <c r="D56" s="7" t="str">
        <f aca="false">IF(A56="","",'Outro banco'!D56)</f>
        <v/>
      </c>
      <c r="E56" s="9"/>
      <c r="F56" s="9"/>
      <c r="G56" s="7" t="str">
        <f aca="false">IF(A56="","",IF(COUNTIF(Tabelas!$A:$A,IF(E56="",A56,E56))&gt;0,"sim","não"))</f>
        <v/>
      </c>
      <c r="H56" s="7" t="str">
        <f aca="false">IF(A56="","",IF(E56="",A56,E56)&amp;"."&amp;IF(F56="",B56,F56))</f>
        <v/>
      </c>
      <c r="I56" s="7" t="str">
        <f aca="false">IF(A56="","",IFERROR(INDEX('Campos Growths'!$F:$F,MATCH(H56,'Campos Growths'!$A:$A,0)),""))</f>
        <v/>
      </c>
      <c r="J56" s="7" t="str">
        <f aca="false">IF(A56="","",IFERROR(VLOOKUP(IF(ISNUMBER(SEARCH("(",C56)),LEFT(C56,SEARCH("(",C56)-1),C56),Tipos!$A:$B,2,FALSE()),"outro"))</f>
        <v/>
      </c>
      <c r="K56" s="7" t="str">
        <f aca="false">IF(I56="","",IFERROR(INDEX('Campos Growths'!$L:$L,MATCH(H56,'Campos Growths'!$A:$A,0)),""))</f>
        <v/>
      </c>
      <c r="L56" s="7" t="str">
        <f aca="false">IF(A56="","",IF(G56="não","Sem tabela no Growths",IF(I56="","Sem campo no Growths",IF(J56=K56,"Importa direto","Ajustar tipo"))))</f>
        <v/>
      </c>
      <c r="M56" s="9"/>
    </row>
    <row r="57" customFormat="false" ht="15" hidden="false" customHeight="false" outlineLevel="0" collapsed="false">
      <c r="A57" s="7" t="str">
        <f aca="false">IF('Outro banco'!A57="","",IF(LEFT('Outro banco'!A57,1)="(","",'Outro banco'!A57))</f>
        <v/>
      </c>
      <c r="B57" s="7" t="str">
        <f aca="false">IF(A57="","",'Outro banco'!B57)</f>
        <v/>
      </c>
      <c r="C57" s="7" t="str">
        <f aca="false">IF(A57="","",'Outro banco'!C57)</f>
        <v/>
      </c>
      <c r="D57" s="7" t="str">
        <f aca="false">IF(A57="","",'Outro banco'!D57)</f>
        <v/>
      </c>
      <c r="E57" s="9"/>
      <c r="F57" s="9"/>
      <c r="G57" s="7" t="str">
        <f aca="false">IF(A57="","",IF(COUNTIF(Tabelas!$A:$A,IF(E57="",A57,E57))&gt;0,"sim","não"))</f>
        <v/>
      </c>
      <c r="H57" s="7" t="str">
        <f aca="false">IF(A57="","",IF(E57="",A57,E57)&amp;"."&amp;IF(F57="",B57,F57))</f>
        <v/>
      </c>
      <c r="I57" s="7" t="str">
        <f aca="false">IF(A57="","",IFERROR(INDEX('Campos Growths'!$F:$F,MATCH(H57,'Campos Growths'!$A:$A,0)),""))</f>
        <v/>
      </c>
      <c r="J57" s="7" t="str">
        <f aca="false">IF(A57="","",IFERROR(VLOOKUP(IF(ISNUMBER(SEARCH("(",C57)),LEFT(C57,SEARCH("(",C57)-1),C57),Tipos!$A:$B,2,FALSE()),"outro"))</f>
        <v/>
      </c>
      <c r="K57" s="7" t="str">
        <f aca="false">IF(I57="","",IFERROR(INDEX('Campos Growths'!$L:$L,MATCH(H57,'Campos Growths'!$A:$A,0)),""))</f>
        <v/>
      </c>
      <c r="L57" s="7" t="str">
        <f aca="false">IF(A57="","",IF(G57="não","Sem tabela no Growths",IF(I57="","Sem campo no Growths",IF(J57=K57,"Importa direto","Ajustar tipo"))))</f>
        <v/>
      </c>
      <c r="M57" s="9"/>
    </row>
    <row r="58" customFormat="false" ht="15" hidden="false" customHeight="false" outlineLevel="0" collapsed="false">
      <c r="A58" s="7" t="str">
        <f aca="false">IF('Outro banco'!A58="","",IF(LEFT('Outro banco'!A58,1)="(","",'Outro banco'!A58))</f>
        <v/>
      </c>
      <c r="B58" s="7" t="str">
        <f aca="false">IF(A58="","",'Outro banco'!B58)</f>
        <v/>
      </c>
      <c r="C58" s="7" t="str">
        <f aca="false">IF(A58="","",'Outro banco'!C58)</f>
        <v/>
      </c>
      <c r="D58" s="7" t="str">
        <f aca="false">IF(A58="","",'Outro banco'!D58)</f>
        <v/>
      </c>
      <c r="E58" s="9"/>
      <c r="F58" s="9"/>
      <c r="G58" s="7" t="str">
        <f aca="false">IF(A58="","",IF(COUNTIF(Tabelas!$A:$A,IF(E58="",A58,E58))&gt;0,"sim","não"))</f>
        <v/>
      </c>
      <c r="H58" s="7" t="str">
        <f aca="false">IF(A58="","",IF(E58="",A58,E58)&amp;"."&amp;IF(F58="",B58,F58))</f>
        <v/>
      </c>
      <c r="I58" s="7" t="str">
        <f aca="false">IF(A58="","",IFERROR(INDEX('Campos Growths'!$F:$F,MATCH(H58,'Campos Growths'!$A:$A,0)),""))</f>
        <v/>
      </c>
      <c r="J58" s="7" t="str">
        <f aca="false">IF(A58="","",IFERROR(VLOOKUP(IF(ISNUMBER(SEARCH("(",C58)),LEFT(C58,SEARCH("(",C58)-1),C58),Tipos!$A:$B,2,FALSE()),"outro"))</f>
        <v/>
      </c>
      <c r="K58" s="7" t="str">
        <f aca="false">IF(I58="","",IFERROR(INDEX('Campos Growths'!$L:$L,MATCH(H58,'Campos Growths'!$A:$A,0)),""))</f>
        <v/>
      </c>
      <c r="L58" s="7" t="str">
        <f aca="false">IF(A58="","",IF(G58="não","Sem tabela no Growths",IF(I58="","Sem campo no Growths",IF(J58=K58,"Importa direto","Ajustar tipo"))))</f>
        <v/>
      </c>
      <c r="M58" s="9"/>
    </row>
    <row r="59" customFormat="false" ht="15" hidden="false" customHeight="false" outlineLevel="0" collapsed="false">
      <c r="A59" s="7" t="str">
        <f aca="false">IF('Outro banco'!A59="","",IF(LEFT('Outro banco'!A59,1)="(","",'Outro banco'!A59))</f>
        <v/>
      </c>
      <c r="B59" s="7" t="str">
        <f aca="false">IF(A59="","",'Outro banco'!B59)</f>
        <v/>
      </c>
      <c r="C59" s="7" t="str">
        <f aca="false">IF(A59="","",'Outro banco'!C59)</f>
        <v/>
      </c>
      <c r="D59" s="7" t="str">
        <f aca="false">IF(A59="","",'Outro banco'!D59)</f>
        <v/>
      </c>
      <c r="E59" s="9"/>
      <c r="F59" s="9"/>
      <c r="G59" s="7" t="str">
        <f aca="false">IF(A59="","",IF(COUNTIF(Tabelas!$A:$A,IF(E59="",A59,E59))&gt;0,"sim","não"))</f>
        <v/>
      </c>
      <c r="H59" s="7" t="str">
        <f aca="false">IF(A59="","",IF(E59="",A59,E59)&amp;"."&amp;IF(F59="",B59,F59))</f>
        <v/>
      </c>
      <c r="I59" s="7" t="str">
        <f aca="false">IF(A59="","",IFERROR(INDEX('Campos Growths'!$F:$F,MATCH(H59,'Campos Growths'!$A:$A,0)),""))</f>
        <v/>
      </c>
      <c r="J59" s="7" t="str">
        <f aca="false">IF(A59="","",IFERROR(VLOOKUP(IF(ISNUMBER(SEARCH("(",C59)),LEFT(C59,SEARCH("(",C59)-1),C59),Tipos!$A:$B,2,FALSE()),"outro"))</f>
        <v/>
      </c>
      <c r="K59" s="7" t="str">
        <f aca="false">IF(I59="","",IFERROR(INDEX('Campos Growths'!$L:$L,MATCH(H59,'Campos Growths'!$A:$A,0)),""))</f>
        <v/>
      </c>
      <c r="L59" s="7" t="str">
        <f aca="false">IF(A59="","",IF(G59="não","Sem tabela no Growths",IF(I59="","Sem campo no Growths",IF(J59=K59,"Importa direto","Ajustar tipo"))))</f>
        <v/>
      </c>
      <c r="M59" s="9"/>
    </row>
    <row r="60" customFormat="false" ht="15" hidden="false" customHeight="false" outlineLevel="0" collapsed="false">
      <c r="A60" s="7" t="str">
        <f aca="false">IF('Outro banco'!A60="","",IF(LEFT('Outro banco'!A60,1)="(","",'Outro banco'!A60))</f>
        <v/>
      </c>
      <c r="B60" s="7" t="str">
        <f aca="false">IF(A60="","",'Outro banco'!B60)</f>
        <v/>
      </c>
      <c r="C60" s="7" t="str">
        <f aca="false">IF(A60="","",'Outro banco'!C60)</f>
        <v/>
      </c>
      <c r="D60" s="7" t="str">
        <f aca="false">IF(A60="","",'Outro banco'!D60)</f>
        <v/>
      </c>
      <c r="E60" s="9"/>
      <c r="F60" s="9"/>
      <c r="G60" s="7" t="str">
        <f aca="false">IF(A60="","",IF(COUNTIF(Tabelas!$A:$A,IF(E60="",A60,E60))&gt;0,"sim","não"))</f>
        <v/>
      </c>
      <c r="H60" s="7" t="str">
        <f aca="false">IF(A60="","",IF(E60="",A60,E60)&amp;"."&amp;IF(F60="",B60,F60))</f>
        <v/>
      </c>
      <c r="I60" s="7" t="str">
        <f aca="false">IF(A60="","",IFERROR(INDEX('Campos Growths'!$F:$F,MATCH(H60,'Campos Growths'!$A:$A,0)),""))</f>
        <v/>
      </c>
      <c r="J60" s="7" t="str">
        <f aca="false">IF(A60="","",IFERROR(VLOOKUP(IF(ISNUMBER(SEARCH("(",C60)),LEFT(C60,SEARCH("(",C60)-1),C60),Tipos!$A:$B,2,FALSE()),"outro"))</f>
        <v/>
      </c>
      <c r="K60" s="7" t="str">
        <f aca="false">IF(I60="","",IFERROR(INDEX('Campos Growths'!$L:$L,MATCH(H60,'Campos Growths'!$A:$A,0)),""))</f>
        <v/>
      </c>
      <c r="L60" s="7" t="str">
        <f aca="false">IF(A60="","",IF(G60="não","Sem tabela no Growths",IF(I60="","Sem campo no Growths",IF(J60=K60,"Importa direto","Ajustar tipo"))))</f>
        <v/>
      </c>
      <c r="M60" s="9"/>
    </row>
    <row r="61" customFormat="false" ht="15" hidden="false" customHeight="false" outlineLevel="0" collapsed="false">
      <c r="A61" s="7" t="str">
        <f aca="false">IF('Outro banco'!A61="","",IF(LEFT('Outro banco'!A61,1)="(","",'Outro banco'!A61))</f>
        <v/>
      </c>
      <c r="B61" s="7" t="str">
        <f aca="false">IF(A61="","",'Outro banco'!B61)</f>
        <v/>
      </c>
      <c r="C61" s="7" t="str">
        <f aca="false">IF(A61="","",'Outro banco'!C61)</f>
        <v/>
      </c>
      <c r="D61" s="7" t="str">
        <f aca="false">IF(A61="","",'Outro banco'!D61)</f>
        <v/>
      </c>
      <c r="E61" s="9"/>
      <c r="F61" s="9"/>
      <c r="G61" s="7" t="str">
        <f aca="false">IF(A61="","",IF(COUNTIF(Tabelas!$A:$A,IF(E61="",A61,E61))&gt;0,"sim","não"))</f>
        <v/>
      </c>
      <c r="H61" s="7" t="str">
        <f aca="false">IF(A61="","",IF(E61="",A61,E61)&amp;"."&amp;IF(F61="",B61,F61))</f>
        <v/>
      </c>
      <c r="I61" s="7" t="str">
        <f aca="false">IF(A61="","",IFERROR(INDEX('Campos Growths'!$F:$F,MATCH(H61,'Campos Growths'!$A:$A,0)),""))</f>
        <v/>
      </c>
      <c r="J61" s="7" t="str">
        <f aca="false">IF(A61="","",IFERROR(VLOOKUP(IF(ISNUMBER(SEARCH("(",C61)),LEFT(C61,SEARCH("(",C61)-1),C61),Tipos!$A:$B,2,FALSE()),"outro"))</f>
        <v/>
      </c>
      <c r="K61" s="7" t="str">
        <f aca="false">IF(I61="","",IFERROR(INDEX('Campos Growths'!$L:$L,MATCH(H61,'Campos Growths'!$A:$A,0)),""))</f>
        <v/>
      </c>
      <c r="L61" s="7" t="str">
        <f aca="false">IF(A61="","",IF(G61="não","Sem tabela no Growths",IF(I61="","Sem campo no Growths",IF(J61=K61,"Importa direto","Ajustar tipo"))))</f>
        <v/>
      </c>
      <c r="M61" s="9"/>
    </row>
    <row r="62" customFormat="false" ht="15" hidden="false" customHeight="false" outlineLevel="0" collapsed="false">
      <c r="A62" s="7" t="str">
        <f aca="false">IF('Outro banco'!A62="","",IF(LEFT('Outro banco'!A62,1)="(","",'Outro banco'!A62))</f>
        <v/>
      </c>
      <c r="B62" s="7" t="str">
        <f aca="false">IF(A62="","",'Outro banco'!B62)</f>
        <v/>
      </c>
      <c r="C62" s="7" t="str">
        <f aca="false">IF(A62="","",'Outro banco'!C62)</f>
        <v/>
      </c>
      <c r="D62" s="7" t="str">
        <f aca="false">IF(A62="","",'Outro banco'!D62)</f>
        <v/>
      </c>
      <c r="E62" s="9"/>
      <c r="F62" s="9"/>
      <c r="G62" s="7" t="str">
        <f aca="false">IF(A62="","",IF(COUNTIF(Tabelas!$A:$A,IF(E62="",A62,E62))&gt;0,"sim","não"))</f>
        <v/>
      </c>
      <c r="H62" s="7" t="str">
        <f aca="false">IF(A62="","",IF(E62="",A62,E62)&amp;"."&amp;IF(F62="",B62,F62))</f>
        <v/>
      </c>
      <c r="I62" s="7" t="str">
        <f aca="false">IF(A62="","",IFERROR(INDEX('Campos Growths'!$F:$F,MATCH(H62,'Campos Growths'!$A:$A,0)),""))</f>
        <v/>
      </c>
      <c r="J62" s="7" t="str">
        <f aca="false">IF(A62="","",IFERROR(VLOOKUP(IF(ISNUMBER(SEARCH("(",C62)),LEFT(C62,SEARCH("(",C62)-1),C62),Tipos!$A:$B,2,FALSE()),"outro"))</f>
        <v/>
      </c>
      <c r="K62" s="7" t="str">
        <f aca="false">IF(I62="","",IFERROR(INDEX('Campos Growths'!$L:$L,MATCH(H62,'Campos Growths'!$A:$A,0)),""))</f>
        <v/>
      </c>
      <c r="L62" s="7" t="str">
        <f aca="false">IF(A62="","",IF(G62="não","Sem tabela no Growths",IF(I62="","Sem campo no Growths",IF(J62=K62,"Importa direto","Ajustar tipo"))))</f>
        <v/>
      </c>
      <c r="M62" s="9"/>
    </row>
    <row r="63" customFormat="false" ht="15" hidden="false" customHeight="false" outlineLevel="0" collapsed="false">
      <c r="A63" s="7" t="str">
        <f aca="false">IF('Outro banco'!A63="","",IF(LEFT('Outro banco'!A63,1)="(","",'Outro banco'!A63))</f>
        <v/>
      </c>
      <c r="B63" s="7" t="str">
        <f aca="false">IF(A63="","",'Outro banco'!B63)</f>
        <v/>
      </c>
      <c r="C63" s="7" t="str">
        <f aca="false">IF(A63="","",'Outro banco'!C63)</f>
        <v/>
      </c>
      <c r="D63" s="7" t="str">
        <f aca="false">IF(A63="","",'Outro banco'!D63)</f>
        <v/>
      </c>
      <c r="E63" s="9"/>
      <c r="F63" s="9"/>
      <c r="G63" s="7" t="str">
        <f aca="false">IF(A63="","",IF(COUNTIF(Tabelas!$A:$A,IF(E63="",A63,E63))&gt;0,"sim","não"))</f>
        <v/>
      </c>
      <c r="H63" s="7" t="str">
        <f aca="false">IF(A63="","",IF(E63="",A63,E63)&amp;"."&amp;IF(F63="",B63,F63))</f>
        <v/>
      </c>
      <c r="I63" s="7" t="str">
        <f aca="false">IF(A63="","",IFERROR(INDEX('Campos Growths'!$F:$F,MATCH(H63,'Campos Growths'!$A:$A,0)),""))</f>
        <v/>
      </c>
      <c r="J63" s="7" t="str">
        <f aca="false">IF(A63="","",IFERROR(VLOOKUP(IF(ISNUMBER(SEARCH("(",C63)),LEFT(C63,SEARCH("(",C63)-1),C63),Tipos!$A:$B,2,FALSE()),"outro"))</f>
        <v/>
      </c>
      <c r="K63" s="7" t="str">
        <f aca="false">IF(I63="","",IFERROR(INDEX('Campos Growths'!$L:$L,MATCH(H63,'Campos Growths'!$A:$A,0)),""))</f>
        <v/>
      </c>
      <c r="L63" s="7" t="str">
        <f aca="false">IF(A63="","",IF(G63="não","Sem tabela no Growths",IF(I63="","Sem campo no Growths",IF(J63=K63,"Importa direto","Ajustar tipo"))))</f>
        <v/>
      </c>
      <c r="M63" s="9"/>
    </row>
    <row r="64" customFormat="false" ht="15" hidden="false" customHeight="false" outlineLevel="0" collapsed="false">
      <c r="A64" s="7" t="str">
        <f aca="false">IF('Outro banco'!A64="","",IF(LEFT('Outro banco'!A64,1)="(","",'Outro banco'!A64))</f>
        <v/>
      </c>
      <c r="B64" s="7" t="str">
        <f aca="false">IF(A64="","",'Outro banco'!B64)</f>
        <v/>
      </c>
      <c r="C64" s="7" t="str">
        <f aca="false">IF(A64="","",'Outro banco'!C64)</f>
        <v/>
      </c>
      <c r="D64" s="7" t="str">
        <f aca="false">IF(A64="","",'Outro banco'!D64)</f>
        <v/>
      </c>
      <c r="E64" s="9"/>
      <c r="F64" s="9"/>
      <c r="G64" s="7" t="str">
        <f aca="false">IF(A64="","",IF(COUNTIF(Tabelas!$A:$A,IF(E64="",A64,E64))&gt;0,"sim","não"))</f>
        <v/>
      </c>
      <c r="H64" s="7" t="str">
        <f aca="false">IF(A64="","",IF(E64="",A64,E64)&amp;"."&amp;IF(F64="",B64,F64))</f>
        <v/>
      </c>
      <c r="I64" s="7" t="str">
        <f aca="false">IF(A64="","",IFERROR(INDEX('Campos Growths'!$F:$F,MATCH(H64,'Campos Growths'!$A:$A,0)),""))</f>
        <v/>
      </c>
      <c r="J64" s="7" t="str">
        <f aca="false">IF(A64="","",IFERROR(VLOOKUP(IF(ISNUMBER(SEARCH("(",C64)),LEFT(C64,SEARCH("(",C64)-1),C64),Tipos!$A:$B,2,FALSE()),"outro"))</f>
        <v/>
      </c>
      <c r="K64" s="7" t="str">
        <f aca="false">IF(I64="","",IFERROR(INDEX('Campos Growths'!$L:$L,MATCH(H64,'Campos Growths'!$A:$A,0)),""))</f>
        <v/>
      </c>
      <c r="L64" s="7" t="str">
        <f aca="false">IF(A64="","",IF(G64="não","Sem tabela no Growths",IF(I64="","Sem campo no Growths",IF(J64=K64,"Importa direto","Ajustar tipo"))))</f>
        <v/>
      </c>
      <c r="M64" s="9"/>
    </row>
    <row r="65" customFormat="false" ht="15" hidden="false" customHeight="false" outlineLevel="0" collapsed="false">
      <c r="A65" s="7" t="str">
        <f aca="false">IF('Outro banco'!A65="","",IF(LEFT('Outro banco'!A65,1)="(","",'Outro banco'!A65))</f>
        <v/>
      </c>
      <c r="B65" s="7" t="str">
        <f aca="false">IF(A65="","",'Outro banco'!B65)</f>
        <v/>
      </c>
      <c r="C65" s="7" t="str">
        <f aca="false">IF(A65="","",'Outro banco'!C65)</f>
        <v/>
      </c>
      <c r="D65" s="7" t="str">
        <f aca="false">IF(A65="","",'Outro banco'!D65)</f>
        <v/>
      </c>
      <c r="E65" s="9"/>
      <c r="F65" s="9"/>
      <c r="G65" s="7" t="str">
        <f aca="false">IF(A65="","",IF(COUNTIF(Tabelas!$A:$A,IF(E65="",A65,E65))&gt;0,"sim","não"))</f>
        <v/>
      </c>
      <c r="H65" s="7" t="str">
        <f aca="false">IF(A65="","",IF(E65="",A65,E65)&amp;"."&amp;IF(F65="",B65,F65))</f>
        <v/>
      </c>
      <c r="I65" s="7" t="str">
        <f aca="false">IF(A65="","",IFERROR(INDEX('Campos Growths'!$F:$F,MATCH(H65,'Campos Growths'!$A:$A,0)),""))</f>
        <v/>
      </c>
      <c r="J65" s="7" t="str">
        <f aca="false">IF(A65="","",IFERROR(VLOOKUP(IF(ISNUMBER(SEARCH("(",C65)),LEFT(C65,SEARCH("(",C65)-1),C65),Tipos!$A:$B,2,FALSE()),"outro"))</f>
        <v/>
      </c>
      <c r="K65" s="7" t="str">
        <f aca="false">IF(I65="","",IFERROR(INDEX('Campos Growths'!$L:$L,MATCH(H65,'Campos Growths'!$A:$A,0)),""))</f>
        <v/>
      </c>
      <c r="L65" s="7" t="str">
        <f aca="false">IF(A65="","",IF(G65="não","Sem tabela no Growths",IF(I65="","Sem campo no Growths",IF(J65=K65,"Importa direto","Ajustar tipo"))))</f>
        <v/>
      </c>
      <c r="M65" s="9"/>
    </row>
    <row r="66" customFormat="false" ht="15" hidden="false" customHeight="false" outlineLevel="0" collapsed="false">
      <c r="A66" s="7" t="str">
        <f aca="false">IF('Outro banco'!A66="","",IF(LEFT('Outro banco'!A66,1)="(","",'Outro banco'!A66))</f>
        <v/>
      </c>
      <c r="B66" s="7" t="str">
        <f aca="false">IF(A66="","",'Outro banco'!B66)</f>
        <v/>
      </c>
      <c r="C66" s="7" t="str">
        <f aca="false">IF(A66="","",'Outro banco'!C66)</f>
        <v/>
      </c>
      <c r="D66" s="7" t="str">
        <f aca="false">IF(A66="","",'Outro banco'!D66)</f>
        <v/>
      </c>
      <c r="E66" s="9"/>
      <c r="F66" s="9"/>
      <c r="G66" s="7" t="str">
        <f aca="false">IF(A66="","",IF(COUNTIF(Tabelas!$A:$A,IF(E66="",A66,E66))&gt;0,"sim","não"))</f>
        <v/>
      </c>
      <c r="H66" s="7" t="str">
        <f aca="false">IF(A66="","",IF(E66="",A66,E66)&amp;"."&amp;IF(F66="",B66,F66))</f>
        <v/>
      </c>
      <c r="I66" s="7" t="str">
        <f aca="false">IF(A66="","",IFERROR(INDEX('Campos Growths'!$F:$F,MATCH(H66,'Campos Growths'!$A:$A,0)),""))</f>
        <v/>
      </c>
      <c r="J66" s="7" t="str">
        <f aca="false">IF(A66="","",IFERROR(VLOOKUP(IF(ISNUMBER(SEARCH("(",C66)),LEFT(C66,SEARCH("(",C66)-1),C66),Tipos!$A:$B,2,FALSE()),"outro"))</f>
        <v/>
      </c>
      <c r="K66" s="7" t="str">
        <f aca="false">IF(I66="","",IFERROR(INDEX('Campos Growths'!$L:$L,MATCH(H66,'Campos Growths'!$A:$A,0)),""))</f>
        <v/>
      </c>
      <c r="L66" s="7" t="str">
        <f aca="false">IF(A66="","",IF(G66="não","Sem tabela no Growths",IF(I66="","Sem campo no Growths",IF(J66=K66,"Importa direto","Ajustar tipo"))))</f>
        <v/>
      </c>
      <c r="M66" s="9"/>
    </row>
    <row r="67" customFormat="false" ht="15" hidden="false" customHeight="false" outlineLevel="0" collapsed="false">
      <c r="A67" s="7" t="str">
        <f aca="false">IF('Outro banco'!A67="","",IF(LEFT('Outro banco'!A67,1)="(","",'Outro banco'!A67))</f>
        <v/>
      </c>
      <c r="B67" s="7" t="str">
        <f aca="false">IF(A67="","",'Outro banco'!B67)</f>
        <v/>
      </c>
      <c r="C67" s="7" t="str">
        <f aca="false">IF(A67="","",'Outro banco'!C67)</f>
        <v/>
      </c>
      <c r="D67" s="7" t="str">
        <f aca="false">IF(A67="","",'Outro banco'!D67)</f>
        <v/>
      </c>
      <c r="E67" s="9"/>
      <c r="F67" s="9"/>
      <c r="G67" s="7" t="str">
        <f aca="false">IF(A67="","",IF(COUNTIF(Tabelas!$A:$A,IF(E67="",A67,E67))&gt;0,"sim","não"))</f>
        <v/>
      </c>
      <c r="H67" s="7" t="str">
        <f aca="false">IF(A67="","",IF(E67="",A67,E67)&amp;"."&amp;IF(F67="",B67,F67))</f>
        <v/>
      </c>
      <c r="I67" s="7" t="str">
        <f aca="false">IF(A67="","",IFERROR(INDEX('Campos Growths'!$F:$F,MATCH(H67,'Campos Growths'!$A:$A,0)),""))</f>
        <v/>
      </c>
      <c r="J67" s="7" t="str">
        <f aca="false">IF(A67="","",IFERROR(VLOOKUP(IF(ISNUMBER(SEARCH("(",C67)),LEFT(C67,SEARCH("(",C67)-1),C67),Tipos!$A:$B,2,FALSE()),"outro"))</f>
        <v/>
      </c>
      <c r="K67" s="7" t="str">
        <f aca="false">IF(I67="","",IFERROR(INDEX('Campos Growths'!$L:$L,MATCH(H67,'Campos Growths'!$A:$A,0)),""))</f>
        <v/>
      </c>
      <c r="L67" s="7" t="str">
        <f aca="false">IF(A67="","",IF(G67="não","Sem tabela no Growths",IF(I67="","Sem campo no Growths",IF(J67=K67,"Importa direto","Ajustar tipo"))))</f>
        <v/>
      </c>
      <c r="M67" s="9"/>
    </row>
    <row r="68" customFormat="false" ht="15" hidden="false" customHeight="false" outlineLevel="0" collapsed="false">
      <c r="A68" s="7" t="str">
        <f aca="false">IF('Outro banco'!A68="","",IF(LEFT('Outro banco'!A68,1)="(","",'Outro banco'!A68))</f>
        <v/>
      </c>
      <c r="B68" s="7" t="str">
        <f aca="false">IF(A68="","",'Outro banco'!B68)</f>
        <v/>
      </c>
      <c r="C68" s="7" t="str">
        <f aca="false">IF(A68="","",'Outro banco'!C68)</f>
        <v/>
      </c>
      <c r="D68" s="7" t="str">
        <f aca="false">IF(A68="","",'Outro banco'!D68)</f>
        <v/>
      </c>
      <c r="E68" s="9"/>
      <c r="F68" s="9"/>
      <c r="G68" s="7" t="str">
        <f aca="false">IF(A68="","",IF(COUNTIF(Tabelas!$A:$A,IF(E68="",A68,E68))&gt;0,"sim","não"))</f>
        <v/>
      </c>
      <c r="H68" s="7" t="str">
        <f aca="false">IF(A68="","",IF(E68="",A68,E68)&amp;"."&amp;IF(F68="",B68,F68))</f>
        <v/>
      </c>
      <c r="I68" s="7" t="str">
        <f aca="false">IF(A68="","",IFERROR(INDEX('Campos Growths'!$F:$F,MATCH(H68,'Campos Growths'!$A:$A,0)),""))</f>
        <v/>
      </c>
      <c r="J68" s="7" t="str">
        <f aca="false">IF(A68="","",IFERROR(VLOOKUP(IF(ISNUMBER(SEARCH("(",C68)),LEFT(C68,SEARCH("(",C68)-1),C68),Tipos!$A:$B,2,FALSE()),"outro"))</f>
        <v/>
      </c>
      <c r="K68" s="7" t="str">
        <f aca="false">IF(I68="","",IFERROR(INDEX('Campos Growths'!$L:$L,MATCH(H68,'Campos Growths'!$A:$A,0)),""))</f>
        <v/>
      </c>
      <c r="L68" s="7" t="str">
        <f aca="false">IF(A68="","",IF(G68="não","Sem tabela no Growths",IF(I68="","Sem campo no Growths",IF(J68=K68,"Importa direto","Ajustar tipo"))))</f>
        <v/>
      </c>
      <c r="M68" s="9"/>
    </row>
    <row r="69" customFormat="false" ht="15" hidden="false" customHeight="false" outlineLevel="0" collapsed="false">
      <c r="A69" s="7" t="str">
        <f aca="false">IF('Outro banco'!A69="","",IF(LEFT('Outro banco'!A69,1)="(","",'Outro banco'!A69))</f>
        <v/>
      </c>
      <c r="B69" s="7" t="str">
        <f aca="false">IF(A69="","",'Outro banco'!B69)</f>
        <v/>
      </c>
      <c r="C69" s="7" t="str">
        <f aca="false">IF(A69="","",'Outro banco'!C69)</f>
        <v/>
      </c>
      <c r="D69" s="7" t="str">
        <f aca="false">IF(A69="","",'Outro banco'!D69)</f>
        <v/>
      </c>
      <c r="E69" s="9"/>
      <c r="F69" s="9"/>
      <c r="G69" s="7" t="str">
        <f aca="false">IF(A69="","",IF(COUNTIF(Tabelas!$A:$A,IF(E69="",A69,E69))&gt;0,"sim","não"))</f>
        <v/>
      </c>
      <c r="H69" s="7" t="str">
        <f aca="false">IF(A69="","",IF(E69="",A69,E69)&amp;"."&amp;IF(F69="",B69,F69))</f>
        <v/>
      </c>
      <c r="I69" s="7" t="str">
        <f aca="false">IF(A69="","",IFERROR(INDEX('Campos Growths'!$F:$F,MATCH(H69,'Campos Growths'!$A:$A,0)),""))</f>
        <v/>
      </c>
      <c r="J69" s="7" t="str">
        <f aca="false">IF(A69="","",IFERROR(VLOOKUP(IF(ISNUMBER(SEARCH("(",C69)),LEFT(C69,SEARCH("(",C69)-1),C69),Tipos!$A:$B,2,FALSE()),"outro"))</f>
        <v/>
      </c>
      <c r="K69" s="7" t="str">
        <f aca="false">IF(I69="","",IFERROR(INDEX('Campos Growths'!$L:$L,MATCH(H69,'Campos Growths'!$A:$A,0)),""))</f>
        <v/>
      </c>
      <c r="L69" s="7" t="str">
        <f aca="false">IF(A69="","",IF(G69="não","Sem tabela no Growths",IF(I69="","Sem campo no Growths",IF(J69=K69,"Importa direto","Ajustar tipo"))))</f>
        <v/>
      </c>
      <c r="M69" s="9"/>
    </row>
    <row r="70" customFormat="false" ht="15" hidden="false" customHeight="false" outlineLevel="0" collapsed="false">
      <c r="A70" s="7" t="str">
        <f aca="false">IF('Outro banco'!A70="","",IF(LEFT('Outro banco'!A70,1)="(","",'Outro banco'!A70))</f>
        <v/>
      </c>
      <c r="B70" s="7" t="str">
        <f aca="false">IF(A70="","",'Outro banco'!B70)</f>
        <v/>
      </c>
      <c r="C70" s="7" t="str">
        <f aca="false">IF(A70="","",'Outro banco'!C70)</f>
        <v/>
      </c>
      <c r="D70" s="7" t="str">
        <f aca="false">IF(A70="","",'Outro banco'!D70)</f>
        <v/>
      </c>
      <c r="E70" s="9"/>
      <c r="F70" s="9"/>
      <c r="G70" s="7" t="str">
        <f aca="false">IF(A70="","",IF(COUNTIF(Tabelas!$A:$A,IF(E70="",A70,E70))&gt;0,"sim","não"))</f>
        <v/>
      </c>
      <c r="H70" s="7" t="str">
        <f aca="false">IF(A70="","",IF(E70="",A70,E70)&amp;"."&amp;IF(F70="",B70,F70))</f>
        <v/>
      </c>
      <c r="I70" s="7" t="str">
        <f aca="false">IF(A70="","",IFERROR(INDEX('Campos Growths'!$F:$F,MATCH(H70,'Campos Growths'!$A:$A,0)),""))</f>
        <v/>
      </c>
      <c r="J70" s="7" t="str">
        <f aca="false">IF(A70="","",IFERROR(VLOOKUP(IF(ISNUMBER(SEARCH("(",C70)),LEFT(C70,SEARCH("(",C70)-1),C70),Tipos!$A:$B,2,FALSE()),"outro"))</f>
        <v/>
      </c>
      <c r="K70" s="7" t="str">
        <f aca="false">IF(I70="","",IFERROR(INDEX('Campos Growths'!$L:$L,MATCH(H70,'Campos Growths'!$A:$A,0)),""))</f>
        <v/>
      </c>
      <c r="L70" s="7" t="str">
        <f aca="false">IF(A70="","",IF(G70="não","Sem tabela no Growths",IF(I70="","Sem campo no Growths",IF(J70=K70,"Importa direto","Ajustar tipo"))))</f>
        <v/>
      </c>
      <c r="M70" s="9"/>
    </row>
    <row r="71" customFormat="false" ht="15" hidden="false" customHeight="false" outlineLevel="0" collapsed="false">
      <c r="A71" s="7" t="str">
        <f aca="false">IF('Outro banco'!A71="","",IF(LEFT('Outro banco'!A71,1)="(","",'Outro banco'!A71))</f>
        <v/>
      </c>
      <c r="B71" s="7" t="str">
        <f aca="false">IF(A71="","",'Outro banco'!B71)</f>
        <v/>
      </c>
      <c r="C71" s="7" t="str">
        <f aca="false">IF(A71="","",'Outro banco'!C71)</f>
        <v/>
      </c>
      <c r="D71" s="7" t="str">
        <f aca="false">IF(A71="","",'Outro banco'!D71)</f>
        <v/>
      </c>
      <c r="E71" s="9"/>
      <c r="F71" s="9"/>
      <c r="G71" s="7" t="str">
        <f aca="false">IF(A71="","",IF(COUNTIF(Tabelas!$A:$A,IF(E71="",A71,E71))&gt;0,"sim","não"))</f>
        <v/>
      </c>
      <c r="H71" s="7" t="str">
        <f aca="false">IF(A71="","",IF(E71="",A71,E71)&amp;"."&amp;IF(F71="",B71,F71))</f>
        <v/>
      </c>
      <c r="I71" s="7" t="str">
        <f aca="false">IF(A71="","",IFERROR(INDEX('Campos Growths'!$F:$F,MATCH(H71,'Campos Growths'!$A:$A,0)),""))</f>
        <v/>
      </c>
      <c r="J71" s="7" t="str">
        <f aca="false">IF(A71="","",IFERROR(VLOOKUP(IF(ISNUMBER(SEARCH("(",C71)),LEFT(C71,SEARCH("(",C71)-1),C71),Tipos!$A:$B,2,FALSE()),"outro"))</f>
        <v/>
      </c>
      <c r="K71" s="7" t="str">
        <f aca="false">IF(I71="","",IFERROR(INDEX('Campos Growths'!$L:$L,MATCH(H71,'Campos Growths'!$A:$A,0)),""))</f>
        <v/>
      </c>
      <c r="L71" s="7" t="str">
        <f aca="false">IF(A71="","",IF(G71="não","Sem tabela no Growths",IF(I71="","Sem campo no Growths",IF(J71=K71,"Importa direto","Ajustar tipo"))))</f>
        <v/>
      </c>
      <c r="M71" s="9"/>
    </row>
    <row r="72" customFormat="false" ht="15" hidden="false" customHeight="false" outlineLevel="0" collapsed="false">
      <c r="A72" s="7" t="str">
        <f aca="false">IF('Outro banco'!A72="","",IF(LEFT('Outro banco'!A72,1)="(","",'Outro banco'!A72))</f>
        <v/>
      </c>
      <c r="B72" s="7" t="str">
        <f aca="false">IF(A72="","",'Outro banco'!B72)</f>
        <v/>
      </c>
      <c r="C72" s="7" t="str">
        <f aca="false">IF(A72="","",'Outro banco'!C72)</f>
        <v/>
      </c>
      <c r="D72" s="7" t="str">
        <f aca="false">IF(A72="","",'Outro banco'!D72)</f>
        <v/>
      </c>
      <c r="E72" s="9"/>
      <c r="F72" s="9"/>
      <c r="G72" s="7" t="str">
        <f aca="false">IF(A72="","",IF(COUNTIF(Tabelas!$A:$A,IF(E72="",A72,E72))&gt;0,"sim","não"))</f>
        <v/>
      </c>
      <c r="H72" s="7" t="str">
        <f aca="false">IF(A72="","",IF(E72="",A72,E72)&amp;"."&amp;IF(F72="",B72,F72))</f>
        <v/>
      </c>
      <c r="I72" s="7" t="str">
        <f aca="false">IF(A72="","",IFERROR(INDEX('Campos Growths'!$F:$F,MATCH(H72,'Campos Growths'!$A:$A,0)),""))</f>
        <v/>
      </c>
      <c r="J72" s="7" t="str">
        <f aca="false">IF(A72="","",IFERROR(VLOOKUP(IF(ISNUMBER(SEARCH("(",C72)),LEFT(C72,SEARCH("(",C72)-1),C72),Tipos!$A:$B,2,FALSE()),"outro"))</f>
        <v/>
      </c>
      <c r="K72" s="7" t="str">
        <f aca="false">IF(I72="","",IFERROR(INDEX('Campos Growths'!$L:$L,MATCH(H72,'Campos Growths'!$A:$A,0)),""))</f>
        <v/>
      </c>
      <c r="L72" s="7" t="str">
        <f aca="false">IF(A72="","",IF(G72="não","Sem tabela no Growths",IF(I72="","Sem campo no Growths",IF(J72=K72,"Importa direto","Ajustar tipo"))))</f>
        <v/>
      </c>
      <c r="M72" s="9"/>
    </row>
    <row r="73" customFormat="false" ht="15" hidden="false" customHeight="false" outlineLevel="0" collapsed="false">
      <c r="A73" s="7" t="str">
        <f aca="false">IF('Outro banco'!A73="","",IF(LEFT('Outro banco'!A73,1)="(","",'Outro banco'!A73))</f>
        <v/>
      </c>
      <c r="B73" s="7" t="str">
        <f aca="false">IF(A73="","",'Outro banco'!B73)</f>
        <v/>
      </c>
      <c r="C73" s="7" t="str">
        <f aca="false">IF(A73="","",'Outro banco'!C73)</f>
        <v/>
      </c>
      <c r="D73" s="7" t="str">
        <f aca="false">IF(A73="","",'Outro banco'!D73)</f>
        <v/>
      </c>
      <c r="E73" s="9"/>
      <c r="F73" s="9"/>
      <c r="G73" s="7" t="str">
        <f aca="false">IF(A73="","",IF(COUNTIF(Tabelas!$A:$A,IF(E73="",A73,E73))&gt;0,"sim","não"))</f>
        <v/>
      </c>
      <c r="H73" s="7" t="str">
        <f aca="false">IF(A73="","",IF(E73="",A73,E73)&amp;"."&amp;IF(F73="",B73,F73))</f>
        <v/>
      </c>
      <c r="I73" s="7" t="str">
        <f aca="false">IF(A73="","",IFERROR(INDEX('Campos Growths'!$F:$F,MATCH(H73,'Campos Growths'!$A:$A,0)),""))</f>
        <v/>
      </c>
      <c r="J73" s="7" t="str">
        <f aca="false">IF(A73="","",IFERROR(VLOOKUP(IF(ISNUMBER(SEARCH("(",C73)),LEFT(C73,SEARCH("(",C73)-1),C73),Tipos!$A:$B,2,FALSE()),"outro"))</f>
        <v/>
      </c>
      <c r="K73" s="7" t="str">
        <f aca="false">IF(I73="","",IFERROR(INDEX('Campos Growths'!$L:$L,MATCH(H73,'Campos Growths'!$A:$A,0)),""))</f>
        <v/>
      </c>
      <c r="L73" s="7" t="str">
        <f aca="false">IF(A73="","",IF(G73="não","Sem tabela no Growths",IF(I73="","Sem campo no Growths",IF(J73=K73,"Importa direto","Ajustar tipo"))))</f>
        <v/>
      </c>
      <c r="M73" s="9"/>
    </row>
    <row r="74" customFormat="false" ht="15" hidden="false" customHeight="false" outlineLevel="0" collapsed="false">
      <c r="A74" s="7" t="str">
        <f aca="false">IF('Outro banco'!A74="","",IF(LEFT('Outro banco'!A74,1)="(","",'Outro banco'!A74))</f>
        <v/>
      </c>
      <c r="B74" s="7" t="str">
        <f aca="false">IF(A74="","",'Outro banco'!B74)</f>
        <v/>
      </c>
      <c r="C74" s="7" t="str">
        <f aca="false">IF(A74="","",'Outro banco'!C74)</f>
        <v/>
      </c>
      <c r="D74" s="7" t="str">
        <f aca="false">IF(A74="","",'Outro banco'!D74)</f>
        <v/>
      </c>
      <c r="E74" s="9"/>
      <c r="F74" s="9"/>
      <c r="G74" s="7" t="str">
        <f aca="false">IF(A74="","",IF(COUNTIF(Tabelas!$A:$A,IF(E74="",A74,E74))&gt;0,"sim","não"))</f>
        <v/>
      </c>
      <c r="H74" s="7" t="str">
        <f aca="false">IF(A74="","",IF(E74="",A74,E74)&amp;"."&amp;IF(F74="",B74,F74))</f>
        <v/>
      </c>
      <c r="I74" s="7" t="str">
        <f aca="false">IF(A74="","",IFERROR(INDEX('Campos Growths'!$F:$F,MATCH(H74,'Campos Growths'!$A:$A,0)),""))</f>
        <v/>
      </c>
      <c r="J74" s="7" t="str">
        <f aca="false">IF(A74="","",IFERROR(VLOOKUP(IF(ISNUMBER(SEARCH("(",C74)),LEFT(C74,SEARCH("(",C74)-1),C74),Tipos!$A:$B,2,FALSE()),"outro"))</f>
        <v/>
      </c>
      <c r="K74" s="7" t="str">
        <f aca="false">IF(I74="","",IFERROR(INDEX('Campos Growths'!$L:$L,MATCH(H74,'Campos Growths'!$A:$A,0)),""))</f>
        <v/>
      </c>
      <c r="L74" s="7" t="str">
        <f aca="false">IF(A74="","",IF(G74="não","Sem tabela no Growths",IF(I74="","Sem campo no Growths",IF(J74=K74,"Importa direto","Ajustar tipo"))))</f>
        <v/>
      </c>
      <c r="M74" s="9"/>
    </row>
    <row r="75" customFormat="false" ht="15" hidden="false" customHeight="false" outlineLevel="0" collapsed="false">
      <c r="A75" s="7" t="str">
        <f aca="false">IF('Outro banco'!A75="","",IF(LEFT('Outro banco'!A75,1)="(","",'Outro banco'!A75))</f>
        <v/>
      </c>
      <c r="B75" s="7" t="str">
        <f aca="false">IF(A75="","",'Outro banco'!B75)</f>
        <v/>
      </c>
      <c r="C75" s="7" t="str">
        <f aca="false">IF(A75="","",'Outro banco'!C75)</f>
        <v/>
      </c>
      <c r="D75" s="7" t="str">
        <f aca="false">IF(A75="","",'Outro banco'!D75)</f>
        <v/>
      </c>
      <c r="E75" s="9"/>
      <c r="F75" s="9"/>
      <c r="G75" s="7" t="str">
        <f aca="false">IF(A75="","",IF(COUNTIF(Tabelas!$A:$A,IF(E75="",A75,E75))&gt;0,"sim","não"))</f>
        <v/>
      </c>
      <c r="H75" s="7" t="str">
        <f aca="false">IF(A75="","",IF(E75="",A75,E75)&amp;"."&amp;IF(F75="",B75,F75))</f>
        <v/>
      </c>
      <c r="I75" s="7" t="str">
        <f aca="false">IF(A75="","",IFERROR(INDEX('Campos Growths'!$F:$F,MATCH(H75,'Campos Growths'!$A:$A,0)),""))</f>
        <v/>
      </c>
      <c r="J75" s="7" t="str">
        <f aca="false">IF(A75="","",IFERROR(VLOOKUP(IF(ISNUMBER(SEARCH("(",C75)),LEFT(C75,SEARCH("(",C75)-1),C75),Tipos!$A:$B,2,FALSE()),"outro"))</f>
        <v/>
      </c>
      <c r="K75" s="7" t="str">
        <f aca="false">IF(I75="","",IFERROR(INDEX('Campos Growths'!$L:$L,MATCH(H75,'Campos Growths'!$A:$A,0)),""))</f>
        <v/>
      </c>
      <c r="L75" s="7" t="str">
        <f aca="false">IF(A75="","",IF(G75="não","Sem tabela no Growths",IF(I75="","Sem campo no Growths",IF(J75=K75,"Importa direto","Ajustar tipo"))))</f>
        <v/>
      </c>
      <c r="M75" s="9"/>
    </row>
    <row r="76" customFormat="false" ht="15" hidden="false" customHeight="false" outlineLevel="0" collapsed="false">
      <c r="A76" s="7" t="str">
        <f aca="false">IF('Outro banco'!A76="","",IF(LEFT('Outro banco'!A76,1)="(","",'Outro banco'!A76))</f>
        <v/>
      </c>
      <c r="B76" s="7" t="str">
        <f aca="false">IF(A76="","",'Outro banco'!B76)</f>
        <v/>
      </c>
      <c r="C76" s="7" t="str">
        <f aca="false">IF(A76="","",'Outro banco'!C76)</f>
        <v/>
      </c>
      <c r="D76" s="7" t="str">
        <f aca="false">IF(A76="","",'Outro banco'!D76)</f>
        <v/>
      </c>
      <c r="E76" s="9"/>
      <c r="F76" s="9"/>
      <c r="G76" s="7" t="str">
        <f aca="false">IF(A76="","",IF(COUNTIF(Tabelas!$A:$A,IF(E76="",A76,E76))&gt;0,"sim","não"))</f>
        <v/>
      </c>
      <c r="H76" s="7" t="str">
        <f aca="false">IF(A76="","",IF(E76="",A76,E76)&amp;"."&amp;IF(F76="",B76,F76))</f>
        <v/>
      </c>
      <c r="I76" s="7" t="str">
        <f aca="false">IF(A76="","",IFERROR(INDEX('Campos Growths'!$F:$F,MATCH(H76,'Campos Growths'!$A:$A,0)),""))</f>
        <v/>
      </c>
      <c r="J76" s="7" t="str">
        <f aca="false">IF(A76="","",IFERROR(VLOOKUP(IF(ISNUMBER(SEARCH("(",C76)),LEFT(C76,SEARCH("(",C76)-1),C76),Tipos!$A:$B,2,FALSE()),"outro"))</f>
        <v/>
      </c>
      <c r="K76" s="7" t="str">
        <f aca="false">IF(I76="","",IFERROR(INDEX('Campos Growths'!$L:$L,MATCH(H76,'Campos Growths'!$A:$A,0)),""))</f>
        <v/>
      </c>
      <c r="L76" s="7" t="str">
        <f aca="false">IF(A76="","",IF(G76="não","Sem tabela no Growths",IF(I76="","Sem campo no Growths",IF(J76=K76,"Importa direto","Ajustar tipo"))))</f>
        <v/>
      </c>
      <c r="M76" s="9"/>
    </row>
    <row r="77" customFormat="false" ht="15" hidden="false" customHeight="false" outlineLevel="0" collapsed="false">
      <c r="A77" s="7" t="str">
        <f aca="false">IF('Outro banco'!A77="","",IF(LEFT('Outro banco'!A77,1)="(","",'Outro banco'!A77))</f>
        <v/>
      </c>
      <c r="B77" s="7" t="str">
        <f aca="false">IF(A77="","",'Outro banco'!B77)</f>
        <v/>
      </c>
      <c r="C77" s="7" t="str">
        <f aca="false">IF(A77="","",'Outro banco'!C77)</f>
        <v/>
      </c>
      <c r="D77" s="7" t="str">
        <f aca="false">IF(A77="","",'Outro banco'!D77)</f>
        <v/>
      </c>
      <c r="E77" s="9"/>
      <c r="F77" s="9"/>
      <c r="G77" s="7" t="str">
        <f aca="false">IF(A77="","",IF(COUNTIF(Tabelas!$A:$A,IF(E77="",A77,E77))&gt;0,"sim","não"))</f>
        <v/>
      </c>
      <c r="H77" s="7" t="str">
        <f aca="false">IF(A77="","",IF(E77="",A77,E77)&amp;"."&amp;IF(F77="",B77,F77))</f>
        <v/>
      </c>
      <c r="I77" s="7" t="str">
        <f aca="false">IF(A77="","",IFERROR(INDEX('Campos Growths'!$F:$F,MATCH(H77,'Campos Growths'!$A:$A,0)),""))</f>
        <v/>
      </c>
      <c r="J77" s="7" t="str">
        <f aca="false">IF(A77="","",IFERROR(VLOOKUP(IF(ISNUMBER(SEARCH("(",C77)),LEFT(C77,SEARCH("(",C77)-1),C77),Tipos!$A:$B,2,FALSE()),"outro"))</f>
        <v/>
      </c>
      <c r="K77" s="7" t="str">
        <f aca="false">IF(I77="","",IFERROR(INDEX('Campos Growths'!$L:$L,MATCH(H77,'Campos Growths'!$A:$A,0)),""))</f>
        <v/>
      </c>
      <c r="L77" s="7" t="str">
        <f aca="false">IF(A77="","",IF(G77="não","Sem tabela no Growths",IF(I77="","Sem campo no Growths",IF(J77=K77,"Importa direto","Ajustar tipo"))))</f>
        <v/>
      </c>
      <c r="M77" s="9"/>
    </row>
    <row r="78" customFormat="false" ht="15" hidden="false" customHeight="false" outlineLevel="0" collapsed="false">
      <c r="A78" s="7" t="str">
        <f aca="false">IF('Outro banco'!A78="","",IF(LEFT('Outro banco'!A78,1)="(","",'Outro banco'!A78))</f>
        <v/>
      </c>
      <c r="B78" s="7" t="str">
        <f aca="false">IF(A78="","",'Outro banco'!B78)</f>
        <v/>
      </c>
      <c r="C78" s="7" t="str">
        <f aca="false">IF(A78="","",'Outro banco'!C78)</f>
        <v/>
      </c>
      <c r="D78" s="7" t="str">
        <f aca="false">IF(A78="","",'Outro banco'!D78)</f>
        <v/>
      </c>
      <c r="E78" s="9"/>
      <c r="F78" s="9"/>
      <c r="G78" s="7" t="str">
        <f aca="false">IF(A78="","",IF(COUNTIF(Tabelas!$A:$A,IF(E78="",A78,E78))&gt;0,"sim","não"))</f>
        <v/>
      </c>
      <c r="H78" s="7" t="str">
        <f aca="false">IF(A78="","",IF(E78="",A78,E78)&amp;"."&amp;IF(F78="",B78,F78))</f>
        <v/>
      </c>
      <c r="I78" s="7" t="str">
        <f aca="false">IF(A78="","",IFERROR(INDEX('Campos Growths'!$F:$F,MATCH(H78,'Campos Growths'!$A:$A,0)),""))</f>
        <v/>
      </c>
      <c r="J78" s="7" t="str">
        <f aca="false">IF(A78="","",IFERROR(VLOOKUP(IF(ISNUMBER(SEARCH("(",C78)),LEFT(C78,SEARCH("(",C78)-1),C78),Tipos!$A:$B,2,FALSE()),"outro"))</f>
        <v/>
      </c>
      <c r="K78" s="7" t="str">
        <f aca="false">IF(I78="","",IFERROR(INDEX('Campos Growths'!$L:$L,MATCH(H78,'Campos Growths'!$A:$A,0)),""))</f>
        <v/>
      </c>
      <c r="L78" s="7" t="str">
        <f aca="false">IF(A78="","",IF(G78="não","Sem tabela no Growths",IF(I78="","Sem campo no Growths",IF(J78=K78,"Importa direto","Ajustar tipo"))))</f>
        <v/>
      </c>
      <c r="M78" s="9"/>
    </row>
    <row r="79" customFormat="false" ht="15" hidden="false" customHeight="false" outlineLevel="0" collapsed="false">
      <c r="A79" s="7" t="str">
        <f aca="false">IF('Outro banco'!A79="","",IF(LEFT('Outro banco'!A79,1)="(","",'Outro banco'!A79))</f>
        <v/>
      </c>
      <c r="B79" s="7" t="str">
        <f aca="false">IF(A79="","",'Outro banco'!B79)</f>
        <v/>
      </c>
      <c r="C79" s="7" t="str">
        <f aca="false">IF(A79="","",'Outro banco'!C79)</f>
        <v/>
      </c>
      <c r="D79" s="7" t="str">
        <f aca="false">IF(A79="","",'Outro banco'!D79)</f>
        <v/>
      </c>
      <c r="E79" s="9"/>
      <c r="F79" s="9"/>
      <c r="G79" s="7" t="str">
        <f aca="false">IF(A79="","",IF(COUNTIF(Tabelas!$A:$A,IF(E79="",A79,E79))&gt;0,"sim","não"))</f>
        <v/>
      </c>
      <c r="H79" s="7" t="str">
        <f aca="false">IF(A79="","",IF(E79="",A79,E79)&amp;"."&amp;IF(F79="",B79,F79))</f>
        <v/>
      </c>
      <c r="I79" s="7" t="str">
        <f aca="false">IF(A79="","",IFERROR(INDEX('Campos Growths'!$F:$F,MATCH(H79,'Campos Growths'!$A:$A,0)),""))</f>
        <v/>
      </c>
      <c r="J79" s="7" t="str">
        <f aca="false">IF(A79="","",IFERROR(VLOOKUP(IF(ISNUMBER(SEARCH("(",C79)),LEFT(C79,SEARCH("(",C79)-1),C79),Tipos!$A:$B,2,FALSE()),"outro"))</f>
        <v/>
      </c>
      <c r="K79" s="7" t="str">
        <f aca="false">IF(I79="","",IFERROR(INDEX('Campos Growths'!$L:$L,MATCH(H79,'Campos Growths'!$A:$A,0)),""))</f>
        <v/>
      </c>
      <c r="L79" s="7" t="str">
        <f aca="false">IF(A79="","",IF(G79="não","Sem tabela no Growths",IF(I79="","Sem campo no Growths",IF(J79=K79,"Importa direto","Ajustar tipo"))))</f>
        <v/>
      </c>
      <c r="M79" s="9"/>
    </row>
    <row r="80" customFormat="false" ht="15" hidden="false" customHeight="false" outlineLevel="0" collapsed="false">
      <c r="A80" s="7" t="str">
        <f aca="false">IF('Outro banco'!A80="","",IF(LEFT('Outro banco'!A80,1)="(","",'Outro banco'!A80))</f>
        <v/>
      </c>
      <c r="B80" s="7" t="str">
        <f aca="false">IF(A80="","",'Outro banco'!B80)</f>
        <v/>
      </c>
      <c r="C80" s="7" t="str">
        <f aca="false">IF(A80="","",'Outro banco'!C80)</f>
        <v/>
      </c>
      <c r="D80" s="7" t="str">
        <f aca="false">IF(A80="","",'Outro banco'!D80)</f>
        <v/>
      </c>
      <c r="E80" s="9"/>
      <c r="F80" s="9"/>
      <c r="G80" s="7" t="str">
        <f aca="false">IF(A80="","",IF(COUNTIF(Tabelas!$A:$A,IF(E80="",A80,E80))&gt;0,"sim","não"))</f>
        <v/>
      </c>
      <c r="H80" s="7" t="str">
        <f aca="false">IF(A80="","",IF(E80="",A80,E80)&amp;"."&amp;IF(F80="",B80,F80))</f>
        <v/>
      </c>
      <c r="I80" s="7" t="str">
        <f aca="false">IF(A80="","",IFERROR(INDEX('Campos Growths'!$F:$F,MATCH(H80,'Campos Growths'!$A:$A,0)),""))</f>
        <v/>
      </c>
      <c r="J80" s="7" t="str">
        <f aca="false">IF(A80="","",IFERROR(VLOOKUP(IF(ISNUMBER(SEARCH("(",C80)),LEFT(C80,SEARCH("(",C80)-1),C80),Tipos!$A:$B,2,FALSE()),"outro"))</f>
        <v/>
      </c>
      <c r="K80" s="7" t="str">
        <f aca="false">IF(I80="","",IFERROR(INDEX('Campos Growths'!$L:$L,MATCH(H80,'Campos Growths'!$A:$A,0)),""))</f>
        <v/>
      </c>
      <c r="L80" s="7" t="str">
        <f aca="false">IF(A80="","",IF(G80="não","Sem tabela no Growths",IF(I80="","Sem campo no Growths",IF(J80=K80,"Importa direto","Ajustar tipo"))))</f>
        <v/>
      </c>
      <c r="M80" s="9"/>
    </row>
    <row r="81" customFormat="false" ht="15" hidden="false" customHeight="false" outlineLevel="0" collapsed="false">
      <c r="A81" s="7" t="str">
        <f aca="false">IF('Outro banco'!A81="","",IF(LEFT('Outro banco'!A81,1)="(","",'Outro banco'!A81))</f>
        <v/>
      </c>
      <c r="B81" s="7" t="str">
        <f aca="false">IF(A81="","",'Outro banco'!B81)</f>
        <v/>
      </c>
      <c r="C81" s="7" t="str">
        <f aca="false">IF(A81="","",'Outro banco'!C81)</f>
        <v/>
      </c>
      <c r="D81" s="7" t="str">
        <f aca="false">IF(A81="","",'Outro banco'!D81)</f>
        <v/>
      </c>
      <c r="E81" s="9"/>
      <c r="F81" s="9"/>
      <c r="G81" s="7" t="str">
        <f aca="false">IF(A81="","",IF(COUNTIF(Tabelas!$A:$A,IF(E81="",A81,E81))&gt;0,"sim","não"))</f>
        <v/>
      </c>
      <c r="H81" s="7" t="str">
        <f aca="false">IF(A81="","",IF(E81="",A81,E81)&amp;"."&amp;IF(F81="",B81,F81))</f>
        <v/>
      </c>
      <c r="I81" s="7" t="str">
        <f aca="false">IF(A81="","",IFERROR(INDEX('Campos Growths'!$F:$F,MATCH(H81,'Campos Growths'!$A:$A,0)),""))</f>
        <v/>
      </c>
      <c r="J81" s="7" t="str">
        <f aca="false">IF(A81="","",IFERROR(VLOOKUP(IF(ISNUMBER(SEARCH("(",C81)),LEFT(C81,SEARCH("(",C81)-1),C81),Tipos!$A:$B,2,FALSE()),"outro"))</f>
        <v/>
      </c>
      <c r="K81" s="7" t="str">
        <f aca="false">IF(I81="","",IFERROR(INDEX('Campos Growths'!$L:$L,MATCH(H81,'Campos Growths'!$A:$A,0)),""))</f>
        <v/>
      </c>
      <c r="L81" s="7" t="str">
        <f aca="false">IF(A81="","",IF(G81="não","Sem tabela no Growths",IF(I81="","Sem campo no Growths",IF(J81=K81,"Importa direto","Ajustar tipo"))))</f>
        <v/>
      </c>
      <c r="M81" s="9"/>
    </row>
    <row r="82" customFormat="false" ht="15" hidden="false" customHeight="false" outlineLevel="0" collapsed="false">
      <c r="A82" s="7" t="str">
        <f aca="false">IF('Outro banco'!A82="","",IF(LEFT('Outro banco'!A82,1)="(","",'Outro banco'!A82))</f>
        <v/>
      </c>
      <c r="B82" s="7" t="str">
        <f aca="false">IF(A82="","",'Outro banco'!B82)</f>
        <v/>
      </c>
      <c r="C82" s="7" t="str">
        <f aca="false">IF(A82="","",'Outro banco'!C82)</f>
        <v/>
      </c>
      <c r="D82" s="7" t="str">
        <f aca="false">IF(A82="","",'Outro banco'!D82)</f>
        <v/>
      </c>
      <c r="E82" s="9"/>
      <c r="F82" s="9"/>
      <c r="G82" s="7" t="str">
        <f aca="false">IF(A82="","",IF(COUNTIF(Tabelas!$A:$A,IF(E82="",A82,E82))&gt;0,"sim","não"))</f>
        <v/>
      </c>
      <c r="H82" s="7" t="str">
        <f aca="false">IF(A82="","",IF(E82="",A82,E82)&amp;"."&amp;IF(F82="",B82,F82))</f>
        <v/>
      </c>
      <c r="I82" s="7" t="str">
        <f aca="false">IF(A82="","",IFERROR(INDEX('Campos Growths'!$F:$F,MATCH(H82,'Campos Growths'!$A:$A,0)),""))</f>
        <v/>
      </c>
      <c r="J82" s="7" t="str">
        <f aca="false">IF(A82="","",IFERROR(VLOOKUP(IF(ISNUMBER(SEARCH("(",C82)),LEFT(C82,SEARCH("(",C82)-1),C82),Tipos!$A:$B,2,FALSE()),"outro"))</f>
        <v/>
      </c>
      <c r="K82" s="7" t="str">
        <f aca="false">IF(I82="","",IFERROR(INDEX('Campos Growths'!$L:$L,MATCH(H82,'Campos Growths'!$A:$A,0)),""))</f>
        <v/>
      </c>
      <c r="L82" s="7" t="str">
        <f aca="false">IF(A82="","",IF(G82="não","Sem tabela no Growths",IF(I82="","Sem campo no Growths",IF(J82=K82,"Importa direto","Ajustar tipo"))))</f>
        <v/>
      </c>
      <c r="M82" s="9"/>
    </row>
    <row r="83" customFormat="false" ht="15" hidden="false" customHeight="false" outlineLevel="0" collapsed="false">
      <c r="A83" s="7" t="str">
        <f aca="false">IF('Outro banco'!A83="","",IF(LEFT('Outro banco'!A83,1)="(","",'Outro banco'!A83))</f>
        <v/>
      </c>
      <c r="B83" s="7" t="str">
        <f aca="false">IF(A83="","",'Outro banco'!B83)</f>
        <v/>
      </c>
      <c r="C83" s="7" t="str">
        <f aca="false">IF(A83="","",'Outro banco'!C83)</f>
        <v/>
      </c>
      <c r="D83" s="7" t="str">
        <f aca="false">IF(A83="","",'Outro banco'!D83)</f>
        <v/>
      </c>
      <c r="E83" s="9"/>
      <c r="F83" s="9"/>
      <c r="G83" s="7" t="str">
        <f aca="false">IF(A83="","",IF(COUNTIF(Tabelas!$A:$A,IF(E83="",A83,E83))&gt;0,"sim","não"))</f>
        <v/>
      </c>
      <c r="H83" s="7" t="str">
        <f aca="false">IF(A83="","",IF(E83="",A83,E83)&amp;"."&amp;IF(F83="",B83,F83))</f>
        <v/>
      </c>
      <c r="I83" s="7" t="str">
        <f aca="false">IF(A83="","",IFERROR(INDEX('Campos Growths'!$F:$F,MATCH(H83,'Campos Growths'!$A:$A,0)),""))</f>
        <v/>
      </c>
      <c r="J83" s="7" t="str">
        <f aca="false">IF(A83="","",IFERROR(VLOOKUP(IF(ISNUMBER(SEARCH("(",C83)),LEFT(C83,SEARCH("(",C83)-1),C83),Tipos!$A:$B,2,FALSE()),"outro"))</f>
        <v/>
      </c>
      <c r="K83" s="7" t="str">
        <f aca="false">IF(I83="","",IFERROR(INDEX('Campos Growths'!$L:$L,MATCH(H83,'Campos Growths'!$A:$A,0)),""))</f>
        <v/>
      </c>
      <c r="L83" s="7" t="str">
        <f aca="false">IF(A83="","",IF(G83="não","Sem tabela no Growths",IF(I83="","Sem campo no Growths",IF(J83=K83,"Importa direto","Ajustar tipo"))))</f>
        <v/>
      </c>
      <c r="M83" s="9"/>
    </row>
    <row r="84" customFormat="false" ht="15" hidden="false" customHeight="false" outlineLevel="0" collapsed="false">
      <c r="A84" s="7" t="str">
        <f aca="false">IF('Outro banco'!A84="","",IF(LEFT('Outro banco'!A84,1)="(","",'Outro banco'!A84))</f>
        <v/>
      </c>
      <c r="B84" s="7" t="str">
        <f aca="false">IF(A84="","",'Outro banco'!B84)</f>
        <v/>
      </c>
      <c r="C84" s="7" t="str">
        <f aca="false">IF(A84="","",'Outro banco'!C84)</f>
        <v/>
      </c>
      <c r="D84" s="7" t="str">
        <f aca="false">IF(A84="","",'Outro banco'!D84)</f>
        <v/>
      </c>
      <c r="E84" s="9"/>
      <c r="F84" s="9"/>
      <c r="G84" s="7" t="str">
        <f aca="false">IF(A84="","",IF(COUNTIF(Tabelas!$A:$A,IF(E84="",A84,E84))&gt;0,"sim","não"))</f>
        <v/>
      </c>
      <c r="H84" s="7" t="str">
        <f aca="false">IF(A84="","",IF(E84="",A84,E84)&amp;"."&amp;IF(F84="",B84,F84))</f>
        <v/>
      </c>
      <c r="I84" s="7" t="str">
        <f aca="false">IF(A84="","",IFERROR(INDEX('Campos Growths'!$F:$F,MATCH(H84,'Campos Growths'!$A:$A,0)),""))</f>
        <v/>
      </c>
      <c r="J84" s="7" t="str">
        <f aca="false">IF(A84="","",IFERROR(VLOOKUP(IF(ISNUMBER(SEARCH("(",C84)),LEFT(C84,SEARCH("(",C84)-1),C84),Tipos!$A:$B,2,FALSE()),"outro"))</f>
        <v/>
      </c>
      <c r="K84" s="7" t="str">
        <f aca="false">IF(I84="","",IFERROR(INDEX('Campos Growths'!$L:$L,MATCH(H84,'Campos Growths'!$A:$A,0)),""))</f>
        <v/>
      </c>
      <c r="L84" s="7" t="str">
        <f aca="false">IF(A84="","",IF(G84="não","Sem tabela no Growths",IF(I84="","Sem campo no Growths",IF(J84=K84,"Importa direto","Ajustar tipo"))))</f>
        <v/>
      </c>
      <c r="M84" s="9"/>
    </row>
    <row r="85" customFormat="false" ht="15" hidden="false" customHeight="false" outlineLevel="0" collapsed="false">
      <c r="A85" s="7" t="str">
        <f aca="false">IF('Outro banco'!A85="","",IF(LEFT('Outro banco'!A85,1)="(","",'Outro banco'!A85))</f>
        <v/>
      </c>
      <c r="B85" s="7" t="str">
        <f aca="false">IF(A85="","",'Outro banco'!B85)</f>
        <v/>
      </c>
      <c r="C85" s="7" t="str">
        <f aca="false">IF(A85="","",'Outro banco'!C85)</f>
        <v/>
      </c>
      <c r="D85" s="7" t="str">
        <f aca="false">IF(A85="","",'Outro banco'!D85)</f>
        <v/>
      </c>
      <c r="E85" s="9"/>
      <c r="F85" s="9"/>
      <c r="G85" s="7" t="str">
        <f aca="false">IF(A85="","",IF(COUNTIF(Tabelas!$A:$A,IF(E85="",A85,E85))&gt;0,"sim","não"))</f>
        <v/>
      </c>
      <c r="H85" s="7" t="str">
        <f aca="false">IF(A85="","",IF(E85="",A85,E85)&amp;"."&amp;IF(F85="",B85,F85))</f>
        <v/>
      </c>
      <c r="I85" s="7" t="str">
        <f aca="false">IF(A85="","",IFERROR(INDEX('Campos Growths'!$F:$F,MATCH(H85,'Campos Growths'!$A:$A,0)),""))</f>
        <v/>
      </c>
      <c r="J85" s="7" t="str">
        <f aca="false">IF(A85="","",IFERROR(VLOOKUP(IF(ISNUMBER(SEARCH("(",C85)),LEFT(C85,SEARCH("(",C85)-1),C85),Tipos!$A:$B,2,FALSE()),"outro"))</f>
        <v/>
      </c>
      <c r="K85" s="7" t="str">
        <f aca="false">IF(I85="","",IFERROR(INDEX('Campos Growths'!$L:$L,MATCH(H85,'Campos Growths'!$A:$A,0)),""))</f>
        <v/>
      </c>
      <c r="L85" s="7" t="str">
        <f aca="false">IF(A85="","",IF(G85="não","Sem tabela no Growths",IF(I85="","Sem campo no Growths",IF(J85=K85,"Importa direto","Ajustar tipo"))))</f>
        <v/>
      </c>
      <c r="M85" s="9"/>
    </row>
    <row r="86" customFormat="false" ht="15" hidden="false" customHeight="false" outlineLevel="0" collapsed="false">
      <c r="A86" s="7" t="str">
        <f aca="false">IF('Outro banco'!A86="","",IF(LEFT('Outro banco'!A86,1)="(","",'Outro banco'!A86))</f>
        <v/>
      </c>
      <c r="B86" s="7" t="str">
        <f aca="false">IF(A86="","",'Outro banco'!B86)</f>
        <v/>
      </c>
      <c r="C86" s="7" t="str">
        <f aca="false">IF(A86="","",'Outro banco'!C86)</f>
        <v/>
      </c>
      <c r="D86" s="7" t="str">
        <f aca="false">IF(A86="","",'Outro banco'!D86)</f>
        <v/>
      </c>
      <c r="E86" s="9"/>
      <c r="F86" s="9"/>
      <c r="G86" s="7" t="str">
        <f aca="false">IF(A86="","",IF(COUNTIF(Tabelas!$A:$A,IF(E86="",A86,E86))&gt;0,"sim","não"))</f>
        <v/>
      </c>
      <c r="H86" s="7" t="str">
        <f aca="false">IF(A86="","",IF(E86="",A86,E86)&amp;"."&amp;IF(F86="",B86,F86))</f>
        <v/>
      </c>
      <c r="I86" s="7" t="str">
        <f aca="false">IF(A86="","",IFERROR(INDEX('Campos Growths'!$F:$F,MATCH(H86,'Campos Growths'!$A:$A,0)),""))</f>
        <v/>
      </c>
      <c r="J86" s="7" t="str">
        <f aca="false">IF(A86="","",IFERROR(VLOOKUP(IF(ISNUMBER(SEARCH("(",C86)),LEFT(C86,SEARCH("(",C86)-1),C86),Tipos!$A:$B,2,FALSE()),"outro"))</f>
        <v/>
      </c>
      <c r="K86" s="7" t="str">
        <f aca="false">IF(I86="","",IFERROR(INDEX('Campos Growths'!$L:$L,MATCH(H86,'Campos Growths'!$A:$A,0)),""))</f>
        <v/>
      </c>
      <c r="L86" s="7" t="str">
        <f aca="false">IF(A86="","",IF(G86="não","Sem tabela no Growths",IF(I86="","Sem campo no Growths",IF(J86=K86,"Importa direto","Ajustar tipo"))))</f>
        <v/>
      </c>
      <c r="M86" s="9"/>
    </row>
    <row r="87" customFormat="false" ht="15" hidden="false" customHeight="false" outlineLevel="0" collapsed="false">
      <c r="A87" s="7" t="str">
        <f aca="false">IF('Outro banco'!A87="","",IF(LEFT('Outro banco'!A87,1)="(","",'Outro banco'!A87))</f>
        <v/>
      </c>
      <c r="B87" s="7" t="str">
        <f aca="false">IF(A87="","",'Outro banco'!B87)</f>
        <v/>
      </c>
      <c r="C87" s="7" t="str">
        <f aca="false">IF(A87="","",'Outro banco'!C87)</f>
        <v/>
      </c>
      <c r="D87" s="7" t="str">
        <f aca="false">IF(A87="","",'Outro banco'!D87)</f>
        <v/>
      </c>
      <c r="E87" s="9"/>
      <c r="F87" s="9"/>
      <c r="G87" s="7" t="str">
        <f aca="false">IF(A87="","",IF(COUNTIF(Tabelas!$A:$A,IF(E87="",A87,E87))&gt;0,"sim","não"))</f>
        <v/>
      </c>
      <c r="H87" s="7" t="str">
        <f aca="false">IF(A87="","",IF(E87="",A87,E87)&amp;"."&amp;IF(F87="",B87,F87))</f>
        <v/>
      </c>
      <c r="I87" s="7" t="str">
        <f aca="false">IF(A87="","",IFERROR(INDEX('Campos Growths'!$F:$F,MATCH(H87,'Campos Growths'!$A:$A,0)),""))</f>
        <v/>
      </c>
      <c r="J87" s="7" t="str">
        <f aca="false">IF(A87="","",IFERROR(VLOOKUP(IF(ISNUMBER(SEARCH("(",C87)),LEFT(C87,SEARCH("(",C87)-1),C87),Tipos!$A:$B,2,FALSE()),"outro"))</f>
        <v/>
      </c>
      <c r="K87" s="7" t="str">
        <f aca="false">IF(I87="","",IFERROR(INDEX('Campos Growths'!$L:$L,MATCH(H87,'Campos Growths'!$A:$A,0)),""))</f>
        <v/>
      </c>
      <c r="L87" s="7" t="str">
        <f aca="false">IF(A87="","",IF(G87="não","Sem tabela no Growths",IF(I87="","Sem campo no Growths",IF(J87=K87,"Importa direto","Ajustar tipo"))))</f>
        <v/>
      </c>
      <c r="M87" s="9"/>
    </row>
    <row r="88" customFormat="false" ht="15" hidden="false" customHeight="false" outlineLevel="0" collapsed="false">
      <c r="A88" s="7" t="str">
        <f aca="false">IF('Outro banco'!A88="","",IF(LEFT('Outro banco'!A88,1)="(","",'Outro banco'!A88))</f>
        <v/>
      </c>
      <c r="B88" s="7" t="str">
        <f aca="false">IF(A88="","",'Outro banco'!B88)</f>
        <v/>
      </c>
      <c r="C88" s="7" t="str">
        <f aca="false">IF(A88="","",'Outro banco'!C88)</f>
        <v/>
      </c>
      <c r="D88" s="7" t="str">
        <f aca="false">IF(A88="","",'Outro banco'!D88)</f>
        <v/>
      </c>
      <c r="E88" s="9"/>
      <c r="F88" s="9"/>
      <c r="G88" s="7" t="str">
        <f aca="false">IF(A88="","",IF(COUNTIF(Tabelas!$A:$A,IF(E88="",A88,E88))&gt;0,"sim","não"))</f>
        <v/>
      </c>
      <c r="H88" s="7" t="str">
        <f aca="false">IF(A88="","",IF(E88="",A88,E88)&amp;"."&amp;IF(F88="",B88,F88))</f>
        <v/>
      </c>
      <c r="I88" s="7" t="str">
        <f aca="false">IF(A88="","",IFERROR(INDEX('Campos Growths'!$F:$F,MATCH(H88,'Campos Growths'!$A:$A,0)),""))</f>
        <v/>
      </c>
      <c r="J88" s="7" t="str">
        <f aca="false">IF(A88="","",IFERROR(VLOOKUP(IF(ISNUMBER(SEARCH("(",C88)),LEFT(C88,SEARCH("(",C88)-1),C88),Tipos!$A:$B,2,FALSE()),"outro"))</f>
        <v/>
      </c>
      <c r="K88" s="7" t="str">
        <f aca="false">IF(I88="","",IFERROR(INDEX('Campos Growths'!$L:$L,MATCH(H88,'Campos Growths'!$A:$A,0)),""))</f>
        <v/>
      </c>
      <c r="L88" s="7" t="str">
        <f aca="false">IF(A88="","",IF(G88="não","Sem tabela no Growths",IF(I88="","Sem campo no Growths",IF(J88=K88,"Importa direto","Ajustar tipo"))))</f>
        <v/>
      </c>
      <c r="M88" s="9"/>
    </row>
    <row r="89" customFormat="false" ht="15" hidden="false" customHeight="false" outlineLevel="0" collapsed="false">
      <c r="A89" s="7" t="str">
        <f aca="false">IF('Outro banco'!A89="","",IF(LEFT('Outro banco'!A89,1)="(","",'Outro banco'!A89))</f>
        <v/>
      </c>
      <c r="B89" s="7" t="str">
        <f aca="false">IF(A89="","",'Outro banco'!B89)</f>
        <v/>
      </c>
      <c r="C89" s="7" t="str">
        <f aca="false">IF(A89="","",'Outro banco'!C89)</f>
        <v/>
      </c>
      <c r="D89" s="7" t="str">
        <f aca="false">IF(A89="","",'Outro banco'!D89)</f>
        <v/>
      </c>
      <c r="E89" s="9"/>
      <c r="F89" s="9"/>
      <c r="G89" s="7" t="str">
        <f aca="false">IF(A89="","",IF(COUNTIF(Tabelas!$A:$A,IF(E89="",A89,E89))&gt;0,"sim","não"))</f>
        <v/>
      </c>
      <c r="H89" s="7" t="str">
        <f aca="false">IF(A89="","",IF(E89="",A89,E89)&amp;"."&amp;IF(F89="",B89,F89))</f>
        <v/>
      </c>
      <c r="I89" s="7" t="str">
        <f aca="false">IF(A89="","",IFERROR(INDEX('Campos Growths'!$F:$F,MATCH(H89,'Campos Growths'!$A:$A,0)),""))</f>
        <v/>
      </c>
      <c r="J89" s="7" t="str">
        <f aca="false">IF(A89="","",IFERROR(VLOOKUP(IF(ISNUMBER(SEARCH("(",C89)),LEFT(C89,SEARCH("(",C89)-1),C89),Tipos!$A:$B,2,FALSE()),"outro"))</f>
        <v/>
      </c>
      <c r="K89" s="7" t="str">
        <f aca="false">IF(I89="","",IFERROR(INDEX('Campos Growths'!$L:$L,MATCH(H89,'Campos Growths'!$A:$A,0)),""))</f>
        <v/>
      </c>
      <c r="L89" s="7" t="str">
        <f aca="false">IF(A89="","",IF(G89="não","Sem tabela no Growths",IF(I89="","Sem campo no Growths",IF(J89=K89,"Importa direto","Ajustar tipo"))))</f>
        <v/>
      </c>
      <c r="M89" s="9"/>
    </row>
    <row r="90" customFormat="false" ht="15" hidden="false" customHeight="false" outlineLevel="0" collapsed="false">
      <c r="A90" s="7" t="str">
        <f aca="false">IF('Outro banco'!A90="","",IF(LEFT('Outro banco'!A90,1)="(","",'Outro banco'!A90))</f>
        <v/>
      </c>
      <c r="B90" s="7" t="str">
        <f aca="false">IF(A90="","",'Outro banco'!B90)</f>
        <v/>
      </c>
      <c r="C90" s="7" t="str">
        <f aca="false">IF(A90="","",'Outro banco'!C90)</f>
        <v/>
      </c>
      <c r="D90" s="7" t="str">
        <f aca="false">IF(A90="","",'Outro banco'!D90)</f>
        <v/>
      </c>
      <c r="E90" s="9"/>
      <c r="F90" s="9"/>
      <c r="G90" s="7" t="str">
        <f aca="false">IF(A90="","",IF(COUNTIF(Tabelas!$A:$A,IF(E90="",A90,E90))&gt;0,"sim","não"))</f>
        <v/>
      </c>
      <c r="H90" s="7" t="str">
        <f aca="false">IF(A90="","",IF(E90="",A90,E90)&amp;"."&amp;IF(F90="",B90,F90))</f>
        <v/>
      </c>
      <c r="I90" s="7" t="str">
        <f aca="false">IF(A90="","",IFERROR(INDEX('Campos Growths'!$F:$F,MATCH(H90,'Campos Growths'!$A:$A,0)),""))</f>
        <v/>
      </c>
      <c r="J90" s="7" t="str">
        <f aca="false">IF(A90="","",IFERROR(VLOOKUP(IF(ISNUMBER(SEARCH("(",C90)),LEFT(C90,SEARCH("(",C90)-1),C90),Tipos!$A:$B,2,FALSE()),"outro"))</f>
        <v/>
      </c>
      <c r="K90" s="7" t="str">
        <f aca="false">IF(I90="","",IFERROR(INDEX('Campos Growths'!$L:$L,MATCH(H90,'Campos Growths'!$A:$A,0)),""))</f>
        <v/>
      </c>
      <c r="L90" s="7" t="str">
        <f aca="false">IF(A90="","",IF(G90="não","Sem tabela no Growths",IF(I90="","Sem campo no Growths",IF(J90=K90,"Importa direto","Ajustar tipo"))))</f>
        <v/>
      </c>
      <c r="M90" s="9"/>
    </row>
    <row r="91" customFormat="false" ht="15" hidden="false" customHeight="false" outlineLevel="0" collapsed="false">
      <c r="A91" s="7" t="str">
        <f aca="false">IF('Outro banco'!A91="","",IF(LEFT('Outro banco'!A91,1)="(","",'Outro banco'!A91))</f>
        <v/>
      </c>
      <c r="B91" s="7" t="str">
        <f aca="false">IF(A91="","",'Outro banco'!B91)</f>
        <v/>
      </c>
      <c r="C91" s="7" t="str">
        <f aca="false">IF(A91="","",'Outro banco'!C91)</f>
        <v/>
      </c>
      <c r="D91" s="7" t="str">
        <f aca="false">IF(A91="","",'Outro banco'!D91)</f>
        <v/>
      </c>
      <c r="E91" s="9"/>
      <c r="F91" s="9"/>
      <c r="G91" s="7" t="str">
        <f aca="false">IF(A91="","",IF(COUNTIF(Tabelas!$A:$A,IF(E91="",A91,E91))&gt;0,"sim","não"))</f>
        <v/>
      </c>
      <c r="H91" s="7" t="str">
        <f aca="false">IF(A91="","",IF(E91="",A91,E91)&amp;"."&amp;IF(F91="",B91,F91))</f>
        <v/>
      </c>
      <c r="I91" s="7" t="str">
        <f aca="false">IF(A91="","",IFERROR(INDEX('Campos Growths'!$F:$F,MATCH(H91,'Campos Growths'!$A:$A,0)),""))</f>
        <v/>
      </c>
      <c r="J91" s="7" t="str">
        <f aca="false">IF(A91="","",IFERROR(VLOOKUP(IF(ISNUMBER(SEARCH("(",C91)),LEFT(C91,SEARCH("(",C91)-1),C91),Tipos!$A:$B,2,FALSE()),"outro"))</f>
        <v/>
      </c>
      <c r="K91" s="7" t="str">
        <f aca="false">IF(I91="","",IFERROR(INDEX('Campos Growths'!$L:$L,MATCH(H91,'Campos Growths'!$A:$A,0)),""))</f>
        <v/>
      </c>
      <c r="L91" s="7" t="str">
        <f aca="false">IF(A91="","",IF(G91="não","Sem tabela no Growths",IF(I91="","Sem campo no Growths",IF(J91=K91,"Importa direto","Ajustar tipo"))))</f>
        <v/>
      </c>
      <c r="M91" s="9"/>
    </row>
    <row r="92" customFormat="false" ht="15" hidden="false" customHeight="false" outlineLevel="0" collapsed="false">
      <c r="A92" s="7" t="str">
        <f aca="false">IF('Outro banco'!A92="","",IF(LEFT('Outro banco'!A92,1)="(","",'Outro banco'!A92))</f>
        <v/>
      </c>
      <c r="B92" s="7" t="str">
        <f aca="false">IF(A92="","",'Outro banco'!B92)</f>
        <v/>
      </c>
      <c r="C92" s="7" t="str">
        <f aca="false">IF(A92="","",'Outro banco'!C92)</f>
        <v/>
      </c>
      <c r="D92" s="7" t="str">
        <f aca="false">IF(A92="","",'Outro banco'!D92)</f>
        <v/>
      </c>
      <c r="E92" s="9"/>
      <c r="F92" s="9"/>
      <c r="G92" s="7" t="str">
        <f aca="false">IF(A92="","",IF(COUNTIF(Tabelas!$A:$A,IF(E92="",A92,E92))&gt;0,"sim","não"))</f>
        <v/>
      </c>
      <c r="H92" s="7" t="str">
        <f aca="false">IF(A92="","",IF(E92="",A92,E92)&amp;"."&amp;IF(F92="",B92,F92))</f>
        <v/>
      </c>
      <c r="I92" s="7" t="str">
        <f aca="false">IF(A92="","",IFERROR(INDEX('Campos Growths'!$F:$F,MATCH(H92,'Campos Growths'!$A:$A,0)),""))</f>
        <v/>
      </c>
      <c r="J92" s="7" t="str">
        <f aca="false">IF(A92="","",IFERROR(VLOOKUP(IF(ISNUMBER(SEARCH("(",C92)),LEFT(C92,SEARCH("(",C92)-1),C92),Tipos!$A:$B,2,FALSE()),"outro"))</f>
        <v/>
      </c>
      <c r="K92" s="7" t="str">
        <f aca="false">IF(I92="","",IFERROR(INDEX('Campos Growths'!$L:$L,MATCH(H92,'Campos Growths'!$A:$A,0)),""))</f>
        <v/>
      </c>
      <c r="L92" s="7" t="str">
        <f aca="false">IF(A92="","",IF(G92="não","Sem tabela no Growths",IF(I92="","Sem campo no Growths",IF(J92=K92,"Importa direto","Ajustar tipo"))))</f>
        <v/>
      </c>
      <c r="M92" s="9"/>
    </row>
    <row r="93" customFormat="false" ht="15" hidden="false" customHeight="false" outlineLevel="0" collapsed="false">
      <c r="A93" s="7" t="str">
        <f aca="false">IF('Outro banco'!A93="","",IF(LEFT('Outro banco'!A93,1)="(","",'Outro banco'!A93))</f>
        <v/>
      </c>
      <c r="B93" s="7" t="str">
        <f aca="false">IF(A93="","",'Outro banco'!B93)</f>
        <v/>
      </c>
      <c r="C93" s="7" t="str">
        <f aca="false">IF(A93="","",'Outro banco'!C93)</f>
        <v/>
      </c>
      <c r="D93" s="7" t="str">
        <f aca="false">IF(A93="","",'Outro banco'!D93)</f>
        <v/>
      </c>
      <c r="E93" s="9"/>
      <c r="F93" s="9"/>
      <c r="G93" s="7" t="str">
        <f aca="false">IF(A93="","",IF(COUNTIF(Tabelas!$A:$A,IF(E93="",A93,E93))&gt;0,"sim","não"))</f>
        <v/>
      </c>
      <c r="H93" s="7" t="str">
        <f aca="false">IF(A93="","",IF(E93="",A93,E93)&amp;"."&amp;IF(F93="",B93,F93))</f>
        <v/>
      </c>
      <c r="I93" s="7" t="str">
        <f aca="false">IF(A93="","",IFERROR(INDEX('Campos Growths'!$F:$F,MATCH(H93,'Campos Growths'!$A:$A,0)),""))</f>
        <v/>
      </c>
      <c r="J93" s="7" t="str">
        <f aca="false">IF(A93="","",IFERROR(VLOOKUP(IF(ISNUMBER(SEARCH("(",C93)),LEFT(C93,SEARCH("(",C93)-1),C93),Tipos!$A:$B,2,FALSE()),"outro"))</f>
        <v/>
      </c>
      <c r="K93" s="7" t="str">
        <f aca="false">IF(I93="","",IFERROR(INDEX('Campos Growths'!$L:$L,MATCH(H93,'Campos Growths'!$A:$A,0)),""))</f>
        <v/>
      </c>
      <c r="L93" s="7" t="str">
        <f aca="false">IF(A93="","",IF(G93="não","Sem tabela no Growths",IF(I93="","Sem campo no Growths",IF(J93=K93,"Importa direto","Ajustar tipo"))))</f>
        <v/>
      </c>
      <c r="M93" s="9"/>
    </row>
    <row r="94" customFormat="false" ht="15" hidden="false" customHeight="false" outlineLevel="0" collapsed="false">
      <c r="A94" s="7" t="str">
        <f aca="false">IF('Outro banco'!A94="","",IF(LEFT('Outro banco'!A94,1)="(","",'Outro banco'!A94))</f>
        <v/>
      </c>
      <c r="B94" s="7" t="str">
        <f aca="false">IF(A94="","",'Outro banco'!B94)</f>
        <v/>
      </c>
      <c r="C94" s="7" t="str">
        <f aca="false">IF(A94="","",'Outro banco'!C94)</f>
        <v/>
      </c>
      <c r="D94" s="7" t="str">
        <f aca="false">IF(A94="","",'Outro banco'!D94)</f>
        <v/>
      </c>
      <c r="E94" s="9"/>
      <c r="F94" s="9"/>
      <c r="G94" s="7" t="str">
        <f aca="false">IF(A94="","",IF(COUNTIF(Tabelas!$A:$A,IF(E94="",A94,E94))&gt;0,"sim","não"))</f>
        <v/>
      </c>
      <c r="H94" s="7" t="str">
        <f aca="false">IF(A94="","",IF(E94="",A94,E94)&amp;"."&amp;IF(F94="",B94,F94))</f>
        <v/>
      </c>
      <c r="I94" s="7" t="str">
        <f aca="false">IF(A94="","",IFERROR(INDEX('Campos Growths'!$F:$F,MATCH(H94,'Campos Growths'!$A:$A,0)),""))</f>
        <v/>
      </c>
      <c r="J94" s="7" t="str">
        <f aca="false">IF(A94="","",IFERROR(VLOOKUP(IF(ISNUMBER(SEARCH("(",C94)),LEFT(C94,SEARCH("(",C94)-1),C94),Tipos!$A:$B,2,FALSE()),"outro"))</f>
        <v/>
      </c>
      <c r="K94" s="7" t="str">
        <f aca="false">IF(I94="","",IFERROR(INDEX('Campos Growths'!$L:$L,MATCH(H94,'Campos Growths'!$A:$A,0)),""))</f>
        <v/>
      </c>
      <c r="L94" s="7" t="str">
        <f aca="false">IF(A94="","",IF(G94="não","Sem tabela no Growths",IF(I94="","Sem campo no Growths",IF(J94=K94,"Importa direto","Ajustar tipo"))))</f>
        <v/>
      </c>
      <c r="M94" s="9"/>
    </row>
    <row r="95" customFormat="false" ht="15" hidden="false" customHeight="false" outlineLevel="0" collapsed="false">
      <c r="A95" s="7" t="str">
        <f aca="false">IF('Outro banco'!A95="","",IF(LEFT('Outro banco'!A95,1)="(","",'Outro banco'!A95))</f>
        <v/>
      </c>
      <c r="B95" s="7" t="str">
        <f aca="false">IF(A95="","",'Outro banco'!B95)</f>
        <v/>
      </c>
      <c r="C95" s="7" t="str">
        <f aca="false">IF(A95="","",'Outro banco'!C95)</f>
        <v/>
      </c>
      <c r="D95" s="7" t="str">
        <f aca="false">IF(A95="","",'Outro banco'!D95)</f>
        <v/>
      </c>
      <c r="E95" s="9"/>
      <c r="F95" s="9"/>
      <c r="G95" s="7" t="str">
        <f aca="false">IF(A95="","",IF(COUNTIF(Tabelas!$A:$A,IF(E95="",A95,E95))&gt;0,"sim","não"))</f>
        <v/>
      </c>
      <c r="H95" s="7" t="str">
        <f aca="false">IF(A95="","",IF(E95="",A95,E95)&amp;"."&amp;IF(F95="",B95,F95))</f>
        <v/>
      </c>
      <c r="I95" s="7" t="str">
        <f aca="false">IF(A95="","",IFERROR(INDEX('Campos Growths'!$F:$F,MATCH(H95,'Campos Growths'!$A:$A,0)),""))</f>
        <v/>
      </c>
      <c r="J95" s="7" t="str">
        <f aca="false">IF(A95="","",IFERROR(VLOOKUP(IF(ISNUMBER(SEARCH("(",C95)),LEFT(C95,SEARCH("(",C95)-1),C95),Tipos!$A:$B,2,FALSE()),"outro"))</f>
        <v/>
      </c>
      <c r="K95" s="7" t="str">
        <f aca="false">IF(I95="","",IFERROR(INDEX('Campos Growths'!$L:$L,MATCH(H95,'Campos Growths'!$A:$A,0)),""))</f>
        <v/>
      </c>
      <c r="L95" s="7" t="str">
        <f aca="false">IF(A95="","",IF(G95="não","Sem tabela no Growths",IF(I95="","Sem campo no Growths",IF(J95=K95,"Importa direto","Ajustar tipo"))))</f>
        <v/>
      </c>
      <c r="M95" s="9"/>
    </row>
    <row r="96" customFormat="false" ht="15" hidden="false" customHeight="false" outlineLevel="0" collapsed="false">
      <c r="A96" s="7" t="str">
        <f aca="false">IF('Outro banco'!A96="","",IF(LEFT('Outro banco'!A96,1)="(","",'Outro banco'!A96))</f>
        <v/>
      </c>
      <c r="B96" s="7" t="str">
        <f aca="false">IF(A96="","",'Outro banco'!B96)</f>
        <v/>
      </c>
      <c r="C96" s="7" t="str">
        <f aca="false">IF(A96="","",'Outro banco'!C96)</f>
        <v/>
      </c>
      <c r="D96" s="7" t="str">
        <f aca="false">IF(A96="","",'Outro banco'!D96)</f>
        <v/>
      </c>
      <c r="E96" s="9"/>
      <c r="F96" s="9"/>
      <c r="G96" s="7" t="str">
        <f aca="false">IF(A96="","",IF(COUNTIF(Tabelas!$A:$A,IF(E96="",A96,E96))&gt;0,"sim","não"))</f>
        <v/>
      </c>
      <c r="H96" s="7" t="str">
        <f aca="false">IF(A96="","",IF(E96="",A96,E96)&amp;"."&amp;IF(F96="",B96,F96))</f>
        <v/>
      </c>
      <c r="I96" s="7" t="str">
        <f aca="false">IF(A96="","",IFERROR(INDEX('Campos Growths'!$F:$F,MATCH(H96,'Campos Growths'!$A:$A,0)),""))</f>
        <v/>
      </c>
      <c r="J96" s="7" t="str">
        <f aca="false">IF(A96="","",IFERROR(VLOOKUP(IF(ISNUMBER(SEARCH("(",C96)),LEFT(C96,SEARCH("(",C96)-1),C96),Tipos!$A:$B,2,FALSE()),"outro"))</f>
        <v/>
      </c>
      <c r="K96" s="7" t="str">
        <f aca="false">IF(I96="","",IFERROR(INDEX('Campos Growths'!$L:$L,MATCH(H96,'Campos Growths'!$A:$A,0)),""))</f>
        <v/>
      </c>
      <c r="L96" s="7" t="str">
        <f aca="false">IF(A96="","",IF(G96="não","Sem tabela no Growths",IF(I96="","Sem campo no Growths",IF(J96=K96,"Importa direto","Ajustar tipo"))))</f>
        <v/>
      </c>
      <c r="M96" s="9"/>
    </row>
    <row r="97" customFormat="false" ht="15" hidden="false" customHeight="false" outlineLevel="0" collapsed="false">
      <c r="A97" s="7" t="str">
        <f aca="false">IF('Outro banco'!A97="","",IF(LEFT('Outro banco'!A97,1)="(","",'Outro banco'!A97))</f>
        <v/>
      </c>
      <c r="B97" s="7" t="str">
        <f aca="false">IF(A97="","",'Outro banco'!B97)</f>
        <v/>
      </c>
      <c r="C97" s="7" t="str">
        <f aca="false">IF(A97="","",'Outro banco'!C97)</f>
        <v/>
      </c>
      <c r="D97" s="7" t="str">
        <f aca="false">IF(A97="","",'Outro banco'!D97)</f>
        <v/>
      </c>
      <c r="E97" s="9"/>
      <c r="F97" s="9"/>
      <c r="G97" s="7" t="str">
        <f aca="false">IF(A97="","",IF(COUNTIF(Tabelas!$A:$A,IF(E97="",A97,E97))&gt;0,"sim","não"))</f>
        <v/>
      </c>
      <c r="H97" s="7" t="str">
        <f aca="false">IF(A97="","",IF(E97="",A97,E97)&amp;"."&amp;IF(F97="",B97,F97))</f>
        <v/>
      </c>
      <c r="I97" s="7" t="str">
        <f aca="false">IF(A97="","",IFERROR(INDEX('Campos Growths'!$F:$F,MATCH(H97,'Campos Growths'!$A:$A,0)),""))</f>
        <v/>
      </c>
      <c r="J97" s="7" t="str">
        <f aca="false">IF(A97="","",IFERROR(VLOOKUP(IF(ISNUMBER(SEARCH("(",C97)),LEFT(C97,SEARCH("(",C97)-1),C97),Tipos!$A:$B,2,FALSE()),"outro"))</f>
        <v/>
      </c>
      <c r="K97" s="7" t="str">
        <f aca="false">IF(I97="","",IFERROR(INDEX('Campos Growths'!$L:$L,MATCH(H97,'Campos Growths'!$A:$A,0)),""))</f>
        <v/>
      </c>
      <c r="L97" s="7" t="str">
        <f aca="false">IF(A97="","",IF(G97="não","Sem tabela no Growths",IF(I97="","Sem campo no Growths",IF(J97=K97,"Importa direto","Ajustar tipo"))))</f>
        <v/>
      </c>
      <c r="M97" s="9"/>
    </row>
    <row r="98" customFormat="false" ht="15" hidden="false" customHeight="false" outlineLevel="0" collapsed="false">
      <c r="A98" s="7" t="str">
        <f aca="false">IF('Outro banco'!A98="","",IF(LEFT('Outro banco'!A98,1)="(","",'Outro banco'!A98))</f>
        <v/>
      </c>
      <c r="B98" s="7" t="str">
        <f aca="false">IF(A98="","",'Outro banco'!B98)</f>
        <v/>
      </c>
      <c r="C98" s="7" t="str">
        <f aca="false">IF(A98="","",'Outro banco'!C98)</f>
        <v/>
      </c>
      <c r="D98" s="7" t="str">
        <f aca="false">IF(A98="","",'Outro banco'!D98)</f>
        <v/>
      </c>
      <c r="E98" s="9"/>
      <c r="F98" s="9"/>
      <c r="G98" s="7" t="str">
        <f aca="false">IF(A98="","",IF(COUNTIF(Tabelas!$A:$A,IF(E98="",A98,E98))&gt;0,"sim","não"))</f>
        <v/>
      </c>
      <c r="H98" s="7" t="str">
        <f aca="false">IF(A98="","",IF(E98="",A98,E98)&amp;"."&amp;IF(F98="",B98,F98))</f>
        <v/>
      </c>
      <c r="I98" s="7" t="str">
        <f aca="false">IF(A98="","",IFERROR(INDEX('Campos Growths'!$F:$F,MATCH(H98,'Campos Growths'!$A:$A,0)),""))</f>
        <v/>
      </c>
      <c r="J98" s="7" t="str">
        <f aca="false">IF(A98="","",IFERROR(VLOOKUP(IF(ISNUMBER(SEARCH("(",C98)),LEFT(C98,SEARCH("(",C98)-1),C98),Tipos!$A:$B,2,FALSE()),"outro"))</f>
        <v/>
      </c>
      <c r="K98" s="7" t="str">
        <f aca="false">IF(I98="","",IFERROR(INDEX('Campos Growths'!$L:$L,MATCH(H98,'Campos Growths'!$A:$A,0)),""))</f>
        <v/>
      </c>
      <c r="L98" s="7" t="str">
        <f aca="false">IF(A98="","",IF(G98="não","Sem tabela no Growths",IF(I98="","Sem campo no Growths",IF(J98=K98,"Importa direto","Ajustar tipo"))))</f>
        <v/>
      </c>
      <c r="M98" s="9"/>
    </row>
    <row r="99" customFormat="false" ht="15" hidden="false" customHeight="false" outlineLevel="0" collapsed="false">
      <c r="A99" s="7" t="str">
        <f aca="false">IF('Outro banco'!A99="","",IF(LEFT('Outro banco'!A99,1)="(","",'Outro banco'!A99))</f>
        <v/>
      </c>
      <c r="B99" s="7" t="str">
        <f aca="false">IF(A99="","",'Outro banco'!B99)</f>
        <v/>
      </c>
      <c r="C99" s="7" t="str">
        <f aca="false">IF(A99="","",'Outro banco'!C99)</f>
        <v/>
      </c>
      <c r="D99" s="7" t="str">
        <f aca="false">IF(A99="","",'Outro banco'!D99)</f>
        <v/>
      </c>
      <c r="E99" s="9"/>
      <c r="F99" s="9"/>
      <c r="G99" s="7" t="str">
        <f aca="false">IF(A99="","",IF(COUNTIF(Tabelas!$A:$A,IF(E99="",A99,E99))&gt;0,"sim","não"))</f>
        <v/>
      </c>
      <c r="H99" s="7" t="str">
        <f aca="false">IF(A99="","",IF(E99="",A99,E99)&amp;"."&amp;IF(F99="",B99,F99))</f>
        <v/>
      </c>
      <c r="I99" s="7" t="str">
        <f aca="false">IF(A99="","",IFERROR(INDEX('Campos Growths'!$F:$F,MATCH(H99,'Campos Growths'!$A:$A,0)),""))</f>
        <v/>
      </c>
      <c r="J99" s="7" t="str">
        <f aca="false">IF(A99="","",IFERROR(VLOOKUP(IF(ISNUMBER(SEARCH("(",C99)),LEFT(C99,SEARCH("(",C99)-1),C99),Tipos!$A:$B,2,FALSE()),"outro"))</f>
        <v/>
      </c>
      <c r="K99" s="7" t="str">
        <f aca="false">IF(I99="","",IFERROR(INDEX('Campos Growths'!$L:$L,MATCH(H99,'Campos Growths'!$A:$A,0)),""))</f>
        <v/>
      </c>
      <c r="L99" s="7" t="str">
        <f aca="false">IF(A99="","",IF(G99="não","Sem tabela no Growths",IF(I99="","Sem campo no Growths",IF(J99=K99,"Importa direto","Ajustar tipo"))))</f>
        <v/>
      </c>
      <c r="M99" s="9"/>
    </row>
    <row r="100" customFormat="false" ht="15" hidden="false" customHeight="false" outlineLevel="0" collapsed="false">
      <c r="A100" s="7" t="str">
        <f aca="false">IF('Outro banco'!A100="","",IF(LEFT('Outro banco'!A100,1)="(","",'Outro banco'!A100))</f>
        <v/>
      </c>
      <c r="B100" s="7" t="str">
        <f aca="false">IF(A100="","",'Outro banco'!B100)</f>
        <v/>
      </c>
      <c r="C100" s="7" t="str">
        <f aca="false">IF(A100="","",'Outro banco'!C100)</f>
        <v/>
      </c>
      <c r="D100" s="7" t="str">
        <f aca="false">IF(A100="","",'Outro banco'!D100)</f>
        <v/>
      </c>
      <c r="E100" s="9"/>
      <c r="F100" s="9"/>
      <c r="G100" s="7" t="str">
        <f aca="false">IF(A100="","",IF(COUNTIF(Tabelas!$A:$A,IF(E100="",A100,E100))&gt;0,"sim","não"))</f>
        <v/>
      </c>
      <c r="H100" s="7" t="str">
        <f aca="false">IF(A100="","",IF(E100="",A100,E100)&amp;"."&amp;IF(F100="",B100,F100))</f>
        <v/>
      </c>
      <c r="I100" s="7" t="str">
        <f aca="false">IF(A100="","",IFERROR(INDEX('Campos Growths'!$F:$F,MATCH(H100,'Campos Growths'!$A:$A,0)),""))</f>
        <v/>
      </c>
      <c r="J100" s="7" t="str">
        <f aca="false">IF(A100="","",IFERROR(VLOOKUP(IF(ISNUMBER(SEARCH("(",C100)),LEFT(C100,SEARCH("(",C100)-1),C100),Tipos!$A:$B,2,FALSE()),"outro"))</f>
        <v/>
      </c>
      <c r="K100" s="7" t="str">
        <f aca="false">IF(I100="","",IFERROR(INDEX('Campos Growths'!$L:$L,MATCH(H100,'Campos Growths'!$A:$A,0)),""))</f>
        <v/>
      </c>
      <c r="L100" s="7" t="str">
        <f aca="false">IF(A100="","",IF(G100="não","Sem tabela no Growths",IF(I100="","Sem campo no Growths",IF(J100=K100,"Importa direto","Ajustar tipo"))))</f>
        <v/>
      </c>
      <c r="M100" s="9"/>
    </row>
    <row r="101" customFormat="false" ht="15" hidden="false" customHeight="false" outlineLevel="0" collapsed="false">
      <c r="A101" s="7" t="str">
        <f aca="false">IF('Outro banco'!A101="","",IF(LEFT('Outro banco'!A101,1)="(","",'Outro banco'!A101))</f>
        <v/>
      </c>
      <c r="B101" s="7" t="str">
        <f aca="false">IF(A101="","",'Outro banco'!B101)</f>
        <v/>
      </c>
      <c r="C101" s="7" t="str">
        <f aca="false">IF(A101="","",'Outro banco'!C101)</f>
        <v/>
      </c>
      <c r="D101" s="7" t="str">
        <f aca="false">IF(A101="","",'Outro banco'!D101)</f>
        <v/>
      </c>
      <c r="E101" s="9"/>
      <c r="F101" s="9"/>
      <c r="G101" s="7" t="str">
        <f aca="false">IF(A101="","",IF(COUNTIF(Tabelas!$A:$A,IF(E101="",A101,E101))&gt;0,"sim","não"))</f>
        <v/>
      </c>
      <c r="H101" s="7" t="str">
        <f aca="false">IF(A101="","",IF(E101="",A101,E101)&amp;"."&amp;IF(F101="",B101,F101))</f>
        <v/>
      </c>
      <c r="I101" s="7" t="str">
        <f aca="false">IF(A101="","",IFERROR(INDEX('Campos Growths'!$F:$F,MATCH(H101,'Campos Growths'!$A:$A,0)),""))</f>
        <v/>
      </c>
      <c r="J101" s="7" t="str">
        <f aca="false">IF(A101="","",IFERROR(VLOOKUP(IF(ISNUMBER(SEARCH("(",C101)),LEFT(C101,SEARCH("(",C101)-1),C101),Tipos!$A:$B,2,FALSE()),"outro"))</f>
        <v/>
      </c>
      <c r="K101" s="7" t="str">
        <f aca="false">IF(I101="","",IFERROR(INDEX('Campos Growths'!$L:$L,MATCH(H101,'Campos Growths'!$A:$A,0)),""))</f>
        <v/>
      </c>
      <c r="L101" s="7" t="str">
        <f aca="false">IF(A101="","",IF(G101="não","Sem tabela no Growths",IF(I101="","Sem campo no Growths",IF(J101=K101,"Importa direto","Ajustar tipo"))))</f>
        <v/>
      </c>
      <c r="M101" s="9"/>
    </row>
    <row r="102" customFormat="false" ht="15" hidden="false" customHeight="false" outlineLevel="0" collapsed="false">
      <c r="A102" s="7" t="str">
        <f aca="false">IF('Outro banco'!A102="","",IF(LEFT('Outro banco'!A102,1)="(","",'Outro banco'!A102))</f>
        <v/>
      </c>
      <c r="B102" s="7" t="str">
        <f aca="false">IF(A102="","",'Outro banco'!B102)</f>
        <v/>
      </c>
      <c r="C102" s="7" t="str">
        <f aca="false">IF(A102="","",'Outro banco'!C102)</f>
        <v/>
      </c>
      <c r="D102" s="7" t="str">
        <f aca="false">IF(A102="","",'Outro banco'!D102)</f>
        <v/>
      </c>
      <c r="E102" s="9"/>
      <c r="F102" s="9"/>
      <c r="G102" s="7" t="str">
        <f aca="false">IF(A102="","",IF(COUNTIF(Tabelas!$A:$A,IF(E102="",A102,E102))&gt;0,"sim","não"))</f>
        <v/>
      </c>
      <c r="H102" s="7" t="str">
        <f aca="false">IF(A102="","",IF(E102="",A102,E102)&amp;"."&amp;IF(F102="",B102,F102))</f>
        <v/>
      </c>
      <c r="I102" s="7" t="str">
        <f aca="false">IF(A102="","",IFERROR(INDEX('Campos Growths'!$F:$F,MATCH(H102,'Campos Growths'!$A:$A,0)),""))</f>
        <v/>
      </c>
      <c r="J102" s="7" t="str">
        <f aca="false">IF(A102="","",IFERROR(VLOOKUP(IF(ISNUMBER(SEARCH("(",C102)),LEFT(C102,SEARCH("(",C102)-1),C102),Tipos!$A:$B,2,FALSE()),"outro"))</f>
        <v/>
      </c>
      <c r="K102" s="7" t="str">
        <f aca="false">IF(I102="","",IFERROR(INDEX('Campos Growths'!$L:$L,MATCH(H102,'Campos Growths'!$A:$A,0)),""))</f>
        <v/>
      </c>
      <c r="L102" s="7" t="str">
        <f aca="false">IF(A102="","",IF(G102="não","Sem tabela no Growths",IF(I102="","Sem campo no Growths",IF(J102=K102,"Importa direto","Ajustar tipo"))))</f>
        <v/>
      </c>
      <c r="M102" s="9"/>
    </row>
    <row r="103" customFormat="false" ht="15" hidden="false" customHeight="false" outlineLevel="0" collapsed="false">
      <c r="A103" s="7" t="str">
        <f aca="false">IF('Outro banco'!A103="","",IF(LEFT('Outro banco'!A103,1)="(","",'Outro banco'!A103))</f>
        <v/>
      </c>
      <c r="B103" s="7" t="str">
        <f aca="false">IF(A103="","",'Outro banco'!B103)</f>
        <v/>
      </c>
      <c r="C103" s="7" t="str">
        <f aca="false">IF(A103="","",'Outro banco'!C103)</f>
        <v/>
      </c>
      <c r="D103" s="7" t="str">
        <f aca="false">IF(A103="","",'Outro banco'!D103)</f>
        <v/>
      </c>
      <c r="E103" s="9"/>
      <c r="F103" s="9"/>
      <c r="G103" s="7" t="str">
        <f aca="false">IF(A103="","",IF(COUNTIF(Tabelas!$A:$A,IF(E103="",A103,E103))&gt;0,"sim","não"))</f>
        <v/>
      </c>
      <c r="H103" s="7" t="str">
        <f aca="false">IF(A103="","",IF(E103="",A103,E103)&amp;"."&amp;IF(F103="",B103,F103))</f>
        <v/>
      </c>
      <c r="I103" s="7" t="str">
        <f aca="false">IF(A103="","",IFERROR(INDEX('Campos Growths'!$F:$F,MATCH(H103,'Campos Growths'!$A:$A,0)),""))</f>
        <v/>
      </c>
      <c r="J103" s="7" t="str">
        <f aca="false">IF(A103="","",IFERROR(VLOOKUP(IF(ISNUMBER(SEARCH("(",C103)),LEFT(C103,SEARCH("(",C103)-1),C103),Tipos!$A:$B,2,FALSE()),"outro"))</f>
        <v/>
      </c>
      <c r="K103" s="7" t="str">
        <f aca="false">IF(I103="","",IFERROR(INDEX('Campos Growths'!$L:$L,MATCH(H103,'Campos Growths'!$A:$A,0)),""))</f>
        <v/>
      </c>
      <c r="L103" s="7" t="str">
        <f aca="false">IF(A103="","",IF(G103="não","Sem tabela no Growths",IF(I103="","Sem campo no Growths",IF(J103=K103,"Importa direto","Ajustar tipo"))))</f>
        <v/>
      </c>
      <c r="M103" s="9"/>
    </row>
    <row r="104" customFormat="false" ht="15" hidden="false" customHeight="false" outlineLevel="0" collapsed="false">
      <c r="A104" s="7" t="str">
        <f aca="false">IF('Outro banco'!A104="","",IF(LEFT('Outro banco'!A104,1)="(","",'Outro banco'!A104))</f>
        <v/>
      </c>
      <c r="B104" s="7" t="str">
        <f aca="false">IF(A104="","",'Outro banco'!B104)</f>
        <v/>
      </c>
      <c r="C104" s="7" t="str">
        <f aca="false">IF(A104="","",'Outro banco'!C104)</f>
        <v/>
      </c>
      <c r="D104" s="7" t="str">
        <f aca="false">IF(A104="","",'Outro banco'!D104)</f>
        <v/>
      </c>
      <c r="E104" s="9"/>
      <c r="F104" s="9"/>
      <c r="G104" s="7" t="str">
        <f aca="false">IF(A104="","",IF(COUNTIF(Tabelas!$A:$A,IF(E104="",A104,E104))&gt;0,"sim","não"))</f>
        <v/>
      </c>
      <c r="H104" s="7" t="str">
        <f aca="false">IF(A104="","",IF(E104="",A104,E104)&amp;"."&amp;IF(F104="",B104,F104))</f>
        <v/>
      </c>
      <c r="I104" s="7" t="str">
        <f aca="false">IF(A104="","",IFERROR(INDEX('Campos Growths'!$F:$F,MATCH(H104,'Campos Growths'!$A:$A,0)),""))</f>
        <v/>
      </c>
      <c r="J104" s="7" t="str">
        <f aca="false">IF(A104="","",IFERROR(VLOOKUP(IF(ISNUMBER(SEARCH("(",C104)),LEFT(C104,SEARCH("(",C104)-1),C104),Tipos!$A:$B,2,FALSE()),"outro"))</f>
        <v/>
      </c>
      <c r="K104" s="7" t="str">
        <f aca="false">IF(I104="","",IFERROR(INDEX('Campos Growths'!$L:$L,MATCH(H104,'Campos Growths'!$A:$A,0)),""))</f>
        <v/>
      </c>
      <c r="L104" s="7" t="str">
        <f aca="false">IF(A104="","",IF(G104="não","Sem tabela no Growths",IF(I104="","Sem campo no Growths",IF(J104=K104,"Importa direto","Ajustar tipo"))))</f>
        <v/>
      </c>
      <c r="M104" s="9"/>
    </row>
    <row r="105" customFormat="false" ht="15" hidden="false" customHeight="false" outlineLevel="0" collapsed="false">
      <c r="A105" s="7" t="str">
        <f aca="false">IF('Outro banco'!A105="","",IF(LEFT('Outro banco'!A105,1)="(","",'Outro banco'!A105))</f>
        <v/>
      </c>
      <c r="B105" s="7" t="str">
        <f aca="false">IF(A105="","",'Outro banco'!B105)</f>
        <v/>
      </c>
      <c r="C105" s="7" t="str">
        <f aca="false">IF(A105="","",'Outro banco'!C105)</f>
        <v/>
      </c>
      <c r="D105" s="7" t="str">
        <f aca="false">IF(A105="","",'Outro banco'!D105)</f>
        <v/>
      </c>
      <c r="E105" s="9"/>
      <c r="F105" s="9"/>
      <c r="G105" s="7" t="str">
        <f aca="false">IF(A105="","",IF(COUNTIF(Tabelas!$A:$A,IF(E105="",A105,E105))&gt;0,"sim","não"))</f>
        <v/>
      </c>
      <c r="H105" s="7" t="str">
        <f aca="false">IF(A105="","",IF(E105="",A105,E105)&amp;"."&amp;IF(F105="",B105,F105))</f>
        <v/>
      </c>
      <c r="I105" s="7" t="str">
        <f aca="false">IF(A105="","",IFERROR(INDEX('Campos Growths'!$F:$F,MATCH(H105,'Campos Growths'!$A:$A,0)),""))</f>
        <v/>
      </c>
      <c r="J105" s="7" t="str">
        <f aca="false">IF(A105="","",IFERROR(VLOOKUP(IF(ISNUMBER(SEARCH("(",C105)),LEFT(C105,SEARCH("(",C105)-1),C105),Tipos!$A:$B,2,FALSE()),"outro"))</f>
        <v/>
      </c>
      <c r="K105" s="7" t="str">
        <f aca="false">IF(I105="","",IFERROR(INDEX('Campos Growths'!$L:$L,MATCH(H105,'Campos Growths'!$A:$A,0)),""))</f>
        <v/>
      </c>
      <c r="L105" s="7" t="str">
        <f aca="false">IF(A105="","",IF(G105="não","Sem tabela no Growths",IF(I105="","Sem campo no Growths",IF(J105=K105,"Importa direto","Ajustar tipo"))))</f>
        <v/>
      </c>
      <c r="M105" s="9"/>
    </row>
    <row r="106" customFormat="false" ht="15" hidden="false" customHeight="false" outlineLevel="0" collapsed="false">
      <c r="A106" s="7" t="str">
        <f aca="false">IF('Outro banco'!A106="","",IF(LEFT('Outro banco'!A106,1)="(","",'Outro banco'!A106))</f>
        <v/>
      </c>
      <c r="B106" s="7" t="str">
        <f aca="false">IF(A106="","",'Outro banco'!B106)</f>
        <v/>
      </c>
      <c r="C106" s="7" t="str">
        <f aca="false">IF(A106="","",'Outro banco'!C106)</f>
        <v/>
      </c>
      <c r="D106" s="7" t="str">
        <f aca="false">IF(A106="","",'Outro banco'!D106)</f>
        <v/>
      </c>
      <c r="E106" s="9"/>
      <c r="F106" s="9"/>
      <c r="G106" s="7" t="str">
        <f aca="false">IF(A106="","",IF(COUNTIF(Tabelas!$A:$A,IF(E106="",A106,E106))&gt;0,"sim","não"))</f>
        <v/>
      </c>
      <c r="H106" s="7" t="str">
        <f aca="false">IF(A106="","",IF(E106="",A106,E106)&amp;"."&amp;IF(F106="",B106,F106))</f>
        <v/>
      </c>
      <c r="I106" s="7" t="str">
        <f aca="false">IF(A106="","",IFERROR(INDEX('Campos Growths'!$F:$F,MATCH(H106,'Campos Growths'!$A:$A,0)),""))</f>
        <v/>
      </c>
      <c r="J106" s="7" t="str">
        <f aca="false">IF(A106="","",IFERROR(VLOOKUP(IF(ISNUMBER(SEARCH("(",C106)),LEFT(C106,SEARCH("(",C106)-1),C106),Tipos!$A:$B,2,FALSE()),"outro"))</f>
        <v/>
      </c>
      <c r="K106" s="7" t="str">
        <f aca="false">IF(I106="","",IFERROR(INDEX('Campos Growths'!$L:$L,MATCH(H106,'Campos Growths'!$A:$A,0)),""))</f>
        <v/>
      </c>
      <c r="L106" s="7" t="str">
        <f aca="false">IF(A106="","",IF(G106="não","Sem tabela no Growths",IF(I106="","Sem campo no Growths",IF(J106=K106,"Importa direto","Ajustar tipo"))))</f>
        <v/>
      </c>
      <c r="M106" s="9"/>
    </row>
    <row r="107" customFormat="false" ht="15" hidden="false" customHeight="false" outlineLevel="0" collapsed="false">
      <c r="A107" s="7" t="str">
        <f aca="false">IF('Outro banco'!A107="","",IF(LEFT('Outro banco'!A107,1)="(","",'Outro banco'!A107))</f>
        <v/>
      </c>
      <c r="B107" s="7" t="str">
        <f aca="false">IF(A107="","",'Outro banco'!B107)</f>
        <v/>
      </c>
      <c r="C107" s="7" t="str">
        <f aca="false">IF(A107="","",'Outro banco'!C107)</f>
        <v/>
      </c>
      <c r="D107" s="7" t="str">
        <f aca="false">IF(A107="","",'Outro banco'!D107)</f>
        <v/>
      </c>
      <c r="E107" s="9"/>
      <c r="F107" s="9"/>
      <c r="G107" s="7" t="str">
        <f aca="false">IF(A107="","",IF(COUNTIF(Tabelas!$A:$A,IF(E107="",A107,E107))&gt;0,"sim","não"))</f>
        <v/>
      </c>
      <c r="H107" s="7" t="str">
        <f aca="false">IF(A107="","",IF(E107="",A107,E107)&amp;"."&amp;IF(F107="",B107,F107))</f>
        <v/>
      </c>
      <c r="I107" s="7" t="str">
        <f aca="false">IF(A107="","",IFERROR(INDEX('Campos Growths'!$F:$F,MATCH(H107,'Campos Growths'!$A:$A,0)),""))</f>
        <v/>
      </c>
      <c r="J107" s="7" t="str">
        <f aca="false">IF(A107="","",IFERROR(VLOOKUP(IF(ISNUMBER(SEARCH("(",C107)),LEFT(C107,SEARCH("(",C107)-1),C107),Tipos!$A:$B,2,FALSE()),"outro"))</f>
        <v/>
      </c>
      <c r="K107" s="7" t="str">
        <f aca="false">IF(I107="","",IFERROR(INDEX('Campos Growths'!$L:$L,MATCH(H107,'Campos Growths'!$A:$A,0)),""))</f>
        <v/>
      </c>
      <c r="L107" s="7" t="str">
        <f aca="false">IF(A107="","",IF(G107="não","Sem tabela no Growths",IF(I107="","Sem campo no Growths",IF(J107=K107,"Importa direto","Ajustar tipo"))))</f>
        <v/>
      </c>
      <c r="M107" s="9"/>
    </row>
    <row r="108" customFormat="false" ht="15" hidden="false" customHeight="false" outlineLevel="0" collapsed="false">
      <c r="A108" s="7" t="str">
        <f aca="false">IF('Outro banco'!A108="","",IF(LEFT('Outro banco'!A108,1)="(","",'Outro banco'!A108))</f>
        <v/>
      </c>
      <c r="B108" s="7" t="str">
        <f aca="false">IF(A108="","",'Outro banco'!B108)</f>
        <v/>
      </c>
      <c r="C108" s="7" t="str">
        <f aca="false">IF(A108="","",'Outro banco'!C108)</f>
        <v/>
      </c>
      <c r="D108" s="7" t="str">
        <f aca="false">IF(A108="","",'Outro banco'!D108)</f>
        <v/>
      </c>
      <c r="E108" s="9"/>
      <c r="F108" s="9"/>
      <c r="G108" s="7" t="str">
        <f aca="false">IF(A108="","",IF(COUNTIF(Tabelas!$A:$A,IF(E108="",A108,E108))&gt;0,"sim","não"))</f>
        <v/>
      </c>
      <c r="H108" s="7" t="str">
        <f aca="false">IF(A108="","",IF(E108="",A108,E108)&amp;"."&amp;IF(F108="",B108,F108))</f>
        <v/>
      </c>
      <c r="I108" s="7" t="str">
        <f aca="false">IF(A108="","",IFERROR(INDEX('Campos Growths'!$F:$F,MATCH(H108,'Campos Growths'!$A:$A,0)),""))</f>
        <v/>
      </c>
      <c r="J108" s="7" t="str">
        <f aca="false">IF(A108="","",IFERROR(VLOOKUP(IF(ISNUMBER(SEARCH("(",C108)),LEFT(C108,SEARCH("(",C108)-1),C108),Tipos!$A:$B,2,FALSE()),"outro"))</f>
        <v/>
      </c>
      <c r="K108" s="7" t="str">
        <f aca="false">IF(I108="","",IFERROR(INDEX('Campos Growths'!$L:$L,MATCH(H108,'Campos Growths'!$A:$A,0)),""))</f>
        <v/>
      </c>
      <c r="L108" s="7" t="str">
        <f aca="false">IF(A108="","",IF(G108="não","Sem tabela no Growths",IF(I108="","Sem campo no Growths",IF(J108=K108,"Importa direto","Ajustar tipo"))))</f>
        <v/>
      </c>
      <c r="M108" s="9"/>
    </row>
    <row r="109" customFormat="false" ht="15" hidden="false" customHeight="false" outlineLevel="0" collapsed="false">
      <c r="A109" s="7" t="str">
        <f aca="false">IF('Outro banco'!A109="","",IF(LEFT('Outro banco'!A109,1)="(","",'Outro banco'!A109))</f>
        <v/>
      </c>
      <c r="B109" s="7" t="str">
        <f aca="false">IF(A109="","",'Outro banco'!B109)</f>
        <v/>
      </c>
      <c r="C109" s="7" t="str">
        <f aca="false">IF(A109="","",'Outro banco'!C109)</f>
        <v/>
      </c>
      <c r="D109" s="7" t="str">
        <f aca="false">IF(A109="","",'Outro banco'!D109)</f>
        <v/>
      </c>
      <c r="E109" s="9"/>
      <c r="F109" s="9"/>
      <c r="G109" s="7" t="str">
        <f aca="false">IF(A109="","",IF(COUNTIF(Tabelas!$A:$A,IF(E109="",A109,E109))&gt;0,"sim","não"))</f>
        <v/>
      </c>
      <c r="H109" s="7" t="str">
        <f aca="false">IF(A109="","",IF(E109="",A109,E109)&amp;"."&amp;IF(F109="",B109,F109))</f>
        <v/>
      </c>
      <c r="I109" s="7" t="str">
        <f aca="false">IF(A109="","",IFERROR(INDEX('Campos Growths'!$F:$F,MATCH(H109,'Campos Growths'!$A:$A,0)),""))</f>
        <v/>
      </c>
      <c r="J109" s="7" t="str">
        <f aca="false">IF(A109="","",IFERROR(VLOOKUP(IF(ISNUMBER(SEARCH("(",C109)),LEFT(C109,SEARCH("(",C109)-1),C109),Tipos!$A:$B,2,FALSE()),"outro"))</f>
        <v/>
      </c>
      <c r="K109" s="7" t="str">
        <f aca="false">IF(I109="","",IFERROR(INDEX('Campos Growths'!$L:$L,MATCH(H109,'Campos Growths'!$A:$A,0)),""))</f>
        <v/>
      </c>
      <c r="L109" s="7" t="str">
        <f aca="false">IF(A109="","",IF(G109="não","Sem tabela no Growths",IF(I109="","Sem campo no Growths",IF(J109=K109,"Importa direto","Ajustar tipo"))))</f>
        <v/>
      </c>
      <c r="M109" s="9"/>
    </row>
    <row r="110" customFormat="false" ht="15" hidden="false" customHeight="false" outlineLevel="0" collapsed="false">
      <c r="A110" s="7" t="str">
        <f aca="false">IF('Outro banco'!A110="","",IF(LEFT('Outro banco'!A110,1)="(","",'Outro banco'!A110))</f>
        <v/>
      </c>
      <c r="B110" s="7" t="str">
        <f aca="false">IF(A110="","",'Outro banco'!B110)</f>
        <v/>
      </c>
      <c r="C110" s="7" t="str">
        <f aca="false">IF(A110="","",'Outro banco'!C110)</f>
        <v/>
      </c>
      <c r="D110" s="7" t="str">
        <f aca="false">IF(A110="","",'Outro banco'!D110)</f>
        <v/>
      </c>
      <c r="E110" s="9"/>
      <c r="F110" s="9"/>
      <c r="G110" s="7" t="str">
        <f aca="false">IF(A110="","",IF(COUNTIF(Tabelas!$A:$A,IF(E110="",A110,E110))&gt;0,"sim","não"))</f>
        <v/>
      </c>
      <c r="H110" s="7" t="str">
        <f aca="false">IF(A110="","",IF(E110="",A110,E110)&amp;"."&amp;IF(F110="",B110,F110))</f>
        <v/>
      </c>
      <c r="I110" s="7" t="str">
        <f aca="false">IF(A110="","",IFERROR(INDEX('Campos Growths'!$F:$F,MATCH(H110,'Campos Growths'!$A:$A,0)),""))</f>
        <v/>
      </c>
      <c r="J110" s="7" t="str">
        <f aca="false">IF(A110="","",IFERROR(VLOOKUP(IF(ISNUMBER(SEARCH("(",C110)),LEFT(C110,SEARCH("(",C110)-1),C110),Tipos!$A:$B,2,FALSE()),"outro"))</f>
        <v/>
      </c>
      <c r="K110" s="7" t="str">
        <f aca="false">IF(I110="","",IFERROR(INDEX('Campos Growths'!$L:$L,MATCH(H110,'Campos Growths'!$A:$A,0)),""))</f>
        <v/>
      </c>
      <c r="L110" s="7" t="str">
        <f aca="false">IF(A110="","",IF(G110="não","Sem tabela no Growths",IF(I110="","Sem campo no Growths",IF(J110=K110,"Importa direto","Ajustar tipo"))))</f>
        <v/>
      </c>
      <c r="M110" s="9"/>
    </row>
    <row r="111" customFormat="false" ht="15" hidden="false" customHeight="false" outlineLevel="0" collapsed="false">
      <c r="A111" s="7" t="str">
        <f aca="false">IF('Outro banco'!A111="","",IF(LEFT('Outro banco'!A111,1)="(","",'Outro banco'!A111))</f>
        <v/>
      </c>
      <c r="B111" s="7" t="str">
        <f aca="false">IF(A111="","",'Outro banco'!B111)</f>
        <v/>
      </c>
      <c r="C111" s="7" t="str">
        <f aca="false">IF(A111="","",'Outro banco'!C111)</f>
        <v/>
      </c>
      <c r="D111" s="7" t="str">
        <f aca="false">IF(A111="","",'Outro banco'!D111)</f>
        <v/>
      </c>
      <c r="E111" s="9"/>
      <c r="F111" s="9"/>
      <c r="G111" s="7" t="str">
        <f aca="false">IF(A111="","",IF(COUNTIF(Tabelas!$A:$A,IF(E111="",A111,E111))&gt;0,"sim","não"))</f>
        <v/>
      </c>
      <c r="H111" s="7" t="str">
        <f aca="false">IF(A111="","",IF(E111="",A111,E111)&amp;"."&amp;IF(F111="",B111,F111))</f>
        <v/>
      </c>
      <c r="I111" s="7" t="str">
        <f aca="false">IF(A111="","",IFERROR(INDEX('Campos Growths'!$F:$F,MATCH(H111,'Campos Growths'!$A:$A,0)),""))</f>
        <v/>
      </c>
      <c r="J111" s="7" t="str">
        <f aca="false">IF(A111="","",IFERROR(VLOOKUP(IF(ISNUMBER(SEARCH("(",C111)),LEFT(C111,SEARCH("(",C111)-1),C111),Tipos!$A:$B,2,FALSE()),"outro"))</f>
        <v/>
      </c>
      <c r="K111" s="7" t="str">
        <f aca="false">IF(I111="","",IFERROR(INDEX('Campos Growths'!$L:$L,MATCH(H111,'Campos Growths'!$A:$A,0)),""))</f>
        <v/>
      </c>
      <c r="L111" s="7" t="str">
        <f aca="false">IF(A111="","",IF(G111="não","Sem tabela no Growths",IF(I111="","Sem campo no Growths",IF(J111=K111,"Importa direto","Ajustar tipo"))))</f>
        <v/>
      </c>
      <c r="M111" s="9"/>
    </row>
    <row r="112" customFormat="false" ht="15" hidden="false" customHeight="false" outlineLevel="0" collapsed="false">
      <c r="A112" s="7" t="str">
        <f aca="false">IF('Outro banco'!A112="","",IF(LEFT('Outro banco'!A112,1)="(","",'Outro banco'!A112))</f>
        <v/>
      </c>
      <c r="B112" s="7" t="str">
        <f aca="false">IF(A112="","",'Outro banco'!B112)</f>
        <v/>
      </c>
      <c r="C112" s="7" t="str">
        <f aca="false">IF(A112="","",'Outro banco'!C112)</f>
        <v/>
      </c>
      <c r="D112" s="7" t="str">
        <f aca="false">IF(A112="","",'Outro banco'!D112)</f>
        <v/>
      </c>
      <c r="E112" s="9"/>
      <c r="F112" s="9"/>
      <c r="G112" s="7" t="str">
        <f aca="false">IF(A112="","",IF(COUNTIF(Tabelas!$A:$A,IF(E112="",A112,E112))&gt;0,"sim","não"))</f>
        <v/>
      </c>
      <c r="H112" s="7" t="str">
        <f aca="false">IF(A112="","",IF(E112="",A112,E112)&amp;"."&amp;IF(F112="",B112,F112))</f>
        <v/>
      </c>
      <c r="I112" s="7" t="str">
        <f aca="false">IF(A112="","",IFERROR(INDEX('Campos Growths'!$F:$F,MATCH(H112,'Campos Growths'!$A:$A,0)),""))</f>
        <v/>
      </c>
      <c r="J112" s="7" t="str">
        <f aca="false">IF(A112="","",IFERROR(VLOOKUP(IF(ISNUMBER(SEARCH("(",C112)),LEFT(C112,SEARCH("(",C112)-1),C112),Tipos!$A:$B,2,FALSE()),"outro"))</f>
        <v/>
      </c>
      <c r="K112" s="7" t="str">
        <f aca="false">IF(I112="","",IFERROR(INDEX('Campos Growths'!$L:$L,MATCH(H112,'Campos Growths'!$A:$A,0)),""))</f>
        <v/>
      </c>
      <c r="L112" s="7" t="str">
        <f aca="false">IF(A112="","",IF(G112="não","Sem tabela no Growths",IF(I112="","Sem campo no Growths",IF(J112=K112,"Importa direto","Ajustar tipo"))))</f>
        <v/>
      </c>
      <c r="M112" s="9"/>
    </row>
    <row r="113" customFormat="false" ht="15" hidden="false" customHeight="false" outlineLevel="0" collapsed="false">
      <c r="A113" s="7" t="str">
        <f aca="false">IF('Outro banco'!A113="","",IF(LEFT('Outro banco'!A113,1)="(","",'Outro banco'!A113))</f>
        <v/>
      </c>
      <c r="B113" s="7" t="str">
        <f aca="false">IF(A113="","",'Outro banco'!B113)</f>
        <v/>
      </c>
      <c r="C113" s="7" t="str">
        <f aca="false">IF(A113="","",'Outro banco'!C113)</f>
        <v/>
      </c>
      <c r="D113" s="7" t="str">
        <f aca="false">IF(A113="","",'Outro banco'!D113)</f>
        <v/>
      </c>
      <c r="E113" s="9"/>
      <c r="F113" s="9"/>
      <c r="G113" s="7" t="str">
        <f aca="false">IF(A113="","",IF(COUNTIF(Tabelas!$A:$A,IF(E113="",A113,E113))&gt;0,"sim","não"))</f>
        <v/>
      </c>
      <c r="H113" s="7" t="str">
        <f aca="false">IF(A113="","",IF(E113="",A113,E113)&amp;"."&amp;IF(F113="",B113,F113))</f>
        <v/>
      </c>
      <c r="I113" s="7" t="str">
        <f aca="false">IF(A113="","",IFERROR(INDEX('Campos Growths'!$F:$F,MATCH(H113,'Campos Growths'!$A:$A,0)),""))</f>
        <v/>
      </c>
      <c r="J113" s="7" t="str">
        <f aca="false">IF(A113="","",IFERROR(VLOOKUP(IF(ISNUMBER(SEARCH("(",C113)),LEFT(C113,SEARCH("(",C113)-1),C113),Tipos!$A:$B,2,FALSE()),"outro"))</f>
        <v/>
      </c>
      <c r="K113" s="7" t="str">
        <f aca="false">IF(I113="","",IFERROR(INDEX('Campos Growths'!$L:$L,MATCH(H113,'Campos Growths'!$A:$A,0)),""))</f>
        <v/>
      </c>
      <c r="L113" s="7" t="str">
        <f aca="false">IF(A113="","",IF(G113="não","Sem tabela no Growths",IF(I113="","Sem campo no Growths",IF(J113=K113,"Importa direto","Ajustar tipo"))))</f>
        <v/>
      </c>
      <c r="M113" s="9"/>
    </row>
    <row r="114" customFormat="false" ht="15" hidden="false" customHeight="false" outlineLevel="0" collapsed="false">
      <c r="A114" s="7" t="str">
        <f aca="false">IF('Outro banco'!A114="","",IF(LEFT('Outro banco'!A114,1)="(","",'Outro banco'!A114))</f>
        <v/>
      </c>
      <c r="B114" s="7" t="str">
        <f aca="false">IF(A114="","",'Outro banco'!B114)</f>
        <v/>
      </c>
      <c r="C114" s="7" t="str">
        <f aca="false">IF(A114="","",'Outro banco'!C114)</f>
        <v/>
      </c>
      <c r="D114" s="7" t="str">
        <f aca="false">IF(A114="","",'Outro banco'!D114)</f>
        <v/>
      </c>
      <c r="E114" s="9"/>
      <c r="F114" s="9"/>
      <c r="G114" s="7" t="str">
        <f aca="false">IF(A114="","",IF(COUNTIF(Tabelas!$A:$A,IF(E114="",A114,E114))&gt;0,"sim","não"))</f>
        <v/>
      </c>
      <c r="H114" s="7" t="str">
        <f aca="false">IF(A114="","",IF(E114="",A114,E114)&amp;"."&amp;IF(F114="",B114,F114))</f>
        <v/>
      </c>
      <c r="I114" s="7" t="str">
        <f aca="false">IF(A114="","",IFERROR(INDEX('Campos Growths'!$F:$F,MATCH(H114,'Campos Growths'!$A:$A,0)),""))</f>
        <v/>
      </c>
      <c r="J114" s="7" t="str">
        <f aca="false">IF(A114="","",IFERROR(VLOOKUP(IF(ISNUMBER(SEARCH("(",C114)),LEFT(C114,SEARCH("(",C114)-1),C114),Tipos!$A:$B,2,FALSE()),"outro"))</f>
        <v/>
      </c>
      <c r="K114" s="7" t="str">
        <f aca="false">IF(I114="","",IFERROR(INDEX('Campos Growths'!$L:$L,MATCH(H114,'Campos Growths'!$A:$A,0)),""))</f>
        <v/>
      </c>
      <c r="L114" s="7" t="str">
        <f aca="false">IF(A114="","",IF(G114="não","Sem tabela no Growths",IF(I114="","Sem campo no Growths",IF(J114=K114,"Importa direto","Ajustar tipo"))))</f>
        <v/>
      </c>
      <c r="M114" s="9"/>
    </row>
    <row r="115" customFormat="false" ht="15" hidden="false" customHeight="false" outlineLevel="0" collapsed="false">
      <c r="A115" s="7" t="str">
        <f aca="false">IF('Outro banco'!A115="","",IF(LEFT('Outro banco'!A115,1)="(","",'Outro banco'!A115))</f>
        <v/>
      </c>
      <c r="B115" s="7" t="str">
        <f aca="false">IF(A115="","",'Outro banco'!B115)</f>
        <v/>
      </c>
      <c r="C115" s="7" t="str">
        <f aca="false">IF(A115="","",'Outro banco'!C115)</f>
        <v/>
      </c>
      <c r="D115" s="7" t="str">
        <f aca="false">IF(A115="","",'Outro banco'!D115)</f>
        <v/>
      </c>
      <c r="E115" s="9"/>
      <c r="F115" s="9"/>
      <c r="G115" s="7" t="str">
        <f aca="false">IF(A115="","",IF(COUNTIF(Tabelas!$A:$A,IF(E115="",A115,E115))&gt;0,"sim","não"))</f>
        <v/>
      </c>
      <c r="H115" s="7" t="str">
        <f aca="false">IF(A115="","",IF(E115="",A115,E115)&amp;"."&amp;IF(F115="",B115,F115))</f>
        <v/>
      </c>
      <c r="I115" s="7" t="str">
        <f aca="false">IF(A115="","",IFERROR(INDEX('Campos Growths'!$F:$F,MATCH(H115,'Campos Growths'!$A:$A,0)),""))</f>
        <v/>
      </c>
      <c r="J115" s="7" t="str">
        <f aca="false">IF(A115="","",IFERROR(VLOOKUP(IF(ISNUMBER(SEARCH("(",C115)),LEFT(C115,SEARCH("(",C115)-1),C115),Tipos!$A:$B,2,FALSE()),"outro"))</f>
        <v/>
      </c>
      <c r="K115" s="7" t="str">
        <f aca="false">IF(I115="","",IFERROR(INDEX('Campos Growths'!$L:$L,MATCH(H115,'Campos Growths'!$A:$A,0)),""))</f>
        <v/>
      </c>
      <c r="L115" s="7" t="str">
        <f aca="false">IF(A115="","",IF(G115="não","Sem tabela no Growths",IF(I115="","Sem campo no Growths",IF(J115=K115,"Importa direto","Ajustar tipo"))))</f>
        <v/>
      </c>
      <c r="M115" s="9"/>
    </row>
    <row r="116" customFormat="false" ht="15" hidden="false" customHeight="false" outlineLevel="0" collapsed="false">
      <c r="A116" s="7" t="str">
        <f aca="false">IF('Outro banco'!A116="","",IF(LEFT('Outro banco'!A116,1)="(","",'Outro banco'!A116))</f>
        <v/>
      </c>
      <c r="B116" s="7" t="str">
        <f aca="false">IF(A116="","",'Outro banco'!B116)</f>
        <v/>
      </c>
      <c r="C116" s="7" t="str">
        <f aca="false">IF(A116="","",'Outro banco'!C116)</f>
        <v/>
      </c>
      <c r="D116" s="7" t="str">
        <f aca="false">IF(A116="","",'Outro banco'!D116)</f>
        <v/>
      </c>
      <c r="E116" s="9"/>
      <c r="F116" s="9"/>
      <c r="G116" s="7" t="str">
        <f aca="false">IF(A116="","",IF(COUNTIF(Tabelas!$A:$A,IF(E116="",A116,E116))&gt;0,"sim","não"))</f>
        <v/>
      </c>
      <c r="H116" s="7" t="str">
        <f aca="false">IF(A116="","",IF(E116="",A116,E116)&amp;"."&amp;IF(F116="",B116,F116))</f>
        <v/>
      </c>
      <c r="I116" s="7" t="str">
        <f aca="false">IF(A116="","",IFERROR(INDEX('Campos Growths'!$F:$F,MATCH(H116,'Campos Growths'!$A:$A,0)),""))</f>
        <v/>
      </c>
      <c r="J116" s="7" t="str">
        <f aca="false">IF(A116="","",IFERROR(VLOOKUP(IF(ISNUMBER(SEARCH("(",C116)),LEFT(C116,SEARCH("(",C116)-1),C116),Tipos!$A:$B,2,FALSE()),"outro"))</f>
        <v/>
      </c>
      <c r="K116" s="7" t="str">
        <f aca="false">IF(I116="","",IFERROR(INDEX('Campos Growths'!$L:$L,MATCH(H116,'Campos Growths'!$A:$A,0)),""))</f>
        <v/>
      </c>
      <c r="L116" s="7" t="str">
        <f aca="false">IF(A116="","",IF(G116="não","Sem tabela no Growths",IF(I116="","Sem campo no Growths",IF(J116=K116,"Importa direto","Ajustar tipo"))))</f>
        <v/>
      </c>
      <c r="M116" s="9"/>
    </row>
    <row r="117" customFormat="false" ht="15" hidden="false" customHeight="false" outlineLevel="0" collapsed="false">
      <c r="A117" s="7" t="str">
        <f aca="false">IF('Outro banco'!A117="","",IF(LEFT('Outro banco'!A117,1)="(","",'Outro banco'!A117))</f>
        <v/>
      </c>
      <c r="B117" s="7" t="str">
        <f aca="false">IF(A117="","",'Outro banco'!B117)</f>
        <v/>
      </c>
      <c r="C117" s="7" t="str">
        <f aca="false">IF(A117="","",'Outro banco'!C117)</f>
        <v/>
      </c>
      <c r="D117" s="7" t="str">
        <f aca="false">IF(A117="","",'Outro banco'!D117)</f>
        <v/>
      </c>
      <c r="E117" s="9"/>
      <c r="F117" s="9"/>
      <c r="G117" s="7" t="str">
        <f aca="false">IF(A117="","",IF(COUNTIF(Tabelas!$A:$A,IF(E117="",A117,E117))&gt;0,"sim","não"))</f>
        <v/>
      </c>
      <c r="H117" s="7" t="str">
        <f aca="false">IF(A117="","",IF(E117="",A117,E117)&amp;"."&amp;IF(F117="",B117,F117))</f>
        <v/>
      </c>
      <c r="I117" s="7" t="str">
        <f aca="false">IF(A117="","",IFERROR(INDEX('Campos Growths'!$F:$F,MATCH(H117,'Campos Growths'!$A:$A,0)),""))</f>
        <v/>
      </c>
      <c r="J117" s="7" t="str">
        <f aca="false">IF(A117="","",IFERROR(VLOOKUP(IF(ISNUMBER(SEARCH("(",C117)),LEFT(C117,SEARCH("(",C117)-1),C117),Tipos!$A:$B,2,FALSE()),"outro"))</f>
        <v/>
      </c>
      <c r="K117" s="7" t="str">
        <f aca="false">IF(I117="","",IFERROR(INDEX('Campos Growths'!$L:$L,MATCH(H117,'Campos Growths'!$A:$A,0)),""))</f>
        <v/>
      </c>
      <c r="L117" s="7" t="str">
        <f aca="false">IF(A117="","",IF(G117="não","Sem tabela no Growths",IF(I117="","Sem campo no Growths",IF(J117=K117,"Importa direto","Ajustar tipo"))))</f>
        <v/>
      </c>
      <c r="M117" s="9"/>
    </row>
    <row r="118" customFormat="false" ht="15" hidden="false" customHeight="false" outlineLevel="0" collapsed="false">
      <c r="A118" s="7" t="str">
        <f aca="false">IF('Outro banco'!A118="","",IF(LEFT('Outro banco'!A118,1)="(","",'Outro banco'!A118))</f>
        <v/>
      </c>
      <c r="B118" s="7" t="str">
        <f aca="false">IF(A118="","",'Outro banco'!B118)</f>
        <v/>
      </c>
      <c r="C118" s="7" t="str">
        <f aca="false">IF(A118="","",'Outro banco'!C118)</f>
        <v/>
      </c>
      <c r="D118" s="7" t="str">
        <f aca="false">IF(A118="","",'Outro banco'!D118)</f>
        <v/>
      </c>
      <c r="E118" s="9"/>
      <c r="F118" s="9"/>
      <c r="G118" s="7" t="str">
        <f aca="false">IF(A118="","",IF(COUNTIF(Tabelas!$A:$A,IF(E118="",A118,E118))&gt;0,"sim","não"))</f>
        <v/>
      </c>
      <c r="H118" s="7" t="str">
        <f aca="false">IF(A118="","",IF(E118="",A118,E118)&amp;"."&amp;IF(F118="",B118,F118))</f>
        <v/>
      </c>
      <c r="I118" s="7" t="str">
        <f aca="false">IF(A118="","",IFERROR(INDEX('Campos Growths'!$F:$F,MATCH(H118,'Campos Growths'!$A:$A,0)),""))</f>
        <v/>
      </c>
      <c r="J118" s="7" t="str">
        <f aca="false">IF(A118="","",IFERROR(VLOOKUP(IF(ISNUMBER(SEARCH("(",C118)),LEFT(C118,SEARCH("(",C118)-1),C118),Tipos!$A:$B,2,FALSE()),"outro"))</f>
        <v/>
      </c>
      <c r="K118" s="7" t="str">
        <f aca="false">IF(I118="","",IFERROR(INDEX('Campos Growths'!$L:$L,MATCH(H118,'Campos Growths'!$A:$A,0)),""))</f>
        <v/>
      </c>
      <c r="L118" s="7" t="str">
        <f aca="false">IF(A118="","",IF(G118="não","Sem tabela no Growths",IF(I118="","Sem campo no Growths",IF(J118=K118,"Importa direto","Ajustar tipo"))))</f>
        <v/>
      </c>
      <c r="M118" s="9"/>
    </row>
    <row r="119" customFormat="false" ht="15" hidden="false" customHeight="false" outlineLevel="0" collapsed="false">
      <c r="A119" s="7" t="str">
        <f aca="false">IF('Outro banco'!A119="","",IF(LEFT('Outro banco'!A119,1)="(","",'Outro banco'!A119))</f>
        <v/>
      </c>
      <c r="B119" s="7" t="str">
        <f aca="false">IF(A119="","",'Outro banco'!B119)</f>
        <v/>
      </c>
      <c r="C119" s="7" t="str">
        <f aca="false">IF(A119="","",'Outro banco'!C119)</f>
        <v/>
      </c>
      <c r="D119" s="7" t="str">
        <f aca="false">IF(A119="","",'Outro banco'!D119)</f>
        <v/>
      </c>
      <c r="E119" s="9"/>
      <c r="F119" s="9"/>
      <c r="G119" s="7" t="str">
        <f aca="false">IF(A119="","",IF(COUNTIF(Tabelas!$A:$A,IF(E119="",A119,E119))&gt;0,"sim","não"))</f>
        <v/>
      </c>
      <c r="H119" s="7" t="str">
        <f aca="false">IF(A119="","",IF(E119="",A119,E119)&amp;"."&amp;IF(F119="",B119,F119))</f>
        <v/>
      </c>
      <c r="I119" s="7" t="str">
        <f aca="false">IF(A119="","",IFERROR(INDEX('Campos Growths'!$F:$F,MATCH(H119,'Campos Growths'!$A:$A,0)),""))</f>
        <v/>
      </c>
      <c r="J119" s="7" t="str">
        <f aca="false">IF(A119="","",IFERROR(VLOOKUP(IF(ISNUMBER(SEARCH("(",C119)),LEFT(C119,SEARCH("(",C119)-1),C119),Tipos!$A:$B,2,FALSE()),"outro"))</f>
        <v/>
      </c>
      <c r="K119" s="7" t="str">
        <f aca="false">IF(I119="","",IFERROR(INDEX('Campos Growths'!$L:$L,MATCH(H119,'Campos Growths'!$A:$A,0)),""))</f>
        <v/>
      </c>
      <c r="L119" s="7" t="str">
        <f aca="false">IF(A119="","",IF(G119="não","Sem tabela no Growths",IF(I119="","Sem campo no Growths",IF(J119=K119,"Importa direto","Ajustar tipo"))))</f>
        <v/>
      </c>
      <c r="M119" s="9"/>
    </row>
    <row r="120" customFormat="false" ht="15" hidden="false" customHeight="false" outlineLevel="0" collapsed="false">
      <c r="A120" s="7" t="str">
        <f aca="false">IF('Outro banco'!A120="","",IF(LEFT('Outro banco'!A120,1)="(","",'Outro banco'!A120))</f>
        <v/>
      </c>
      <c r="B120" s="7" t="str">
        <f aca="false">IF(A120="","",'Outro banco'!B120)</f>
        <v/>
      </c>
      <c r="C120" s="7" t="str">
        <f aca="false">IF(A120="","",'Outro banco'!C120)</f>
        <v/>
      </c>
      <c r="D120" s="7" t="str">
        <f aca="false">IF(A120="","",'Outro banco'!D120)</f>
        <v/>
      </c>
      <c r="E120" s="9"/>
      <c r="F120" s="9"/>
      <c r="G120" s="7" t="str">
        <f aca="false">IF(A120="","",IF(COUNTIF(Tabelas!$A:$A,IF(E120="",A120,E120))&gt;0,"sim","não"))</f>
        <v/>
      </c>
      <c r="H120" s="7" t="str">
        <f aca="false">IF(A120="","",IF(E120="",A120,E120)&amp;"."&amp;IF(F120="",B120,F120))</f>
        <v/>
      </c>
      <c r="I120" s="7" t="str">
        <f aca="false">IF(A120="","",IFERROR(INDEX('Campos Growths'!$F:$F,MATCH(H120,'Campos Growths'!$A:$A,0)),""))</f>
        <v/>
      </c>
      <c r="J120" s="7" t="str">
        <f aca="false">IF(A120="","",IFERROR(VLOOKUP(IF(ISNUMBER(SEARCH("(",C120)),LEFT(C120,SEARCH("(",C120)-1),C120),Tipos!$A:$B,2,FALSE()),"outro"))</f>
        <v/>
      </c>
      <c r="K120" s="7" t="str">
        <f aca="false">IF(I120="","",IFERROR(INDEX('Campos Growths'!$L:$L,MATCH(H120,'Campos Growths'!$A:$A,0)),""))</f>
        <v/>
      </c>
      <c r="L120" s="7" t="str">
        <f aca="false">IF(A120="","",IF(G120="não","Sem tabela no Growths",IF(I120="","Sem campo no Growths",IF(J120=K120,"Importa direto","Ajustar tipo"))))</f>
        <v/>
      </c>
      <c r="M120" s="9"/>
    </row>
    <row r="121" customFormat="false" ht="15" hidden="false" customHeight="false" outlineLevel="0" collapsed="false">
      <c r="A121" s="7" t="str">
        <f aca="false">IF('Outro banco'!A121="","",IF(LEFT('Outro banco'!A121,1)="(","",'Outro banco'!A121))</f>
        <v/>
      </c>
      <c r="B121" s="7" t="str">
        <f aca="false">IF(A121="","",'Outro banco'!B121)</f>
        <v/>
      </c>
      <c r="C121" s="7" t="str">
        <f aca="false">IF(A121="","",'Outro banco'!C121)</f>
        <v/>
      </c>
      <c r="D121" s="7" t="str">
        <f aca="false">IF(A121="","",'Outro banco'!D121)</f>
        <v/>
      </c>
      <c r="E121" s="9"/>
      <c r="F121" s="9"/>
      <c r="G121" s="7" t="str">
        <f aca="false">IF(A121="","",IF(COUNTIF(Tabelas!$A:$A,IF(E121="",A121,E121))&gt;0,"sim","não"))</f>
        <v/>
      </c>
      <c r="H121" s="7" t="str">
        <f aca="false">IF(A121="","",IF(E121="",A121,E121)&amp;"."&amp;IF(F121="",B121,F121))</f>
        <v/>
      </c>
      <c r="I121" s="7" t="str">
        <f aca="false">IF(A121="","",IFERROR(INDEX('Campos Growths'!$F:$F,MATCH(H121,'Campos Growths'!$A:$A,0)),""))</f>
        <v/>
      </c>
      <c r="J121" s="7" t="str">
        <f aca="false">IF(A121="","",IFERROR(VLOOKUP(IF(ISNUMBER(SEARCH("(",C121)),LEFT(C121,SEARCH("(",C121)-1),C121),Tipos!$A:$B,2,FALSE()),"outro"))</f>
        <v/>
      </c>
      <c r="K121" s="7" t="str">
        <f aca="false">IF(I121="","",IFERROR(INDEX('Campos Growths'!$L:$L,MATCH(H121,'Campos Growths'!$A:$A,0)),""))</f>
        <v/>
      </c>
      <c r="L121" s="7" t="str">
        <f aca="false">IF(A121="","",IF(G121="não","Sem tabela no Growths",IF(I121="","Sem campo no Growths",IF(J121=K121,"Importa direto","Ajustar tipo"))))</f>
        <v/>
      </c>
      <c r="M121" s="9"/>
    </row>
    <row r="122" customFormat="false" ht="15" hidden="false" customHeight="false" outlineLevel="0" collapsed="false">
      <c r="A122" s="7" t="str">
        <f aca="false">IF('Outro banco'!A122="","",IF(LEFT('Outro banco'!A122,1)="(","",'Outro banco'!A122))</f>
        <v/>
      </c>
      <c r="B122" s="7" t="str">
        <f aca="false">IF(A122="","",'Outro banco'!B122)</f>
        <v/>
      </c>
      <c r="C122" s="7" t="str">
        <f aca="false">IF(A122="","",'Outro banco'!C122)</f>
        <v/>
      </c>
      <c r="D122" s="7" t="str">
        <f aca="false">IF(A122="","",'Outro banco'!D122)</f>
        <v/>
      </c>
      <c r="E122" s="9"/>
      <c r="F122" s="9"/>
      <c r="G122" s="7" t="str">
        <f aca="false">IF(A122="","",IF(COUNTIF(Tabelas!$A:$A,IF(E122="",A122,E122))&gt;0,"sim","não"))</f>
        <v/>
      </c>
      <c r="H122" s="7" t="str">
        <f aca="false">IF(A122="","",IF(E122="",A122,E122)&amp;"."&amp;IF(F122="",B122,F122))</f>
        <v/>
      </c>
      <c r="I122" s="7" t="str">
        <f aca="false">IF(A122="","",IFERROR(INDEX('Campos Growths'!$F:$F,MATCH(H122,'Campos Growths'!$A:$A,0)),""))</f>
        <v/>
      </c>
      <c r="J122" s="7" t="str">
        <f aca="false">IF(A122="","",IFERROR(VLOOKUP(IF(ISNUMBER(SEARCH("(",C122)),LEFT(C122,SEARCH("(",C122)-1),C122),Tipos!$A:$B,2,FALSE()),"outro"))</f>
        <v/>
      </c>
      <c r="K122" s="7" t="str">
        <f aca="false">IF(I122="","",IFERROR(INDEX('Campos Growths'!$L:$L,MATCH(H122,'Campos Growths'!$A:$A,0)),""))</f>
        <v/>
      </c>
      <c r="L122" s="7" t="str">
        <f aca="false">IF(A122="","",IF(G122="não","Sem tabela no Growths",IF(I122="","Sem campo no Growths",IF(J122=K122,"Importa direto","Ajustar tipo"))))</f>
        <v/>
      </c>
      <c r="M122" s="9"/>
    </row>
    <row r="123" customFormat="false" ht="15" hidden="false" customHeight="false" outlineLevel="0" collapsed="false">
      <c r="A123" s="7" t="str">
        <f aca="false">IF('Outro banco'!A123="","",IF(LEFT('Outro banco'!A123,1)="(","",'Outro banco'!A123))</f>
        <v/>
      </c>
      <c r="B123" s="7" t="str">
        <f aca="false">IF(A123="","",'Outro banco'!B123)</f>
        <v/>
      </c>
      <c r="C123" s="7" t="str">
        <f aca="false">IF(A123="","",'Outro banco'!C123)</f>
        <v/>
      </c>
      <c r="D123" s="7" t="str">
        <f aca="false">IF(A123="","",'Outro banco'!D123)</f>
        <v/>
      </c>
      <c r="E123" s="9"/>
      <c r="F123" s="9"/>
      <c r="G123" s="7" t="str">
        <f aca="false">IF(A123="","",IF(COUNTIF(Tabelas!$A:$A,IF(E123="",A123,E123))&gt;0,"sim","não"))</f>
        <v/>
      </c>
      <c r="H123" s="7" t="str">
        <f aca="false">IF(A123="","",IF(E123="",A123,E123)&amp;"."&amp;IF(F123="",B123,F123))</f>
        <v/>
      </c>
      <c r="I123" s="7" t="str">
        <f aca="false">IF(A123="","",IFERROR(INDEX('Campos Growths'!$F:$F,MATCH(H123,'Campos Growths'!$A:$A,0)),""))</f>
        <v/>
      </c>
      <c r="J123" s="7" t="str">
        <f aca="false">IF(A123="","",IFERROR(VLOOKUP(IF(ISNUMBER(SEARCH("(",C123)),LEFT(C123,SEARCH("(",C123)-1),C123),Tipos!$A:$B,2,FALSE()),"outro"))</f>
        <v/>
      </c>
      <c r="K123" s="7" t="str">
        <f aca="false">IF(I123="","",IFERROR(INDEX('Campos Growths'!$L:$L,MATCH(H123,'Campos Growths'!$A:$A,0)),""))</f>
        <v/>
      </c>
      <c r="L123" s="7" t="str">
        <f aca="false">IF(A123="","",IF(G123="não","Sem tabela no Growths",IF(I123="","Sem campo no Growths",IF(J123=K123,"Importa direto","Ajustar tipo"))))</f>
        <v/>
      </c>
      <c r="M123" s="9"/>
    </row>
    <row r="124" customFormat="false" ht="15" hidden="false" customHeight="false" outlineLevel="0" collapsed="false">
      <c r="A124" s="7" t="str">
        <f aca="false">IF('Outro banco'!A124="","",IF(LEFT('Outro banco'!A124,1)="(","",'Outro banco'!A124))</f>
        <v/>
      </c>
      <c r="B124" s="7" t="str">
        <f aca="false">IF(A124="","",'Outro banco'!B124)</f>
        <v/>
      </c>
      <c r="C124" s="7" t="str">
        <f aca="false">IF(A124="","",'Outro banco'!C124)</f>
        <v/>
      </c>
      <c r="D124" s="7" t="str">
        <f aca="false">IF(A124="","",'Outro banco'!D124)</f>
        <v/>
      </c>
      <c r="E124" s="9"/>
      <c r="F124" s="9"/>
      <c r="G124" s="7" t="str">
        <f aca="false">IF(A124="","",IF(COUNTIF(Tabelas!$A:$A,IF(E124="",A124,E124))&gt;0,"sim","não"))</f>
        <v/>
      </c>
      <c r="H124" s="7" t="str">
        <f aca="false">IF(A124="","",IF(E124="",A124,E124)&amp;"."&amp;IF(F124="",B124,F124))</f>
        <v/>
      </c>
      <c r="I124" s="7" t="str">
        <f aca="false">IF(A124="","",IFERROR(INDEX('Campos Growths'!$F:$F,MATCH(H124,'Campos Growths'!$A:$A,0)),""))</f>
        <v/>
      </c>
      <c r="J124" s="7" t="str">
        <f aca="false">IF(A124="","",IFERROR(VLOOKUP(IF(ISNUMBER(SEARCH("(",C124)),LEFT(C124,SEARCH("(",C124)-1),C124),Tipos!$A:$B,2,FALSE()),"outro"))</f>
        <v/>
      </c>
      <c r="K124" s="7" t="str">
        <f aca="false">IF(I124="","",IFERROR(INDEX('Campos Growths'!$L:$L,MATCH(H124,'Campos Growths'!$A:$A,0)),""))</f>
        <v/>
      </c>
      <c r="L124" s="7" t="str">
        <f aca="false">IF(A124="","",IF(G124="não","Sem tabela no Growths",IF(I124="","Sem campo no Growths",IF(J124=K124,"Importa direto","Ajustar tipo"))))</f>
        <v/>
      </c>
      <c r="M124" s="9"/>
    </row>
    <row r="125" customFormat="false" ht="15" hidden="false" customHeight="false" outlineLevel="0" collapsed="false">
      <c r="A125" s="7" t="str">
        <f aca="false">IF('Outro banco'!A125="","",IF(LEFT('Outro banco'!A125,1)="(","",'Outro banco'!A125))</f>
        <v/>
      </c>
      <c r="B125" s="7" t="str">
        <f aca="false">IF(A125="","",'Outro banco'!B125)</f>
        <v/>
      </c>
      <c r="C125" s="7" t="str">
        <f aca="false">IF(A125="","",'Outro banco'!C125)</f>
        <v/>
      </c>
      <c r="D125" s="7" t="str">
        <f aca="false">IF(A125="","",'Outro banco'!D125)</f>
        <v/>
      </c>
      <c r="E125" s="9"/>
      <c r="F125" s="9"/>
      <c r="G125" s="7" t="str">
        <f aca="false">IF(A125="","",IF(COUNTIF(Tabelas!$A:$A,IF(E125="",A125,E125))&gt;0,"sim","não"))</f>
        <v/>
      </c>
      <c r="H125" s="7" t="str">
        <f aca="false">IF(A125="","",IF(E125="",A125,E125)&amp;"."&amp;IF(F125="",B125,F125))</f>
        <v/>
      </c>
      <c r="I125" s="7" t="str">
        <f aca="false">IF(A125="","",IFERROR(INDEX('Campos Growths'!$F:$F,MATCH(H125,'Campos Growths'!$A:$A,0)),""))</f>
        <v/>
      </c>
      <c r="J125" s="7" t="str">
        <f aca="false">IF(A125="","",IFERROR(VLOOKUP(IF(ISNUMBER(SEARCH("(",C125)),LEFT(C125,SEARCH("(",C125)-1),C125),Tipos!$A:$B,2,FALSE()),"outro"))</f>
        <v/>
      </c>
      <c r="K125" s="7" t="str">
        <f aca="false">IF(I125="","",IFERROR(INDEX('Campos Growths'!$L:$L,MATCH(H125,'Campos Growths'!$A:$A,0)),""))</f>
        <v/>
      </c>
      <c r="L125" s="7" t="str">
        <f aca="false">IF(A125="","",IF(G125="não","Sem tabela no Growths",IF(I125="","Sem campo no Growths",IF(J125=K125,"Importa direto","Ajustar tipo"))))</f>
        <v/>
      </c>
      <c r="M125" s="9"/>
    </row>
    <row r="126" customFormat="false" ht="15" hidden="false" customHeight="false" outlineLevel="0" collapsed="false">
      <c r="A126" s="7" t="str">
        <f aca="false">IF('Outro banco'!A126="","",IF(LEFT('Outro banco'!A126,1)="(","",'Outro banco'!A126))</f>
        <v/>
      </c>
      <c r="B126" s="7" t="str">
        <f aca="false">IF(A126="","",'Outro banco'!B126)</f>
        <v/>
      </c>
      <c r="C126" s="7" t="str">
        <f aca="false">IF(A126="","",'Outro banco'!C126)</f>
        <v/>
      </c>
      <c r="D126" s="7" t="str">
        <f aca="false">IF(A126="","",'Outro banco'!D126)</f>
        <v/>
      </c>
      <c r="E126" s="9"/>
      <c r="F126" s="9"/>
      <c r="G126" s="7" t="str">
        <f aca="false">IF(A126="","",IF(COUNTIF(Tabelas!$A:$A,IF(E126="",A126,E126))&gt;0,"sim","não"))</f>
        <v/>
      </c>
      <c r="H126" s="7" t="str">
        <f aca="false">IF(A126="","",IF(E126="",A126,E126)&amp;"."&amp;IF(F126="",B126,F126))</f>
        <v/>
      </c>
      <c r="I126" s="7" t="str">
        <f aca="false">IF(A126="","",IFERROR(INDEX('Campos Growths'!$F:$F,MATCH(H126,'Campos Growths'!$A:$A,0)),""))</f>
        <v/>
      </c>
      <c r="J126" s="7" t="str">
        <f aca="false">IF(A126="","",IFERROR(VLOOKUP(IF(ISNUMBER(SEARCH("(",C126)),LEFT(C126,SEARCH("(",C126)-1),C126),Tipos!$A:$B,2,FALSE()),"outro"))</f>
        <v/>
      </c>
      <c r="K126" s="7" t="str">
        <f aca="false">IF(I126="","",IFERROR(INDEX('Campos Growths'!$L:$L,MATCH(H126,'Campos Growths'!$A:$A,0)),""))</f>
        <v/>
      </c>
      <c r="L126" s="7" t="str">
        <f aca="false">IF(A126="","",IF(G126="não","Sem tabela no Growths",IF(I126="","Sem campo no Growths",IF(J126=K126,"Importa direto","Ajustar tipo"))))</f>
        <v/>
      </c>
      <c r="M126" s="9"/>
    </row>
    <row r="127" customFormat="false" ht="15" hidden="false" customHeight="false" outlineLevel="0" collapsed="false">
      <c r="A127" s="7" t="str">
        <f aca="false">IF('Outro banco'!A127="","",IF(LEFT('Outro banco'!A127,1)="(","",'Outro banco'!A127))</f>
        <v/>
      </c>
      <c r="B127" s="7" t="str">
        <f aca="false">IF(A127="","",'Outro banco'!B127)</f>
        <v/>
      </c>
      <c r="C127" s="7" t="str">
        <f aca="false">IF(A127="","",'Outro banco'!C127)</f>
        <v/>
      </c>
      <c r="D127" s="7" t="str">
        <f aca="false">IF(A127="","",'Outro banco'!D127)</f>
        <v/>
      </c>
      <c r="E127" s="9"/>
      <c r="F127" s="9"/>
      <c r="G127" s="7" t="str">
        <f aca="false">IF(A127="","",IF(COUNTIF(Tabelas!$A:$A,IF(E127="",A127,E127))&gt;0,"sim","não"))</f>
        <v/>
      </c>
      <c r="H127" s="7" t="str">
        <f aca="false">IF(A127="","",IF(E127="",A127,E127)&amp;"."&amp;IF(F127="",B127,F127))</f>
        <v/>
      </c>
      <c r="I127" s="7" t="str">
        <f aca="false">IF(A127="","",IFERROR(INDEX('Campos Growths'!$F:$F,MATCH(H127,'Campos Growths'!$A:$A,0)),""))</f>
        <v/>
      </c>
      <c r="J127" s="7" t="str">
        <f aca="false">IF(A127="","",IFERROR(VLOOKUP(IF(ISNUMBER(SEARCH("(",C127)),LEFT(C127,SEARCH("(",C127)-1),C127),Tipos!$A:$B,2,FALSE()),"outro"))</f>
        <v/>
      </c>
      <c r="K127" s="7" t="str">
        <f aca="false">IF(I127="","",IFERROR(INDEX('Campos Growths'!$L:$L,MATCH(H127,'Campos Growths'!$A:$A,0)),""))</f>
        <v/>
      </c>
      <c r="L127" s="7" t="str">
        <f aca="false">IF(A127="","",IF(G127="não","Sem tabela no Growths",IF(I127="","Sem campo no Growths",IF(J127=K127,"Importa direto","Ajustar tipo"))))</f>
        <v/>
      </c>
      <c r="M127" s="9"/>
    </row>
    <row r="128" customFormat="false" ht="15" hidden="false" customHeight="false" outlineLevel="0" collapsed="false">
      <c r="A128" s="7" t="str">
        <f aca="false">IF('Outro banco'!A128="","",IF(LEFT('Outro banco'!A128,1)="(","",'Outro banco'!A128))</f>
        <v/>
      </c>
      <c r="B128" s="7" t="str">
        <f aca="false">IF(A128="","",'Outro banco'!B128)</f>
        <v/>
      </c>
      <c r="C128" s="7" t="str">
        <f aca="false">IF(A128="","",'Outro banco'!C128)</f>
        <v/>
      </c>
      <c r="D128" s="7" t="str">
        <f aca="false">IF(A128="","",'Outro banco'!D128)</f>
        <v/>
      </c>
      <c r="E128" s="9"/>
      <c r="F128" s="9"/>
      <c r="G128" s="7" t="str">
        <f aca="false">IF(A128="","",IF(COUNTIF(Tabelas!$A:$A,IF(E128="",A128,E128))&gt;0,"sim","não"))</f>
        <v/>
      </c>
      <c r="H128" s="7" t="str">
        <f aca="false">IF(A128="","",IF(E128="",A128,E128)&amp;"."&amp;IF(F128="",B128,F128))</f>
        <v/>
      </c>
      <c r="I128" s="7" t="str">
        <f aca="false">IF(A128="","",IFERROR(INDEX('Campos Growths'!$F:$F,MATCH(H128,'Campos Growths'!$A:$A,0)),""))</f>
        <v/>
      </c>
      <c r="J128" s="7" t="str">
        <f aca="false">IF(A128="","",IFERROR(VLOOKUP(IF(ISNUMBER(SEARCH("(",C128)),LEFT(C128,SEARCH("(",C128)-1),C128),Tipos!$A:$B,2,FALSE()),"outro"))</f>
        <v/>
      </c>
      <c r="K128" s="7" t="str">
        <f aca="false">IF(I128="","",IFERROR(INDEX('Campos Growths'!$L:$L,MATCH(H128,'Campos Growths'!$A:$A,0)),""))</f>
        <v/>
      </c>
      <c r="L128" s="7" t="str">
        <f aca="false">IF(A128="","",IF(G128="não","Sem tabela no Growths",IF(I128="","Sem campo no Growths",IF(J128=K128,"Importa direto","Ajustar tipo"))))</f>
        <v/>
      </c>
      <c r="M128" s="9"/>
    </row>
    <row r="129" customFormat="false" ht="15" hidden="false" customHeight="false" outlineLevel="0" collapsed="false">
      <c r="A129" s="7" t="str">
        <f aca="false">IF('Outro banco'!A129="","",IF(LEFT('Outro banco'!A129,1)="(","",'Outro banco'!A129))</f>
        <v/>
      </c>
      <c r="B129" s="7" t="str">
        <f aca="false">IF(A129="","",'Outro banco'!B129)</f>
        <v/>
      </c>
      <c r="C129" s="7" t="str">
        <f aca="false">IF(A129="","",'Outro banco'!C129)</f>
        <v/>
      </c>
      <c r="D129" s="7" t="str">
        <f aca="false">IF(A129="","",'Outro banco'!D129)</f>
        <v/>
      </c>
      <c r="E129" s="9"/>
      <c r="F129" s="9"/>
      <c r="G129" s="7" t="str">
        <f aca="false">IF(A129="","",IF(COUNTIF(Tabelas!$A:$A,IF(E129="",A129,E129))&gt;0,"sim","não"))</f>
        <v/>
      </c>
      <c r="H129" s="7" t="str">
        <f aca="false">IF(A129="","",IF(E129="",A129,E129)&amp;"."&amp;IF(F129="",B129,F129))</f>
        <v/>
      </c>
      <c r="I129" s="7" t="str">
        <f aca="false">IF(A129="","",IFERROR(INDEX('Campos Growths'!$F:$F,MATCH(H129,'Campos Growths'!$A:$A,0)),""))</f>
        <v/>
      </c>
      <c r="J129" s="7" t="str">
        <f aca="false">IF(A129="","",IFERROR(VLOOKUP(IF(ISNUMBER(SEARCH("(",C129)),LEFT(C129,SEARCH("(",C129)-1),C129),Tipos!$A:$B,2,FALSE()),"outro"))</f>
        <v/>
      </c>
      <c r="K129" s="7" t="str">
        <f aca="false">IF(I129="","",IFERROR(INDEX('Campos Growths'!$L:$L,MATCH(H129,'Campos Growths'!$A:$A,0)),""))</f>
        <v/>
      </c>
      <c r="L129" s="7" t="str">
        <f aca="false">IF(A129="","",IF(G129="não","Sem tabela no Growths",IF(I129="","Sem campo no Growths",IF(J129=K129,"Importa direto","Ajustar tipo"))))</f>
        <v/>
      </c>
      <c r="M129" s="9"/>
    </row>
    <row r="130" customFormat="false" ht="15" hidden="false" customHeight="false" outlineLevel="0" collapsed="false">
      <c r="A130" s="7" t="str">
        <f aca="false">IF('Outro banco'!A130="","",IF(LEFT('Outro banco'!A130,1)="(","",'Outro banco'!A130))</f>
        <v/>
      </c>
      <c r="B130" s="7" t="str">
        <f aca="false">IF(A130="","",'Outro banco'!B130)</f>
        <v/>
      </c>
      <c r="C130" s="7" t="str">
        <f aca="false">IF(A130="","",'Outro banco'!C130)</f>
        <v/>
      </c>
      <c r="D130" s="7" t="str">
        <f aca="false">IF(A130="","",'Outro banco'!D130)</f>
        <v/>
      </c>
      <c r="E130" s="9"/>
      <c r="F130" s="9"/>
      <c r="G130" s="7" t="str">
        <f aca="false">IF(A130="","",IF(COUNTIF(Tabelas!$A:$A,IF(E130="",A130,E130))&gt;0,"sim","não"))</f>
        <v/>
      </c>
      <c r="H130" s="7" t="str">
        <f aca="false">IF(A130="","",IF(E130="",A130,E130)&amp;"."&amp;IF(F130="",B130,F130))</f>
        <v/>
      </c>
      <c r="I130" s="7" t="str">
        <f aca="false">IF(A130="","",IFERROR(INDEX('Campos Growths'!$F:$F,MATCH(H130,'Campos Growths'!$A:$A,0)),""))</f>
        <v/>
      </c>
      <c r="J130" s="7" t="str">
        <f aca="false">IF(A130="","",IFERROR(VLOOKUP(IF(ISNUMBER(SEARCH("(",C130)),LEFT(C130,SEARCH("(",C130)-1),C130),Tipos!$A:$B,2,FALSE()),"outro"))</f>
        <v/>
      </c>
      <c r="K130" s="7" t="str">
        <f aca="false">IF(I130="","",IFERROR(INDEX('Campos Growths'!$L:$L,MATCH(H130,'Campos Growths'!$A:$A,0)),""))</f>
        <v/>
      </c>
      <c r="L130" s="7" t="str">
        <f aca="false">IF(A130="","",IF(G130="não","Sem tabela no Growths",IF(I130="","Sem campo no Growths",IF(J130=K130,"Importa direto","Ajustar tipo"))))</f>
        <v/>
      </c>
      <c r="M130" s="9"/>
    </row>
    <row r="131" customFormat="false" ht="15" hidden="false" customHeight="false" outlineLevel="0" collapsed="false">
      <c r="A131" s="7" t="str">
        <f aca="false">IF('Outro banco'!A131="","",IF(LEFT('Outro banco'!A131,1)="(","",'Outro banco'!A131))</f>
        <v/>
      </c>
      <c r="B131" s="7" t="str">
        <f aca="false">IF(A131="","",'Outro banco'!B131)</f>
        <v/>
      </c>
      <c r="C131" s="7" t="str">
        <f aca="false">IF(A131="","",'Outro banco'!C131)</f>
        <v/>
      </c>
      <c r="D131" s="7" t="str">
        <f aca="false">IF(A131="","",'Outro banco'!D131)</f>
        <v/>
      </c>
      <c r="E131" s="9"/>
      <c r="F131" s="9"/>
      <c r="G131" s="7" t="str">
        <f aca="false">IF(A131="","",IF(COUNTIF(Tabelas!$A:$A,IF(E131="",A131,E131))&gt;0,"sim","não"))</f>
        <v/>
      </c>
      <c r="H131" s="7" t="str">
        <f aca="false">IF(A131="","",IF(E131="",A131,E131)&amp;"."&amp;IF(F131="",B131,F131))</f>
        <v/>
      </c>
      <c r="I131" s="7" t="str">
        <f aca="false">IF(A131="","",IFERROR(INDEX('Campos Growths'!$F:$F,MATCH(H131,'Campos Growths'!$A:$A,0)),""))</f>
        <v/>
      </c>
      <c r="J131" s="7" t="str">
        <f aca="false">IF(A131="","",IFERROR(VLOOKUP(IF(ISNUMBER(SEARCH("(",C131)),LEFT(C131,SEARCH("(",C131)-1),C131),Tipos!$A:$B,2,FALSE()),"outro"))</f>
        <v/>
      </c>
      <c r="K131" s="7" t="str">
        <f aca="false">IF(I131="","",IFERROR(INDEX('Campos Growths'!$L:$L,MATCH(H131,'Campos Growths'!$A:$A,0)),""))</f>
        <v/>
      </c>
      <c r="L131" s="7" t="str">
        <f aca="false">IF(A131="","",IF(G131="não","Sem tabela no Growths",IF(I131="","Sem campo no Growths",IF(J131=K131,"Importa direto","Ajustar tipo"))))</f>
        <v/>
      </c>
      <c r="M131" s="9"/>
    </row>
    <row r="132" customFormat="false" ht="15" hidden="false" customHeight="false" outlineLevel="0" collapsed="false">
      <c r="A132" s="7" t="str">
        <f aca="false">IF('Outro banco'!A132="","",IF(LEFT('Outro banco'!A132,1)="(","",'Outro banco'!A132))</f>
        <v/>
      </c>
      <c r="B132" s="7" t="str">
        <f aca="false">IF(A132="","",'Outro banco'!B132)</f>
        <v/>
      </c>
      <c r="C132" s="7" t="str">
        <f aca="false">IF(A132="","",'Outro banco'!C132)</f>
        <v/>
      </c>
      <c r="D132" s="7" t="str">
        <f aca="false">IF(A132="","",'Outro banco'!D132)</f>
        <v/>
      </c>
      <c r="E132" s="9"/>
      <c r="F132" s="9"/>
      <c r="G132" s="7" t="str">
        <f aca="false">IF(A132="","",IF(COUNTIF(Tabelas!$A:$A,IF(E132="",A132,E132))&gt;0,"sim","não"))</f>
        <v/>
      </c>
      <c r="H132" s="7" t="str">
        <f aca="false">IF(A132="","",IF(E132="",A132,E132)&amp;"."&amp;IF(F132="",B132,F132))</f>
        <v/>
      </c>
      <c r="I132" s="7" t="str">
        <f aca="false">IF(A132="","",IFERROR(INDEX('Campos Growths'!$F:$F,MATCH(H132,'Campos Growths'!$A:$A,0)),""))</f>
        <v/>
      </c>
      <c r="J132" s="7" t="str">
        <f aca="false">IF(A132="","",IFERROR(VLOOKUP(IF(ISNUMBER(SEARCH("(",C132)),LEFT(C132,SEARCH("(",C132)-1),C132),Tipos!$A:$B,2,FALSE()),"outro"))</f>
        <v/>
      </c>
      <c r="K132" s="7" t="str">
        <f aca="false">IF(I132="","",IFERROR(INDEX('Campos Growths'!$L:$L,MATCH(H132,'Campos Growths'!$A:$A,0)),""))</f>
        <v/>
      </c>
      <c r="L132" s="7" t="str">
        <f aca="false">IF(A132="","",IF(G132="não","Sem tabela no Growths",IF(I132="","Sem campo no Growths",IF(J132=K132,"Importa direto","Ajustar tipo"))))</f>
        <v/>
      </c>
      <c r="M132" s="9"/>
    </row>
    <row r="133" customFormat="false" ht="15" hidden="false" customHeight="false" outlineLevel="0" collapsed="false">
      <c r="A133" s="7" t="str">
        <f aca="false">IF('Outro banco'!A133="","",IF(LEFT('Outro banco'!A133,1)="(","",'Outro banco'!A133))</f>
        <v/>
      </c>
      <c r="B133" s="7" t="str">
        <f aca="false">IF(A133="","",'Outro banco'!B133)</f>
        <v/>
      </c>
      <c r="C133" s="7" t="str">
        <f aca="false">IF(A133="","",'Outro banco'!C133)</f>
        <v/>
      </c>
      <c r="D133" s="7" t="str">
        <f aca="false">IF(A133="","",'Outro banco'!D133)</f>
        <v/>
      </c>
      <c r="E133" s="9"/>
      <c r="F133" s="9"/>
      <c r="G133" s="7" t="str">
        <f aca="false">IF(A133="","",IF(COUNTIF(Tabelas!$A:$A,IF(E133="",A133,E133))&gt;0,"sim","não"))</f>
        <v/>
      </c>
      <c r="H133" s="7" t="str">
        <f aca="false">IF(A133="","",IF(E133="",A133,E133)&amp;"."&amp;IF(F133="",B133,F133))</f>
        <v/>
      </c>
      <c r="I133" s="7" t="str">
        <f aca="false">IF(A133="","",IFERROR(INDEX('Campos Growths'!$F:$F,MATCH(H133,'Campos Growths'!$A:$A,0)),""))</f>
        <v/>
      </c>
      <c r="J133" s="7" t="str">
        <f aca="false">IF(A133="","",IFERROR(VLOOKUP(IF(ISNUMBER(SEARCH("(",C133)),LEFT(C133,SEARCH("(",C133)-1),C133),Tipos!$A:$B,2,FALSE()),"outro"))</f>
        <v/>
      </c>
      <c r="K133" s="7" t="str">
        <f aca="false">IF(I133="","",IFERROR(INDEX('Campos Growths'!$L:$L,MATCH(H133,'Campos Growths'!$A:$A,0)),""))</f>
        <v/>
      </c>
      <c r="L133" s="7" t="str">
        <f aca="false">IF(A133="","",IF(G133="não","Sem tabela no Growths",IF(I133="","Sem campo no Growths",IF(J133=K133,"Importa direto","Ajustar tipo"))))</f>
        <v/>
      </c>
      <c r="M133" s="9"/>
    </row>
    <row r="134" customFormat="false" ht="15" hidden="false" customHeight="false" outlineLevel="0" collapsed="false">
      <c r="A134" s="7" t="str">
        <f aca="false">IF('Outro banco'!A134="","",IF(LEFT('Outro banco'!A134,1)="(","",'Outro banco'!A134))</f>
        <v/>
      </c>
      <c r="B134" s="7" t="str">
        <f aca="false">IF(A134="","",'Outro banco'!B134)</f>
        <v/>
      </c>
      <c r="C134" s="7" t="str">
        <f aca="false">IF(A134="","",'Outro banco'!C134)</f>
        <v/>
      </c>
      <c r="D134" s="7" t="str">
        <f aca="false">IF(A134="","",'Outro banco'!D134)</f>
        <v/>
      </c>
      <c r="E134" s="9"/>
      <c r="F134" s="9"/>
      <c r="G134" s="7" t="str">
        <f aca="false">IF(A134="","",IF(COUNTIF(Tabelas!$A:$A,IF(E134="",A134,E134))&gt;0,"sim","não"))</f>
        <v/>
      </c>
      <c r="H134" s="7" t="str">
        <f aca="false">IF(A134="","",IF(E134="",A134,E134)&amp;"."&amp;IF(F134="",B134,F134))</f>
        <v/>
      </c>
      <c r="I134" s="7" t="str">
        <f aca="false">IF(A134="","",IFERROR(INDEX('Campos Growths'!$F:$F,MATCH(H134,'Campos Growths'!$A:$A,0)),""))</f>
        <v/>
      </c>
      <c r="J134" s="7" t="str">
        <f aca="false">IF(A134="","",IFERROR(VLOOKUP(IF(ISNUMBER(SEARCH("(",C134)),LEFT(C134,SEARCH("(",C134)-1),C134),Tipos!$A:$B,2,FALSE()),"outro"))</f>
        <v/>
      </c>
      <c r="K134" s="7" t="str">
        <f aca="false">IF(I134="","",IFERROR(INDEX('Campos Growths'!$L:$L,MATCH(H134,'Campos Growths'!$A:$A,0)),""))</f>
        <v/>
      </c>
      <c r="L134" s="7" t="str">
        <f aca="false">IF(A134="","",IF(G134="não","Sem tabela no Growths",IF(I134="","Sem campo no Growths",IF(J134=K134,"Importa direto","Ajustar tipo"))))</f>
        <v/>
      </c>
      <c r="M134" s="9"/>
    </row>
    <row r="135" customFormat="false" ht="15" hidden="false" customHeight="false" outlineLevel="0" collapsed="false">
      <c r="A135" s="7" t="str">
        <f aca="false">IF('Outro banco'!A135="","",IF(LEFT('Outro banco'!A135,1)="(","",'Outro banco'!A135))</f>
        <v/>
      </c>
      <c r="B135" s="7" t="str">
        <f aca="false">IF(A135="","",'Outro banco'!B135)</f>
        <v/>
      </c>
      <c r="C135" s="7" t="str">
        <f aca="false">IF(A135="","",'Outro banco'!C135)</f>
        <v/>
      </c>
      <c r="D135" s="7" t="str">
        <f aca="false">IF(A135="","",'Outro banco'!D135)</f>
        <v/>
      </c>
      <c r="E135" s="9"/>
      <c r="F135" s="9"/>
      <c r="G135" s="7" t="str">
        <f aca="false">IF(A135="","",IF(COUNTIF(Tabelas!$A:$A,IF(E135="",A135,E135))&gt;0,"sim","não"))</f>
        <v/>
      </c>
      <c r="H135" s="7" t="str">
        <f aca="false">IF(A135="","",IF(E135="",A135,E135)&amp;"."&amp;IF(F135="",B135,F135))</f>
        <v/>
      </c>
      <c r="I135" s="7" t="str">
        <f aca="false">IF(A135="","",IFERROR(INDEX('Campos Growths'!$F:$F,MATCH(H135,'Campos Growths'!$A:$A,0)),""))</f>
        <v/>
      </c>
      <c r="J135" s="7" t="str">
        <f aca="false">IF(A135="","",IFERROR(VLOOKUP(IF(ISNUMBER(SEARCH("(",C135)),LEFT(C135,SEARCH("(",C135)-1),C135),Tipos!$A:$B,2,FALSE()),"outro"))</f>
        <v/>
      </c>
      <c r="K135" s="7" t="str">
        <f aca="false">IF(I135="","",IFERROR(INDEX('Campos Growths'!$L:$L,MATCH(H135,'Campos Growths'!$A:$A,0)),""))</f>
        <v/>
      </c>
      <c r="L135" s="7" t="str">
        <f aca="false">IF(A135="","",IF(G135="não","Sem tabela no Growths",IF(I135="","Sem campo no Growths",IF(J135=K135,"Importa direto","Ajustar tipo"))))</f>
        <v/>
      </c>
      <c r="M135" s="9"/>
    </row>
    <row r="136" customFormat="false" ht="15" hidden="false" customHeight="false" outlineLevel="0" collapsed="false">
      <c r="A136" s="7" t="str">
        <f aca="false">IF('Outro banco'!A136="","",IF(LEFT('Outro banco'!A136,1)="(","",'Outro banco'!A136))</f>
        <v/>
      </c>
      <c r="B136" s="7" t="str">
        <f aca="false">IF(A136="","",'Outro banco'!B136)</f>
        <v/>
      </c>
      <c r="C136" s="7" t="str">
        <f aca="false">IF(A136="","",'Outro banco'!C136)</f>
        <v/>
      </c>
      <c r="D136" s="7" t="str">
        <f aca="false">IF(A136="","",'Outro banco'!D136)</f>
        <v/>
      </c>
      <c r="E136" s="9"/>
      <c r="F136" s="9"/>
      <c r="G136" s="7" t="str">
        <f aca="false">IF(A136="","",IF(COUNTIF(Tabelas!$A:$A,IF(E136="",A136,E136))&gt;0,"sim","não"))</f>
        <v/>
      </c>
      <c r="H136" s="7" t="str">
        <f aca="false">IF(A136="","",IF(E136="",A136,E136)&amp;"."&amp;IF(F136="",B136,F136))</f>
        <v/>
      </c>
      <c r="I136" s="7" t="str">
        <f aca="false">IF(A136="","",IFERROR(INDEX('Campos Growths'!$F:$F,MATCH(H136,'Campos Growths'!$A:$A,0)),""))</f>
        <v/>
      </c>
      <c r="J136" s="7" t="str">
        <f aca="false">IF(A136="","",IFERROR(VLOOKUP(IF(ISNUMBER(SEARCH("(",C136)),LEFT(C136,SEARCH("(",C136)-1),C136),Tipos!$A:$B,2,FALSE()),"outro"))</f>
        <v/>
      </c>
      <c r="K136" s="7" t="str">
        <f aca="false">IF(I136="","",IFERROR(INDEX('Campos Growths'!$L:$L,MATCH(H136,'Campos Growths'!$A:$A,0)),""))</f>
        <v/>
      </c>
      <c r="L136" s="7" t="str">
        <f aca="false">IF(A136="","",IF(G136="não","Sem tabela no Growths",IF(I136="","Sem campo no Growths",IF(J136=K136,"Importa direto","Ajustar tipo"))))</f>
        <v/>
      </c>
      <c r="M136" s="9"/>
    </row>
    <row r="137" customFormat="false" ht="15" hidden="false" customHeight="false" outlineLevel="0" collapsed="false">
      <c r="A137" s="7" t="str">
        <f aca="false">IF('Outro banco'!A137="","",IF(LEFT('Outro banco'!A137,1)="(","",'Outro banco'!A137))</f>
        <v/>
      </c>
      <c r="B137" s="7" t="str">
        <f aca="false">IF(A137="","",'Outro banco'!B137)</f>
        <v/>
      </c>
      <c r="C137" s="7" t="str">
        <f aca="false">IF(A137="","",'Outro banco'!C137)</f>
        <v/>
      </c>
      <c r="D137" s="7" t="str">
        <f aca="false">IF(A137="","",'Outro banco'!D137)</f>
        <v/>
      </c>
      <c r="E137" s="9"/>
      <c r="F137" s="9"/>
      <c r="G137" s="7" t="str">
        <f aca="false">IF(A137="","",IF(COUNTIF(Tabelas!$A:$A,IF(E137="",A137,E137))&gt;0,"sim","não"))</f>
        <v/>
      </c>
      <c r="H137" s="7" t="str">
        <f aca="false">IF(A137="","",IF(E137="",A137,E137)&amp;"."&amp;IF(F137="",B137,F137))</f>
        <v/>
      </c>
      <c r="I137" s="7" t="str">
        <f aca="false">IF(A137="","",IFERROR(INDEX('Campos Growths'!$F:$F,MATCH(H137,'Campos Growths'!$A:$A,0)),""))</f>
        <v/>
      </c>
      <c r="J137" s="7" t="str">
        <f aca="false">IF(A137="","",IFERROR(VLOOKUP(IF(ISNUMBER(SEARCH("(",C137)),LEFT(C137,SEARCH("(",C137)-1),C137),Tipos!$A:$B,2,FALSE()),"outro"))</f>
        <v/>
      </c>
      <c r="K137" s="7" t="str">
        <f aca="false">IF(I137="","",IFERROR(INDEX('Campos Growths'!$L:$L,MATCH(H137,'Campos Growths'!$A:$A,0)),""))</f>
        <v/>
      </c>
      <c r="L137" s="7" t="str">
        <f aca="false">IF(A137="","",IF(G137="não","Sem tabela no Growths",IF(I137="","Sem campo no Growths",IF(J137=K137,"Importa direto","Ajustar tipo"))))</f>
        <v/>
      </c>
      <c r="M137" s="9"/>
    </row>
    <row r="138" customFormat="false" ht="15" hidden="false" customHeight="false" outlineLevel="0" collapsed="false">
      <c r="A138" s="7" t="str">
        <f aca="false">IF('Outro banco'!A138="","",IF(LEFT('Outro banco'!A138,1)="(","",'Outro banco'!A138))</f>
        <v/>
      </c>
      <c r="B138" s="7" t="str">
        <f aca="false">IF(A138="","",'Outro banco'!B138)</f>
        <v/>
      </c>
      <c r="C138" s="7" t="str">
        <f aca="false">IF(A138="","",'Outro banco'!C138)</f>
        <v/>
      </c>
      <c r="D138" s="7" t="str">
        <f aca="false">IF(A138="","",'Outro banco'!D138)</f>
        <v/>
      </c>
      <c r="E138" s="9"/>
      <c r="F138" s="9"/>
      <c r="G138" s="7" t="str">
        <f aca="false">IF(A138="","",IF(COUNTIF(Tabelas!$A:$A,IF(E138="",A138,E138))&gt;0,"sim","não"))</f>
        <v/>
      </c>
      <c r="H138" s="7" t="str">
        <f aca="false">IF(A138="","",IF(E138="",A138,E138)&amp;"."&amp;IF(F138="",B138,F138))</f>
        <v/>
      </c>
      <c r="I138" s="7" t="str">
        <f aca="false">IF(A138="","",IFERROR(INDEX('Campos Growths'!$F:$F,MATCH(H138,'Campos Growths'!$A:$A,0)),""))</f>
        <v/>
      </c>
      <c r="J138" s="7" t="str">
        <f aca="false">IF(A138="","",IFERROR(VLOOKUP(IF(ISNUMBER(SEARCH("(",C138)),LEFT(C138,SEARCH("(",C138)-1),C138),Tipos!$A:$B,2,FALSE()),"outro"))</f>
        <v/>
      </c>
      <c r="K138" s="7" t="str">
        <f aca="false">IF(I138="","",IFERROR(INDEX('Campos Growths'!$L:$L,MATCH(H138,'Campos Growths'!$A:$A,0)),""))</f>
        <v/>
      </c>
      <c r="L138" s="7" t="str">
        <f aca="false">IF(A138="","",IF(G138="não","Sem tabela no Growths",IF(I138="","Sem campo no Growths",IF(J138=K138,"Importa direto","Ajustar tipo"))))</f>
        <v/>
      </c>
      <c r="M138" s="9"/>
    </row>
    <row r="139" customFormat="false" ht="15" hidden="false" customHeight="false" outlineLevel="0" collapsed="false">
      <c r="A139" s="7" t="str">
        <f aca="false">IF('Outro banco'!A139="","",IF(LEFT('Outro banco'!A139,1)="(","",'Outro banco'!A139))</f>
        <v/>
      </c>
      <c r="B139" s="7" t="str">
        <f aca="false">IF(A139="","",'Outro banco'!B139)</f>
        <v/>
      </c>
      <c r="C139" s="7" t="str">
        <f aca="false">IF(A139="","",'Outro banco'!C139)</f>
        <v/>
      </c>
      <c r="D139" s="7" t="str">
        <f aca="false">IF(A139="","",'Outro banco'!D139)</f>
        <v/>
      </c>
      <c r="E139" s="9"/>
      <c r="F139" s="9"/>
      <c r="G139" s="7" t="str">
        <f aca="false">IF(A139="","",IF(COUNTIF(Tabelas!$A:$A,IF(E139="",A139,E139))&gt;0,"sim","não"))</f>
        <v/>
      </c>
      <c r="H139" s="7" t="str">
        <f aca="false">IF(A139="","",IF(E139="",A139,E139)&amp;"."&amp;IF(F139="",B139,F139))</f>
        <v/>
      </c>
      <c r="I139" s="7" t="str">
        <f aca="false">IF(A139="","",IFERROR(INDEX('Campos Growths'!$F:$F,MATCH(H139,'Campos Growths'!$A:$A,0)),""))</f>
        <v/>
      </c>
      <c r="J139" s="7" t="str">
        <f aca="false">IF(A139="","",IFERROR(VLOOKUP(IF(ISNUMBER(SEARCH("(",C139)),LEFT(C139,SEARCH("(",C139)-1),C139),Tipos!$A:$B,2,FALSE()),"outro"))</f>
        <v/>
      </c>
      <c r="K139" s="7" t="str">
        <f aca="false">IF(I139="","",IFERROR(INDEX('Campos Growths'!$L:$L,MATCH(H139,'Campos Growths'!$A:$A,0)),""))</f>
        <v/>
      </c>
      <c r="L139" s="7" t="str">
        <f aca="false">IF(A139="","",IF(G139="não","Sem tabela no Growths",IF(I139="","Sem campo no Growths",IF(J139=K139,"Importa direto","Ajustar tipo"))))</f>
        <v/>
      </c>
      <c r="M139" s="9"/>
    </row>
    <row r="140" customFormat="false" ht="15" hidden="false" customHeight="false" outlineLevel="0" collapsed="false">
      <c r="A140" s="7" t="str">
        <f aca="false">IF('Outro banco'!A140="","",IF(LEFT('Outro banco'!A140,1)="(","",'Outro banco'!A140))</f>
        <v/>
      </c>
      <c r="B140" s="7" t="str">
        <f aca="false">IF(A140="","",'Outro banco'!B140)</f>
        <v/>
      </c>
      <c r="C140" s="7" t="str">
        <f aca="false">IF(A140="","",'Outro banco'!C140)</f>
        <v/>
      </c>
      <c r="D140" s="7" t="str">
        <f aca="false">IF(A140="","",'Outro banco'!D140)</f>
        <v/>
      </c>
      <c r="E140" s="9"/>
      <c r="F140" s="9"/>
      <c r="G140" s="7" t="str">
        <f aca="false">IF(A140="","",IF(COUNTIF(Tabelas!$A:$A,IF(E140="",A140,E140))&gt;0,"sim","não"))</f>
        <v/>
      </c>
      <c r="H140" s="7" t="str">
        <f aca="false">IF(A140="","",IF(E140="",A140,E140)&amp;"."&amp;IF(F140="",B140,F140))</f>
        <v/>
      </c>
      <c r="I140" s="7" t="str">
        <f aca="false">IF(A140="","",IFERROR(INDEX('Campos Growths'!$F:$F,MATCH(H140,'Campos Growths'!$A:$A,0)),""))</f>
        <v/>
      </c>
      <c r="J140" s="7" t="str">
        <f aca="false">IF(A140="","",IFERROR(VLOOKUP(IF(ISNUMBER(SEARCH("(",C140)),LEFT(C140,SEARCH("(",C140)-1),C140),Tipos!$A:$B,2,FALSE()),"outro"))</f>
        <v/>
      </c>
      <c r="K140" s="7" t="str">
        <f aca="false">IF(I140="","",IFERROR(INDEX('Campos Growths'!$L:$L,MATCH(H140,'Campos Growths'!$A:$A,0)),""))</f>
        <v/>
      </c>
      <c r="L140" s="7" t="str">
        <f aca="false">IF(A140="","",IF(G140="não","Sem tabela no Growths",IF(I140="","Sem campo no Growths",IF(J140=K140,"Importa direto","Ajustar tipo"))))</f>
        <v/>
      </c>
      <c r="M140" s="9"/>
    </row>
    <row r="141" customFormat="false" ht="15" hidden="false" customHeight="false" outlineLevel="0" collapsed="false">
      <c r="A141" s="7" t="str">
        <f aca="false">IF('Outro banco'!A141="","",IF(LEFT('Outro banco'!A141,1)="(","",'Outro banco'!A141))</f>
        <v/>
      </c>
      <c r="B141" s="7" t="str">
        <f aca="false">IF(A141="","",'Outro banco'!B141)</f>
        <v/>
      </c>
      <c r="C141" s="7" t="str">
        <f aca="false">IF(A141="","",'Outro banco'!C141)</f>
        <v/>
      </c>
      <c r="D141" s="7" t="str">
        <f aca="false">IF(A141="","",'Outro banco'!D141)</f>
        <v/>
      </c>
      <c r="E141" s="9"/>
      <c r="F141" s="9"/>
      <c r="G141" s="7" t="str">
        <f aca="false">IF(A141="","",IF(COUNTIF(Tabelas!$A:$A,IF(E141="",A141,E141))&gt;0,"sim","não"))</f>
        <v/>
      </c>
      <c r="H141" s="7" t="str">
        <f aca="false">IF(A141="","",IF(E141="",A141,E141)&amp;"."&amp;IF(F141="",B141,F141))</f>
        <v/>
      </c>
      <c r="I141" s="7" t="str">
        <f aca="false">IF(A141="","",IFERROR(INDEX('Campos Growths'!$F:$F,MATCH(H141,'Campos Growths'!$A:$A,0)),""))</f>
        <v/>
      </c>
      <c r="J141" s="7" t="str">
        <f aca="false">IF(A141="","",IFERROR(VLOOKUP(IF(ISNUMBER(SEARCH("(",C141)),LEFT(C141,SEARCH("(",C141)-1),C141),Tipos!$A:$B,2,FALSE()),"outro"))</f>
        <v/>
      </c>
      <c r="K141" s="7" t="str">
        <f aca="false">IF(I141="","",IFERROR(INDEX('Campos Growths'!$L:$L,MATCH(H141,'Campos Growths'!$A:$A,0)),""))</f>
        <v/>
      </c>
      <c r="L141" s="7" t="str">
        <f aca="false">IF(A141="","",IF(G141="não","Sem tabela no Growths",IF(I141="","Sem campo no Growths",IF(J141=K141,"Importa direto","Ajustar tipo"))))</f>
        <v/>
      </c>
      <c r="M141" s="9"/>
    </row>
    <row r="142" customFormat="false" ht="15" hidden="false" customHeight="false" outlineLevel="0" collapsed="false">
      <c r="A142" s="7" t="str">
        <f aca="false">IF('Outro banco'!A142="","",IF(LEFT('Outro banco'!A142,1)="(","",'Outro banco'!A142))</f>
        <v/>
      </c>
      <c r="B142" s="7" t="str">
        <f aca="false">IF(A142="","",'Outro banco'!B142)</f>
        <v/>
      </c>
      <c r="C142" s="7" t="str">
        <f aca="false">IF(A142="","",'Outro banco'!C142)</f>
        <v/>
      </c>
      <c r="D142" s="7" t="str">
        <f aca="false">IF(A142="","",'Outro banco'!D142)</f>
        <v/>
      </c>
      <c r="E142" s="9"/>
      <c r="F142" s="9"/>
      <c r="G142" s="7" t="str">
        <f aca="false">IF(A142="","",IF(COUNTIF(Tabelas!$A:$A,IF(E142="",A142,E142))&gt;0,"sim","não"))</f>
        <v/>
      </c>
      <c r="H142" s="7" t="str">
        <f aca="false">IF(A142="","",IF(E142="",A142,E142)&amp;"."&amp;IF(F142="",B142,F142))</f>
        <v/>
      </c>
      <c r="I142" s="7" t="str">
        <f aca="false">IF(A142="","",IFERROR(INDEX('Campos Growths'!$F:$F,MATCH(H142,'Campos Growths'!$A:$A,0)),""))</f>
        <v/>
      </c>
      <c r="J142" s="7" t="str">
        <f aca="false">IF(A142="","",IFERROR(VLOOKUP(IF(ISNUMBER(SEARCH("(",C142)),LEFT(C142,SEARCH("(",C142)-1),C142),Tipos!$A:$B,2,FALSE()),"outro"))</f>
        <v/>
      </c>
      <c r="K142" s="7" t="str">
        <f aca="false">IF(I142="","",IFERROR(INDEX('Campos Growths'!$L:$L,MATCH(H142,'Campos Growths'!$A:$A,0)),""))</f>
        <v/>
      </c>
      <c r="L142" s="7" t="str">
        <f aca="false">IF(A142="","",IF(G142="não","Sem tabela no Growths",IF(I142="","Sem campo no Growths",IF(J142=K142,"Importa direto","Ajustar tipo"))))</f>
        <v/>
      </c>
      <c r="M142" s="9"/>
    </row>
    <row r="143" customFormat="false" ht="15" hidden="false" customHeight="false" outlineLevel="0" collapsed="false">
      <c r="A143" s="7" t="str">
        <f aca="false">IF('Outro banco'!A143="","",IF(LEFT('Outro banco'!A143,1)="(","",'Outro banco'!A143))</f>
        <v/>
      </c>
      <c r="B143" s="7" t="str">
        <f aca="false">IF(A143="","",'Outro banco'!B143)</f>
        <v/>
      </c>
      <c r="C143" s="7" t="str">
        <f aca="false">IF(A143="","",'Outro banco'!C143)</f>
        <v/>
      </c>
      <c r="D143" s="7" t="str">
        <f aca="false">IF(A143="","",'Outro banco'!D143)</f>
        <v/>
      </c>
      <c r="E143" s="9"/>
      <c r="F143" s="9"/>
      <c r="G143" s="7" t="str">
        <f aca="false">IF(A143="","",IF(COUNTIF(Tabelas!$A:$A,IF(E143="",A143,E143))&gt;0,"sim","não"))</f>
        <v/>
      </c>
      <c r="H143" s="7" t="str">
        <f aca="false">IF(A143="","",IF(E143="",A143,E143)&amp;"."&amp;IF(F143="",B143,F143))</f>
        <v/>
      </c>
      <c r="I143" s="7" t="str">
        <f aca="false">IF(A143="","",IFERROR(INDEX('Campos Growths'!$F:$F,MATCH(H143,'Campos Growths'!$A:$A,0)),""))</f>
        <v/>
      </c>
      <c r="J143" s="7" t="str">
        <f aca="false">IF(A143="","",IFERROR(VLOOKUP(IF(ISNUMBER(SEARCH("(",C143)),LEFT(C143,SEARCH("(",C143)-1),C143),Tipos!$A:$B,2,FALSE()),"outro"))</f>
        <v/>
      </c>
      <c r="K143" s="7" t="str">
        <f aca="false">IF(I143="","",IFERROR(INDEX('Campos Growths'!$L:$L,MATCH(H143,'Campos Growths'!$A:$A,0)),""))</f>
        <v/>
      </c>
      <c r="L143" s="7" t="str">
        <f aca="false">IF(A143="","",IF(G143="não","Sem tabela no Growths",IF(I143="","Sem campo no Growths",IF(J143=K143,"Importa direto","Ajustar tipo"))))</f>
        <v/>
      </c>
      <c r="M143" s="9"/>
    </row>
    <row r="144" customFormat="false" ht="15" hidden="false" customHeight="false" outlineLevel="0" collapsed="false">
      <c r="A144" s="7" t="str">
        <f aca="false">IF('Outro banco'!A144="","",IF(LEFT('Outro banco'!A144,1)="(","",'Outro banco'!A144))</f>
        <v/>
      </c>
      <c r="B144" s="7" t="str">
        <f aca="false">IF(A144="","",'Outro banco'!B144)</f>
        <v/>
      </c>
      <c r="C144" s="7" t="str">
        <f aca="false">IF(A144="","",'Outro banco'!C144)</f>
        <v/>
      </c>
      <c r="D144" s="7" t="str">
        <f aca="false">IF(A144="","",'Outro banco'!D144)</f>
        <v/>
      </c>
      <c r="E144" s="9"/>
      <c r="F144" s="9"/>
      <c r="G144" s="7" t="str">
        <f aca="false">IF(A144="","",IF(COUNTIF(Tabelas!$A:$A,IF(E144="",A144,E144))&gt;0,"sim","não"))</f>
        <v/>
      </c>
      <c r="H144" s="7" t="str">
        <f aca="false">IF(A144="","",IF(E144="",A144,E144)&amp;"."&amp;IF(F144="",B144,F144))</f>
        <v/>
      </c>
      <c r="I144" s="7" t="str">
        <f aca="false">IF(A144="","",IFERROR(INDEX('Campos Growths'!$F:$F,MATCH(H144,'Campos Growths'!$A:$A,0)),""))</f>
        <v/>
      </c>
      <c r="J144" s="7" t="str">
        <f aca="false">IF(A144="","",IFERROR(VLOOKUP(IF(ISNUMBER(SEARCH("(",C144)),LEFT(C144,SEARCH("(",C144)-1),C144),Tipos!$A:$B,2,FALSE()),"outro"))</f>
        <v/>
      </c>
      <c r="K144" s="7" t="str">
        <f aca="false">IF(I144="","",IFERROR(INDEX('Campos Growths'!$L:$L,MATCH(H144,'Campos Growths'!$A:$A,0)),""))</f>
        <v/>
      </c>
      <c r="L144" s="7" t="str">
        <f aca="false">IF(A144="","",IF(G144="não","Sem tabela no Growths",IF(I144="","Sem campo no Growths",IF(J144=K144,"Importa direto","Ajustar tipo"))))</f>
        <v/>
      </c>
      <c r="M144" s="9"/>
    </row>
    <row r="145" customFormat="false" ht="15" hidden="false" customHeight="false" outlineLevel="0" collapsed="false">
      <c r="A145" s="7" t="str">
        <f aca="false">IF('Outro banco'!A145="","",IF(LEFT('Outro banco'!A145,1)="(","",'Outro banco'!A145))</f>
        <v/>
      </c>
      <c r="B145" s="7" t="str">
        <f aca="false">IF(A145="","",'Outro banco'!B145)</f>
        <v/>
      </c>
      <c r="C145" s="7" t="str">
        <f aca="false">IF(A145="","",'Outro banco'!C145)</f>
        <v/>
      </c>
      <c r="D145" s="7" t="str">
        <f aca="false">IF(A145="","",'Outro banco'!D145)</f>
        <v/>
      </c>
      <c r="E145" s="9"/>
      <c r="F145" s="9"/>
      <c r="G145" s="7" t="str">
        <f aca="false">IF(A145="","",IF(COUNTIF(Tabelas!$A:$A,IF(E145="",A145,E145))&gt;0,"sim","não"))</f>
        <v/>
      </c>
      <c r="H145" s="7" t="str">
        <f aca="false">IF(A145="","",IF(E145="",A145,E145)&amp;"."&amp;IF(F145="",B145,F145))</f>
        <v/>
      </c>
      <c r="I145" s="7" t="str">
        <f aca="false">IF(A145="","",IFERROR(INDEX('Campos Growths'!$F:$F,MATCH(H145,'Campos Growths'!$A:$A,0)),""))</f>
        <v/>
      </c>
      <c r="J145" s="7" t="str">
        <f aca="false">IF(A145="","",IFERROR(VLOOKUP(IF(ISNUMBER(SEARCH("(",C145)),LEFT(C145,SEARCH("(",C145)-1),C145),Tipos!$A:$B,2,FALSE()),"outro"))</f>
        <v/>
      </c>
      <c r="K145" s="7" t="str">
        <f aca="false">IF(I145="","",IFERROR(INDEX('Campos Growths'!$L:$L,MATCH(H145,'Campos Growths'!$A:$A,0)),""))</f>
        <v/>
      </c>
      <c r="L145" s="7" t="str">
        <f aca="false">IF(A145="","",IF(G145="não","Sem tabela no Growths",IF(I145="","Sem campo no Growths",IF(J145=K145,"Importa direto","Ajustar tipo"))))</f>
        <v/>
      </c>
      <c r="M145" s="9"/>
    </row>
    <row r="146" customFormat="false" ht="15" hidden="false" customHeight="false" outlineLevel="0" collapsed="false">
      <c r="A146" s="7" t="str">
        <f aca="false">IF('Outro banco'!A146="","",IF(LEFT('Outro banco'!A146,1)="(","",'Outro banco'!A146))</f>
        <v/>
      </c>
      <c r="B146" s="7" t="str">
        <f aca="false">IF(A146="","",'Outro banco'!B146)</f>
        <v/>
      </c>
      <c r="C146" s="7" t="str">
        <f aca="false">IF(A146="","",'Outro banco'!C146)</f>
        <v/>
      </c>
      <c r="D146" s="7" t="str">
        <f aca="false">IF(A146="","",'Outro banco'!D146)</f>
        <v/>
      </c>
      <c r="E146" s="9"/>
      <c r="F146" s="9"/>
      <c r="G146" s="7" t="str">
        <f aca="false">IF(A146="","",IF(COUNTIF(Tabelas!$A:$A,IF(E146="",A146,E146))&gt;0,"sim","não"))</f>
        <v/>
      </c>
      <c r="H146" s="7" t="str">
        <f aca="false">IF(A146="","",IF(E146="",A146,E146)&amp;"."&amp;IF(F146="",B146,F146))</f>
        <v/>
      </c>
      <c r="I146" s="7" t="str">
        <f aca="false">IF(A146="","",IFERROR(INDEX('Campos Growths'!$F:$F,MATCH(H146,'Campos Growths'!$A:$A,0)),""))</f>
        <v/>
      </c>
      <c r="J146" s="7" t="str">
        <f aca="false">IF(A146="","",IFERROR(VLOOKUP(IF(ISNUMBER(SEARCH("(",C146)),LEFT(C146,SEARCH("(",C146)-1),C146),Tipos!$A:$B,2,FALSE()),"outro"))</f>
        <v/>
      </c>
      <c r="K146" s="7" t="str">
        <f aca="false">IF(I146="","",IFERROR(INDEX('Campos Growths'!$L:$L,MATCH(H146,'Campos Growths'!$A:$A,0)),""))</f>
        <v/>
      </c>
      <c r="L146" s="7" t="str">
        <f aca="false">IF(A146="","",IF(G146="não","Sem tabela no Growths",IF(I146="","Sem campo no Growths",IF(J146=K146,"Importa direto","Ajustar tipo"))))</f>
        <v/>
      </c>
      <c r="M146" s="9"/>
    </row>
    <row r="147" customFormat="false" ht="15" hidden="false" customHeight="false" outlineLevel="0" collapsed="false">
      <c r="A147" s="7" t="str">
        <f aca="false">IF('Outro banco'!A147="","",IF(LEFT('Outro banco'!A147,1)="(","",'Outro banco'!A147))</f>
        <v/>
      </c>
      <c r="B147" s="7" t="str">
        <f aca="false">IF(A147="","",'Outro banco'!B147)</f>
        <v/>
      </c>
      <c r="C147" s="7" t="str">
        <f aca="false">IF(A147="","",'Outro banco'!C147)</f>
        <v/>
      </c>
      <c r="D147" s="7" t="str">
        <f aca="false">IF(A147="","",'Outro banco'!D147)</f>
        <v/>
      </c>
      <c r="E147" s="9"/>
      <c r="F147" s="9"/>
      <c r="G147" s="7" t="str">
        <f aca="false">IF(A147="","",IF(COUNTIF(Tabelas!$A:$A,IF(E147="",A147,E147))&gt;0,"sim","não"))</f>
        <v/>
      </c>
      <c r="H147" s="7" t="str">
        <f aca="false">IF(A147="","",IF(E147="",A147,E147)&amp;"."&amp;IF(F147="",B147,F147))</f>
        <v/>
      </c>
      <c r="I147" s="7" t="str">
        <f aca="false">IF(A147="","",IFERROR(INDEX('Campos Growths'!$F:$F,MATCH(H147,'Campos Growths'!$A:$A,0)),""))</f>
        <v/>
      </c>
      <c r="J147" s="7" t="str">
        <f aca="false">IF(A147="","",IFERROR(VLOOKUP(IF(ISNUMBER(SEARCH("(",C147)),LEFT(C147,SEARCH("(",C147)-1),C147),Tipos!$A:$B,2,FALSE()),"outro"))</f>
        <v/>
      </c>
      <c r="K147" s="7" t="str">
        <f aca="false">IF(I147="","",IFERROR(INDEX('Campos Growths'!$L:$L,MATCH(H147,'Campos Growths'!$A:$A,0)),""))</f>
        <v/>
      </c>
      <c r="L147" s="7" t="str">
        <f aca="false">IF(A147="","",IF(G147="não","Sem tabela no Growths",IF(I147="","Sem campo no Growths",IF(J147=K147,"Importa direto","Ajustar tipo"))))</f>
        <v/>
      </c>
      <c r="M147" s="9"/>
    </row>
    <row r="148" customFormat="false" ht="15" hidden="false" customHeight="false" outlineLevel="0" collapsed="false">
      <c r="A148" s="7" t="str">
        <f aca="false">IF('Outro banco'!A148="","",IF(LEFT('Outro banco'!A148,1)="(","",'Outro banco'!A148))</f>
        <v/>
      </c>
      <c r="B148" s="7" t="str">
        <f aca="false">IF(A148="","",'Outro banco'!B148)</f>
        <v/>
      </c>
      <c r="C148" s="7" t="str">
        <f aca="false">IF(A148="","",'Outro banco'!C148)</f>
        <v/>
      </c>
      <c r="D148" s="7" t="str">
        <f aca="false">IF(A148="","",'Outro banco'!D148)</f>
        <v/>
      </c>
      <c r="E148" s="9"/>
      <c r="F148" s="9"/>
      <c r="G148" s="7" t="str">
        <f aca="false">IF(A148="","",IF(COUNTIF(Tabelas!$A:$A,IF(E148="",A148,E148))&gt;0,"sim","não"))</f>
        <v/>
      </c>
      <c r="H148" s="7" t="str">
        <f aca="false">IF(A148="","",IF(E148="",A148,E148)&amp;"."&amp;IF(F148="",B148,F148))</f>
        <v/>
      </c>
      <c r="I148" s="7" t="str">
        <f aca="false">IF(A148="","",IFERROR(INDEX('Campos Growths'!$F:$F,MATCH(H148,'Campos Growths'!$A:$A,0)),""))</f>
        <v/>
      </c>
      <c r="J148" s="7" t="str">
        <f aca="false">IF(A148="","",IFERROR(VLOOKUP(IF(ISNUMBER(SEARCH("(",C148)),LEFT(C148,SEARCH("(",C148)-1),C148),Tipos!$A:$B,2,FALSE()),"outro"))</f>
        <v/>
      </c>
      <c r="K148" s="7" t="str">
        <f aca="false">IF(I148="","",IFERROR(INDEX('Campos Growths'!$L:$L,MATCH(H148,'Campos Growths'!$A:$A,0)),""))</f>
        <v/>
      </c>
      <c r="L148" s="7" t="str">
        <f aca="false">IF(A148="","",IF(G148="não","Sem tabela no Growths",IF(I148="","Sem campo no Growths",IF(J148=K148,"Importa direto","Ajustar tipo"))))</f>
        <v/>
      </c>
      <c r="M148" s="9"/>
    </row>
    <row r="149" customFormat="false" ht="15" hidden="false" customHeight="false" outlineLevel="0" collapsed="false">
      <c r="A149" s="7" t="str">
        <f aca="false">IF('Outro banco'!A149="","",IF(LEFT('Outro banco'!A149,1)="(","",'Outro banco'!A149))</f>
        <v/>
      </c>
      <c r="B149" s="7" t="str">
        <f aca="false">IF(A149="","",'Outro banco'!B149)</f>
        <v/>
      </c>
      <c r="C149" s="7" t="str">
        <f aca="false">IF(A149="","",'Outro banco'!C149)</f>
        <v/>
      </c>
      <c r="D149" s="7" t="str">
        <f aca="false">IF(A149="","",'Outro banco'!D149)</f>
        <v/>
      </c>
      <c r="E149" s="9"/>
      <c r="F149" s="9"/>
      <c r="G149" s="7" t="str">
        <f aca="false">IF(A149="","",IF(COUNTIF(Tabelas!$A:$A,IF(E149="",A149,E149))&gt;0,"sim","não"))</f>
        <v/>
      </c>
      <c r="H149" s="7" t="str">
        <f aca="false">IF(A149="","",IF(E149="",A149,E149)&amp;"."&amp;IF(F149="",B149,F149))</f>
        <v/>
      </c>
      <c r="I149" s="7" t="str">
        <f aca="false">IF(A149="","",IFERROR(INDEX('Campos Growths'!$F:$F,MATCH(H149,'Campos Growths'!$A:$A,0)),""))</f>
        <v/>
      </c>
      <c r="J149" s="7" t="str">
        <f aca="false">IF(A149="","",IFERROR(VLOOKUP(IF(ISNUMBER(SEARCH("(",C149)),LEFT(C149,SEARCH("(",C149)-1),C149),Tipos!$A:$B,2,FALSE()),"outro"))</f>
        <v/>
      </c>
      <c r="K149" s="7" t="str">
        <f aca="false">IF(I149="","",IFERROR(INDEX('Campos Growths'!$L:$L,MATCH(H149,'Campos Growths'!$A:$A,0)),""))</f>
        <v/>
      </c>
      <c r="L149" s="7" t="str">
        <f aca="false">IF(A149="","",IF(G149="não","Sem tabela no Growths",IF(I149="","Sem campo no Growths",IF(J149=K149,"Importa direto","Ajustar tipo"))))</f>
        <v/>
      </c>
      <c r="M149" s="9"/>
    </row>
    <row r="150" customFormat="false" ht="15" hidden="false" customHeight="false" outlineLevel="0" collapsed="false">
      <c r="A150" s="7" t="str">
        <f aca="false">IF('Outro banco'!A150="","",IF(LEFT('Outro banco'!A150,1)="(","",'Outro banco'!A150))</f>
        <v/>
      </c>
      <c r="B150" s="7" t="str">
        <f aca="false">IF(A150="","",'Outro banco'!B150)</f>
        <v/>
      </c>
      <c r="C150" s="7" t="str">
        <f aca="false">IF(A150="","",'Outro banco'!C150)</f>
        <v/>
      </c>
      <c r="D150" s="7" t="str">
        <f aca="false">IF(A150="","",'Outro banco'!D150)</f>
        <v/>
      </c>
      <c r="E150" s="9"/>
      <c r="F150" s="9"/>
      <c r="G150" s="7" t="str">
        <f aca="false">IF(A150="","",IF(COUNTIF(Tabelas!$A:$A,IF(E150="",A150,E150))&gt;0,"sim","não"))</f>
        <v/>
      </c>
      <c r="H150" s="7" t="str">
        <f aca="false">IF(A150="","",IF(E150="",A150,E150)&amp;"."&amp;IF(F150="",B150,F150))</f>
        <v/>
      </c>
      <c r="I150" s="7" t="str">
        <f aca="false">IF(A150="","",IFERROR(INDEX('Campos Growths'!$F:$F,MATCH(H150,'Campos Growths'!$A:$A,0)),""))</f>
        <v/>
      </c>
      <c r="J150" s="7" t="str">
        <f aca="false">IF(A150="","",IFERROR(VLOOKUP(IF(ISNUMBER(SEARCH("(",C150)),LEFT(C150,SEARCH("(",C150)-1),C150),Tipos!$A:$B,2,FALSE()),"outro"))</f>
        <v/>
      </c>
      <c r="K150" s="7" t="str">
        <f aca="false">IF(I150="","",IFERROR(INDEX('Campos Growths'!$L:$L,MATCH(H150,'Campos Growths'!$A:$A,0)),""))</f>
        <v/>
      </c>
      <c r="L150" s="7" t="str">
        <f aca="false">IF(A150="","",IF(G150="não","Sem tabela no Growths",IF(I150="","Sem campo no Growths",IF(J150=K150,"Importa direto","Ajustar tipo"))))</f>
        <v/>
      </c>
      <c r="M150" s="9"/>
    </row>
    <row r="151" customFormat="false" ht="15" hidden="false" customHeight="false" outlineLevel="0" collapsed="false">
      <c r="A151" s="7" t="str">
        <f aca="false">IF('Outro banco'!A151="","",IF(LEFT('Outro banco'!A151,1)="(","",'Outro banco'!A151))</f>
        <v/>
      </c>
      <c r="B151" s="7" t="str">
        <f aca="false">IF(A151="","",'Outro banco'!B151)</f>
        <v/>
      </c>
      <c r="C151" s="7" t="str">
        <f aca="false">IF(A151="","",'Outro banco'!C151)</f>
        <v/>
      </c>
      <c r="D151" s="7" t="str">
        <f aca="false">IF(A151="","",'Outro banco'!D151)</f>
        <v/>
      </c>
      <c r="E151" s="9"/>
      <c r="F151" s="9"/>
      <c r="G151" s="7" t="str">
        <f aca="false">IF(A151="","",IF(COUNTIF(Tabelas!$A:$A,IF(E151="",A151,E151))&gt;0,"sim","não"))</f>
        <v/>
      </c>
      <c r="H151" s="7" t="str">
        <f aca="false">IF(A151="","",IF(E151="",A151,E151)&amp;"."&amp;IF(F151="",B151,F151))</f>
        <v/>
      </c>
      <c r="I151" s="7" t="str">
        <f aca="false">IF(A151="","",IFERROR(INDEX('Campos Growths'!$F:$F,MATCH(H151,'Campos Growths'!$A:$A,0)),""))</f>
        <v/>
      </c>
      <c r="J151" s="7" t="str">
        <f aca="false">IF(A151="","",IFERROR(VLOOKUP(IF(ISNUMBER(SEARCH("(",C151)),LEFT(C151,SEARCH("(",C151)-1),C151),Tipos!$A:$B,2,FALSE()),"outro"))</f>
        <v/>
      </c>
      <c r="K151" s="7" t="str">
        <f aca="false">IF(I151="","",IFERROR(INDEX('Campos Growths'!$L:$L,MATCH(H151,'Campos Growths'!$A:$A,0)),""))</f>
        <v/>
      </c>
      <c r="L151" s="7" t="str">
        <f aca="false">IF(A151="","",IF(G151="não","Sem tabela no Growths",IF(I151="","Sem campo no Growths",IF(J151=K151,"Importa direto","Ajustar tipo"))))</f>
        <v/>
      </c>
      <c r="M151" s="9"/>
    </row>
    <row r="152" customFormat="false" ht="15" hidden="false" customHeight="false" outlineLevel="0" collapsed="false">
      <c r="A152" s="7" t="str">
        <f aca="false">IF('Outro banco'!A152="","",IF(LEFT('Outro banco'!A152,1)="(","",'Outro banco'!A152))</f>
        <v/>
      </c>
      <c r="B152" s="7" t="str">
        <f aca="false">IF(A152="","",'Outro banco'!B152)</f>
        <v/>
      </c>
      <c r="C152" s="7" t="str">
        <f aca="false">IF(A152="","",'Outro banco'!C152)</f>
        <v/>
      </c>
      <c r="D152" s="7" t="str">
        <f aca="false">IF(A152="","",'Outro banco'!D152)</f>
        <v/>
      </c>
      <c r="E152" s="9"/>
      <c r="F152" s="9"/>
      <c r="G152" s="7" t="str">
        <f aca="false">IF(A152="","",IF(COUNTIF(Tabelas!$A:$A,IF(E152="",A152,E152))&gt;0,"sim","não"))</f>
        <v/>
      </c>
      <c r="H152" s="7" t="str">
        <f aca="false">IF(A152="","",IF(E152="",A152,E152)&amp;"."&amp;IF(F152="",B152,F152))</f>
        <v/>
      </c>
      <c r="I152" s="7" t="str">
        <f aca="false">IF(A152="","",IFERROR(INDEX('Campos Growths'!$F:$F,MATCH(H152,'Campos Growths'!$A:$A,0)),""))</f>
        <v/>
      </c>
      <c r="J152" s="7" t="str">
        <f aca="false">IF(A152="","",IFERROR(VLOOKUP(IF(ISNUMBER(SEARCH("(",C152)),LEFT(C152,SEARCH("(",C152)-1),C152),Tipos!$A:$B,2,FALSE()),"outro"))</f>
        <v/>
      </c>
      <c r="K152" s="7" t="str">
        <f aca="false">IF(I152="","",IFERROR(INDEX('Campos Growths'!$L:$L,MATCH(H152,'Campos Growths'!$A:$A,0)),""))</f>
        <v/>
      </c>
      <c r="L152" s="7" t="str">
        <f aca="false">IF(A152="","",IF(G152="não","Sem tabela no Growths",IF(I152="","Sem campo no Growths",IF(J152=K152,"Importa direto","Ajustar tipo"))))</f>
        <v/>
      </c>
      <c r="M152" s="9"/>
    </row>
    <row r="153" customFormat="false" ht="15" hidden="false" customHeight="false" outlineLevel="0" collapsed="false">
      <c r="A153" s="7" t="str">
        <f aca="false">IF('Outro banco'!A153="","",IF(LEFT('Outro banco'!A153,1)="(","",'Outro banco'!A153))</f>
        <v/>
      </c>
      <c r="B153" s="7" t="str">
        <f aca="false">IF(A153="","",'Outro banco'!B153)</f>
        <v/>
      </c>
      <c r="C153" s="7" t="str">
        <f aca="false">IF(A153="","",'Outro banco'!C153)</f>
        <v/>
      </c>
      <c r="D153" s="7" t="str">
        <f aca="false">IF(A153="","",'Outro banco'!D153)</f>
        <v/>
      </c>
      <c r="E153" s="9"/>
      <c r="F153" s="9"/>
      <c r="G153" s="7" t="str">
        <f aca="false">IF(A153="","",IF(COUNTIF(Tabelas!$A:$A,IF(E153="",A153,E153))&gt;0,"sim","não"))</f>
        <v/>
      </c>
      <c r="H153" s="7" t="str">
        <f aca="false">IF(A153="","",IF(E153="",A153,E153)&amp;"."&amp;IF(F153="",B153,F153))</f>
        <v/>
      </c>
      <c r="I153" s="7" t="str">
        <f aca="false">IF(A153="","",IFERROR(INDEX('Campos Growths'!$F:$F,MATCH(H153,'Campos Growths'!$A:$A,0)),""))</f>
        <v/>
      </c>
      <c r="J153" s="7" t="str">
        <f aca="false">IF(A153="","",IFERROR(VLOOKUP(IF(ISNUMBER(SEARCH("(",C153)),LEFT(C153,SEARCH("(",C153)-1),C153),Tipos!$A:$B,2,FALSE()),"outro"))</f>
        <v/>
      </c>
      <c r="K153" s="7" t="str">
        <f aca="false">IF(I153="","",IFERROR(INDEX('Campos Growths'!$L:$L,MATCH(H153,'Campos Growths'!$A:$A,0)),""))</f>
        <v/>
      </c>
      <c r="L153" s="7" t="str">
        <f aca="false">IF(A153="","",IF(G153="não","Sem tabela no Growths",IF(I153="","Sem campo no Growths",IF(J153=K153,"Importa direto","Ajustar tipo"))))</f>
        <v/>
      </c>
      <c r="M153" s="9"/>
    </row>
    <row r="154" customFormat="false" ht="15" hidden="false" customHeight="false" outlineLevel="0" collapsed="false">
      <c r="A154" s="7" t="str">
        <f aca="false">IF('Outro banco'!A154="","",IF(LEFT('Outro banco'!A154,1)="(","",'Outro banco'!A154))</f>
        <v/>
      </c>
      <c r="B154" s="7" t="str">
        <f aca="false">IF(A154="","",'Outro banco'!B154)</f>
        <v/>
      </c>
      <c r="C154" s="7" t="str">
        <f aca="false">IF(A154="","",'Outro banco'!C154)</f>
        <v/>
      </c>
      <c r="D154" s="7" t="str">
        <f aca="false">IF(A154="","",'Outro banco'!D154)</f>
        <v/>
      </c>
      <c r="E154" s="9"/>
      <c r="F154" s="9"/>
      <c r="G154" s="7" t="str">
        <f aca="false">IF(A154="","",IF(COUNTIF(Tabelas!$A:$A,IF(E154="",A154,E154))&gt;0,"sim","não"))</f>
        <v/>
      </c>
      <c r="H154" s="7" t="str">
        <f aca="false">IF(A154="","",IF(E154="",A154,E154)&amp;"."&amp;IF(F154="",B154,F154))</f>
        <v/>
      </c>
      <c r="I154" s="7" t="str">
        <f aca="false">IF(A154="","",IFERROR(INDEX('Campos Growths'!$F:$F,MATCH(H154,'Campos Growths'!$A:$A,0)),""))</f>
        <v/>
      </c>
      <c r="J154" s="7" t="str">
        <f aca="false">IF(A154="","",IFERROR(VLOOKUP(IF(ISNUMBER(SEARCH("(",C154)),LEFT(C154,SEARCH("(",C154)-1),C154),Tipos!$A:$B,2,FALSE()),"outro"))</f>
        <v/>
      </c>
      <c r="K154" s="7" t="str">
        <f aca="false">IF(I154="","",IFERROR(INDEX('Campos Growths'!$L:$L,MATCH(H154,'Campos Growths'!$A:$A,0)),""))</f>
        <v/>
      </c>
      <c r="L154" s="7" t="str">
        <f aca="false">IF(A154="","",IF(G154="não","Sem tabela no Growths",IF(I154="","Sem campo no Growths",IF(J154=K154,"Importa direto","Ajustar tipo"))))</f>
        <v/>
      </c>
      <c r="M154" s="9"/>
    </row>
    <row r="155" customFormat="false" ht="15" hidden="false" customHeight="false" outlineLevel="0" collapsed="false">
      <c r="A155" s="7" t="str">
        <f aca="false">IF('Outro banco'!A155="","",IF(LEFT('Outro banco'!A155,1)="(","",'Outro banco'!A155))</f>
        <v/>
      </c>
      <c r="B155" s="7" t="str">
        <f aca="false">IF(A155="","",'Outro banco'!B155)</f>
        <v/>
      </c>
      <c r="C155" s="7" t="str">
        <f aca="false">IF(A155="","",'Outro banco'!C155)</f>
        <v/>
      </c>
      <c r="D155" s="7" t="str">
        <f aca="false">IF(A155="","",'Outro banco'!D155)</f>
        <v/>
      </c>
      <c r="E155" s="9"/>
      <c r="F155" s="9"/>
      <c r="G155" s="7" t="str">
        <f aca="false">IF(A155="","",IF(COUNTIF(Tabelas!$A:$A,IF(E155="",A155,E155))&gt;0,"sim","não"))</f>
        <v/>
      </c>
      <c r="H155" s="7" t="str">
        <f aca="false">IF(A155="","",IF(E155="",A155,E155)&amp;"."&amp;IF(F155="",B155,F155))</f>
        <v/>
      </c>
      <c r="I155" s="7" t="str">
        <f aca="false">IF(A155="","",IFERROR(INDEX('Campos Growths'!$F:$F,MATCH(H155,'Campos Growths'!$A:$A,0)),""))</f>
        <v/>
      </c>
      <c r="J155" s="7" t="str">
        <f aca="false">IF(A155="","",IFERROR(VLOOKUP(IF(ISNUMBER(SEARCH("(",C155)),LEFT(C155,SEARCH("(",C155)-1),C155),Tipos!$A:$B,2,FALSE()),"outro"))</f>
        <v/>
      </c>
      <c r="K155" s="7" t="str">
        <f aca="false">IF(I155="","",IFERROR(INDEX('Campos Growths'!$L:$L,MATCH(H155,'Campos Growths'!$A:$A,0)),""))</f>
        <v/>
      </c>
      <c r="L155" s="7" t="str">
        <f aca="false">IF(A155="","",IF(G155="não","Sem tabela no Growths",IF(I155="","Sem campo no Growths",IF(J155=K155,"Importa direto","Ajustar tipo"))))</f>
        <v/>
      </c>
      <c r="M155" s="9"/>
    </row>
    <row r="156" customFormat="false" ht="15" hidden="false" customHeight="false" outlineLevel="0" collapsed="false">
      <c r="A156" s="7" t="str">
        <f aca="false">IF('Outro banco'!A156="","",IF(LEFT('Outro banco'!A156,1)="(","",'Outro banco'!A156))</f>
        <v/>
      </c>
      <c r="B156" s="7" t="str">
        <f aca="false">IF(A156="","",'Outro banco'!B156)</f>
        <v/>
      </c>
      <c r="C156" s="7" t="str">
        <f aca="false">IF(A156="","",'Outro banco'!C156)</f>
        <v/>
      </c>
      <c r="D156" s="7" t="str">
        <f aca="false">IF(A156="","",'Outro banco'!D156)</f>
        <v/>
      </c>
      <c r="E156" s="9"/>
      <c r="F156" s="9"/>
      <c r="G156" s="7" t="str">
        <f aca="false">IF(A156="","",IF(COUNTIF(Tabelas!$A:$A,IF(E156="",A156,E156))&gt;0,"sim","não"))</f>
        <v/>
      </c>
      <c r="H156" s="7" t="str">
        <f aca="false">IF(A156="","",IF(E156="",A156,E156)&amp;"."&amp;IF(F156="",B156,F156))</f>
        <v/>
      </c>
      <c r="I156" s="7" t="str">
        <f aca="false">IF(A156="","",IFERROR(INDEX('Campos Growths'!$F:$F,MATCH(H156,'Campos Growths'!$A:$A,0)),""))</f>
        <v/>
      </c>
      <c r="J156" s="7" t="str">
        <f aca="false">IF(A156="","",IFERROR(VLOOKUP(IF(ISNUMBER(SEARCH("(",C156)),LEFT(C156,SEARCH("(",C156)-1),C156),Tipos!$A:$B,2,FALSE()),"outro"))</f>
        <v/>
      </c>
      <c r="K156" s="7" t="str">
        <f aca="false">IF(I156="","",IFERROR(INDEX('Campos Growths'!$L:$L,MATCH(H156,'Campos Growths'!$A:$A,0)),""))</f>
        <v/>
      </c>
      <c r="L156" s="7" t="str">
        <f aca="false">IF(A156="","",IF(G156="não","Sem tabela no Growths",IF(I156="","Sem campo no Growths",IF(J156=K156,"Importa direto","Ajustar tipo"))))</f>
        <v/>
      </c>
      <c r="M156" s="9"/>
    </row>
    <row r="157" customFormat="false" ht="15" hidden="false" customHeight="false" outlineLevel="0" collapsed="false">
      <c r="A157" s="7" t="str">
        <f aca="false">IF('Outro banco'!A157="","",IF(LEFT('Outro banco'!A157,1)="(","",'Outro banco'!A157))</f>
        <v/>
      </c>
      <c r="B157" s="7" t="str">
        <f aca="false">IF(A157="","",'Outro banco'!B157)</f>
        <v/>
      </c>
      <c r="C157" s="7" t="str">
        <f aca="false">IF(A157="","",'Outro banco'!C157)</f>
        <v/>
      </c>
      <c r="D157" s="7" t="str">
        <f aca="false">IF(A157="","",'Outro banco'!D157)</f>
        <v/>
      </c>
      <c r="E157" s="9"/>
      <c r="F157" s="9"/>
      <c r="G157" s="7" t="str">
        <f aca="false">IF(A157="","",IF(COUNTIF(Tabelas!$A:$A,IF(E157="",A157,E157))&gt;0,"sim","não"))</f>
        <v/>
      </c>
      <c r="H157" s="7" t="str">
        <f aca="false">IF(A157="","",IF(E157="",A157,E157)&amp;"."&amp;IF(F157="",B157,F157))</f>
        <v/>
      </c>
      <c r="I157" s="7" t="str">
        <f aca="false">IF(A157="","",IFERROR(INDEX('Campos Growths'!$F:$F,MATCH(H157,'Campos Growths'!$A:$A,0)),""))</f>
        <v/>
      </c>
      <c r="J157" s="7" t="str">
        <f aca="false">IF(A157="","",IFERROR(VLOOKUP(IF(ISNUMBER(SEARCH("(",C157)),LEFT(C157,SEARCH("(",C157)-1),C157),Tipos!$A:$B,2,FALSE()),"outro"))</f>
        <v/>
      </c>
      <c r="K157" s="7" t="str">
        <f aca="false">IF(I157="","",IFERROR(INDEX('Campos Growths'!$L:$L,MATCH(H157,'Campos Growths'!$A:$A,0)),""))</f>
        <v/>
      </c>
      <c r="L157" s="7" t="str">
        <f aca="false">IF(A157="","",IF(G157="não","Sem tabela no Growths",IF(I157="","Sem campo no Growths",IF(J157=K157,"Importa direto","Ajustar tipo"))))</f>
        <v/>
      </c>
      <c r="M157" s="9"/>
    </row>
    <row r="158" customFormat="false" ht="15" hidden="false" customHeight="false" outlineLevel="0" collapsed="false">
      <c r="A158" s="7" t="str">
        <f aca="false">IF('Outro banco'!A158="","",IF(LEFT('Outro banco'!A158,1)="(","",'Outro banco'!A158))</f>
        <v/>
      </c>
      <c r="B158" s="7" t="str">
        <f aca="false">IF(A158="","",'Outro banco'!B158)</f>
        <v/>
      </c>
      <c r="C158" s="7" t="str">
        <f aca="false">IF(A158="","",'Outro banco'!C158)</f>
        <v/>
      </c>
      <c r="D158" s="7" t="str">
        <f aca="false">IF(A158="","",'Outro banco'!D158)</f>
        <v/>
      </c>
      <c r="E158" s="9"/>
      <c r="F158" s="9"/>
      <c r="G158" s="7" t="str">
        <f aca="false">IF(A158="","",IF(COUNTIF(Tabelas!$A:$A,IF(E158="",A158,E158))&gt;0,"sim","não"))</f>
        <v/>
      </c>
      <c r="H158" s="7" t="str">
        <f aca="false">IF(A158="","",IF(E158="",A158,E158)&amp;"."&amp;IF(F158="",B158,F158))</f>
        <v/>
      </c>
      <c r="I158" s="7" t="str">
        <f aca="false">IF(A158="","",IFERROR(INDEX('Campos Growths'!$F:$F,MATCH(H158,'Campos Growths'!$A:$A,0)),""))</f>
        <v/>
      </c>
      <c r="J158" s="7" t="str">
        <f aca="false">IF(A158="","",IFERROR(VLOOKUP(IF(ISNUMBER(SEARCH("(",C158)),LEFT(C158,SEARCH("(",C158)-1),C158),Tipos!$A:$B,2,FALSE()),"outro"))</f>
        <v/>
      </c>
      <c r="K158" s="7" t="str">
        <f aca="false">IF(I158="","",IFERROR(INDEX('Campos Growths'!$L:$L,MATCH(H158,'Campos Growths'!$A:$A,0)),""))</f>
        <v/>
      </c>
      <c r="L158" s="7" t="str">
        <f aca="false">IF(A158="","",IF(G158="não","Sem tabela no Growths",IF(I158="","Sem campo no Growths",IF(J158=K158,"Importa direto","Ajustar tipo"))))</f>
        <v/>
      </c>
      <c r="M158" s="9"/>
    </row>
    <row r="159" customFormat="false" ht="15" hidden="false" customHeight="false" outlineLevel="0" collapsed="false">
      <c r="A159" s="7" t="str">
        <f aca="false">IF('Outro banco'!A159="","",IF(LEFT('Outro banco'!A159,1)="(","",'Outro banco'!A159))</f>
        <v/>
      </c>
      <c r="B159" s="7" t="str">
        <f aca="false">IF(A159="","",'Outro banco'!B159)</f>
        <v/>
      </c>
      <c r="C159" s="7" t="str">
        <f aca="false">IF(A159="","",'Outro banco'!C159)</f>
        <v/>
      </c>
      <c r="D159" s="7" t="str">
        <f aca="false">IF(A159="","",'Outro banco'!D159)</f>
        <v/>
      </c>
      <c r="E159" s="9"/>
      <c r="F159" s="9"/>
      <c r="G159" s="7" t="str">
        <f aca="false">IF(A159="","",IF(COUNTIF(Tabelas!$A:$A,IF(E159="",A159,E159))&gt;0,"sim","não"))</f>
        <v/>
      </c>
      <c r="H159" s="7" t="str">
        <f aca="false">IF(A159="","",IF(E159="",A159,E159)&amp;"."&amp;IF(F159="",B159,F159))</f>
        <v/>
      </c>
      <c r="I159" s="7" t="str">
        <f aca="false">IF(A159="","",IFERROR(INDEX('Campos Growths'!$F:$F,MATCH(H159,'Campos Growths'!$A:$A,0)),""))</f>
        <v/>
      </c>
      <c r="J159" s="7" t="str">
        <f aca="false">IF(A159="","",IFERROR(VLOOKUP(IF(ISNUMBER(SEARCH("(",C159)),LEFT(C159,SEARCH("(",C159)-1),C159),Tipos!$A:$B,2,FALSE()),"outro"))</f>
        <v/>
      </c>
      <c r="K159" s="7" t="str">
        <f aca="false">IF(I159="","",IFERROR(INDEX('Campos Growths'!$L:$L,MATCH(H159,'Campos Growths'!$A:$A,0)),""))</f>
        <v/>
      </c>
      <c r="L159" s="7" t="str">
        <f aca="false">IF(A159="","",IF(G159="não","Sem tabela no Growths",IF(I159="","Sem campo no Growths",IF(J159=K159,"Importa direto","Ajustar tipo"))))</f>
        <v/>
      </c>
      <c r="M159" s="9"/>
    </row>
    <row r="160" customFormat="false" ht="15" hidden="false" customHeight="false" outlineLevel="0" collapsed="false">
      <c r="A160" s="7" t="str">
        <f aca="false">IF('Outro banco'!A160="","",IF(LEFT('Outro banco'!A160,1)="(","",'Outro banco'!A160))</f>
        <v/>
      </c>
      <c r="B160" s="7" t="str">
        <f aca="false">IF(A160="","",'Outro banco'!B160)</f>
        <v/>
      </c>
      <c r="C160" s="7" t="str">
        <f aca="false">IF(A160="","",'Outro banco'!C160)</f>
        <v/>
      </c>
      <c r="D160" s="7" t="str">
        <f aca="false">IF(A160="","",'Outro banco'!D160)</f>
        <v/>
      </c>
      <c r="E160" s="9"/>
      <c r="F160" s="9"/>
      <c r="G160" s="7" t="str">
        <f aca="false">IF(A160="","",IF(COUNTIF(Tabelas!$A:$A,IF(E160="",A160,E160))&gt;0,"sim","não"))</f>
        <v/>
      </c>
      <c r="H160" s="7" t="str">
        <f aca="false">IF(A160="","",IF(E160="",A160,E160)&amp;"."&amp;IF(F160="",B160,F160))</f>
        <v/>
      </c>
      <c r="I160" s="7" t="str">
        <f aca="false">IF(A160="","",IFERROR(INDEX('Campos Growths'!$F:$F,MATCH(H160,'Campos Growths'!$A:$A,0)),""))</f>
        <v/>
      </c>
      <c r="J160" s="7" t="str">
        <f aca="false">IF(A160="","",IFERROR(VLOOKUP(IF(ISNUMBER(SEARCH("(",C160)),LEFT(C160,SEARCH("(",C160)-1),C160),Tipos!$A:$B,2,FALSE()),"outro"))</f>
        <v/>
      </c>
      <c r="K160" s="7" t="str">
        <f aca="false">IF(I160="","",IFERROR(INDEX('Campos Growths'!$L:$L,MATCH(H160,'Campos Growths'!$A:$A,0)),""))</f>
        <v/>
      </c>
      <c r="L160" s="7" t="str">
        <f aca="false">IF(A160="","",IF(G160="não","Sem tabela no Growths",IF(I160="","Sem campo no Growths",IF(J160=K160,"Importa direto","Ajustar tipo"))))</f>
        <v/>
      </c>
      <c r="M160" s="9"/>
    </row>
    <row r="161" customFormat="false" ht="15" hidden="false" customHeight="false" outlineLevel="0" collapsed="false">
      <c r="A161" s="7" t="str">
        <f aca="false">IF('Outro banco'!A161="","",IF(LEFT('Outro banco'!A161,1)="(","",'Outro banco'!A161))</f>
        <v/>
      </c>
      <c r="B161" s="7" t="str">
        <f aca="false">IF(A161="","",'Outro banco'!B161)</f>
        <v/>
      </c>
      <c r="C161" s="7" t="str">
        <f aca="false">IF(A161="","",'Outro banco'!C161)</f>
        <v/>
      </c>
      <c r="D161" s="7" t="str">
        <f aca="false">IF(A161="","",'Outro banco'!D161)</f>
        <v/>
      </c>
      <c r="E161" s="9"/>
      <c r="F161" s="9"/>
      <c r="G161" s="7" t="str">
        <f aca="false">IF(A161="","",IF(COUNTIF(Tabelas!$A:$A,IF(E161="",A161,E161))&gt;0,"sim","não"))</f>
        <v/>
      </c>
      <c r="H161" s="7" t="str">
        <f aca="false">IF(A161="","",IF(E161="",A161,E161)&amp;"."&amp;IF(F161="",B161,F161))</f>
        <v/>
      </c>
      <c r="I161" s="7" t="str">
        <f aca="false">IF(A161="","",IFERROR(INDEX('Campos Growths'!$F:$F,MATCH(H161,'Campos Growths'!$A:$A,0)),""))</f>
        <v/>
      </c>
      <c r="J161" s="7" t="str">
        <f aca="false">IF(A161="","",IFERROR(VLOOKUP(IF(ISNUMBER(SEARCH("(",C161)),LEFT(C161,SEARCH("(",C161)-1),C161),Tipos!$A:$B,2,FALSE()),"outro"))</f>
        <v/>
      </c>
      <c r="K161" s="7" t="str">
        <f aca="false">IF(I161="","",IFERROR(INDEX('Campos Growths'!$L:$L,MATCH(H161,'Campos Growths'!$A:$A,0)),""))</f>
        <v/>
      </c>
      <c r="L161" s="7" t="str">
        <f aca="false">IF(A161="","",IF(G161="não","Sem tabela no Growths",IF(I161="","Sem campo no Growths",IF(J161=K161,"Importa direto","Ajustar tipo"))))</f>
        <v/>
      </c>
      <c r="M161" s="9"/>
    </row>
    <row r="162" customFormat="false" ht="15" hidden="false" customHeight="false" outlineLevel="0" collapsed="false">
      <c r="A162" s="7" t="str">
        <f aca="false">IF('Outro banco'!A162="","",IF(LEFT('Outro banco'!A162,1)="(","",'Outro banco'!A162))</f>
        <v/>
      </c>
      <c r="B162" s="7" t="str">
        <f aca="false">IF(A162="","",'Outro banco'!B162)</f>
        <v/>
      </c>
      <c r="C162" s="7" t="str">
        <f aca="false">IF(A162="","",'Outro banco'!C162)</f>
        <v/>
      </c>
      <c r="D162" s="7" t="str">
        <f aca="false">IF(A162="","",'Outro banco'!D162)</f>
        <v/>
      </c>
      <c r="E162" s="9"/>
      <c r="F162" s="9"/>
      <c r="G162" s="7" t="str">
        <f aca="false">IF(A162="","",IF(COUNTIF(Tabelas!$A:$A,IF(E162="",A162,E162))&gt;0,"sim","não"))</f>
        <v/>
      </c>
      <c r="H162" s="7" t="str">
        <f aca="false">IF(A162="","",IF(E162="",A162,E162)&amp;"."&amp;IF(F162="",B162,F162))</f>
        <v/>
      </c>
      <c r="I162" s="7" t="str">
        <f aca="false">IF(A162="","",IFERROR(INDEX('Campos Growths'!$F:$F,MATCH(H162,'Campos Growths'!$A:$A,0)),""))</f>
        <v/>
      </c>
      <c r="J162" s="7" t="str">
        <f aca="false">IF(A162="","",IFERROR(VLOOKUP(IF(ISNUMBER(SEARCH("(",C162)),LEFT(C162,SEARCH("(",C162)-1),C162),Tipos!$A:$B,2,FALSE()),"outro"))</f>
        <v/>
      </c>
      <c r="K162" s="7" t="str">
        <f aca="false">IF(I162="","",IFERROR(INDEX('Campos Growths'!$L:$L,MATCH(H162,'Campos Growths'!$A:$A,0)),""))</f>
        <v/>
      </c>
      <c r="L162" s="7" t="str">
        <f aca="false">IF(A162="","",IF(G162="não","Sem tabela no Growths",IF(I162="","Sem campo no Growths",IF(J162=K162,"Importa direto","Ajustar tipo"))))</f>
        <v/>
      </c>
      <c r="M162" s="9"/>
    </row>
    <row r="163" customFormat="false" ht="15" hidden="false" customHeight="false" outlineLevel="0" collapsed="false">
      <c r="A163" s="7" t="str">
        <f aca="false">IF('Outro banco'!A163="","",IF(LEFT('Outro banco'!A163,1)="(","",'Outro banco'!A163))</f>
        <v/>
      </c>
      <c r="B163" s="7" t="str">
        <f aca="false">IF(A163="","",'Outro banco'!B163)</f>
        <v/>
      </c>
      <c r="C163" s="7" t="str">
        <f aca="false">IF(A163="","",'Outro banco'!C163)</f>
        <v/>
      </c>
      <c r="D163" s="7" t="str">
        <f aca="false">IF(A163="","",'Outro banco'!D163)</f>
        <v/>
      </c>
      <c r="E163" s="9"/>
      <c r="F163" s="9"/>
      <c r="G163" s="7" t="str">
        <f aca="false">IF(A163="","",IF(COUNTIF(Tabelas!$A:$A,IF(E163="",A163,E163))&gt;0,"sim","não"))</f>
        <v/>
      </c>
      <c r="H163" s="7" t="str">
        <f aca="false">IF(A163="","",IF(E163="",A163,E163)&amp;"."&amp;IF(F163="",B163,F163))</f>
        <v/>
      </c>
      <c r="I163" s="7" t="str">
        <f aca="false">IF(A163="","",IFERROR(INDEX('Campos Growths'!$F:$F,MATCH(H163,'Campos Growths'!$A:$A,0)),""))</f>
        <v/>
      </c>
      <c r="J163" s="7" t="str">
        <f aca="false">IF(A163="","",IFERROR(VLOOKUP(IF(ISNUMBER(SEARCH("(",C163)),LEFT(C163,SEARCH("(",C163)-1),C163),Tipos!$A:$B,2,FALSE()),"outro"))</f>
        <v/>
      </c>
      <c r="K163" s="7" t="str">
        <f aca="false">IF(I163="","",IFERROR(INDEX('Campos Growths'!$L:$L,MATCH(H163,'Campos Growths'!$A:$A,0)),""))</f>
        <v/>
      </c>
      <c r="L163" s="7" t="str">
        <f aca="false">IF(A163="","",IF(G163="não","Sem tabela no Growths",IF(I163="","Sem campo no Growths",IF(J163=K163,"Importa direto","Ajustar tipo"))))</f>
        <v/>
      </c>
      <c r="M163" s="9"/>
    </row>
    <row r="164" customFormat="false" ht="15" hidden="false" customHeight="false" outlineLevel="0" collapsed="false">
      <c r="A164" s="7" t="str">
        <f aca="false">IF('Outro banco'!A164="","",IF(LEFT('Outro banco'!A164,1)="(","",'Outro banco'!A164))</f>
        <v/>
      </c>
      <c r="B164" s="7" t="str">
        <f aca="false">IF(A164="","",'Outro banco'!B164)</f>
        <v/>
      </c>
      <c r="C164" s="7" t="str">
        <f aca="false">IF(A164="","",'Outro banco'!C164)</f>
        <v/>
      </c>
      <c r="D164" s="7" t="str">
        <f aca="false">IF(A164="","",'Outro banco'!D164)</f>
        <v/>
      </c>
      <c r="E164" s="9"/>
      <c r="F164" s="9"/>
      <c r="G164" s="7" t="str">
        <f aca="false">IF(A164="","",IF(COUNTIF(Tabelas!$A:$A,IF(E164="",A164,E164))&gt;0,"sim","não"))</f>
        <v/>
      </c>
      <c r="H164" s="7" t="str">
        <f aca="false">IF(A164="","",IF(E164="",A164,E164)&amp;"."&amp;IF(F164="",B164,F164))</f>
        <v/>
      </c>
      <c r="I164" s="7" t="str">
        <f aca="false">IF(A164="","",IFERROR(INDEX('Campos Growths'!$F:$F,MATCH(H164,'Campos Growths'!$A:$A,0)),""))</f>
        <v/>
      </c>
      <c r="J164" s="7" t="str">
        <f aca="false">IF(A164="","",IFERROR(VLOOKUP(IF(ISNUMBER(SEARCH("(",C164)),LEFT(C164,SEARCH("(",C164)-1),C164),Tipos!$A:$B,2,FALSE()),"outro"))</f>
        <v/>
      </c>
      <c r="K164" s="7" t="str">
        <f aca="false">IF(I164="","",IFERROR(INDEX('Campos Growths'!$L:$L,MATCH(H164,'Campos Growths'!$A:$A,0)),""))</f>
        <v/>
      </c>
      <c r="L164" s="7" t="str">
        <f aca="false">IF(A164="","",IF(G164="não","Sem tabela no Growths",IF(I164="","Sem campo no Growths",IF(J164=K164,"Importa direto","Ajustar tipo"))))</f>
        <v/>
      </c>
      <c r="M164" s="9"/>
    </row>
    <row r="165" customFormat="false" ht="15" hidden="false" customHeight="false" outlineLevel="0" collapsed="false">
      <c r="A165" s="7" t="str">
        <f aca="false">IF('Outro banco'!A165="","",IF(LEFT('Outro banco'!A165,1)="(","",'Outro banco'!A165))</f>
        <v/>
      </c>
      <c r="B165" s="7" t="str">
        <f aca="false">IF(A165="","",'Outro banco'!B165)</f>
        <v/>
      </c>
      <c r="C165" s="7" t="str">
        <f aca="false">IF(A165="","",'Outro banco'!C165)</f>
        <v/>
      </c>
      <c r="D165" s="7" t="str">
        <f aca="false">IF(A165="","",'Outro banco'!D165)</f>
        <v/>
      </c>
      <c r="E165" s="9"/>
      <c r="F165" s="9"/>
      <c r="G165" s="7" t="str">
        <f aca="false">IF(A165="","",IF(COUNTIF(Tabelas!$A:$A,IF(E165="",A165,E165))&gt;0,"sim","não"))</f>
        <v/>
      </c>
      <c r="H165" s="7" t="str">
        <f aca="false">IF(A165="","",IF(E165="",A165,E165)&amp;"."&amp;IF(F165="",B165,F165))</f>
        <v/>
      </c>
      <c r="I165" s="7" t="str">
        <f aca="false">IF(A165="","",IFERROR(INDEX('Campos Growths'!$F:$F,MATCH(H165,'Campos Growths'!$A:$A,0)),""))</f>
        <v/>
      </c>
      <c r="J165" s="7" t="str">
        <f aca="false">IF(A165="","",IFERROR(VLOOKUP(IF(ISNUMBER(SEARCH("(",C165)),LEFT(C165,SEARCH("(",C165)-1),C165),Tipos!$A:$B,2,FALSE()),"outro"))</f>
        <v/>
      </c>
      <c r="K165" s="7" t="str">
        <f aca="false">IF(I165="","",IFERROR(INDEX('Campos Growths'!$L:$L,MATCH(H165,'Campos Growths'!$A:$A,0)),""))</f>
        <v/>
      </c>
      <c r="L165" s="7" t="str">
        <f aca="false">IF(A165="","",IF(G165="não","Sem tabela no Growths",IF(I165="","Sem campo no Growths",IF(J165=K165,"Importa direto","Ajustar tipo"))))</f>
        <v/>
      </c>
      <c r="M165" s="9"/>
    </row>
    <row r="166" customFormat="false" ht="15" hidden="false" customHeight="false" outlineLevel="0" collapsed="false">
      <c r="A166" s="7" t="str">
        <f aca="false">IF('Outro banco'!A166="","",IF(LEFT('Outro banco'!A166,1)="(","",'Outro banco'!A166))</f>
        <v/>
      </c>
      <c r="B166" s="7" t="str">
        <f aca="false">IF(A166="","",'Outro banco'!B166)</f>
        <v/>
      </c>
      <c r="C166" s="7" t="str">
        <f aca="false">IF(A166="","",'Outro banco'!C166)</f>
        <v/>
      </c>
      <c r="D166" s="7" t="str">
        <f aca="false">IF(A166="","",'Outro banco'!D166)</f>
        <v/>
      </c>
      <c r="E166" s="9"/>
      <c r="F166" s="9"/>
      <c r="G166" s="7" t="str">
        <f aca="false">IF(A166="","",IF(COUNTIF(Tabelas!$A:$A,IF(E166="",A166,E166))&gt;0,"sim","não"))</f>
        <v/>
      </c>
      <c r="H166" s="7" t="str">
        <f aca="false">IF(A166="","",IF(E166="",A166,E166)&amp;"."&amp;IF(F166="",B166,F166))</f>
        <v/>
      </c>
      <c r="I166" s="7" t="str">
        <f aca="false">IF(A166="","",IFERROR(INDEX('Campos Growths'!$F:$F,MATCH(H166,'Campos Growths'!$A:$A,0)),""))</f>
        <v/>
      </c>
      <c r="J166" s="7" t="str">
        <f aca="false">IF(A166="","",IFERROR(VLOOKUP(IF(ISNUMBER(SEARCH("(",C166)),LEFT(C166,SEARCH("(",C166)-1),C166),Tipos!$A:$B,2,FALSE()),"outro"))</f>
        <v/>
      </c>
      <c r="K166" s="7" t="str">
        <f aca="false">IF(I166="","",IFERROR(INDEX('Campos Growths'!$L:$L,MATCH(H166,'Campos Growths'!$A:$A,0)),""))</f>
        <v/>
      </c>
      <c r="L166" s="7" t="str">
        <f aca="false">IF(A166="","",IF(G166="não","Sem tabela no Growths",IF(I166="","Sem campo no Growths",IF(J166=K166,"Importa direto","Ajustar tipo"))))</f>
        <v/>
      </c>
      <c r="M166" s="9"/>
    </row>
    <row r="167" customFormat="false" ht="15" hidden="false" customHeight="false" outlineLevel="0" collapsed="false">
      <c r="A167" s="7" t="str">
        <f aca="false">IF('Outro banco'!A167="","",IF(LEFT('Outro banco'!A167,1)="(","",'Outro banco'!A167))</f>
        <v/>
      </c>
      <c r="B167" s="7" t="str">
        <f aca="false">IF(A167="","",'Outro banco'!B167)</f>
        <v/>
      </c>
      <c r="C167" s="7" t="str">
        <f aca="false">IF(A167="","",'Outro banco'!C167)</f>
        <v/>
      </c>
      <c r="D167" s="7" t="str">
        <f aca="false">IF(A167="","",'Outro banco'!D167)</f>
        <v/>
      </c>
      <c r="E167" s="9"/>
      <c r="F167" s="9"/>
      <c r="G167" s="7" t="str">
        <f aca="false">IF(A167="","",IF(COUNTIF(Tabelas!$A:$A,IF(E167="",A167,E167))&gt;0,"sim","não"))</f>
        <v/>
      </c>
      <c r="H167" s="7" t="str">
        <f aca="false">IF(A167="","",IF(E167="",A167,E167)&amp;"."&amp;IF(F167="",B167,F167))</f>
        <v/>
      </c>
      <c r="I167" s="7" t="str">
        <f aca="false">IF(A167="","",IFERROR(INDEX('Campos Growths'!$F:$F,MATCH(H167,'Campos Growths'!$A:$A,0)),""))</f>
        <v/>
      </c>
      <c r="J167" s="7" t="str">
        <f aca="false">IF(A167="","",IFERROR(VLOOKUP(IF(ISNUMBER(SEARCH("(",C167)),LEFT(C167,SEARCH("(",C167)-1),C167),Tipos!$A:$B,2,FALSE()),"outro"))</f>
        <v/>
      </c>
      <c r="K167" s="7" t="str">
        <f aca="false">IF(I167="","",IFERROR(INDEX('Campos Growths'!$L:$L,MATCH(H167,'Campos Growths'!$A:$A,0)),""))</f>
        <v/>
      </c>
      <c r="L167" s="7" t="str">
        <f aca="false">IF(A167="","",IF(G167="não","Sem tabela no Growths",IF(I167="","Sem campo no Growths",IF(J167=K167,"Importa direto","Ajustar tipo"))))</f>
        <v/>
      </c>
      <c r="M167" s="9"/>
    </row>
    <row r="168" customFormat="false" ht="15" hidden="false" customHeight="false" outlineLevel="0" collapsed="false">
      <c r="A168" s="7" t="str">
        <f aca="false">IF('Outro banco'!A168="","",IF(LEFT('Outro banco'!A168,1)="(","",'Outro banco'!A168))</f>
        <v/>
      </c>
      <c r="B168" s="7" t="str">
        <f aca="false">IF(A168="","",'Outro banco'!B168)</f>
        <v/>
      </c>
      <c r="C168" s="7" t="str">
        <f aca="false">IF(A168="","",'Outro banco'!C168)</f>
        <v/>
      </c>
      <c r="D168" s="7" t="str">
        <f aca="false">IF(A168="","",'Outro banco'!D168)</f>
        <v/>
      </c>
      <c r="E168" s="9"/>
      <c r="F168" s="9"/>
      <c r="G168" s="7" t="str">
        <f aca="false">IF(A168="","",IF(COUNTIF(Tabelas!$A:$A,IF(E168="",A168,E168))&gt;0,"sim","não"))</f>
        <v/>
      </c>
      <c r="H168" s="7" t="str">
        <f aca="false">IF(A168="","",IF(E168="",A168,E168)&amp;"."&amp;IF(F168="",B168,F168))</f>
        <v/>
      </c>
      <c r="I168" s="7" t="str">
        <f aca="false">IF(A168="","",IFERROR(INDEX('Campos Growths'!$F:$F,MATCH(H168,'Campos Growths'!$A:$A,0)),""))</f>
        <v/>
      </c>
      <c r="J168" s="7" t="str">
        <f aca="false">IF(A168="","",IFERROR(VLOOKUP(IF(ISNUMBER(SEARCH("(",C168)),LEFT(C168,SEARCH("(",C168)-1),C168),Tipos!$A:$B,2,FALSE()),"outro"))</f>
        <v/>
      </c>
      <c r="K168" s="7" t="str">
        <f aca="false">IF(I168="","",IFERROR(INDEX('Campos Growths'!$L:$L,MATCH(H168,'Campos Growths'!$A:$A,0)),""))</f>
        <v/>
      </c>
      <c r="L168" s="7" t="str">
        <f aca="false">IF(A168="","",IF(G168="não","Sem tabela no Growths",IF(I168="","Sem campo no Growths",IF(J168=K168,"Importa direto","Ajustar tipo"))))</f>
        <v/>
      </c>
      <c r="M168" s="9"/>
    </row>
    <row r="169" customFormat="false" ht="15" hidden="false" customHeight="false" outlineLevel="0" collapsed="false">
      <c r="A169" s="7" t="str">
        <f aca="false">IF('Outro banco'!A169="","",IF(LEFT('Outro banco'!A169,1)="(","",'Outro banco'!A169))</f>
        <v/>
      </c>
      <c r="B169" s="7" t="str">
        <f aca="false">IF(A169="","",'Outro banco'!B169)</f>
        <v/>
      </c>
      <c r="C169" s="7" t="str">
        <f aca="false">IF(A169="","",'Outro banco'!C169)</f>
        <v/>
      </c>
      <c r="D169" s="7" t="str">
        <f aca="false">IF(A169="","",'Outro banco'!D169)</f>
        <v/>
      </c>
      <c r="E169" s="9"/>
      <c r="F169" s="9"/>
      <c r="G169" s="7" t="str">
        <f aca="false">IF(A169="","",IF(COUNTIF(Tabelas!$A:$A,IF(E169="",A169,E169))&gt;0,"sim","não"))</f>
        <v/>
      </c>
      <c r="H169" s="7" t="str">
        <f aca="false">IF(A169="","",IF(E169="",A169,E169)&amp;"."&amp;IF(F169="",B169,F169))</f>
        <v/>
      </c>
      <c r="I169" s="7" t="str">
        <f aca="false">IF(A169="","",IFERROR(INDEX('Campos Growths'!$F:$F,MATCH(H169,'Campos Growths'!$A:$A,0)),""))</f>
        <v/>
      </c>
      <c r="J169" s="7" t="str">
        <f aca="false">IF(A169="","",IFERROR(VLOOKUP(IF(ISNUMBER(SEARCH("(",C169)),LEFT(C169,SEARCH("(",C169)-1),C169),Tipos!$A:$B,2,FALSE()),"outro"))</f>
        <v/>
      </c>
      <c r="K169" s="7" t="str">
        <f aca="false">IF(I169="","",IFERROR(INDEX('Campos Growths'!$L:$L,MATCH(H169,'Campos Growths'!$A:$A,0)),""))</f>
        <v/>
      </c>
      <c r="L169" s="7" t="str">
        <f aca="false">IF(A169="","",IF(G169="não","Sem tabela no Growths",IF(I169="","Sem campo no Growths",IF(J169=K169,"Importa direto","Ajustar tipo"))))</f>
        <v/>
      </c>
      <c r="M169" s="9"/>
    </row>
    <row r="170" customFormat="false" ht="15" hidden="false" customHeight="false" outlineLevel="0" collapsed="false">
      <c r="A170" s="7" t="str">
        <f aca="false">IF('Outro banco'!A170="","",IF(LEFT('Outro banco'!A170,1)="(","",'Outro banco'!A170))</f>
        <v/>
      </c>
      <c r="B170" s="7" t="str">
        <f aca="false">IF(A170="","",'Outro banco'!B170)</f>
        <v/>
      </c>
      <c r="C170" s="7" t="str">
        <f aca="false">IF(A170="","",'Outro banco'!C170)</f>
        <v/>
      </c>
      <c r="D170" s="7" t="str">
        <f aca="false">IF(A170="","",'Outro banco'!D170)</f>
        <v/>
      </c>
      <c r="E170" s="9"/>
      <c r="F170" s="9"/>
      <c r="G170" s="7" t="str">
        <f aca="false">IF(A170="","",IF(COUNTIF(Tabelas!$A:$A,IF(E170="",A170,E170))&gt;0,"sim","não"))</f>
        <v/>
      </c>
      <c r="H170" s="7" t="str">
        <f aca="false">IF(A170="","",IF(E170="",A170,E170)&amp;"."&amp;IF(F170="",B170,F170))</f>
        <v/>
      </c>
      <c r="I170" s="7" t="str">
        <f aca="false">IF(A170="","",IFERROR(INDEX('Campos Growths'!$F:$F,MATCH(H170,'Campos Growths'!$A:$A,0)),""))</f>
        <v/>
      </c>
      <c r="J170" s="7" t="str">
        <f aca="false">IF(A170="","",IFERROR(VLOOKUP(IF(ISNUMBER(SEARCH("(",C170)),LEFT(C170,SEARCH("(",C170)-1),C170),Tipos!$A:$B,2,FALSE()),"outro"))</f>
        <v/>
      </c>
      <c r="K170" s="7" t="str">
        <f aca="false">IF(I170="","",IFERROR(INDEX('Campos Growths'!$L:$L,MATCH(H170,'Campos Growths'!$A:$A,0)),""))</f>
        <v/>
      </c>
      <c r="L170" s="7" t="str">
        <f aca="false">IF(A170="","",IF(G170="não","Sem tabela no Growths",IF(I170="","Sem campo no Growths",IF(J170=K170,"Importa direto","Ajustar tipo"))))</f>
        <v/>
      </c>
      <c r="M170" s="9"/>
    </row>
    <row r="171" customFormat="false" ht="15" hidden="false" customHeight="false" outlineLevel="0" collapsed="false">
      <c r="A171" s="7" t="str">
        <f aca="false">IF('Outro banco'!A171="","",IF(LEFT('Outro banco'!A171,1)="(","",'Outro banco'!A171))</f>
        <v/>
      </c>
      <c r="B171" s="7" t="str">
        <f aca="false">IF(A171="","",'Outro banco'!B171)</f>
        <v/>
      </c>
      <c r="C171" s="7" t="str">
        <f aca="false">IF(A171="","",'Outro banco'!C171)</f>
        <v/>
      </c>
      <c r="D171" s="7" t="str">
        <f aca="false">IF(A171="","",'Outro banco'!D171)</f>
        <v/>
      </c>
      <c r="E171" s="9"/>
      <c r="F171" s="9"/>
      <c r="G171" s="7" t="str">
        <f aca="false">IF(A171="","",IF(COUNTIF(Tabelas!$A:$A,IF(E171="",A171,E171))&gt;0,"sim","não"))</f>
        <v/>
      </c>
      <c r="H171" s="7" t="str">
        <f aca="false">IF(A171="","",IF(E171="",A171,E171)&amp;"."&amp;IF(F171="",B171,F171))</f>
        <v/>
      </c>
      <c r="I171" s="7" t="str">
        <f aca="false">IF(A171="","",IFERROR(INDEX('Campos Growths'!$F:$F,MATCH(H171,'Campos Growths'!$A:$A,0)),""))</f>
        <v/>
      </c>
      <c r="J171" s="7" t="str">
        <f aca="false">IF(A171="","",IFERROR(VLOOKUP(IF(ISNUMBER(SEARCH("(",C171)),LEFT(C171,SEARCH("(",C171)-1),C171),Tipos!$A:$B,2,FALSE()),"outro"))</f>
        <v/>
      </c>
      <c r="K171" s="7" t="str">
        <f aca="false">IF(I171="","",IFERROR(INDEX('Campos Growths'!$L:$L,MATCH(H171,'Campos Growths'!$A:$A,0)),""))</f>
        <v/>
      </c>
      <c r="L171" s="7" t="str">
        <f aca="false">IF(A171="","",IF(G171="não","Sem tabela no Growths",IF(I171="","Sem campo no Growths",IF(J171=K171,"Importa direto","Ajustar tipo"))))</f>
        <v/>
      </c>
      <c r="M171" s="9"/>
    </row>
    <row r="172" customFormat="false" ht="15" hidden="false" customHeight="false" outlineLevel="0" collapsed="false">
      <c r="A172" s="7" t="str">
        <f aca="false">IF('Outro banco'!A172="","",IF(LEFT('Outro banco'!A172,1)="(","",'Outro banco'!A172))</f>
        <v/>
      </c>
      <c r="B172" s="7" t="str">
        <f aca="false">IF(A172="","",'Outro banco'!B172)</f>
        <v/>
      </c>
      <c r="C172" s="7" t="str">
        <f aca="false">IF(A172="","",'Outro banco'!C172)</f>
        <v/>
      </c>
      <c r="D172" s="7" t="str">
        <f aca="false">IF(A172="","",'Outro banco'!D172)</f>
        <v/>
      </c>
      <c r="E172" s="9"/>
      <c r="F172" s="9"/>
      <c r="G172" s="7" t="str">
        <f aca="false">IF(A172="","",IF(COUNTIF(Tabelas!$A:$A,IF(E172="",A172,E172))&gt;0,"sim","não"))</f>
        <v/>
      </c>
      <c r="H172" s="7" t="str">
        <f aca="false">IF(A172="","",IF(E172="",A172,E172)&amp;"."&amp;IF(F172="",B172,F172))</f>
        <v/>
      </c>
      <c r="I172" s="7" t="str">
        <f aca="false">IF(A172="","",IFERROR(INDEX('Campos Growths'!$F:$F,MATCH(H172,'Campos Growths'!$A:$A,0)),""))</f>
        <v/>
      </c>
      <c r="J172" s="7" t="str">
        <f aca="false">IF(A172="","",IFERROR(VLOOKUP(IF(ISNUMBER(SEARCH("(",C172)),LEFT(C172,SEARCH("(",C172)-1),C172),Tipos!$A:$B,2,FALSE()),"outro"))</f>
        <v/>
      </c>
      <c r="K172" s="7" t="str">
        <f aca="false">IF(I172="","",IFERROR(INDEX('Campos Growths'!$L:$L,MATCH(H172,'Campos Growths'!$A:$A,0)),""))</f>
        <v/>
      </c>
      <c r="L172" s="7" t="str">
        <f aca="false">IF(A172="","",IF(G172="não","Sem tabela no Growths",IF(I172="","Sem campo no Growths",IF(J172=K172,"Importa direto","Ajustar tipo"))))</f>
        <v/>
      </c>
      <c r="M172" s="9"/>
    </row>
    <row r="173" customFormat="false" ht="15" hidden="false" customHeight="false" outlineLevel="0" collapsed="false">
      <c r="A173" s="7" t="str">
        <f aca="false">IF('Outro banco'!A173="","",IF(LEFT('Outro banco'!A173,1)="(","",'Outro banco'!A173))</f>
        <v/>
      </c>
      <c r="B173" s="7" t="str">
        <f aca="false">IF(A173="","",'Outro banco'!B173)</f>
        <v/>
      </c>
      <c r="C173" s="7" t="str">
        <f aca="false">IF(A173="","",'Outro banco'!C173)</f>
        <v/>
      </c>
      <c r="D173" s="7" t="str">
        <f aca="false">IF(A173="","",'Outro banco'!D173)</f>
        <v/>
      </c>
      <c r="E173" s="9"/>
      <c r="F173" s="9"/>
      <c r="G173" s="7" t="str">
        <f aca="false">IF(A173="","",IF(COUNTIF(Tabelas!$A:$A,IF(E173="",A173,E173))&gt;0,"sim","não"))</f>
        <v/>
      </c>
      <c r="H173" s="7" t="str">
        <f aca="false">IF(A173="","",IF(E173="",A173,E173)&amp;"."&amp;IF(F173="",B173,F173))</f>
        <v/>
      </c>
      <c r="I173" s="7" t="str">
        <f aca="false">IF(A173="","",IFERROR(INDEX('Campos Growths'!$F:$F,MATCH(H173,'Campos Growths'!$A:$A,0)),""))</f>
        <v/>
      </c>
      <c r="J173" s="7" t="str">
        <f aca="false">IF(A173="","",IFERROR(VLOOKUP(IF(ISNUMBER(SEARCH("(",C173)),LEFT(C173,SEARCH("(",C173)-1),C173),Tipos!$A:$B,2,FALSE()),"outro"))</f>
        <v/>
      </c>
      <c r="K173" s="7" t="str">
        <f aca="false">IF(I173="","",IFERROR(INDEX('Campos Growths'!$L:$L,MATCH(H173,'Campos Growths'!$A:$A,0)),""))</f>
        <v/>
      </c>
      <c r="L173" s="7" t="str">
        <f aca="false">IF(A173="","",IF(G173="não","Sem tabela no Growths",IF(I173="","Sem campo no Growths",IF(J173=K173,"Importa direto","Ajustar tipo"))))</f>
        <v/>
      </c>
      <c r="M173" s="9"/>
    </row>
    <row r="174" customFormat="false" ht="15" hidden="false" customHeight="false" outlineLevel="0" collapsed="false">
      <c r="A174" s="7" t="str">
        <f aca="false">IF('Outro banco'!A174="","",IF(LEFT('Outro banco'!A174,1)="(","",'Outro banco'!A174))</f>
        <v/>
      </c>
      <c r="B174" s="7" t="str">
        <f aca="false">IF(A174="","",'Outro banco'!B174)</f>
        <v/>
      </c>
      <c r="C174" s="7" t="str">
        <f aca="false">IF(A174="","",'Outro banco'!C174)</f>
        <v/>
      </c>
      <c r="D174" s="7" t="str">
        <f aca="false">IF(A174="","",'Outro banco'!D174)</f>
        <v/>
      </c>
      <c r="E174" s="9"/>
      <c r="F174" s="9"/>
      <c r="G174" s="7" t="str">
        <f aca="false">IF(A174="","",IF(COUNTIF(Tabelas!$A:$A,IF(E174="",A174,E174))&gt;0,"sim","não"))</f>
        <v/>
      </c>
      <c r="H174" s="7" t="str">
        <f aca="false">IF(A174="","",IF(E174="",A174,E174)&amp;"."&amp;IF(F174="",B174,F174))</f>
        <v/>
      </c>
      <c r="I174" s="7" t="str">
        <f aca="false">IF(A174="","",IFERROR(INDEX('Campos Growths'!$F:$F,MATCH(H174,'Campos Growths'!$A:$A,0)),""))</f>
        <v/>
      </c>
      <c r="J174" s="7" t="str">
        <f aca="false">IF(A174="","",IFERROR(VLOOKUP(IF(ISNUMBER(SEARCH("(",C174)),LEFT(C174,SEARCH("(",C174)-1),C174),Tipos!$A:$B,2,FALSE()),"outro"))</f>
        <v/>
      </c>
      <c r="K174" s="7" t="str">
        <f aca="false">IF(I174="","",IFERROR(INDEX('Campos Growths'!$L:$L,MATCH(H174,'Campos Growths'!$A:$A,0)),""))</f>
        <v/>
      </c>
      <c r="L174" s="7" t="str">
        <f aca="false">IF(A174="","",IF(G174="não","Sem tabela no Growths",IF(I174="","Sem campo no Growths",IF(J174=K174,"Importa direto","Ajustar tipo"))))</f>
        <v/>
      </c>
      <c r="M174" s="9"/>
    </row>
    <row r="175" customFormat="false" ht="15" hidden="false" customHeight="false" outlineLevel="0" collapsed="false">
      <c r="A175" s="7" t="str">
        <f aca="false">IF('Outro banco'!A175="","",IF(LEFT('Outro banco'!A175,1)="(","",'Outro banco'!A175))</f>
        <v/>
      </c>
      <c r="B175" s="7" t="str">
        <f aca="false">IF(A175="","",'Outro banco'!B175)</f>
        <v/>
      </c>
      <c r="C175" s="7" t="str">
        <f aca="false">IF(A175="","",'Outro banco'!C175)</f>
        <v/>
      </c>
      <c r="D175" s="7" t="str">
        <f aca="false">IF(A175="","",'Outro banco'!D175)</f>
        <v/>
      </c>
      <c r="E175" s="9"/>
      <c r="F175" s="9"/>
      <c r="G175" s="7" t="str">
        <f aca="false">IF(A175="","",IF(COUNTIF(Tabelas!$A:$A,IF(E175="",A175,E175))&gt;0,"sim","não"))</f>
        <v/>
      </c>
      <c r="H175" s="7" t="str">
        <f aca="false">IF(A175="","",IF(E175="",A175,E175)&amp;"."&amp;IF(F175="",B175,F175))</f>
        <v/>
      </c>
      <c r="I175" s="7" t="str">
        <f aca="false">IF(A175="","",IFERROR(INDEX('Campos Growths'!$F:$F,MATCH(H175,'Campos Growths'!$A:$A,0)),""))</f>
        <v/>
      </c>
      <c r="J175" s="7" t="str">
        <f aca="false">IF(A175="","",IFERROR(VLOOKUP(IF(ISNUMBER(SEARCH("(",C175)),LEFT(C175,SEARCH("(",C175)-1),C175),Tipos!$A:$B,2,FALSE()),"outro"))</f>
        <v/>
      </c>
      <c r="K175" s="7" t="str">
        <f aca="false">IF(I175="","",IFERROR(INDEX('Campos Growths'!$L:$L,MATCH(H175,'Campos Growths'!$A:$A,0)),""))</f>
        <v/>
      </c>
      <c r="L175" s="7" t="str">
        <f aca="false">IF(A175="","",IF(G175="não","Sem tabela no Growths",IF(I175="","Sem campo no Growths",IF(J175=K175,"Importa direto","Ajustar tipo"))))</f>
        <v/>
      </c>
      <c r="M175" s="9"/>
    </row>
    <row r="176" customFormat="false" ht="15" hidden="false" customHeight="false" outlineLevel="0" collapsed="false">
      <c r="A176" s="7" t="str">
        <f aca="false">IF('Outro banco'!A176="","",IF(LEFT('Outro banco'!A176,1)="(","",'Outro banco'!A176))</f>
        <v/>
      </c>
      <c r="B176" s="7" t="str">
        <f aca="false">IF(A176="","",'Outro banco'!B176)</f>
        <v/>
      </c>
      <c r="C176" s="7" t="str">
        <f aca="false">IF(A176="","",'Outro banco'!C176)</f>
        <v/>
      </c>
      <c r="D176" s="7" t="str">
        <f aca="false">IF(A176="","",'Outro banco'!D176)</f>
        <v/>
      </c>
      <c r="E176" s="9"/>
      <c r="F176" s="9"/>
      <c r="G176" s="7" t="str">
        <f aca="false">IF(A176="","",IF(COUNTIF(Tabelas!$A:$A,IF(E176="",A176,E176))&gt;0,"sim","não"))</f>
        <v/>
      </c>
      <c r="H176" s="7" t="str">
        <f aca="false">IF(A176="","",IF(E176="",A176,E176)&amp;"."&amp;IF(F176="",B176,F176))</f>
        <v/>
      </c>
      <c r="I176" s="7" t="str">
        <f aca="false">IF(A176="","",IFERROR(INDEX('Campos Growths'!$F:$F,MATCH(H176,'Campos Growths'!$A:$A,0)),""))</f>
        <v/>
      </c>
      <c r="J176" s="7" t="str">
        <f aca="false">IF(A176="","",IFERROR(VLOOKUP(IF(ISNUMBER(SEARCH("(",C176)),LEFT(C176,SEARCH("(",C176)-1),C176),Tipos!$A:$B,2,FALSE()),"outro"))</f>
        <v/>
      </c>
      <c r="K176" s="7" t="str">
        <f aca="false">IF(I176="","",IFERROR(INDEX('Campos Growths'!$L:$L,MATCH(H176,'Campos Growths'!$A:$A,0)),""))</f>
        <v/>
      </c>
      <c r="L176" s="7" t="str">
        <f aca="false">IF(A176="","",IF(G176="não","Sem tabela no Growths",IF(I176="","Sem campo no Growths",IF(J176=K176,"Importa direto","Ajustar tipo"))))</f>
        <v/>
      </c>
      <c r="M176" s="9"/>
    </row>
    <row r="177" customFormat="false" ht="15" hidden="false" customHeight="false" outlineLevel="0" collapsed="false">
      <c r="A177" s="7" t="str">
        <f aca="false">IF('Outro banco'!A177="","",IF(LEFT('Outro banco'!A177,1)="(","",'Outro banco'!A177))</f>
        <v/>
      </c>
      <c r="B177" s="7" t="str">
        <f aca="false">IF(A177="","",'Outro banco'!B177)</f>
        <v/>
      </c>
      <c r="C177" s="7" t="str">
        <f aca="false">IF(A177="","",'Outro banco'!C177)</f>
        <v/>
      </c>
      <c r="D177" s="7" t="str">
        <f aca="false">IF(A177="","",'Outro banco'!D177)</f>
        <v/>
      </c>
      <c r="E177" s="9"/>
      <c r="F177" s="9"/>
      <c r="G177" s="7" t="str">
        <f aca="false">IF(A177="","",IF(COUNTIF(Tabelas!$A:$A,IF(E177="",A177,E177))&gt;0,"sim","não"))</f>
        <v/>
      </c>
      <c r="H177" s="7" t="str">
        <f aca="false">IF(A177="","",IF(E177="",A177,E177)&amp;"."&amp;IF(F177="",B177,F177))</f>
        <v/>
      </c>
      <c r="I177" s="7" t="str">
        <f aca="false">IF(A177="","",IFERROR(INDEX('Campos Growths'!$F:$F,MATCH(H177,'Campos Growths'!$A:$A,0)),""))</f>
        <v/>
      </c>
      <c r="J177" s="7" t="str">
        <f aca="false">IF(A177="","",IFERROR(VLOOKUP(IF(ISNUMBER(SEARCH("(",C177)),LEFT(C177,SEARCH("(",C177)-1),C177),Tipos!$A:$B,2,FALSE()),"outro"))</f>
        <v/>
      </c>
      <c r="K177" s="7" t="str">
        <f aca="false">IF(I177="","",IFERROR(INDEX('Campos Growths'!$L:$L,MATCH(H177,'Campos Growths'!$A:$A,0)),""))</f>
        <v/>
      </c>
      <c r="L177" s="7" t="str">
        <f aca="false">IF(A177="","",IF(G177="não","Sem tabela no Growths",IF(I177="","Sem campo no Growths",IF(J177=K177,"Importa direto","Ajustar tipo"))))</f>
        <v/>
      </c>
      <c r="M177" s="9"/>
    </row>
    <row r="178" customFormat="false" ht="15" hidden="false" customHeight="false" outlineLevel="0" collapsed="false">
      <c r="A178" s="7" t="str">
        <f aca="false">IF('Outro banco'!A178="","",IF(LEFT('Outro banco'!A178,1)="(","",'Outro banco'!A178))</f>
        <v/>
      </c>
      <c r="B178" s="7" t="str">
        <f aca="false">IF(A178="","",'Outro banco'!B178)</f>
        <v/>
      </c>
      <c r="C178" s="7" t="str">
        <f aca="false">IF(A178="","",'Outro banco'!C178)</f>
        <v/>
      </c>
      <c r="D178" s="7" t="str">
        <f aca="false">IF(A178="","",'Outro banco'!D178)</f>
        <v/>
      </c>
      <c r="E178" s="9"/>
      <c r="F178" s="9"/>
      <c r="G178" s="7" t="str">
        <f aca="false">IF(A178="","",IF(COUNTIF(Tabelas!$A:$A,IF(E178="",A178,E178))&gt;0,"sim","não"))</f>
        <v/>
      </c>
      <c r="H178" s="7" t="str">
        <f aca="false">IF(A178="","",IF(E178="",A178,E178)&amp;"."&amp;IF(F178="",B178,F178))</f>
        <v/>
      </c>
      <c r="I178" s="7" t="str">
        <f aca="false">IF(A178="","",IFERROR(INDEX('Campos Growths'!$F:$F,MATCH(H178,'Campos Growths'!$A:$A,0)),""))</f>
        <v/>
      </c>
      <c r="J178" s="7" t="str">
        <f aca="false">IF(A178="","",IFERROR(VLOOKUP(IF(ISNUMBER(SEARCH("(",C178)),LEFT(C178,SEARCH("(",C178)-1),C178),Tipos!$A:$B,2,FALSE()),"outro"))</f>
        <v/>
      </c>
      <c r="K178" s="7" t="str">
        <f aca="false">IF(I178="","",IFERROR(INDEX('Campos Growths'!$L:$L,MATCH(H178,'Campos Growths'!$A:$A,0)),""))</f>
        <v/>
      </c>
      <c r="L178" s="7" t="str">
        <f aca="false">IF(A178="","",IF(G178="não","Sem tabela no Growths",IF(I178="","Sem campo no Growths",IF(J178=K178,"Importa direto","Ajustar tipo"))))</f>
        <v/>
      </c>
      <c r="M178" s="9"/>
    </row>
    <row r="179" customFormat="false" ht="15" hidden="false" customHeight="false" outlineLevel="0" collapsed="false">
      <c r="A179" s="7" t="str">
        <f aca="false">IF('Outro banco'!A179="","",IF(LEFT('Outro banco'!A179,1)="(","",'Outro banco'!A179))</f>
        <v/>
      </c>
      <c r="B179" s="7" t="str">
        <f aca="false">IF(A179="","",'Outro banco'!B179)</f>
        <v/>
      </c>
      <c r="C179" s="7" t="str">
        <f aca="false">IF(A179="","",'Outro banco'!C179)</f>
        <v/>
      </c>
      <c r="D179" s="7" t="str">
        <f aca="false">IF(A179="","",'Outro banco'!D179)</f>
        <v/>
      </c>
      <c r="E179" s="9"/>
      <c r="F179" s="9"/>
      <c r="G179" s="7" t="str">
        <f aca="false">IF(A179="","",IF(COUNTIF(Tabelas!$A:$A,IF(E179="",A179,E179))&gt;0,"sim","não"))</f>
        <v/>
      </c>
      <c r="H179" s="7" t="str">
        <f aca="false">IF(A179="","",IF(E179="",A179,E179)&amp;"."&amp;IF(F179="",B179,F179))</f>
        <v/>
      </c>
      <c r="I179" s="7" t="str">
        <f aca="false">IF(A179="","",IFERROR(INDEX('Campos Growths'!$F:$F,MATCH(H179,'Campos Growths'!$A:$A,0)),""))</f>
        <v/>
      </c>
      <c r="J179" s="7" t="str">
        <f aca="false">IF(A179="","",IFERROR(VLOOKUP(IF(ISNUMBER(SEARCH("(",C179)),LEFT(C179,SEARCH("(",C179)-1),C179),Tipos!$A:$B,2,FALSE()),"outro"))</f>
        <v/>
      </c>
      <c r="K179" s="7" t="str">
        <f aca="false">IF(I179="","",IFERROR(INDEX('Campos Growths'!$L:$L,MATCH(H179,'Campos Growths'!$A:$A,0)),""))</f>
        <v/>
      </c>
      <c r="L179" s="7" t="str">
        <f aca="false">IF(A179="","",IF(G179="não","Sem tabela no Growths",IF(I179="","Sem campo no Growths",IF(J179=K179,"Importa direto","Ajustar tipo"))))</f>
        <v/>
      </c>
      <c r="M179" s="9"/>
    </row>
    <row r="180" customFormat="false" ht="15" hidden="false" customHeight="false" outlineLevel="0" collapsed="false">
      <c r="A180" s="7" t="str">
        <f aca="false">IF('Outro banco'!A180="","",IF(LEFT('Outro banco'!A180,1)="(","",'Outro banco'!A180))</f>
        <v/>
      </c>
      <c r="B180" s="7" t="str">
        <f aca="false">IF(A180="","",'Outro banco'!B180)</f>
        <v/>
      </c>
      <c r="C180" s="7" t="str">
        <f aca="false">IF(A180="","",'Outro banco'!C180)</f>
        <v/>
      </c>
      <c r="D180" s="7" t="str">
        <f aca="false">IF(A180="","",'Outro banco'!D180)</f>
        <v/>
      </c>
      <c r="E180" s="9"/>
      <c r="F180" s="9"/>
      <c r="G180" s="7" t="str">
        <f aca="false">IF(A180="","",IF(COUNTIF(Tabelas!$A:$A,IF(E180="",A180,E180))&gt;0,"sim","não"))</f>
        <v/>
      </c>
      <c r="H180" s="7" t="str">
        <f aca="false">IF(A180="","",IF(E180="",A180,E180)&amp;"."&amp;IF(F180="",B180,F180))</f>
        <v/>
      </c>
      <c r="I180" s="7" t="str">
        <f aca="false">IF(A180="","",IFERROR(INDEX('Campos Growths'!$F:$F,MATCH(H180,'Campos Growths'!$A:$A,0)),""))</f>
        <v/>
      </c>
      <c r="J180" s="7" t="str">
        <f aca="false">IF(A180="","",IFERROR(VLOOKUP(IF(ISNUMBER(SEARCH("(",C180)),LEFT(C180,SEARCH("(",C180)-1),C180),Tipos!$A:$B,2,FALSE()),"outro"))</f>
        <v/>
      </c>
      <c r="K180" s="7" t="str">
        <f aca="false">IF(I180="","",IFERROR(INDEX('Campos Growths'!$L:$L,MATCH(H180,'Campos Growths'!$A:$A,0)),""))</f>
        <v/>
      </c>
      <c r="L180" s="7" t="str">
        <f aca="false">IF(A180="","",IF(G180="não","Sem tabela no Growths",IF(I180="","Sem campo no Growths",IF(J180=K180,"Importa direto","Ajustar tipo"))))</f>
        <v/>
      </c>
      <c r="M180" s="9"/>
    </row>
    <row r="181" customFormat="false" ht="15" hidden="false" customHeight="false" outlineLevel="0" collapsed="false">
      <c r="A181" s="7" t="str">
        <f aca="false">IF('Outro banco'!A181="","",IF(LEFT('Outro banco'!A181,1)="(","",'Outro banco'!A181))</f>
        <v/>
      </c>
      <c r="B181" s="7" t="str">
        <f aca="false">IF(A181="","",'Outro banco'!B181)</f>
        <v/>
      </c>
      <c r="C181" s="7" t="str">
        <f aca="false">IF(A181="","",'Outro banco'!C181)</f>
        <v/>
      </c>
      <c r="D181" s="7" t="str">
        <f aca="false">IF(A181="","",'Outro banco'!D181)</f>
        <v/>
      </c>
      <c r="E181" s="9"/>
      <c r="F181" s="9"/>
      <c r="G181" s="7" t="str">
        <f aca="false">IF(A181="","",IF(COUNTIF(Tabelas!$A:$A,IF(E181="",A181,E181))&gt;0,"sim","não"))</f>
        <v/>
      </c>
      <c r="H181" s="7" t="str">
        <f aca="false">IF(A181="","",IF(E181="",A181,E181)&amp;"."&amp;IF(F181="",B181,F181))</f>
        <v/>
      </c>
      <c r="I181" s="7" t="str">
        <f aca="false">IF(A181="","",IFERROR(INDEX('Campos Growths'!$F:$F,MATCH(H181,'Campos Growths'!$A:$A,0)),""))</f>
        <v/>
      </c>
      <c r="J181" s="7" t="str">
        <f aca="false">IF(A181="","",IFERROR(VLOOKUP(IF(ISNUMBER(SEARCH("(",C181)),LEFT(C181,SEARCH("(",C181)-1),C181),Tipos!$A:$B,2,FALSE()),"outro"))</f>
        <v/>
      </c>
      <c r="K181" s="7" t="str">
        <f aca="false">IF(I181="","",IFERROR(INDEX('Campos Growths'!$L:$L,MATCH(H181,'Campos Growths'!$A:$A,0)),""))</f>
        <v/>
      </c>
      <c r="L181" s="7" t="str">
        <f aca="false">IF(A181="","",IF(G181="não","Sem tabela no Growths",IF(I181="","Sem campo no Growths",IF(J181=K181,"Importa direto","Ajustar tipo"))))</f>
        <v/>
      </c>
      <c r="M181" s="9"/>
    </row>
    <row r="182" customFormat="false" ht="15" hidden="false" customHeight="false" outlineLevel="0" collapsed="false">
      <c r="A182" s="7" t="str">
        <f aca="false">IF('Outro banco'!A182="","",IF(LEFT('Outro banco'!A182,1)="(","",'Outro banco'!A182))</f>
        <v/>
      </c>
      <c r="B182" s="7" t="str">
        <f aca="false">IF(A182="","",'Outro banco'!B182)</f>
        <v/>
      </c>
      <c r="C182" s="7" t="str">
        <f aca="false">IF(A182="","",'Outro banco'!C182)</f>
        <v/>
      </c>
      <c r="D182" s="7" t="str">
        <f aca="false">IF(A182="","",'Outro banco'!D182)</f>
        <v/>
      </c>
      <c r="E182" s="9"/>
      <c r="F182" s="9"/>
      <c r="G182" s="7" t="str">
        <f aca="false">IF(A182="","",IF(COUNTIF(Tabelas!$A:$A,IF(E182="",A182,E182))&gt;0,"sim","não"))</f>
        <v/>
      </c>
      <c r="H182" s="7" t="str">
        <f aca="false">IF(A182="","",IF(E182="",A182,E182)&amp;"."&amp;IF(F182="",B182,F182))</f>
        <v/>
      </c>
      <c r="I182" s="7" t="str">
        <f aca="false">IF(A182="","",IFERROR(INDEX('Campos Growths'!$F:$F,MATCH(H182,'Campos Growths'!$A:$A,0)),""))</f>
        <v/>
      </c>
      <c r="J182" s="7" t="str">
        <f aca="false">IF(A182="","",IFERROR(VLOOKUP(IF(ISNUMBER(SEARCH("(",C182)),LEFT(C182,SEARCH("(",C182)-1),C182),Tipos!$A:$B,2,FALSE()),"outro"))</f>
        <v/>
      </c>
      <c r="K182" s="7" t="str">
        <f aca="false">IF(I182="","",IFERROR(INDEX('Campos Growths'!$L:$L,MATCH(H182,'Campos Growths'!$A:$A,0)),""))</f>
        <v/>
      </c>
      <c r="L182" s="7" t="str">
        <f aca="false">IF(A182="","",IF(G182="não","Sem tabela no Growths",IF(I182="","Sem campo no Growths",IF(J182=K182,"Importa direto","Ajustar tipo"))))</f>
        <v/>
      </c>
      <c r="M182" s="9"/>
    </row>
    <row r="183" customFormat="false" ht="15" hidden="false" customHeight="false" outlineLevel="0" collapsed="false">
      <c r="A183" s="7" t="str">
        <f aca="false">IF('Outro banco'!A183="","",IF(LEFT('Outro banco'!A183,1)="(","",'Outro banco'!A183))</f>
        <v/>
      </c>
      <c r="B183" s="7" t="str">
        <f aca="false">IF(A183="","",'Outro banco'!B183)</f>
        <v/>
      </c>
      <c r="C183" s="7" t="str">
        <f aca="false">IF(A183="","",'Outro banco'!C183)</f>
        <v/>
      </c>
      <c r="D183" s="7" t="str">
        <f aca="false">IF(A183="","",'Outro banco'!D183)</f>
        <v/>
      </c>
      <c r="E183" s="9"/>
      <c r="F183" s="9"/>
      <c r="G183" s="7" t="str">
        <f aca="false">IF(A183="","",IF(COUNTIF(Tabelas!$A:$A,IF(E183="",A183,E183))&gt;0,"sim","não"))</f>
        <v/>
      </c>
      <c r="H183" s="7" t="str">
        <f aca="false">IF(A183="","",IF(E183="",A183,E183)&amp;"."&amp;IF(F183="",B183,F183))</f>
        <v/>
      </c>
      <c r="I183" s="7" t="str">
        <f aca="false">IF(A183="","",IFERROR(INDEX('Campos Growths'!$F:$F,MATCH(H183,'Campos Growths'!$A:$A,0)),""))</f>
        <v/>
      </c>
      <c r="J183" s="7" t="str">
        <f aca="false">IF(A183="","",IFERROR(VLOOKUP(IF(ISNUMBER(SEARCH("(",C183)),LEFT(C183,SEARCH("(",C183)-1),C183),Tipos!$A:$B,2,FALSE()),"outro"))</f>
        <v/>
      </c>
      <c r="K183" s="7" t="str">
        <f aca="false">IF(I183="","",IFERROR(INDEX('Campos Growths'!$L:$L,MATCH(H183,'Campos Growths'!$A:$A,0)),""))</f>
        <v/>
      </c>
      <c r="L183" s="7" t="str">
        <f aca="false">IF(A183="","",IF(G183="não","Sem tabela no Growths",IF(I183="","Sem campo no Growths",IF(J183=K183,"Importa direto","Ajustar tipo"))))</f>
        <v/>
      </c>
      <c r="M183" s="9"/>
    </row>
    <row r="184" customFormat="false" ht="15" hidden="false" customHeight="false" outlineLevel="0" collapsed="false">
      <c r="A184" s="7" t="str">
        <f aca="false">IF('Outro banco'!A184="","",IF(LEFT('Outro banco'!A184,1)="(","",'Outro banco'!A184))</f>
        <v/>
      </c>
      <c r="B184" s="7" t="str">
        <f aca="false">IF(A184="","",'Outro banco'!B184)</f>
        <v/>
      </c>
      <c r="C184" s="7" t="str">
        <f aca="false">IF(A184="","",'Outro banco'!C184)</f>
        <v/>
      </c>
      <c r="D184" s="7" t="str">
        <f aca="false">IF(A184="","",'Outro banco'!D184)</f>
        <v/>
      </c>
      <c r="E184" s="9"/>
      <c r="F184" s="9"/>
      <c r="G184" s="7" t="str">
        <f aca="false">IF(A184="","",IF(COUNTIF(Tabelas!$A:$A,IF(E184="",A184,E184))&gt;0,"sim","não"))</f>
        <v/>
      </c>
      <c r="H184" s="7" t="str">
        <f aca="false">IF(A184="","",IF(E184="",A184,E184)&amp;"."&amp;IF(F184="",B184,F184))</f>
        <v/>
      </c>
      <c r="I184" s="7" t="str">
        <f aca="false">IF(A184="","",IFERROR(INDEX('Campos Growths'!$F:$F,MATCH(H184,'Campos Growths'!$A:$A,0)),""))</f>
        <v/>
      </c>
      <c r="J184" s="7" t="str">
        <f aca="false">IF(A184="","",IFERROR(VLOOKUP(IF(ISNUMBER(SEARCH("(",C184)),LEFT(C184,SEARCH("(",C184)-1),C184),Tipos!$A:$B,2,FALSE()),"outro"))</f>
        <v/>
      </c>
      <c r="K184" s="7" t="str">
        <f aca="false">IF(I184="","",IFERROR(INDEX('Campos Growths'!$L:$L,MATCH(H184,'Campos Growths'!$A:$A,0)),""))</f>
        <v/>
      </c>
      <c r="L184" s="7" t="str">
        <f aca="false">IF(A184="","",IF(G184="não","Sem tabela no Growths",IF(I184="","Sem campo no Growths",IF(J184=K184,"Importa direto","Ajustar tipo"))))</f>
        <v/>
      </c>
      <c r="M184" s="9"/>
    </row>
    <row r="185" customFormat="false" ht="15" hidden="false" customHeight="false" outlineLevel="0" collapsed="false">
      <c r="A185" s="7" t="str">
        <f aca="false">IF('Outro banco'!A185="","",IF(LEFT('Outro banco'!A185,1)="(","",'Outro banco'!A185))</f>
        <v/>
      </c>
      <c r="B185" s="7" t="str">
        <f aca="false">IF(A185="","",'Outro banco'!B185)</f>
        <v/>
      </c>
      <c r="C185" s="7" t="str">
        <f aca="false">IF(A185="","",'Outro banco'!C185)</f>
        <v/>
      </c>
      <c r="D185" s="7" t="str">
        <f aca="false">IF(A185="","",'Outro banco'!D185)</f>
        <v/>
      </c>
      <c r="E185" s="9"/>
      <c r="F185" s="9"/>
      <c r="G185" s="7" t="str">
        <f aca="false">IF(A185="","",IF(COUNTIF(Tabelas!$A:$A,IF(E185="",A185,E185))&gt;0,"sim","não"))</f>
        <v/>
      </c>
      <c r="H185" s="7" t="str">
        <f aca="false">IF(A185="","",IF(E185="",A185,E185)&amp;"."&amp;IF(F185="",B185,F185))</f>
        <v/>
      </c>
      <c r="I185" s="7" t="str">
        <f aca="false">IF(A185="","",IFERROR(INDEX('Campos Growths'!$F:$F,MATCH(H185,'Campos Growths'!$A:$A,0)),""))</f>
        <v/>
      </c>
      <c r="J185" s="7" t="str">
        <f aca="false">IF(A185="","",IFERROR(VLOOKUP(IF(ISNUMBER(SEARCH("(",C185)),LEFT(C185,SEARCH("(",C185)-1),C185),Tipos!$A:$B,2,FALSE()),"outro"))</f>
        <v/>
      </c>
      <c r="K185" s="7" t="str">
        <f aca="false">IF(I185="","",IFERROR(INDEX('Campos Growths'!$L:$L,MATCH(H185,'Campos Growths'!$A:$A,0)),""))</f>
        <v/>
      </c>
      <c r="L185" s="7" t="str">
        <f aca="false">IF(A185="","",IF(G185="não","Sem tabela no Growths",IF(I185="","Sem campo no Growths",IF(J185=K185,"Importa direto","Ajustar tipo"))))</f>
        <v/>
      </c>
      <c r="M185" s="9"/>
    </row>
    <row r="186" customFormat="false" ht="15" hidden="false" customHeight="false" outlineLevel="0" collapsed="false">
      <c r="A186" s="7" t="str">
        <f aca="false">IF('Outro banco'!A186="","",IF(LEFT('Outro banco'!A186,1)="(","",'Outro banco'!A186))</f>
        <v/>
      </c>
      <c r="B186" s="7" t="str">
        <f aca="false">IF(A186="","",'Outro banco'!B186)</f>
        <v/>
      </c>
      <c r="C186" s="7" t="str">
        <f aca="false">IF(A186="","",'Outro banco'!C186)</f>
        <v/>
      </c>
      <c r="D186" s="7" t="str">
        <f aca="false">IF(A186="","",'Outro banco'!D186)</f>
        <v/>
      </c>
      <c r="E186" s="9"/>
      <c r="F186" s="9"/>
      <c r="G186" s="7" t="str">
        <f aca="false">IF(A186="","",IF(COUNTIF(Tabelas!$A:$A,IF(E186="",A186,E186))&gt;0,"sim","não"))</f>
        <v/>
      </c>
      <c r="H186" s="7" t="str">
        <f aca="false">IF(A186="","",IF(E186="",A186,E186)&amp;"."&amp;IF(F186="",B186,F186))</f>
        <v/>
      </c>
      <c r="I186" s="7" t="str">
        <f aca="false">IF(A186="","",IFERROR(INDEX('Campos Growths'!$F:$F,MATCH(H186,'Campos Growths'!$A:$A,0)),""))</f>
        <v/>
      </c>
      <c r="J186" s="7" t="str">
        <f aca="false">IF(A186="","",IFERROR(VLOOKUP(IF(ISNUMBER(SEARCH("(",C186)),LEFT(C186,SEARCH("(",C186)-1),C186),Tipos!$A:$B,2,FALSE()),"outro"))</f>
        <v/>
      </c>
      <c r="K186" s="7" t="str">
        <f aca="false">IF(I186="","",IFERROR(INDEX('Campos Growths'!$L:$L,MATCH(H186,'Campos Growths'!$A:$A,0)),""))</f>
        <v/>
      </c>
      <c r="L186" s="7" t="str">
        <f aca="false">IF(A186="","",IF(G186="não","Sem tabela no Growths",IF(I186="","Sem campo no Growths",IF(J186=K186,"Importa direto","Ajustar tipo"))))</f>
        <v/>
      </c>
      <c r="M186" s="9"/>
    </row>
    <row r="187" customFormat="false" ht="15" hidden="false" customHeight="false" outlineLevel="0" collapsed="false">
      <c r="A187" s="7" t="str">
        <f aca="false">IF('Outro banco'!A187="","",IF(LEFT('Outro banco'!A187,1)="(","",'Outro banco'!A187))</f>
        <v/>
      </c>
      <c r="B187" s="7" t="str">
        <f aca="false">IF(A187="","",'Outro banco'!B187)</f>
        <v/>
      </c>
      <c r="C187" s="7" t="str">
        <f aca="false">IF(A187="","",'Outro banco'!C187)</f>
        <v/>
      </c>
      <c r="D187" s="7" t="str">
        <f aca="false">IF(A187="","",'Outro banco'!D187)</f>
        <v/>
      </c>
      <c r="E187" s="9"/>
      <c r="F187" s="9"/>
      <c r="G187" s="7" t="str">
        <f aca="false">IF(A187="","",IF(COUNTIF(Tabelas!$A:$A,IF(E187="",A187,E187))&gt;0,"sim","não"))</f>
        <v/>
      </c>
      <c r="H187" s="7" t="str">
        <f aca="false">IF(A187="","",IF(E187="",A187,E187)&amp;"."&amp;IF(F187="",B187,F187))</f>
        <v/>
      </c>
      <c r="I187" s="7" t="str">
        <f aca="false">IF(A187="","",IFERROR(INDEX('Campos Growths'!$F:$F,MATCH(H187,'Campos Growths'!$A:$A,0)),""))</f>
        <v/>
      </c>
      <c r="J187" s="7" t="str">
        <f aca="false">IF(A187="","",IFERROR(VLOOKUP(IF(ISNUMBER(SEARCH("(",C187)),LEFT(C187,SEARCH("(",C187)-1),C187),Tipos!$A:$B,2,FALSE()),"outro"))</f>
        <v/>
      </c>
      <c r="K187" s="7" t="str">
        <f aca="false">IF(I187="","",IFERROR(INDEX('Campos Growths'!$L:$L,MATCH(H187,'Campos Growths'!$A:$A,0)),""))</f>
        <v/>
      </c>
      <c r="L187" s="7" t="str">
        <f aca="false">IF(A187="","",IF(G187="não","Sem tabela no Growths",IF(I187="","Sem campo no Growths",IF(J187=K187,"Importa direto","Ajustar tipo"))))</f>
        <v/>
      </c>
      <c r="M187" s="9"/>
    </row>
    <row r="188" customFormat="false" ht="15" hidden="false" customHeight="false" outlineLevel="0" collapsed="false">
      <c r="A188" s="7" t="str">
        <f aca="false">IF('Outro banco'!A188="","",IF(LEFT('Outro banco'!A188,1)="(","",'Outro banco'!A188))</f>
        <v/>
      </c>
      <c r="B188" s="7" t="str">
        <f aca="false">IF(A188="","",'Outro banco'!B188)</f>
        <v/>
      </c>
      <c r="C188" s="7" t="str">
        <f aca="false">IF(A188="","",'Outro banco'!C188)</f>
        <v/>
      </c>
      <c r="D188" s="7" t="str">
        <f aca="false">IF(A188="","",'Outro banco'!D188)</f>
        <v/>
      </c>
      <c r="E188" s="9"/>
      <c r="F188" s="9"/>
      <c r="G188" s="7" t="str">
        <f aca="false">IF(A188="","",IF(COUNTIF(Tabelas!$A:$A,IF(E188="",A188,E188))&gt;0,"sim","não"))</f>
        <v/>
      </c>
      <c r="H188" s="7" t="str">
        <f aca="false">IF(A188="","",IF(E188="",A188,E188)&amp;"."&amp;IF(F188="",B188,F188))</f>
        <v/>
      </c>
      <c r="I188" s="7" t="str">
        <f aca="false">IF(A188="","",IFERROR(INDEX('Campos Growths'!$F:$F,MATCH(H188,'Campos Growths'!$A:$A,0)),""))</f>
        <v/>
      </c>
      <c r="J188" s="7" t="str">
        <f aca="false">IF(A188="","",IFERROR(VLOOKUP(IF(ISNUMBER(SEARCH("(",C188)),LEFT(C188,SEARCH("(",C188)-1),C188),Tipos!$A:$B,2,FALSE()),"outro"))</f>
        <v/>
      </c>
      <c r="K188" s="7" t="str">
        <f aca="false">IF(I188="","",IFERROR(INDEX('Campos Growths'!$L:$L,MATCH(H188,'Campos Growths'!$A:$A,0)),""))</f>
        <v/>
      </c>
      <c r="L188" s="7" t="str">
        <f aca="false">IF(A188="","",IF(G188="não","Sem tabela no Growths",IF(I188="","Sem campo no Growths",IF(J188=K188,"Importa direto","Ajustar tipo"))))</f>
        <v/>
      </c>
      <c r="M188" s="9"/>
    </row>
    <row r="189" customFormat="false" ht="15" hidden="false" customHeight="false" outlineLevel="0" collapsed="false">
      <c r="A189" s="7" t="str">
        <f aca="false">IF('Outro banco'!A189="","",IF(LEFT('Outro banco'!A189,1)="(","",'Outro banco'!A189))</f>
        <v/>
      </c>
      <c r="B189" s="7" t="str">
        <f aca="false">IF(A189="","",'Outro banco'!B189)</f>
        <v/>
      </c>
      <c r="C189" s="7" t="str">
        <f aca="false">IF(A189="","",'Outro banco'!C189)</f>
        <v/>
      </c>
      <c r="D189" s="7" t="str">
        <f aca="false">IF(A189="","",'Outro banco'!D189)</f>
        <v/>
      </c>
      <c r="E189" s="9"/>
      <c r="F189" s="9"/>
      <c r="G189" s="7" t="str">
        <f aca="false">IF(A189="","",IF(COUNTIF(Tabelas!$A:$A,IF(E189="",A189,E189))&gt;0,"sim","não"))</f>
        <v/>
      </c>
      <c r="H189" s="7" t="str">
        <f aca="false">IF(A189="","",IF(E189="",A189,E189)&amp;"."&amp;IF(F189="",B189,F189))</f>
        <v/>
      </c>
      <c r="I189" s="7" t="str">
        <f aca="false">IF(A189="","",IFERROR(INDEX('Campos Growths'!$F:$F,MATCH(H189,'Campos Growths'!$A:$A,0)),""))</f>
        <v/>
      </c>
      <c r="J189" s="7" t="str">
        <f aca="false">IF(A189="","",IFERROR(VLOOKUP(IF(ISNUMBER(SEARCH("(",C189)),LEFT(C189,SEARCH("(",C189)-1),C189),Tipos!$A:$B,2,FALSE()),"outro"))</f>
        <v/>
      </c>
      <c r="K189" s="7" t="str">
        <f aca="false">IF(I189="","",IFERROR(INDEX('Campos Growths'!$L:$L,MATCH(H189,'Campos Growths'!$A:$A,0)),""))</f>
        <v/>
      </c>
      <c r="L189" s="7" t="str">
        <f aca="false">IF(A189="","",IF(G189="não","Sem tabela no Growths",IF(I189="","Sem campo no Growths",IF(J189=K189,"Importa direto","Ajustar tipo"))))</f>
        <v/>
      </c>
      <c r="M189" s="9"/>
    </row>
    <row r="190" customFormat="false" ht="15" hidden="false" customHeight="false" outlineLevel="0" collapsed="false">
      <c r="A190" s="7" t="str">
        <f aca="false">IF('Outro banco'!A190="","",IF(LEFT('Outro banco'!A190,1)="(","",'Outro banco'!A190))</f>
        <v/>
      </c>
      <c r="B190" s="7" t="str">
        <f aca="false">IF(A190="","",'Outro banco'!B190)</f>
        <v/>
      </c>
      <c r="C190" s="7" t="str">
        <f aca="false">IF(A190="","",'Outro banco'!C190)</f>
        <v/>
      </c>
      <c r="D190" s="7" t="str">
        <f aca="false">IF(A190="","",'Outro banco'!D190)</f>
        <v/>
      </c>
      <c r="E190" s="9"/>
      <c r="F190" s="9"/>
      <c r="G190" s="7" t="str">
        <f aca="false">IF(A190="","",IF(COUNTIF(Tabelas!$A:$A,IF(E190="",A190,E190))&gt;0,"sim","não"))</f>
        <v/>
      </c>
      <c r="H190" s="7" t="str">
        <f aca="false">IF(A190="","",IF(E190="",A190,E190)&amp;"."&amp;IF(F190="",B190,F190))</f>
        <v/>
      </c>
      <c r="I190" s="7" t="str">
        <f aca="false">IF(A190="","",IFERROR(INDEX('Campos Growths'!$F:$F,MATCH(H190,'Campos Growths'!$A:$A,0)),""))</f>
        <v/>
      </c>
      <c r="J190" s="7" t="str">
        <f aca="false">IF(A190="","",IFERROR(VLOOKUP(IF(ISNUMBER(SEARCH("(",C190)),LEFT(C190,SEARCH("(",C190)-1),C190),Tipos!$A:$B,2,FALSE()),"outro"))</f>
        <v/>
      </c>
      <c r="K190" s="7" t="str">
        <f aca="false">IF(I190="","",IFERROR(INDEX('Campos Growths'!$L:$L,MATCH(H190,'Campos Growths'!$A:$A,0)),""))</f>
        <v/>
      </c>
      <c r="L190" s="7" t="str">
        <f aca="false">IF(A190="","",IF(G190="não","Sem tabela no Growths",IF(I190="","Sem campo no Growths",IF(J190=K190,"Importa direto","Ajustar tipo"))))</f>
        <v/>
      </c>
      <c r="M190" s="9"/>
    </row>
    <row r="191" customFormat="false" ht="15" hidden="false" customHeight="false" outlineLevel="0" collapsed="false">
      <c r="A191" s="7" t="str">
        <f aca="false">IF('Outro banco'!A191="","",IF(LEFT('Outro banco'!A191,1)="(","",'Outro banco'!A191))</f>
        <v/>
      </c>
      <c r="B191" s="7" t="str">
        <f aca="false">IF(A191="","",'Outro banco'!B191)</f>
        <v/>
      </c>
      <c r="C191" s="7" t="str">
        <f aca="false">IF(A191="","",'Outro banco'!C191)</f>
        <v/>
      </c>
      <c r="D191" s="7" t="str">
        <f aca="false">IF(A191="","",'Outro banco'!D191)</f>
        <v/>
      </c>
      <c r="E191" s="9"/>
      <c r="F191" s="9"/>
      <c r="G191" s="7" t="str">
        <f aca="false">IF(A191="","",IF(COUNTIF(Tabelas!$A:$A,IF(E191="",A191,E191))&gt;0,"sim","não"))</f>
        <v/>
      </c>
      <c r="H191" s="7" t="str">
        <f aca="false">IF(A191="","",IF(E191="",A191,E191)&amp;"."&amp;IF(F191="",B191,F191))</f>
        <v/>
      </c>
      <c r="I191" s="7" t="str">
        <f aca="false">IF(A191="","",IFERROR(INDEX('Campos Growths'!$F:$F,MATCH(H191,'Campos Growths'!$A:$A,0)),""))</f>
        <v/>
      </c>
      <c r="J191" s="7" t="str">
        <f aca="false">IF(A191="","",IFERROR(VLOOKUP(IF(ISNUMBER(SEARCH("(",C191)),LEFT(C191,SEARCH("(",C191)-1),C191),Tipos!$A:$B,2,FALSE()),"outro"))</f>
        <v/>
      </c>
      <c r="K191" s="7" t="str">
        <f aca="false">IF(I191="","",IFERROR(INDEX('Campos Growths'!$L:$L,MATCH(H191,'Campos Growths'!$A:$A,0)),""))</f>
        <v/>
      </c>
      <c r="L191" s="7" t="str">
        <f aca="false">IF(A191="","",IF(G191="não","Sem tabela no Growths",IF(I191="","Sem campo no Growths",IF(J191=K191,"Importa direto","Ajustar tipo"))))</f>
        <v/>
      </c>
      <c r="M191" s="9"/>
    </row>
    <row r="192" customFormat="false" ht="15" hidden="false" customHeight="false" outlineLevel="0" collapsed="false">
      <c r="A192" s="7" t="str">
        <f aca="false">IF('Outro banco'!A192="","",IF(LEFT('Outro banco'!A192,1)="(","",'Outro banco'!A192))</f>
        <v/>
      </c>
      <c r="B192" s="7" t="str">
        <f aca="false">IF(A192="","",'Outro banco'!B192)</f>
        <v/>
      </c>
      <c r="C192" s="7" t="str">
        <f aca="false">IF(A192="","",'Outro banco'!C192)</f>
        <v/>
      </c>
      <c r="D192" s="7" t="str">
        <f aca="false">IF(A192="","",'Outro banco'!D192)</f>
        <v/>
      </c>
      <c r="E192" s="9"/>
      <c r="F192" s="9"/>
      <c r="G192" s="7" t="str">
        <f aca="false">IF(A192="","",IF(COUNTIF(Tabelas!$A:$A,IF(E192="",A192,E192))&gt;0,"sim","não"))</f>
        <v/>
      </c>
      <c r="H192" s="7" t="str">
        <f aca="false">IF(A192="","",IF(E192="",A192,E192)&amp;"."&amp;IF(F192="",B192,F192))</f>
        <v/>
      </c>
      <c r="I192" s="7" t="str">
        <f aca="false">IF(A192="","",IFERROR(INDEX('Campos Growths'!$F:$F,MATCH(H192,'Campos Growths'!$A:$A,0)),""))</f>
        <v/>
      </c>
      <c r="J192" s="7" t="str">
        <f aca="false">IF(A192="","",IFERROR(VLOOKUP(IF(ISNUMBER(SEARCH("(",C192)),LEFT(C192,SEARCH("(",C192)-1),C192),Tipos!$A:$B,2,FALSE()),"outro"))</f>
        <v/>
      </c>
      <c r="K192" s="7" t="str">
        <f aca="false">IF(I192="","",IFERROR(INDEX('Campos Growths'!$L:$L,MATCH(H192,'Campos Growths'!$A:$A,0)),""))</f>
        <v/>
      </c>
      <c r="L192" s="7" t="str">
        <f aca="false">IF(A192="","",IF(G192="não","Sem tabela no Growths",IF(I192="","Sem campo no Growths",IF(J192=K192,"Importa direto","Ajustar tipo"))))</f>
        <v/>
      </c>
      <c r="M192" s="9"/>
    </row>
    <row r="193" customFormat="false" ht="15" hidden="false" customHeight="false" outlineLevel="0" collapsed="false">
      <c r="A193" s="7" t="str">
        <f aca="false">IF('Outro banco'!A193="","",IF(LEFT('Outro banco'!A193,1)="(","",'Outro banco'!A193))</f>
        <v/>
      </c>
      <c r="B193" s="7" t="str">
        <f aca="false">IF(A193="","",'Outro banco'!B193)</f>
        <v/>
      </c>
      <c r="C193" s="7" t="str">
        <f aca="false">IF(A193="","",'Outro banco'!C193)</f>
        <v/>
      </c>
      <c r="D193" s="7" t="str">
        <f aca="false">IF(A193="","",'Outro banco'!D193)</f>
        <v/>
      </c>
      <c r="E193" s="9"/>
      <c r="F193" s="9"/>
      <c r="G193" s="7" t="str">
        <f aca="false">IF(A193="","",IF(COUNTIF(Tabelas!$A:$A,IF(E193="",A193,E193))&gt;0,"sim","não"))</f>
        <v/>
      </c>
      <c r="H193" s="7" t="str">
        <f aca="false">IF(A193="","",IF(E193="",A193,E193)&amp;"."&amp;IF(F193="",B193,F193))</f>
        <v/>
      </c>
      <c r="I193" s="7" t="str">
        <f aca="false">IF(A193="","",IFERROR(INDEX('Campos Growths'!$F:$F,MATCH(H193,'Campos Growths'!$A:$A,0)),""))</f>
        <v/>
      </c>
      <c r="J193" s="7" t="str">
        <f aca="false">IF(A193="","",IFERROR(VLOOKUP(IF(ISNUMBER(SEARCH("(",C193)),LEFT(C193,SEARCH("(",C193)-1),C193),Tipos!$A:$B,2,FALSE()),"outro"))</f>
        <v/>
      </c>
      <c r="K193" s="7" t="str">
        <f aca="false">IF(I193="","",IFERROR(INDEX('Campos Growths'!$L:$L,MATCH(H193,'Campos Growths'!$A:$A,0)),""))</f>
        <v/>
      </c>
      <c r="L193" s="7" t="str">
        <f aca="false">IF(A193="","",IF(G193="não","Sem tabela no Growths",IF(I193="","Sem campo no Growths",IF(J193=K193,"Importa direto","Ajustar tipo"))))</f>
        <v/>
      </c>
      <c r="M193" s="9"/>
    </row>
    <row r="194" customFormat="false" ht="15" hidden="false" customHeight="false" outlineLevel="0" collapsed="false">
      <c r="A194" s="7" t="str">
        <f aca="false">IF('Outro banco'!A194="","",IF(LEFT('Outro banco'!A194,1)="(","",'Outro banco'!A194))</f>
        <v/>
      </c>
      <c r="B194" s="7" t="str">
        <f aca="false">IF(A194="","",'Outro banco'!B194)</f>
        <v/>
      </c>
      <c r="C194" s="7" t="str">
        <f aca="false">IF(A194="","",'Outro banco'!C194)</f>
        <v/>
      </c>
      <c r="D194" s="7" t="str">
        <f aca="false">IF(A194="","",'Outro banco'!D194)</f>
        <v/>
      </c>
      <c r="E194" s="9"/>
      <c r="F194" s="9"/>
      <c r="G194" s="7" t="str">
        <f aca="false">IF(A194="","",IF(COUNTIF(Tabelas!$A:$A,IF(E194="",A194,E194))&gt;0,"sim","não"))</f>
        <v/>
      </c>
      <c r="H194" s="7" t="str">
        <f aca="false">IF(A194="","",IF(E194="",A194,E194)&amp;"."&amp;IF(F194="",B194,F194))</f>
        <v/>
      </c>
      <c r="I194" s="7" t="str">
        <f aca="false">IF(A194="","",IFERROR(INDEX('Campos Growths'!$F:$F,MATCH(H194,'Campos Growths'!$A:$A,0)),""))</f>
        <v/>
      </c>
      <c r="J194" s="7" t="str">
        <f aca="false">IF(A194="","",IFERROR(VLOOKUP(IF(ISNUMBER(SEARCH("(",C194)),LEFT(C194,SEARCH("(",C194)-1),C194),Tipos!$A:$B,2,FALSE()),"outro"))</f>
        <v/>
      </c>
      <c r="K194" s="7" t="str">
        <f aca="false">IF(I194="","",IFERROR(INDEX('Campos Growths'!$L:$L,MATCH(H194,'Campos Growths'!$A:$A,0)),""))</f>
        <v/>
      </c>
      <c r="L194" s="7" t="str">
        <f aca="false">IF(A194="","",IF(G194="não","Sem tabela no Growths",IF(I194="","Sem campo no Growths",IF(J194=K194,"Importa direto","Ajustar tipo"))))</f>
        <v/>
      </c>
      <c r="M194" s="9"/>
    </row>
    <row r="195" customFormat="false" ht="15" hidden="false" customHeight="false" outlineLevel="0" collapsed="false">
      <c r="A195" s="7" t="str">
        <f aca="false">IF('Outro banco'!A195="","",IF(LEFT('Outro banco'!A195,1)="(","",'Outro banco'!A195))</f>
        <v/>
      </c>
      <c r="B195" s="7" t="str">
        <f aca="false">IF(A195="","",'Outro banco'!B195)</f>
        <v/>
      </c>
      <c r="C195" s="7" t="str">
        <f aca="false">IF(A195="","",'Outro banco'!C195)</f>
        <v/>
      </c>
      <c r="D195" s="7" t="str">
        <f aca="false">IF(A195="","",'Outro banco'!D195)</f>
        <v/>
      </c>
      <c r="E195" s="9"/>
      <c r="F195" s="9"/>
      <c r="G195" s="7" t="str">
        <f aca="false">IF(A195="","",IF(COUNTIF(Tabelas!$A:$A,IF(E195="",A195,E195))&gt;0,"sim","não"))</f>
        <v/>
      </c>
      <c r="H195" s="7" t="str">
        <f aca="false">IF(A195="","",IF(E195="",A195,E195)&amp;"."&amp;IF(F195="",B195,F195))</f>
        <v/>
      </c>
      <c r="I195" s="7" t="str">
        <f aca="false">IF(A195="","",IFERROR(INDEX('Campos Growths'!$F:$F,MATCH(H195,'Campos Growths'!$A:$A,0)),""))</f>
        <v/>
      </c>
      <c r="J195" s="7" t="str">
        <f aca="false">IF(A195="","",IFERROR(VLOOKUP(IF(ISNUMBER(SEARCH("(",C195)),LEFT(C195,SEARCH("(",C195)-1),C195),Tipos!$A:$B,2,FALSE()),"outro"))</f>
        <v/>
      </c>
      <c r="K195" s="7" t="str">
        <f aca="false">IF(I195="","",IFERROR(INDEX('Campos Growths'!$L:$L,MATCH(H195,'Campos Growths'!$A:$A,0)),""))</f>
        <v/>
      </c>
      <c r="L195" s="7" t="str">
        <f aca="false">IF(A195="","",IF(G195="não","Sem tabela no Growths",IF(I195="","Sem campo no Growths",IF(J195=K195,"Importa direto","Ajustar tipo"))))</f>
        <v/>
      </c>
      <c r="M195" s="9"/>
    </row>
    <row r="196" customFormat="false" ht="15" hidden="false" customHeight="false" outlineLevel="0" collapsed="false">
      <c r="A196" s="7" t="str">
        <f aca="false">IF('Outro banco'!A196="","",IF(LEFT('Outro banco'!A196,1)="(","",'Outro banco'!A196))</f>
        <v/>
      </c>
      <c r="B196" s="7" t="str">
        <f aca="false">IF(A196="","",'Outro banco'!B196)</f>
        <v/>
      </c>
      <c r="C196" s="7" t="str">
        <f aca="false">IF(A196="","",'Outro banco'!C196)</f>
        <v/>
      </c>
      <c r="D196" s="7" t="str">
        <f aca="false">IF(A196="","",'Outro banco'!D196)</f>
        <v/>
      </c>
      <c r="E196" s="9"/>
      <c r="F196" s="9"/>
      <c r="G196" s="7" t="str">
        <f aca="false">IF(A196="","",IF(COUNTIF(Tabelas!$A:$A,IF(E196="",A196,E196))&gt;0,"sim","não"))</f>
        <v/>
      </c>
      <c r="H196" s="7" t="str">
        <f aca="false">IF(A196="","",IF(E196="",A196,E196)&amp;"."&amp;IF(F196="",B196,F196))</f>
        <v/>
      </c>
      <c r="I196" s="7" t="str">
        <f aca="false">IF(A196="","",IFERROR(INDEX('Campos Growths'!$F:$F,MATCH(H196,'Campos Growths'!$A:$A,0)),""))</f>
        <v/>
      </c>
      <c r="J196" s="7" t="str">
        <f aca="false">IF(A196="","",IFERROR(VLOOKUP(IF(ISNUMBER(SEARCH("(",C196)),LEFT(C196,SEARCH("(",C196)-1),C196),Tipos!$A:$B,2,FALSE()),"outro"))</f>
        <v/>
      </c>
      <c r="K196" s="7" t="str">
        <f aca="false">IF(I196="","",IFERROR(INDEX('Campos Growths'!$L:$L,MATCH(H196,'Campos Growths'!$A:$A,0)),""))</f>
        <v/>
      </c>
      <c r="L196" s="7" t="str">
        <f aca="false">IF(A196="","",IF(G196="não","Sem tabela no Growths",IF(I196="","Sem campo no Growths",IF(J196=K196,"Importa direto","Ajustar tipo"))))</f>
        <v/>
      </c>
      <c r="M196" s="9"/>
    </row>
    <row r="197" customFormat="false" ht="15" hidden="false" customHeight="false" outlineLevel="0" collapsed="false">
      <c r="A197" s="7" t="str">
        <f aca="false">IF('Outro banco'!A197="","",IF(LEFT('Outro banco'!A197,1)="(","",'Outro banco'!A197))</f>
        <v/>
      </c>
      <c r="B197" s="7" t="str">
        <f aca="false">IF(A197="","",'Outro banco'!B197)</f>
        <v/>
      </c>
      <c r="C197" s="7" t="str">
        <f aca="false">IF(A197="","",'Outro banco'!C197)</f>
        <v/>
      </c>
      <c r="D197" s="7" t="str">
        <f aca="false">IF(A197="","",'Outro banco'!D197)</f>
        <v/>
      </c>
      <c r="E197" s="9"/>
      <c r="F197" s="9"/>
      <c r="G197" s="7" t="str">
        <f aca="false">IF(A197="","",IF(COUNTIF(Tabelas!$A:$A,IF(E197="",A197,E197))&gt;0,"sim","não"))</f>
        <v/>
      </c>
      <c r="H197" s="7" t="str">
        <f aca="false">IF(A197="","",IF(E197="",A197,E197)&amp;"."&amp;IF(F197="",B197,F197))</f>
        <v/>
      </c>
      <c r="I197" s="7" t="str">
        <f aca="false">IF(A197="","",IFERROR(INDEX('Campos Growths'!$F:$F,MATCH(H197,'Campos Growths'!$A:$A,0)),""))</f>
        <v/>
      </c>
      <c r="J197" s="7" t="str">
        <f aca="false">IF(A197="","",IFERROR(VLOOKUP(IF(ISNUMBER(SEARCH("(",C197)),LEFT(C197,SEARCH("(",C197)-1),C197),Tipos!$A:$B,2,FALSE()),"outro"))</f>
        <v/>
      </c>
      <c r="K197" s="7" t="str">
        <f aca="false">IF(I197="","",IFERROR(INDEX('Campos Growths'!$L:$L,MATCH(H197,'Campos Growths'!$A:$A,0)),""))</f>
        <v/>
      </c>
      <c r="L197" s="7" t="str">
        <f aca="false">IF(A197="","",IF(G197="não","Sem tabela no Growths",IF(I197="","Sem campo no Growths",IF(J197=K197,"Importa direto","Ajustar tipo"))))</f>
        <v/>
      </c>
      <c r="M197" s="9"/>
    </row>
    <row r="198" customFormat="false" ht="15" hidden="false" customHeight="false" outlineLevel="0" collapsed="false">
      <c r="A198" s="7" t="str">
        <f aca="false">IF('Outro banco'!A198="","",IF(LEFT('Outro banco'!A198,1)="(","",'Outro banco'!A198))</f>
        <v/>
      </c>
      <c r="B198" s="7" t="str">
        <f aca="false">IF(A198="","",'Outro banco'!B198)</f>
        <v/>
      </c>
      <c r="C198" s="7" t="str">
        <f aca="false">IF(A198="","",'Outro banco'!C198)</f>
        <v/>
      </c>
      <c r="D198" s="7" t="str">
        <f aca="false">IF(A198="","",'Outro banco'!D198)</f>
        <v/>
      </c>
      <c r="E198" s="9"/>
      <c r="F198" s="9"/>
      <c r="G198" s="7" t="str">
        <f aca="false">IF(A198="","",IF(COUNTIF(Tabelas!$A:$A,IF(E198="",A198,E198))&gt;0,"sim","não"))</f>
        <v/>
      </c>
      <c r="H198" s="7" t="str">
        <f aca="false">IF(A198="","",IF(E198="",A198,E198)&amp;"."&amp;IF(F198="",B198,F198))</f>
        <v/>
      </c>
      <c r="I198" s="7" t="str">
        <f aca="false">IF(A198="","",IFERROR(INDEX('Campos Growths'!$F:$F,MATCH(H198,'Campos Growths'!$A:$A,0)),""))</f>
        <v/>
      </c>
      <c r="J198" s="7" t="str">
        <f aca="false">IF(A198="","",IFERROR(VLOOKUP(IF(ISNUMBER(SEARCH("(",C198)),LEFT(C198,SEARCH("(",C198)-1),C198),Tipos!$A:$B,2,FALSE()),"outro"))</f>
        <v/>
      </c>
      <c r="K198" s="7" t="str">
        <f aca="false">IF(I198="","",IFERROR(INDEX('Campos Growths'!$L:$L,MATCH(H198,'Campos Growths'!$A:$A,0)),""))</f>
        <v/>
      </c>
      <c r="L198" s="7" t="str">
        <f aca="false">IF(A198="","",IF(G198="não","Sem tabela no Growths",IF(I198="","Sem campo no Growths",IF(J198=K198,"Importa direto","Ajustar tipo"))))</f>
        <v/>
      </c>
      <c r="M198" s="9"/>
    </row>
    <row r="199" customFormat="false" ht="15" hidden="false" customHeight="false" outlineLevel="0" collapsed="false">
      <c r="A199" s="7" t="str">
        <f aca="false">IF('Outro banco'!A199="","",IF(LEFT('Outro banco'!A199,1)="(","",'Outro banco'!A199))</f>
        <v/>
      </c>
      <c r="B199" s="7" t="str">
        <f aca="false">IF(A199="","",'Outro banco'!B199)</f>
        <v/>
      </c>
      <c r="C199" s="7" t="str">
        <f aca="false">IF(A199="","",'Outro banco'!C199)</f>
        <v/>
      </c>
      <c r="D199" s="7" t="str">
        <f aca="false">IF(A199="","",'Outro banco'!D199)</f>
        <v/>
      </c>
      <c r="E199" s="9"/>
      <c r="F199" s="9"/>
      <c r="G199" s="7" t="str">
        <f aca="false">IF(A199="","",IF(COUNTIF(Tabelas!$A:$A,IF(E199="",A199,E199))&gt;0,"sim","não"))</f>
        <v/>
      </c>
      <c r="H199" s="7" t="str">
        <f aca="false">IF(A199="","",IF(E199="",A199,E199)&amp;"."&amp;IF(F199="",B199,F199))</f>
        <v/>
      </c>
      <c r="I199" s="7" t="str">
        <f aca="false">IF(A199="","",IFERROR(INDEX('Campos Growths'!$F:$F,MATCH(H199,'Campos Growths'!$A:$A,0)),""))</f>
        <v/>
      </c>
      <c r="J199" s="7" t="str">
        <f aca="false">IF(A199="","",IFERROR(VLOOKUP(IF(ISNUMBER(SEARCH("(",C199)),LEFT(C199,SEARCH("(",C199)-1),C199),Tipos!$A:$B,2,FALSE()),"outro"))</f>
        <v/>
      </c>
      <c r="K199" s="7" t="str">
        <f aca="false">IF(I199="","",IFERROR(INDEX('Campos Growths'!$L:$L,MATCH(H199,'Campos Growths'!$A:$A,0)),""))</f>
        <v/>
      </c>
      <c r="L199" s="7" t="str">
        <f aca="false">IF(A199="","",IF(G199="não","Sem tabela no Growths",IF(I199="","Sem campo no Growths",IF(J199=K199,"Importa direto","Ajustar tipo"))))</f>
        <v/>
      </c>
      <c r="M199" s="9"/>
    </row>
    <row r="200" customFormat="false" ht="15" hidden="false" customHeight="false" outlineLevel="0" collapsed="false">
      <c r="A200" s="7" t="str">
        <f aca="false">IF('Outro banco'!A200="","",IF(LEFT('Outro banco'!A200,1)="(","",'Outro banco'!A200))</f>
        <v/>
      </c>
      <c r="B200" s="7" t="str">
        <f aca="false">IF(A200="","",'Outro banco'!B200)</f>
        <v/>
      </c>
      <c r="C200" s="7" t="str">
        <f aca="false">IF(A200="","",'Outro banco'!C200)</f>
        <v/>
      </c>
      <c r="D200" s="7" t="str">
        <f aca="false">IF(A200="","",'Outro banco'!D200)</f>
        <v/>
      </c>
      <c r="E200" s="9"/>
      <c r="F200" s="9"/>
      <c r="G200" s="7" t="str">
        <f aca="false">IF(A200="","",IF(COUNTIF(Tabelas!$A:$A,IF(E200="",A200,E200))&gt;0,"sim","não"))</f>
        <v/>
      </c>
      <c r="H200" s="7" t="str">
        <f aca="false">IF(A200="","",IF(E200="",A200,E200)&amp;"."&amp;IF(F200="",B200,F200))</f>
        <v/>
      </c>
      <c r="I200" s="7" t="str">
        <f aca="false">IF(A200="","",IFERROR(INDEX('Campos Growths'!$F:$F,MATCH(H200,'Campos Growths'!$A:$A,0)),""))</f>
        <v/>
      </c>
      <c r="J200" s="7" t="str">
        <f aca="false">IF(A200="","",IFERROR(VLOOKUP(IF(ISNUMBER(SEARCH("(",C200)),LEFT(C200,SEARCH("(",C200)-1),C200),Tipos!$A:$B,2,FALSE()),"outro"))</f>
        <v/>
      </c>
      <c r="K200" s="7" t="str">
        <f aca="false">IF(I200="","",IFERROR(INDEX('Campos Growths'!$L:$L,MATCH(H200,'Campos Growths'!$A:$A,0)),""))</f>
        <v/>
      </c>
      <c r="L200" s="7" t="str">
        <f aca="false">IF(A200="","",IF(G200="não","Sem tabela no Growths",IF(I200="","Sem campo no Growths",IF(J200=K200,"Importa direto","Ajustar tipo"))))</f>
        <v/>
      </c>
      <c r="M200" s="9"/>
    </row>
    <row r="201" customFormat="false" ht="15" hidden="false" customHeight="false" outlineLevel="0" collapsed="false">
      <c r="A201" s="7" t="str">
        <f aca="false">IF('Outro banco'!A201="","",IF(LEFT('Outro banco'!A201,1)="(","",'Outro banco'!A201))</f>
        <v/>
      </c>
      <c r="B201" s="7" t="str">
        <f aca="false">IF(A201="","",'Outro banco'!B201)</f>
        <v/>
      </c>
      <c r="C201" s="7" t="str">
        <f aca="false">IF(A201="","",'Outro banco'!C201)</f>
        <v/>
      </c>
      <c r="D201" s="7" t="str">
        <f aca="false">IF(A201="","",'Outro banco'!D201)</f>
        <v/>
      </c>
      <c r="E201" s="9"/>
      <c r="F201" s="9"/>
      <c r="G201" s="7" t="str">
        <f aca="false">IF(A201="","",IF(COUNTIF(Tabelas!$A:$A,IF(E201="",A201,E201))&gt;0,"sim","não"))</f>
        <v/>
      </c>
      <c r="H201" s="7" t="str">
        <f aca="false">IF(A201="","",IF(E201="",A201,E201)&amp;"."&amp;IF(F201="",B201,F201))</f>
        <v/>
      </c>
      <c r="I201" s="7" t="str">
        <f aca="false">IF(A201="","",IFERROR(INDEX('Campos Growths'!$F:$F,MATCH(H201,'Campos Growths'!$A:$A,0)),""))</f>
        <v/>
      </c>
      <c r="J201" s="7" t="str">
        <f aca="false">IF(A201="","",IFERROR(VLOOKUP(IF(ISNUMBER(SEARCH("(",C201)),LEFT(C201,SEARCH("(",C201)-1),C201),Tipos!$A:$B,2,FALSE()),"outro"))</f>
        <v/>
      </c>
      <c r="K201" s="7" t="str">
        <f aca="false">IF(I201="","",IFERROR(INDEX('Campos Growths'!$L:$L,MATCH(H201,'Campos Growths'!$A:$A,0)),""))</f>
        <v/>
      </c>
      <c r="L201" s="7" t="str">
        <f aca="false">IF(A201="","",IF(G201="não","Sem tabela no Growths",IF(I201="","Sem campo no Growths",IF(J201=K201,"Importa direto","Ajustar tipo"))))</f>
        <v/>
      </c>
      <c r="M201" s="9"/>
    </row>
    <row r="202" customFormat="false" ht="15" hidden="false" customHeight="false" outlineLevel="0" collapsed="false">
      <c r="A202" s="7" t="str">
        <f aca="false">IF('Outro banco'!A202="","",IF(LEFT('Outro banco'!A202,1)="(","",'Outro banco'!A202))</f>
        <v/>
      </c>
      <c r="B202" s="7" t="str">
        <f aca="false">IF(A202="","",'Outro banco'!B202)</f>
        <v/>
      </c>
      <c r="C202" s="7" t="str">
        <f aca="false">IF(A202="","",'Outro banco'!C202)</f>
        <v/>
      </c>
      <c r="D202" s="7" t="str">
        <f aca="false">IF(A202="","",'Outro banco'!D202)</f>
        <v/>
      </c>
      <c r="E202" s="9"/>
      <c r="F202" s="9"/>
      <c r="G202" s="7" t="str">
        <f aca="false">IF(A202="","",IF(COUNTIF(Tabelas!$A:$A,IF(E202="",A202,E202))&gt;0,"sim","não"))</f>
        <v/>
      </c>
      <c r="H202" s="7" t="str">
        <f aca="false">IF(A202="","",IF(E202="",A202,E202)&amp;"."&amp;IF(F202="",B202,F202))</f>
        <v/>
      </c>
      <c r="I202" s="7" t="str">
        <f aca="false">IF(A202="","",IFERROR(INDEX('Campos Growths'!$F:$F,MATCH(H202,'Campos Growths'!$A:$A,0)),""))</f>
        <v/>
      </c>
      <c r="J202" s="7" t="str">
        <f aca="false">IF(A202="","",IFERROR(VLOOKUP(IF(ISNUMBER(SEARCH("(",C202)),LEFT(C202,SEARCH("(",C202)-1),C202),Tipos!$A:$B,2,FALSE()),"outro"))</f>
        <v/>
      </c>
      <c r="K202" s="7" t="str">
        <f aca="false">IF(I202="","",IFERROR(INDEX('Campos Growths'!$L:$L,MATCH(H202,'Campos Growths'!$A:$A,0)),""))</f>
        <v/>
      </c>
      <c r="L202" s="7" t="str">
        <f aca="false">IF(A202="","",IF(G202="não","Sem tabela no Growths",IF(I202="","Sem campo no Growths",IF(J202=K202,"Importa direto","Ajustar tipo"))))</f>
        <v/>
      </c>
      <c r="M202" s="9"/>
    </row>
    <row r="203" customFormat="false" ht="15" hidden="false" customHeight="false" outlineLevel="0" collapsed="false">
      <c r="A203" s="7" t="str">
        <f aca="false">IF('Outro banco'!A203="","",IF(LEFT('Outro banco'!A203,1)="(","",'Outro banco'!A203))</f>
        <v/>
      </c>
      <c r="B203" s="7" t="str">
        <f aca="false">IF(A203="","",'Outro banco'!B203)</f>
        <v/>
      </c>
      <c r="C203" s="7" t="str">
        <f aca="false">IF(A203="","",'Outro banco'!C203)</f>
        <v/>
      </c>
      <c r="D203" s="7" t="str">
        <f aca="false">IF(A203="","",'Outro banco'!D203)</f>
        <v/>
      </c>
      <c r="E203" s="9"/>
      <c r="F203" s="9"/>
      <c r="G203" s="7" t="str">
        <f aca="false">IF(A203="","",IF(COUNTIF(Tabelas!$A:$A,IF(E203="",A203,E203))&gt;0,"sim","não"))</f>
        <v/>
      </c>
      <c r="H203" s="7" t="str">
        <f aca="false">IF(A203="","",IF(E203="",A203,E203)&amp;"."&amp;IF(F203="",B203,F203))</f>
        <v/>
      </c>
      <c r="I203" s="7" t="str">
        <f aca="false">IF(A203="","",IFERROR(INDEX('Campos Growths'!$F:$F,MATCH(H203,'Campos Growths'!$A:$A,0)),""))</f>
        <v/>
      </c>
      <c r="J203" s="7" t="str">
        <f aca="false">IF(A203="","",IFERROR(VLOOKUP(IF(ISNUMBER(SEARCH("(",C203)),LEFT(C203,SEARCH("(",C203)-1),C203),Tipos!$A:$B,2,FALSE()),"outro"))</f>
        <v/>
      </c>
      <c r="K203" s="7" t="str">
        <f aca="false">IF(I203="","",IFERROR(INDEX('Campos Growths'!$L:$L,MATCH(H203,'Campos Growths'!$A:$A,0)),""))</f>
        <v/>
      </c>
      <c r="L203" s="7" t="str">
        <f aca="false">IF(A203="","",IF(G203="não","Sem tabela no Growths",IF(I203="","Sem campo no Growths",IF(J203=K203,"Importa direto","Ajustar tipo"))))</f>
        <v/>
      </c>
      <c r="M203" s="9"/>
    </row>
    <row r="204" customFormat="false" ht="15" hidden="false" customHeight="false" outlineLevel="0" collapsed="false">
      <c r="A204" s="7" t="str">
        <f aca="false">IF('Outro banco'!A204="","",IF(LEFT('Outro banco'!A204,1)="(","",'Outro banco'!A204))</f>
        <v/>
      </c>
      <c r="B204" s="7" t="str">
        <f aca="false">IF(A204="","",'Outro banco'!B204)</f>
        <v/>
      </c>
      <c r="C204" s="7" t="str">
        <f aca="false">IF(A204="","",'Outro banco'!C204)</f>
        <v/>
      </c>
      <c r="D204" s="7" t="str">
        <f aca="false">IF(A204="","",'Outro banco'!D204)</f>
        <v/>
      </c>
      <c r="E204" s="9"/>
      <c r="F204" s="9"/>
      <c r="G204" s="7" t="str">
        <f aca="false">IF(A204="","",IF(COUNTIF(Tabelas!$A:$A,IF(E204="",A204,E204))&gt;0,"sim","não"))</f>
        <v/>
      </c>
      <c r="H204" s="7" t="str">
        <f aca="false">IF(A204="","",IF(E204="",A204,E204)&amp;"."&amp;IF(F204="",B204,F204))</f>
        <v/>
      </c>
      <c r="I204" s="7" t="str">
        <f aca="false">IF(A204="","",IFERROR(INDEX('Campos Growths'!$F:$F,MATCH(H204,'Campos Growths'!$A:$A,0)),""))</f>
        <v/>
      </c>
      <c r="J204" s="7" t="str">
        <f aca="false">IF(A204="","",IFERROR(VLOOKUP(IF(ISNUMBER(SEARCH("(",C204)),LEFT(C204,SEARCH("(",C204)-1),C204),Tipos!$A:$B,2,FALSE()),"outro"))</f>
        <v/>
      </c>
      <c r="K204" s="7" t="str">
        <f aca="false">IF(I204="","",IFERROR(INDEX('Campos Growths'!$L:$L,MATCH(H204,'Campos Growths'!$A:$A,0)),""))</f>
        <v/>
      </c>
      <c r="L204" s="7" t="str">
        <f aca="false">IF(A204="","",IF(G204="não","Sem tabela no Growths",IF(I204="","Sem campo no Growths",IF(J204=K204,"Importa direto","Ajustar tipo"))))</f>
        <v/>
      </c>
      <c r="M204" s="9"/>
    </row>
    <row r="205" customFormat="false" ht="15" hidden="false" customHeight="false" outlineLevel="0" collapsed="false">
      <c r="A205" s="7" t="str">
        <f aca="false">IF('Outro banco'!A205="","",IF(LEFT('Outro banco'!A205,1)="(","",'Outro banco'!A205))</f>
        <v/>
      </c>
      <c r="B205" s="7" t="str">
        <f aca="false">IF(A205="","",'Outro banco'!B205)</f>
        <v/>
      </c>
      <c r="C205" s="7" t="str">
        <f aca="false">IF(A205="","",'Outro banco'!C205)</f>
        <v/>
      </c>
      <c r="D205" s="7" t="str">
        <f aca="false">IF(A205="","",'Outro banco'!D205)</f>
        <v/>
      </c>
      <c r="E205" s="9"/>
      <c r="F205" s="9"/>
      <c r="G205" s="7" t="str">
        <f aca="false">IF(A205="","",IF(COUNTIF(Tabelas!$A:$A,IF(E205="",A205,E205))&gt;0,"sim","não"))</f>
        <v/>
      </c>
      <c r="H205" s="7" t="str">
        <f aca="false">IF(A205="","",IF(E205="",A205,E205)&amp;"."&amp;IF(F205="",B205,F205))</f>
        <v/>
      </c>
      <c r="I205" s="7" t="str">
        <f aca="false">IF(A205="","",IFERROR(INDEX('Campos Growths'!$F:$F,MATCH(H205,'Campos Growths'!$A:$A,0)),""))</f>
        <v/>
      </c>
      <c r="J205" s="7" t="str">
        <f aca="false">IF(A205="","",IFERROR(VLOOKUP(IF(ISNUMBER(SEARCH("(",C205)),LEFT(C205,SEARCH("(",C205)-1),C205),Tipos!$A:$B,2,FALSE()),"outro"))</f>
        <v/>
      </c>
      <c r="K205" s="7" t="str">
        <f aca="false">IF(I205="","",IFERROR(INDEX('Campos Growths'!$L:$L,MATCH(H205,'Campos Growths'!$A:$A,0)),""))</f>
        <v/>
      </c>
      <c r="L205" s="7" t="str">
        <f aca="false">IF(A205="","",IF(G205="não","Sem tabela no Growths",IF(I205="","Sem campo no Growths",IF(J205=K205,"Importa direto","Ajustar tipo"))))</f>
        <v/>
      </c>
      <c r="M205" s="9"/>
    </row>
    <row r="206" customFormat="false" ht="15" hidden="false" customHeight="false" outlineLevel="0" collapsed="false">
      <c r="A206" s="7" t="str">
        <f aca="false">IF('Outro banco'!A206="","",IF(LEFT('Outro banco'!A206,1)="(","",'Outro banco'!A206))</f>
        <v/>
      </c>
      <c r="B206" s="7" t="str">
        <f aca="false">IF(A206="","",'Outro banco'!B206)</f>
        <v/>
      </c>
      <c r="C206" s="7" t="str">
        <f aca="false">IF(A206="","",'Outro banco'!C206)</f>
        <v/>
      </c>
      <c r="D206" s="7" t="str">
        <f aca="false">IF(A206="","",'Outro banco'!D206)</f>
        <v/>
      </c>
      <c r="E206" s="9"/>
      <c r="F206" s="9"/>
      <c r="G206" s="7" t="str">
        <f aca="false">IF(A206="","",IF(COUNTIF(Tabelas!$A:$A,IF(E206="",A206,E206))&gt;0,"sim","não"))</f>
        <v/>
      </c>
      <c r="H206" s="7" t="str">
        <f aca="false">IF(A206="","",IF(E206="",A206,E206)&amp;"."&amp;IF(F206="",B206,F206))</f>
        <v/>
      </c>
      <c r="I206" s="7" t="str">
        <f aca="false">IF(A206="","",IFERROR(INDEX('Campos Growths'!$F:$F,MATCH(H206,'Campos Growths'!$A:$A,0)),""))</f>
        <v/>
      </c>
      <c r="J206" s="7" t="str">
        <f aca="false">IF(A206="","",IFERROR(VLOOKUP(IF(ISNUMBER(SEARCH("(",C206)),LEFT(C206,SEARCH("(",C206)-1),C206),Tipos!$A:$B,2,FALSE()),"outro"))</f>
        <v/>
      </c>
      <c r="K206" s="7" t="str">
        <f aca="false">IF(I206="","",IFERROR(INDEX('Campos Growths'!$L:$L,MATCH(H206,'Campos Growths'!$A:$A,0)),""))</f>
        <v/>
      </c>
      <c r="L206" s="7" t="str">
        <f aca="false">IF(A206="","",IF(G206="não","Sem tabela no Growths",IF(I206="","Sem campo no Growths",IF(J206=K206,"Importa direto","Ajustar tipo"))))</f>
        <v/>
      </c>
      <c r="M206" s="9"/>
    </row>
    <row r="207" customFormat="false" ht="15" hidden="false" customHeight="false" outlineLevel="0" collapsed="false">
      <c r="A207" s="7" t="str">
        <f aca="false">IF('Outro banco'!A207="","",IF(LEFT('Outro banco'!A207,1)="(","",'Outro banco'!A207))</f>
        <v/>
      </c>
      <c r="B207" s="7" t="str">
        <f aca="false">IF(A207="","",'Outro banco'!B207)</f>
        <v/>
      </c>
      <c r="C207" s="7" t="str">
        <f aca="false">IF(A207="","",'Outro banco'!C207)</f>
        <v/>
      </c>
      <c r="D207" s="7" t="str">
        <f aca="false">IF(A207="","",'Outro banco'!D207)</f>
        <v/>
      </c>
      <c r="E207" s="9"/>
      <c r="F207" s="9"/>
      <c r="G207" s="7" t="str">
        <f aca="false">IF(A207="","",IF(COUNTIF(Tabelas!$A:$A,IF(E207="",A207,E207))&gt;0,"sim","não"))</f>
        <v/>
      </c>
      <c r="H207" s="7" t="str">
        <f aca="false">IF(A207="","",IF(E207="",A207,E207)&amp;"."&amp;IF(F207="",B207,F207))</f>
        <v/>
      </c>
      <c r="I207" s="7" t="str">
        <f aca="false">IF(A207="","",IFERROR(INDEX('Campos Growths'!$F:$F,MATCH(H207,'Campos Growths'!$A:$A,0)),""))</f>
        <v/>
      </c>
      <c r="J207" s="7" t="str">
        <f aca="false">IF(A207="","",IFERROR(VLOOKUP(IF(ISNUMBER(SEARCH("(",C207)),LEFT(C207,SEARCH("(",C207)-1),C207),Tipos!$A:$B,2,FALSE()),"outro"))</f>
        <v/>
      </c>
      <c r="K207" s="7" t="str">
        <f aca="false">IF(I207="","",IFERROR(INDEX('Campos Growths'!$L:$L,MATCH(H207,'Campos Growths'!$A:$A,0)),""))</f>
        <v/>
      </c>
      <c r="L207" s="7" t="str">
        <f aca="false">IF(A207="","",IF(G207="não","Sem tabela no Growths",IF(I207="","Sem campo no Growths",IF(J207=K207,"Importa direto","Ajustar tipo"))))</f>
        <v/>
      </c>
      <c r="M207" s="9"/>
    </row>
    <row r="208" customFormat="false" ht="15" hidden="false" customHeight="false" outlineLevel="0" collapsed="false">
      <c r="A208" s="7" t="str">
        <f aca="false">IF('Outro banco'!A208="","",IF(LEFT('Outro banco'!A208,1)="(","",'Outro banco'!A208))</f>
        <v/>
      </c>
      <c r="B208" s="7" t="str">
        <f aca="false">IF(A208="","",'Outro banco'!B208)</f>
        <v/>
      </c>
      <c r="C208" s="7" t="str">
        <f aca="false">IF(A208="","",'Outro banco'!C208)</f>
        <v/>
      </c>
      <c r="D208" s="7" t="str">
        <f aca="false">IF(A208="","",'Outro banco'!D208)</f>
        <v/>
      </c>
      <c r="E208" s="9"/>
      <c r="F208" s="9"/>
      <c r="G208" s="7" t="str">
        <f aca="false">IF(A208="","",IF(COUNTIF(Tabelas!$A:$A,IF(E208="",A208,E208))&gt;0,"sim","não"))</f>
        <v/>
      </c>
      <c r="H208" s="7" t="str">
        <f aca="false">IF(A208="","",IF(E208="",A208,E208)&amp;"."&amp;IF(F208="",B208,F208))</f>
        <v/>
      </c>
      <c r="I208" s="7" t="str">
        <f aca="false">IF(A208="","",IFERROR(INDEX('Campos Growths'!$F:$F,MATCH(H208,'Campos Growths'!$A:$A,0)),""))</f>
        <v/>
      </c>
      <c r="J208" s="7" t="str">
        <f aca="false">IF(A208="","",IFERROR(VLOOKUP(IF(ISNUMBER(SEARCH("(",C208)),LEFT(C208,SEARCH("(",C208)-1),C208),Tipos!$A:$B,2,FALSE()),"outro"))</f>
        <v/>
      </c>
      <c r="K208" s="7" t="str">
        <f aca="false">IF(I208="","",IFERROR(INDEX('Campos Growths'!$L:$L,MATCH(H208,'Campos Growths'!$A:$A,0)),""))</f>
        <v/>
      </c>
      <c r="L208" s="7" t="str">
        <f aca="false">IF(A208="","",IF(G208="não","Sem tabela no Growths",IF(I208="","Sem campo no Growths",IF(J208=K208,"Importa direto","Ajustar tipo"))))</f>
        <v/>
      </c>
      <c r="M208" s="9"/>
    </row>
    <row r="209" customFormat="false" ht="15" hidden="false" customHeight="false" outlineLevel="0" collapsed="false">
      <c r="A209" s="7" t="str">
        <f aca="false">IF('Outro banco'!A209="","",IF(LEFT('Outro banco'!A209,1)="(","",'Outro banco'!A209))</f>
        <v/>
      </c>
      <c r="B209" s="7" t="str">
        <f aca="false">IF(A209="","",'Outro banco'!B209)</f>
        <v/>
      </c>
      <c r="C209" s="7" t="str">
        <f aca="false">IF(A209="","",'Outro banco'!C209)</f>
        <v/>
      </c>
      <c r="D209" s="7" t="str">
        <f aca="false">IF(A209="","",'Outro banco'!D209)</f>
        <v/>
      </c>
      <c r="E209" s="9"/>
      <c r="F209" s="9"/>
      <c r="G209" s="7" t="str">
        <f aca="false">IF(A209="","",IF(COUNTIF(Tabelas!$A:$A,IF(E209="",A209,E209))&gt;0,"sim","não"))</f>
        <v/>
      </c>
      <c r="H209" s="7" t="str">
        <f aca="false">IF(A209="","",IF(E209="",A209,E209)&amp;"."&amp;IF(F209="",B209,F209))</f>
        <v/>
      </c>
      <c r="I209" s="7" t="str">
        <f aca="false">IF(A209="","",IFERROR(INDEX('Campos Growths'!$F:$F,MATCH(H209,'Campos Growths'!$A:$A,0)),""))</f>
        <v/>
      </c>
      <c r="J209" s="7" t="str">
        <f aca="false">IF(A209="","",IFERROR(VLOOKUP(IF(ISNUMBER(SEARCH("(",C209)),LEFT(C209,SEARCH("(",C209)-1),C209),Tipos!$A:$B,2,FALSE()),"outro"))</f>
        <v/>
      </c>
      <c r="K209" s="7" t="str">
        <f aca="false">IF(I209="","",IFERROR(INDEX('Campos Growths'!$L:$L,MATCH(H209,'Campos Growths'!$A:$A,0)),""))</f>
        <v/>
      </c>
      <c r="L209" s="7" t="str">
        <f aca="false">IF(A209="","",IF(G209="não","Sem tabela no Growths",IF(I209="","Sem campo no Growths",IF(J209=K209,"Importa direto","Ajustar tipo"))))</f>
        <v/>
      </c>
      <c r="M209" s="9"/>
    </row>
    <row r="210" customFormat="false" ht="15" hidden="false" customHeight="false" outlineLevel="0" collapsed="false">
      <c r="A210" s="7" t="str">
        <f aca="false">IF('Outro banco'!A210="","",IF(LEFT('Outro banco'!A210,1)="(","",'Outro banco'!A210))</f>
        <v/>
      </c>
      <c r="B210" s="7" t="str">
        <f aca="false">IF(A210="","",'Outro banco'!B210)</f>
        <v/>
      </c>
      <c r="C210" s="7" t="str">
        <f aca="false">IF(A210="","",'Outro banco'!C210)</f>
        <v/>
      </c>
      <c r="D210" s="7" t="str">
        <f aca="false">IF(A210="","",'Outro banco'!D210)</f>
        <v/>
      </c>
      <c r="E210" s="9"/>
      <c r="F210" s="9"/>
      <c r="G210" s="7" t="str">
        <f aca="false">IF(A210="","",IF(COUNTIF(Tabelas!$A:$A,IF(E210="",A210,E210))&gt;0,"sim","não"))</f>
        <v/>
      </c>
      <c r="H210" s="7" t="str">
        <f aca="false">IF(A210="","",IF(E210="",A210,E210)&amp;"."&amp;IF(F210="",B210,F210))</f>
        <v/>
      </c>
      <c r="I210" s="7" t="str">
        <f aca="false">IF(A210="","",IFERROR(INDEX('Campos Growths'!$F:$F,MATCH(H210,'Campos Growths'!$A:$A,0)),""))</f>
        <v/>
      </c>
      <c r="J210" s="7" t="str">
        <f aca="false">IF(A210="","",IFERROR(VLOOKUP(IF(ISNUMBER(SEARCH("(",C210)),LEFT(C210,SEARCH("(",C210)-1),C210),Tipos!$A:$B,2,FALSE()),"outro"))</f>
        <v/>
      </c>
      <c r="K210" s="7" t="str">
        <f aca="false">IF(I210="","",IFERROR(INDEX('Campos Growths'!$L:$L,MATCH(H210,'Campos Growths'!$A:$A,0)),""))</f>
        <v/>
      </c>
      <c r="L210" s="7" t="str">
        <f aca="false">IF(A210="","",IF(G210="não","Sem tabela no Growths",IF(I210="","Sem campo no Growths",IF(J210=K210,"Importa direto","Ajustar tipo"))))</f>
        <v/>
      </c>
      <c r="M210" s="9"/>
    </row>
    <row r="211" customFormat="false" ht="15" hidden="false" customHeight="false" outlineLevel="0" collapsed="false">
      <c r="A211" s="7" t="str">
        <f aca="false">IF('Outro banco'!A211="","",IF(LEFT('Outro banco'!A211,1)="(","",'Outro banco'!A211))</f>
        <v/>
      </c>
      <c r="B211" s="7" t="str">
        <f aca="false">IF(A211="","",'Outro banco'!B211)</f>
        <v/>
      </c>
      <c r="C211" s="7" t="str">
        <f aca="false">IF(A211="","",'Outro banco'!C211)</f>
        <v/>
      </c>
      <c r="D211" s="7" t="str">
        <f aca="false">IF(A211="","",'Outro banco'!D211)</f>
        <v/>
      </c>
      <c r="E211" s="9"/>
      <c r="F211" s="9"/>
      <c r="G211" s="7" t="str">
        <f aca="false">IF(A211="","",IF(COUNTIF(Tabelas!$A:$A,IF(E211="",A211,E211))&gt;0,"sim","não"))</f>
        <v/>
      </c>
      <c r="H211" s="7" t="str">
        <f aca="false">IF(A211="","",IF(E211="",A211,E211)&amp;"."&amp;IF(F211="",B211,F211))</f>
        <v/>
      </c>
      <c r="I211" s="7" t="str">
        <f aca="false">IF(A211="","",IFERROR(INDEX('Campos Growths'!$F:$F,MATCH(H211,'Campos Growths'!$A:$A,0)),""))</f>
        <v/>
      </c>
      <c r="J211" s="7" t="str">
        <f aca="false">IF(A211="","",IFERROR(VLOOKUP(IF(ISNUMBER(SEARCH("(",C211)),LEFT(C211,SEARCH("(",C211)-1),C211),Tipos!$A:$B,2,FALSE()),"outro"))</f>
        <v/>
      </c>
      <c r="K211" s="7" t="str">
        <f aca="false">IF(I211="","",IFERROR(INDEX('Campos Growths'!$L:$L,MATCH(H211,'Campos Growths'!$A:$A,0)),""))</f>
        <v/>
      </c>
      <c r="L211" s="7" t="str">
        <f aca="false">IF(A211="","",IF(G211="não","Sem tabela no Growths",IF(I211="","Sem campo no Growths",IF(J211=K211,"Importa direto","Ajustar tipo"))))</f>
        <v/>
      </c>
      <c r="M211" s="9"/>
    </row>
    <row r="212" customFormat="false" ht="15" hidden="false" customHeight="false" outlineLevel="0" collapsed="false">
      <c r="A212" s="7" t="str">
        <f aca="false">IF('Outro banco'!A212="","",IF(LEFT('Outro banco'!A212,1)="(","",'Outro banco'!A212))</f>
        <v/>
      </c>
      <c r="B212" s="7" t="str">
        <f aca="false">IF(A212="","",'Outro banco'!B212)</f>
        <v/>
      </c>
      <c r="C212" s="7" t="str">
        <f aca="false">IF(A212="","",'Outro banco'!C212)</f>
        <v/>
      </c>
      <c r="D212" s="7" t="str">
        <f aca="false">IF(A212="","",'Outro banco'!D212)</f>
        <v/>
      </c>
      <c r="E212" s="9"/>
      <c r="F212" s="9"/>
      <c r="G212" s="7" t="str">
        <f aca="false">IF(A212="","",IF(COUNTIF(Tabelas!$A:$A,IF(E212="",A212,E212))&gt;0,"sim","não"))</f>
        <v/>
      </c>
      <c r="H212" s="7" t="str">
        <f aca="false">IF(A212="","",IF(E212="",A212,E212)&amp;"."&amp;IF(F212="",B212,F212))</f>
        <v/>
      </c>
      <c r="I212" s="7" t="str">
        <f aca="false">IF(A212="","",IFERROR(INDEX('Campos Growths'!$F:$F,MATCH(H212,'Campos Growths'!$A:$A,0)),""))</f>
        <v/>
      </c>
      <c r="J212" s="7" t="str">
        <f aca="false">IF(A212="","",IFERROR(VLOOKUP(IF(ISNUMBER(SEARCH("(",C212)),LEFT(C212,SEARCH("(",C212)-1),C212),Tipos!$A:$B,2,FALSE()),"outro"))</f>
        <v/>
      </c>
      <c r="K212" s="7" t="str">
        <f aca="false">IF(I212="","",IFERROR(INDEX('Campos Growths'!$L:$L,MATCH(H212,'Campos Growths'!$A:$A,0)),""))</f>
        <v/>
      </c>
      <c r="L212" s="7" t="str">
        <f aca="false">IF(A212="","",IF(G212="não","Sem tabela no Growths",IF(I212="","Sem campo no Growths",IF(J212=K212,"Importa direto","Ajustar tipo"))))</f>
        <v/>
      </c>
      <c r="M212" s="9"/>
    </row>
    <row r="213" customFormat="false" ht="15" hidden="false" customHeight="false" outlineLevel="0" collapsed="false">
      <c r="A213" s="7" t="str">
        <f aca="false">IF('Outro banco'!A213="","",IF(LEFT('Outro banco'!A213,1)="(","",'Outro banco'!A213))</f>
        <v/>
      </c>
      <c r="B213" s="7" t="str">
        <f aca="false">IF(A213="","",'Outro banco'!B213)</f>
        <v/>
      </c>
      <c r="C213" s="7" t="str">
        <f aca="false">IF(A213="","",'Outro banco'!C213)</f>
        <v/>
      </c>
      <c r="D213" s="7" t="str">
        <f aca="false">IF(A213="","",'Outro banco'!D213)</f>
        <v/>
      </c>
      <c r="E213" s="9"/>
      <c r="F213" s="9"/>
      <c r="G213" s="7" t="str">
        <f aca="false">IF(A213="","",IF(COUNTIF(Tabelas!$A:$A,IF(E213="",A213,E213))&gt;0,"sim","não"))</f>
        <v/>
      </c>
      <c r="H213" s="7" t="str">
        <f aca="false">IF(A213="","",IF(E213="",A213,E213)&amp;"."&amp;IF(F213="",B213,F213))</f>
        <v/>
      </c>
      <c r="I213" s="7" t="str">
        <f aca="false">IF(A213="","",IFERROR(INDEX('Campos Growths'!$F:$F,MATCH(H213,'Campos Growths'!$A:$A,0)),""))</f>
        <v/>
      </c>
      <c r="J213" s="7" t="str">
        <f aca="false">IF(A213="","",IFERROR(VLOOKUP(IF(ISNUMBER(SEARCH("(",C213)),LEFT(C213,SEARCH("(",C213)-1),C213),Tipos!$A:$B,2,FALSE()),"outro"))</f>
        <v/>
      </c>
      <c r="K213" s="7" t="str">
        <f aca="false">IF(I213="","",IFERROR(INDEX('Campos Growths'!$L:$L,MATCH(H213,'Campos Growths'!$A:$A,0)),""))</f>
        <v/>
      </c>
      <c r="L213" s="7" t="str">
        <f aca="false">IF(A213="","",IF(G213="não","Sem tabela no Growths",IF(I213="","Sem campo no Growths",IF(J213=K213,"Importa direto","Ajustar tipo"))))</f>
        <v/>
      </c>
      <c r="M213" s="9"/>
    </row>
    <row r="214" customFormat="false" ht="15" hidden="false" customHeight="false" outlineLevel="0" collapsed="false">
      <c r="A214" s="7" t="str">
        <f aca="false">IF('Outro banco'!A214="","",IF(LEFT('Outro banco'!A214,1)="(","",'Outro banco'!A214))</f>
        <v/>
      </c>
      <c r="B214" s="7" t="str">
        <f aca="false">IF(A214="","",'Outro banco'!B214)</f>
        <v/>
      </c>
      <c r="C214" s="7" t="str">
        <f aca="false">IF(A214="","",'Outro banco'!C214)</f>
        <v/>
      </c>
      <c r="D214" s="7" t="str">
        <f aca="false">IF(A214="","",'Outro banco'!D214)</f>
        <v/>
      </c>
      <c r="E214" s="9"/>
      <c r="F214" s="9"/>
      <c r="G214" s="7" t="str">
        <f aca="false">IF(A214="","",IF(COUNTIF(Tabelas!$A:$A,IF(E214="",A214,E214))&gt;0,"sim","não"))</f>
        <v/>
      </c>
      <c r="H214" s="7" t="str">
        <f aca="false">IF(A214="","",IF(E214="",A214,E214)&amp;"."&amp;IF(F214="",B214,F214))</f>
        <v/>
      </c>
      <c r="I214" s="7" t="str">
        <f aca="false">IF(A214="","",IFERROR(INDEX('Campos Growths'!$F:$F,MATCH(H214,'Campos Growths'!$A:$A,0)),""))</f>
        <v/>
      </c>
      <c r="J214" s="7" t="str">
        <f aca="false">IF(A214="","",IFERROR(VLOOKUP(IF(ISNUMBER(SEARCH("(",C214)),LEFT(C214,SEARCH("(",C214)-1),C214),Tipos!$A:$B,2,FALSE()),"outro"))</f>
        <v/>
      </c>
      <c r="K214" s="7" t="str">
        <f aca="false">IF(I214="","",IFERROR(INDEX('Campos Growths'!$L:$L,MATCH(H214,'Campos Growths'!$A:$A,0)),""))</f>
        <v/>
      </c>
      <c r="L214" s="7" t="str">
        <f aca="false">IF(A214="","",IF(G214="não","Sem tabela no Growths",IF(I214="","Sem campo no Growths",IF(J214=K214,"Importa direto","Ajustar tipo"))))</f>
        <v/>
      </c>
      <c r="M214" s="9"/>
    </row>
    <row r="215" customFormat="false" ht="15" hidden="false" customHeight="false" outlineLevel="0" collapsed="false">
      <c r="A215" s="7" t="str">
        <f aca="false">IF('Outro banco'!A215="","",IF(LEFT('Outro banco'!A215,1)="(","",'Outro banco'!A215))</f>
        <v/>
      </c>
      <c r="B215" s="7" t="str">
        <f aca="false">IF(A215="","",'Outro banco'!B215)</f>
        <v/>
      </c>
      <c r="C215" s="7" t="str">
        <f aca="false">IF(A215="","",'Outro banco'!C215)</f>
        <v/>
      </c>
      <c r="D215" s="7" t="str">
        <f aca="false">IF(A215="","",'Outro banco'!D215)</f>
        <v/>
      </c>
      <c r="E215" s="9"/>
      <c r="F215" s="9"/>
      <c r="G215" s="7" t="str">
        <f aca="false">IF(A215="","",IF(COUNTIF(Tabelas!$A:$A,IF(E215="",A215,E215))&gt;0,"sim","não"))</f>
        <v/>
      </c>
      <c r="H215" s="7" t="str">
        <f aca="false">IF(A215="","",IF(E215="",A215,E215)&amp;"."&amp;IF(F215="",B215,F215))</f>
        <v/>
      </c>
      <c r="I215" s="7" t="str">
        <f aca="false">IF(A215="","",IFERROR(INDEX('Campos Growths'!$F:$F,MATCH(H215,'Campos Growths'!$A:$A,0)),""))</f>
        <v/>
      </c>
      <c r="J215" s="7" t="str">
        <f aca="false">IF(A215="","",IFERROR(VLOOKUP(IF(ISNUMBER(SEARCH("(",C215)),LEFT(C215,SEARCH("(",C215)-1),C215),Tipos!$A:$B,2,FALSE()),"outro"))</f>
        <v/>
      </c>
      <c r="K215" s="7" t="str">
        <f aca="false">IF(I215="","",IFERROR(INDEX('Campos Growths'!$L:$L,MATCH(H215,'Campos Growths'!$A:$A,0)),""))</f>
        <v/>
      </c>
      <c r="L215" s="7" t="str">
        <f aca="false">IF(A215="","",IF(G215="não","Sem tabela no Growths",IF(I215="","Sem campo no Growths",IF(J215=K215,"Importa direto","Ajustar tipo"))))</f>
        <v/>
      </c>
      <c r="M215" s="9"/>
    </row>
    <row r="216" customFormat="false" ht="15" hidden="false" customHeight="false" outlineLevel="0" collapsed="false">
      <c r="A216" s="7" t="str">
        <f aca="false">IF('Outro banco'!A216="","",IF(LEFT('Outro banco'!A216,1)="(","",'Outro banco'!A216))</f>
        <v/>
      </c>
      <c r="B216" s="7" t="str">
        <f aca="false">IF(A216="","",'Outro banco'!B216)</f>
        <v/>
      </c>
      <c r="C216" s="7" t="str">
        <f aca="false">IF(A216="","",'Outro banco'!C216)</f>
        <v/>
      </c>
      <c r="D216" s="7" t="str">
        <f aca="false">IF(A216="","",'Outro banco'!D216)</f>
        <v/>
      </c>
      <c r="E216" s="9"/>
      <c r="F216" s="9"/>
      <c r="G216" s="7" t="str">
        <f aca="false">IF(A216="","",IF(COUNTIF(Tabelas!$A:$A,IF(E216="",A216,E216))&gt;0,"sim","não"))</f>
        <v/>
      </c>
      <c r="H216" s="7" t="str">
        <f aca="false">IF(A216="","",IF(E216="",A216,E216)&amp;"."&amp;IF(F216="",B216,F216))</f>
        <v/>
      </c>
      <c r="I216" s="7" t="str">
        <f aca="false">IF(A216="","",IFERROR(INDEX('Campos Growths'!$F:$F,MATCH(H216,'Campos Growths'!$A:$A,0)),""))</f>
        <v/>
      </c>
      <c r="J216" s="7" t="str">
        <f aca="false">IF(A216="","",IFERROR(VLOOKUP(IF(ISNUMBER(SEARCH("(",C216)),LEFT(C216,SEARCH("(",C216)-1),C216),Tipos!$A:$B,2,FALSE()),"outro"))</f>
        <v/>
      </c>
      <c r="K216" s="7" t="str">
        <f aca="false">IF(I216="","",IFERROR(INDEX('Campos Growths'!$L:$L,MATCH(H216,'Campos Growths'!$A:$A,0)),""))</f>
        <v/>
      </c>
      <c r="L216" s="7" t="str">
        <f aca="false">IF(A216="","",IF(G216="não","Sem tabela no Growths",IF(I216="","Sem campo no Growths",IF(J216=K216,"Importa direto","Ajustar tipo"))))</f>
        <v/>
      </c>
      <c r="M216" s="9"/>
    </row>
    <row r="217" customFormat="false" ht="15" hidden="false" customHeight="false" outlineLevel="0" collapsed="false">
      <c r="A217" s="7" t="str">
        <f aca="false">IF('Outro banco'!A217="","",IF(LEFT('Outro banco'!A217,1)="(","",'Outro banco'!A217))</f>
        <v/>
      </c>
      <c r="B217" s="7" t="str">
        <f aca="false">IF(A217="","",'Outro banco'!B217)</f>
        <v/>
      </c>
      <c r="C217" s="7" t="str">
        <f aca="false">IF(A217="","",'Outro banco'!C217)</f>
        <v/>
      </c>
      <c r="D217" s="7" t="str">
        <f aca="false">IF(A217="","",'Outro banco'!D217)</f>
        <v/>
      </c>
      <c r="E217" s="9"/>
      <c r="F217" s="9"/>
      <c r="G217" s="7" t="str">
        <f aca="false">IF(A217="","",IF(COUNTIF(Tabelas!$A:$A,IF(E217="",A217,E217))&gt;0,"sim","não"))</f>
        <v/>
      </c>
      <c r="H217" s="7" t="str">
        <f aca="false">IF(A217="","",IF(E217="",A217,E217)&amp;"."&amp;IF(F217="",B217,F217))</f>
        <v/>
      </c>
      <c r="I217" s="7" t="str">
        <f aca="false">IF(A217="","",IFERROR(INDEX('Campos Growths'!$F:$F,MATCH(H217,'Campos Growths'!$A:$A,0)),""))</f>
        <v/>
      </c>
      <c r="J217" s="7" t="str">
        <f aca="false">IF(A217="","",IFERROR(VLOOKUP(IF(ISNUMBER(SEARCH("(",C217)),LEFT(C217,SEARCH("(",C217)-1),C217),Tipos!$A:$B,2,FALSE()),"outro"))</f>
        <v/>
      </c>
      <c r="K217" s="7" t="str">
        <f aca="false">IF(I217="","",IFERROR(INDEX('Campos Growths'!$L:$L,MATCH(H217,'Campos Growths'!$A:$A,0)),""))</f>
        <v/>
      </c>
      <c r="L217" s="7" t="str">
        <f aca="false">IF(A217="","",IF(G217="não","Sem tabela no Growths",IF(I217="","Sem campo no Growths",IF(J217=K217,"Importa direto","Ajustar tipo"))))</f>
        <v/>
      </c>
      <c r="M217" s="9"/>
    </row>
    <row r="218" customFormat="false" ht="15" hidden="false" customHeight="false" outlineLevel="0" collapsed="false">
      <c r="A218" s="7" t="str">
        <f aca="false">IF('Outro banco'!A218="","",IF(LEFT('Outro banco'!A218,1)="(","",'Outro banco'!A218))</f>
        <v/>
      </c>
      <c r="B218" s="7" t="str">
        <f aca="false">IF(A218="","",'Outro banco'!B218)</f>
        <v/>
      </c>
      <c r="C218" s="7" t="str">
        <f aca="false">IF(A218="","",'Outro banco'!C218)</f>
        <v/>
      </c>
      <c r="D218" s="7" t="str">
        <f aca="false">IF(A218="","",'Outro banco'!D218)</f>
        <v/>
      </c>
      <c r="E218" s="9"/>
      <c r="F218" s="9"/>
      <c r="G218" s="7" t="str">
        <f aca="false">IF(A218="","",IF(COUNTIF(Tabelas!$A:$A,IF(E218="",A218,E218))&gt;0,"sim","não"))</f>
        <v/>
      </c>
      <c r="H218" s="7" t="str">
        <f aca="false">IF(A218="","",IF(E218="",A218,E218)&amp;"."&amp;IF(F218="",B218,F218))</f>
        <v/>
      </c>
      <c r="I218" s="7" t="str">
        <f aca="false">IF(A218="","",IFERROR(INDEX('Campos Growths'!$F:$F,MATCH(H218,'Campos Growths'!$A:$A,0)),""))</f>
        <v/>
      </c>
      <c r="J218" s="7" t="str">
        <f aca="false">IF(A218="","",IFERROR(VLOOKUP(IF(ISNUMBER(SEARCH("(",C218)),LEFT(C218,SEARCH("(",C218)-1),C218),Tipos!$A:$B,2,FALSE()),"outro"))</f>
        <v/>
      </c>
      <c r="K218" s="7" t="str">
        <f aca="false">IF(I218="","",IFERROR(INDEX('Campos Growths'!$L:$L,MATCH(H218,'Campos Growths'!$A:$A,0)),""))</f>
        <v/>
      </c>
      <c r="L218" s="7" t="str">
        <f aca="false">IF(A218="","",IF(G218="não","Sem tabela no Growths",IF(I218="","Sem campo no Growths",IF(J218=K218,"Importa direto","Ajustar tipo"))))</f>
        <v/>
      </c>
      <c r="M218" s="9"/>
    </row>
    <row r="219" customFormat="false" ht="15" hidden="false" customHeight="false" outlineLevel="0" collapsed="false">
      <c r="A219" s="7" t="str">
        <f aca="false">IF('Outro banco'!A219="","",IF(LEFT('Outro banco'!A219,1)="(","",'Outro banco'!A219))</f>
        <v/>
      </c>
      <c r="B219" s="7" t="str">
        <f aca="false">IF(A219="","",'Outro banco'!B219)</f>
        <v/>
      </c>
      <c r="C219" s="7" t="str">
        <f aca="false">IF(A219="","",'Outro banco'!C219)</f>
        <v/>
      </c>
      <c r="D219" s="7" t="str">
        <f aca="false">IF(A219="","",'Outro banco'!D219)</f>
        <v/>
      </c>
      <c r="E219" s="9"/>
      <c r="F219" s="9"/>
      <c r="G219" s="7" t="str">
        <f aca="false">IF(A219="","",IF(COUNTIF(Tabelas!$A:$A,IF(E219="",A219,E219))&gt;0,"sim","não"))</f>
        <v/>
      </c>
      <c r="H219" s="7" t="str">
        <f aca="false">IF(A219="","",IF(E219="",A219,E219)&amp;"."&amp;IF(F219="",B219,F219))</f>
        <v/>
      </c>
      <c r="I219" s="7" t="str">
        <f aca="false">IF(A219="","",IFERROR(INDEX('Campos Growths'!$F:$F,MATCH(H219,'Campos Growths'!$A:$A,0)),""))</f>
        <v/>
      </c>
      <c r="J219" s="7" t="str">
        <f aca="false">IF(A219="","",IFERROR(VLOOKUP(IF(ISNUMBER(SEARCH("(",C219)),LEFT(C219,SEARCH("(",C219)-1),C219),Tipos!$A:$B,2,FALSE()),"outro"))</f>
        <v/>
      </c>
      <c r="K219" s="7" t="str">
        <f aca="false">IF(I219="","",IFERROR(INDEX('Campos Growths'!$L:$L,MATCH(H219,'Campos Growths'!$A:$A,0)),""))</f>
        <v/>
      </c>
      <c r="L219" s="7" t="str">
        <f aca="false">IF(A219="","",IF(G219="não","Sem tabela no Growths",IF(I219="","Sem campo no Growths",IF(J219=K219,"Importa direto","Ajustar tipo"))))</f>
        <v/>
      </c>
      <c r="M219" s="9"/>
    </row>
    <row r="220" customFormat="false" ht="15" hidden="false" customHeight="false" outlineLevel="0" collapsed="false">
      <c r="A220" s="7" t="str">
        <f aca="false">IF('Outro banco'!A220="","",IF(LEFT('Outro banco'!A220,1)="(","",'Outro banco'!A220))</f>
        <v/>
      </c>
      <c r="B220" s="7" t="str">
        <f aca="false">IF(A220="","",'Outro banco'!B220)</f>
        <v/>
      </c>
      <c r="C220" s="7" t="str">
        <f aca="false">IF(A220="","",'Outro banco'!C220)</f>
        <v/>
      </c>
      <c r="D220" s="7" t="str">
        <f aca="false">IF(A220="","",'Outro banco'!D220)</f>
        <v/>
      </c>
      <c r="E220" s="9"/>
      <c r="F220" s="9"/>
      <c r="G220" s="7" t="str">
        <f aca="false">IF(A220="","",IF(COUNTIF(Tabelas!$A:$A,IF(E220="",A220,E220))&gt;0,"sim","não"))</f>
        <v/>
      </c>
      <c r="H220" s="7" t="str">
        <f aca="false">IF(A220="","",IF(E220="",A220,E220)&amp;"."&amp;IF(F220="",B220,F220))</f>
        <v/>
      </c>
      <c r="I220" s="7" t="str">
        <f aca="false">IF(A220="","",IFERROR(INDEX('Campos Growths'!$F:$F,MATCH(H220,'Campos Growths'!$A:$A,0)),""))</f>
        <v/>
      </c>
      <c r="J220" s="7" t="str">
        <f aca="false">IF(A220="","",IFERROR(VLOOKUP(IF(ISNUMBER(SEARCH("(",C220)),LEFT(C220,SEARCH("(",C220)-1),C220),Tipos!$A:$B,2,FALSE()),"outro"))</f>
        <v/>
      </c>
      <c r="K220" s="7" t="str">
        <f aca="false">IF(I220="","",IFERROR(INDEX('Campos Growths'!$L:$L,MATCH(H220,'Campos Growths'!$A:$A,0)),""))</f>
        <v/>
      </c>
      <c r="L220" s="7" t="str">
        <f aca="false">IF(A220="","",IF(G220="não","Sem tabela no Growths",IF(I220="","Sem campo no Growths",IF(J220=K220,"Importa direto","Ajustar tipo"))))</f>
        <v/>
      </c>
      <c r="M220" s="9"/>
    </row>
    <row r="221" customFormat="false" ht="15" hidden="false" customHeight="false" outlineLevel="0" collapsed="false">
      <c r="A221" s="7" t="str">
        <f aca="false">IF('Outro banco'!A221="","",IF(LEFT('Outro banco'!A221,1)="(","",'Outro banco'!A221))</f>
        <v/>
      </c>
      <c r="B221" s="7" t="str">
        <f aca="false">IF(A221="","",'Outro banco'!B221)</f>
        <v/>
      </c>
      <c r="C221" s="7" t="str">
        <f aca="false">IF(A221="","",'Outro banco'!C221)</f>
        <v/>
      </c>
      <c r="D221" s="7" t="str">
        <f aca="false">IF(A221="","",'Outro banco'!D221)</f>
        <v/>
      </c>
      <c r="E221" s="9"/>
      <c r="F221" s="9"/>
      <c r="G221" s="7" t="str">
        <f aca="false">IF(A221="","",IF(COUNTIF(Tabelas!$A:$A,IF(E221="",A221,E221))&gt;0,"sim","não"))</f>
        <v/>
      </c>
      <c r="H221" s="7" t="str">
        <f aca="false">IF(A221="","",IF(E221="",A221,E221)&amp;"."&amp;IF(F221="",B221,F221))</f>
        <v/>
      </c>
      <c r="I221" s="7" t="str">
        <f aca="false">IF(A221="","",IFERROR(INDEX('Campos Growths'!$F:$F,MATCH(H221,'Campos Growths'!$A:$A,0)),""))</f>
        <v/>
      </c>
      <c r="J221" s="7" t="str">
        <f aca="false">IF(A221="","",IFERROR(VLOOKUP(IF(ISNUMBER(SEARCH("(",C221)),LEFT(C221,SEARCH("(",C221)-1),C221),Tipos!$A:$B,2,FALSE()),"outro"))</f>
        <v/>
      </c>
      <c r="K221" s="7" t="str">
        <f aca="false">IF(I221="","",IFERROR(INDEX('Campos Growths'!$L:$L,MATCH(H221,'Campos Growths'!$A:$A,0)),""))</f>
        <v/>
      </c>
      <c r="L221" s="7" t="str">
        <f aca="false">IF(A221="","",IF(G221="não","Sem tabela no Growths",IF(I221="","Sem campo no Growths",IF(J221=K221,"Importa direto","Ajustar tipo"))))</f>
        <v/>
      </c>
      <c r="M221" s="9"/>
    </row>
    <row r="222" customFormat="false" ht="15" hidden="false" customHeight="false" outlineLevel="0" collapsed="false">
      <c r="A222" s="7" t="str">
        <f aca="false">IF('Outro banco'!A222="","",IF(LEFT('Outro banco'!A222,1)="(","",'Outro banco'!A222))</f>
        <v/>
      </c>
      <c r="B222" s="7" t="str">
        <f aca="false">IF(A222="","",'Outro banco'!B222)</f>
        <v/>
      </c>
      <c r="C222" s="7" t="str">
        <f aca="false">IF(A222="","",'Outro banco'!C222)</f>
        <v/>
      </c>
      <c r="D222" s="7" t="str">
        <f aca="false">IF(A222="","",'Outro banco'!D222)</f>
        <v/>
      </c>
      <c r="E222" s="9"/>
      <c r="F222" s="9"/>
      <c r="G222" s="7" t="str">
        <f aca="false">IF(A222="","",IF(COUNTIF(Tabelas!$A:$A,IF(E222="",A222,E222))&gt;0,"sim","não"))</f>
        <v/>
      </c>
      <c r="H222" s="7" t="str">
        <f aca="false">IF(A222="","",IF(E222="",A222,E222)&amp;"."&amp;IF(F222="",B222,F222))</f>
        <v/>
      </c>
      <c r="I222" s="7" t="str">
        <f aca="false">IF(A222="","",IFERROR(INDEX('Campos Growths'!$F:$F,MATCH(H222,'Campos Growths'!$A:$A,0)),""))</f>
        <v/>
      </c>
      <c r="J222" s="7" t="str">
        <f aca="false">IF(A222="","",IFERROR(VLOOKUP(IF(ISNUMBER(SEARCH("(",C222)),LEFT(C222,SEARCH("(",C222)-1),C222),Tipos!$A:$B,2,FALSE()),"outro"))</f>
        <v/>
      </c>
      <c r="K222" s="7" t="str">
        <f aca="false">IF(I222="","",IFERROR(INDEX('Campos Growths'!$L:$L,MATCH(H222,'Campos Growths'!$A:$A,0)),""))</f>
        <v/>
      </c>
      <c r="L222" s="7" t="str">
        <f aca="false">IF(A222="","",IF(G222="não","Sem tabela no Growths",IF(I222="","Sem campo no Growths",IF(J222=K222,"Importa direto","Ajustar tipo"))))</f>
        <v/>
      </c>
      <c r="M222" s="9"/>
    </row>
    <row r="223" customFormat="false" ht="15" hidden="false" customHeight="false" outlineLevel="0" collapsed="false">
      <c r="A223" s="7" t="str">
        <f aca="false">IF('Outro banco'!A223="","",IF(LEFT('Outro banco'!A223,1)="(","",'Outro banco'!A223))</f>
        <v/>
      </c>
      <c r="B223" s="7" t="str">
        <f aca="false">IF(A223="","",'Outro banco'!B223)</f>
        <v/>
      </c>
      <c r="C223" s="7" t="str">
        <f aca="false">IF(A223="","",'Outro banco'!C223)</f>
        <v/>
      </c>
      <c r="D223" s="7" t="str">
        <f aca="false">IF(A223="","",'Outro banco'!D223)</f>
        <v/>
      </c>
      <c r="E223" s="9"/>
      <c r="F223" s="9"/>
      <c r="G223" s="7" t="str">
        <f aca="false">IF(A223="","",IF(COUNTIF(Tabelas!$A:$A,IF(E223="",A223,E223))&gt;0,"sim","não"))</f>
        <v/>
      </c>
      <c r="H223" s="7" t="str">
        <f aca="false">IF(A223="","",IF(E223="",A223,E223)&amp;"."&amp;IF(F223="",B223,F223))</f>
        <v/>
      </c>
      <c r="I223" s="7" t="str">
        <f aca="false">IF(A223="","",IFERROR(INDEX('Campos Growths'!$F:$F,MATCH(H223,'Campos Growths'!$A:$A,0)),""))</f>
        <v/>
      </c>
      <c r="J223" s="7" t="str">
        <f aca="false">IF(A223="","",IFERROR(VLOOKUP(IF(ISNUMBER(SEARCH("(",C223)),LEFT(C223,SEARCH("(",C223)-1),C223),Tipos!$A:$B,2,FALSE()),"outro"))</f>
        <v/>
      </c>
      <c r="K223" s="7" t="str">
        <f aca="false">IF(I223="","",IFERROR(INDEX('Campos Growths'!$L:$L,MATCH(H223,'Campos Growths'!$A:$A,0)),""))</f>
        <v/>
      </c>
      <c r="L223" s="7" t="str">
        <f aca="false">IF(A223="","",IF(G223="não","Sem tabela no Growths",IF(I223="","Sem campo no Growths",IF(J223=K223,"Importa direto","Ajustar tipo"))))</f>
        <v/>
      </c>
      <c r="M223" s="9"/>
    </row>
    <row r="224" customFormat="false" ht="15" hidden="false" customHeight="false" outlineLevel="0" collapsed="false">
      <c r="A224" s="7" t="str">
        <f aca="false">IF('Outro banco'!A224="","",IF(LEFT('Outro banco'!A224,1)="(","",'Outro banco'!A224))</f>
        <v/>
      </c>
      <c r="B224" s="7" t="str">
        <f aca="false">IF(A224="","",'Outro banco'!B224)</f>
        <v/>
      </c>
      <c r="C224" s="7" t="str">
        <f aca="false">IF(A224="","",'Outro banco'!C224)</f>
        <v/>
      </c>
      <c r="D224" s="7" t="str">
        <f aca="false">IF(A224="","",'Outro banco'!D224)</f>
        <v/>
      </c>
      <c r="E224" s="9"/>
      <c r="F224" s="9"/>
      <c r="G224" s="7" t="str">
        <f aca="false">IF(A224="","",IF(COUNTIF(Tabelas!$A:$A,IF(E224="",A224,E224))&gt;0,"sim","não"))</f>
        <v/>
      </c>
      <c r="H224" s="7" t="str">
        <f aca="false">IF(A224="","",IF(E224="",A224,E224)&amp;"."&amp;IF(F224="",B224,F224))</f>
        <v/>
      </c>
      <c r="I224" s="7" t="str">
        <f aca="false">IF(A224="","",IFERROR(INDEX('Campos Growths'!$F:$F,MATCH(H224,'Campos Growths'!$A:$A,0)),""))</f>
        <v/>
      </c>
      <c r="J224" s="7" t="str">
        <f aca="false">IF(A224="","",IFERROR(VLOOKUP(IF(ISNUMBER(SEARCH("(",C224)),LEFT(C224,SEARCH("(",C224)-1),C224),Tipos!$A:$B,2,FALSE()),"outro"))</f>
        <v/>
      </c>
      <c r="K224" s="7" t="str">
        <f aca="false">IF(I224="","",IFERROR(INDEX('Campos Growths'!$L:$L,MATCH(H224,'Campos Growths'!$A:$A,0)),""))</f>
        <v/>
      </c>
      <c r="L224" s="7" t="str">
        <f aca="false">IF(A224="","",IF(G224="não","Sem tabela no Growths",IF(I224="","Sem campo no Growths",IF(J224=K224,"Importa direto","Ajustar tipo"))))</f>
        <v/>
      </c>
      <c r="M224" s="9"/>
    </row>
    <row r="225" customFormat="false" ht="15" hidden="false" customHeight="false" outlineLevel="0" collapsed="false">
      <c r="A225" s="7" t="str">
        <f aca="false">IF('Outro banco'!A225="","",IF(LEFT('Outro banco'!A225,1)="(","",'Outro banco'!A225))</f>
        <v/>
      </c>
      <c r="B225" s="7" t="str">
        <f aca="false">IF(A225="","",'Outro banco'!B225)</f>
        <v/>
      </c>
      <c r="C225" s="7" t="str">
        <f aca="false">IF(A225="","",'Outro banco'!C225)</f>
        <v/>
      </c>
      <c r="D225" s="7" t="str">
        <f aca="false">IF(A225="","",'Outro banco'!D225)</f>
        <v/>
      </c>
      <c r="E225" s="9"/>
      <c r="F225" s="9"/>
      <c r="G225" s="7" t="str">
        <f aca="false">IF(A225="","",IF(COUNTIF(Tabelas!$A:$A,IF(E225="",A225,E225))&gt;0,"sim","não"))</f>
        <v/>
      </c>
      <c r="H225" s="7" t="str">
        <f aca="false">IF(A225="","",IF(E225="",A225,E225)&amp;"."&amp;IF(F225="",B225,F225))</f>
        <v/>
      </c>
      <c r="I225" s="7" t="str">
        <f aca="false">IF(A225="","",IFERROR(INDEX('Campos Growths'!$F:$F,MATCH(H225,'Campos Growths'!$A:$A,0)),""))</f>
        <v/>
      </c>
      <c r="J225" s="7" t="str">
        <f aca="false">IF(A225="","",IFERROR(VLOOKUP(IF(ISNUMBER(SEARCH("(",C225)),LEFT(C225,SEARCH("(",C225)-1),C225),Tipos!$A:$B,2,FALSE()),"outro"))</f>
        <v/>
      </c>
      <c r="K225" s="7" t="str">
        <f aca="false">IF(I225="","",IFERROR(INDEX('Campos Growths'!$L:$L,MATCH(H225,'Campos Growths'!$A:$A,0)),""))</f>
        <v/>
      </c>
      <c r="L225" s="7" t="str">
        <f aca="false">IF(A225="","",IF(G225="não","Sem tabela no Growths",IF(I225="","Sem campo no Growths",IF(J225=K225,"Importa direto","Ajustar tipo"))))</f>
        <v/>
      </c>
      <c r="M225" s="9"/>
    </row>
    <row r="226" customFormat="false" ht="15" hidden="false" customHeight="false" outlineLevel="0" collapsed="false">
      <c r="A226" s="7" t="str">
        <f aca="false">IF('Outro banco'!A226="","",IF(LEFT('Outro banco'!A226,1)="(","",'Outro banco'!A226))</f>
        <v/>
      </c>
      <c r="B226" s="7" t="str">
        <f aca="false">IF(A226="","",'Outro banco'!B226)</f>
        <v/>
      </c>
      <c r="C226" s="7" t="str">
        <f aca="false">IF(A226="","",'Outro banco'!C226)</f>
        <v/>
      </c>
      <c r="D226" s="7" t="str">
        <f aca="false">IF(A226="","",'Outro banco'!D226)</f>
        <v/>
      </c>
      <c r="E226" s="9"/>
      <c r="F226" s="9"/>
      <c r="G226" s="7" t="str">
        <f aca="false">IF(A226="","",IF(COUNTIF(Tabelas!$A:$A,IF(E226="",A226,E226))&gt;0,"sim","não"))</f>
        <v/>
      </c>
      <c r="H226" s="7" t="str">
        <f aca="false">IF(A226="","",IF(E226="",A226,E226)&amp;"."&amp;IF(F226="",B226,F226))</f>
        <v/>
      </c>
      <c r="I226" s="7" t="str">
        <f aca="false">IF(A226="","",IFERROR(INDEX('Campos Growths'!$F:$F,MATCH(H226,'Campos Growths'!$A:$A,0)),""))</f>
        <v/>
      </c>
      <c r="J226" s="7" t="str">
        <f aca="false">IF(A226="","",IFERROR(VLOOKUP(IF(ISNUMBER(SEARCH("(",C226)),LEFT(C226,SEARCH("(",C226)-1),C226),Tipos!$A:$B,2,FALSE()),"outro"))</f>
        <v/>
      </c>
      <c r="K226" s="7" t="str">
        <f aca="false">IF(I226="","",IFERROR(INDEX('Campos Growths'!$L:$L,MATCH(H226,'Campos Growths'!$A:$A,0)),""))</f>
        <v/>
      </c>
      <c r="L226" s="7" t="str">
        <f aca="false">IF(A226="","",IF(G226="não","Sem tabela no Growths",IF(I226="","Sem campo no Growths",IF(J226=K226,"Importa direto","Ajustar tipo"))))</f>
        <v/>
      </c>
      <c r="M226" s="9"/>
    </row>
    <row r="227" customFormat="false" ht="15" hidden="false" customHeight="false" outlineLevel="0" collapsed="false">
      <c r="A227" s="7" t="str">
        <f aca="false">IF('Outro banco'!A227="","",IF(LEFT('Outro banco'!A227,1)="(","",'Outro banco'!A227))</f>
        <v/>
      </c>
      <c r="B227" s="7" t="str">
        <f aca="false">IF(A227="","",'Outro banco'!B227)</f>
        <v/>
      </c>
      <c r="C227" s="7" t="str">
        <f aca="false">IF(A227="","",'Outro banco'!C227)</f>
        <v/>
      </c>
      <c r="D227" s="7" t="str">
        <f aca="false">IF(A227="","",'Outro banco'!D227)</f>
        <v/>
      </c>
      <c r="E227" s="9"/>
      <c r="F227" s="9"/>
      <c r="G227" s="7" t="str">
        <f aca="false">IF(A227="","",IF(COUNTIF(Tabelas!$A:$A,IF(E227="",A227,E227))&gt;0,"sim","não"))</f>
        <v/>
      </c>
      <c r="H227" s="7" t="str">
        <f aca="false">IF(A227="","",IF(E227="",A227,E227)&amp;"."&amp;IF(F227="",B227,F227))</f>
        <v/>
      </c>
      <c r="I227" s="7" t="str">
        <f aca="false">IF(A227="","",IFERROR(INDEX('Campos Growths'!$F:$F,MATCH(H227,'Campos Growths'!$A:$A,0)),""))</f>
        <v/>
      </c>
      <c r="J227" s="7" t="str">
        <f aca="false">IF(A227="","",IFERROR(VLOOKUP(IF(ISNUMBER(SEARCH("(",C227)),LEFT(C227,SEARCH("(",C227)-1),C227),Tipos!$A:$B,2,FALSE()),"outro"))</f>
        <v/>
      </c>
      <c r="K227" s="7" t="str">
        <f aca="false">IF(I227="","",IFERROR(INDEX('Campos Growths'!$L:$L,MATCH(H227,'Campos Growths'!$A:$A,0)),""))</f>
        <v/>
      </c>
      <c r="L227" s="7" t="str">
        <f aca="false">IF(A227="","",IF(G227="não","Sem tabela no Growths",IF(I227="","Sem campo no Growths",IF(J227=K227,"Importa direto","Ajustar tipo"))))</f>
        <v/>
      </c>
      <c r="M227" s="9"/>
    </row>
    <row r="228" customFormat="false" ht="15" hidden="false" customHeight="false" outlineLevel="0" collapsed="false">
      <c r="A228" s="7" t="str">
        <f aca="false">IF('Outro banco'!A228="","",IF(LEFT('Outro banco'!A228,1)="(","",'Outro banco'!A228))</f>
        <v/>
      </c>
      <c r="B228" s="7" t="str">
        <f aca="false">IF(A228="","",'Outro banco'!B228)</f>
        <v/>
      </c>
      <c r="C228" s="7" t="str">
        <f aca="false">IF(A228="","",'Outro banco'!C228)</f>
        <v/>
      </c>
      <c r="D228" s="7" t="str">
        <f aca="false">IF(A228="","",'Outro banco'!D228)</f>
        <v/>
      </c>
      <c r="E228" s="9"/>
      <c r="F228" s="9"/>
      <c r="G228" s="7" t="str">
        <f aca="false">IF(A228="","",IF(COUNTIF(Tabelas!$A:$A,IF(E228="",A228,E228))&gt;0,"sim","não"))</f>
        <v/>
      </c>
      <c r="H228" s="7" t="str">
        <f aca="false">IF(A228="","",IF(E228="",A228,E228)&amp;"."&amp;IF(F228="",B228,F228))</f>
        <v/>
      </c>
      <c r="I228" s="7" t="str">
        <f aca="false">IF(A228="","",IFERROR(INDEX('Campos Growths'!$F:$F,MATCH(H228,'Campos Growths'!$A:$A,0)),""))</f>
        <v/>
      </c>
      <c r="J228" s="7" t="str">
        <f aca="false">IF(A228="","",IFERROR(VLOOKUP(IF(ISNUMBER(SEARCH("(",C228)),LEFT(C228,SEARCH("(",C228)-1),C228),Tipos!$A:$B,2,FALSE()),"outro"))</f>
        <v/>
      </c>
      <c r="K228" s="7" t="str">
        <f aca="false">IF(I228="","",IFERROR(INDEX('Campos Growths'!$L:$L,MATCH(H228,'Campos Growths'!$A:$A,0)),""))</f>
        <v/>
      </c>
      <c r="L228" s="7" t="str">
        <f aca="false">IF(A228="","",IF(G228="não","Sem tabela no Growths",IF(I228="","Sem campo no Growths",IF(J228=K228,"Importa direto","Ajustar tipo"))))</f>
        <v/>
      </c>
      <c r="M228" s="9"/>
    </row>
    <row r="229" customFormat="false" ht="15" hidden="false" customHeight="false" outlineLevel="0" collapsed="false">
      <c r="A229" s="7" t="str">
        <f aca="false">IF('Outro banco'!A229="","",IF(LEFT('Outro banco'!A229,1)="(","",'Outro banco'!A229))</f>
        <v/>
      </c>
      <c r="B229" s="7" t="str">
        <f aca="false">IF(A229="","",'Outro banco'!B229)</f>
        <v/>
      </c>
      <c r="C229" s="7" t="str">
        <f aca="false">IF(A229="","",'Outro banco'!C229)</f>
        <v/>
      </c>
      <c r="D229" s="7" t="str">
        <f aca="false">IF(A229="","",'Outro banco'!D229)</f>
        <v/>
      </c>
      <c r="E229" s="9"/>
      <c r="F229" s="9"/>
      <c r="G229" s="7" t="str">
        <f aca="false">IF(A229="","",IF(COUNTIF(Tabelas!$A:$A,IF(E229="",A229,E229))&gt;0,"sim","não"))</f>
        <v/>
      </c>
      <c r="H229" s="7" t="str">
        <f aca="false">IF(A229="","",IF(E229="",A229,E229)&amp;"."&amp;IF(F229="",B229,F229))</f>
        <v/>
      </c>
      <c r="I229" s="7" t="str">
        <f aca="false">IF(A229="","",IFERROR(INDEX('Campos Growths'!$F:$F,MATCH(H229,'Campos Growths'!$A:$A,0)),""))</f>
        <v/>
      </c>
      <c r="J229" s="7" t="str">
        <f aca="false">IF(A229="","",IFERROR(VLOOKUP(IF(ISNUMBER(SEARCH("(",C229)),LEFT(C229,SEARCH("(",C229)-1),C229),Tipos!$A:$B,2,FALSE()),"outro"))</f>
        <v/>
      </c>
      <c r="K229" s="7" t="str">
        <f aca="false">IF(I229="","",IFERROR(INDEX('Campos Growths'!$L:$L,MATCH(H229,'Campos Growths'!$A:$A,0)),""))</f>
        <v/>
      </c>
      <c r="L229" s="7" t="str">
        <f aca="false">IF(A229="","",IF(G229="não","Sem tabela no Growths",IF(I229="","Sem campo no Growths",IF(J229=K229,"Importa direto","Ajustar tipo"))))</f>
        <v/>
      </c>
      <c r="M229" s="9"/>
    </row>
    <row r="230" customFormat="false" ht="15" hidden="false" customHeight="false" outlineLevel="0" collapsed="false">
      <c r="A230" s="7" t="str">
        <f aca="false">IF('Outro banco'!A230="","",IF(LEFT('Outro banco'!A230,1)="(","",'Outro banco'!A230))</f>
        <v/>
      </c>
      <c r="B230" s="7" t="str">
        <f aca="false">IF(A230="","",'Outro banco'!B230)</f>
        <v/>
      </c>
      <c r="C230" s="7" t="str">
        <f aca="false">IF(A230="","",'Outro banco'!C230)</f>
        <v/>
      </c>
      <c r="D230" s="7" t="str">
        <f aca="false">IF(A230="","",'Outro banco'!D230)</f>
        <v/>
      </c>
      <c r="E230" s="9"/>
      <c r="F230" s="9"/>
      <c r="G230" s="7" t="str">
        <f aca="false">IF(A230="","",IF(COUNTIF(Tabelas!$A:$A,IF(E230="",A230,E230))&gt;0,"sim","não"))</f>
        <v/>
      </c>
      <c r="H230" s="7" t="str">
        <f aca="false">IF(A230="","",IF(E230="",A230,E230)&amp;"."&amp;IF(F230="",B230,F230))</f>
        <v/>
      </c>
      <c r="I230" s="7" t="str">
        <f aca="false">IF(A230="","",IFERROR(INDEX('Campos Growths'!$F:$F,MATCH(H230,'Campos Growths'!$A:$A,0)),""))</f>
        <v/>
      </c>
      <c r="J230" s="7" t="str">
        <f aca="false">IF(A230="","",IFERROR(VLOOKUP(IF(ISNUMBER(SEARCH("(",C230)),LEFT(C230,SEARCH("(",C230)-1),C230),Tipos!$A:$B,2,FALSE()),"outro"))</f>
        <v/>
      </c>
      <c r="K230" s="7" t="str">
        <f aca="false">IF(I230="","",IFERROR(INDEX('Campos Growths'!$L:$L,MATCH(H230,'Campos Growths'!$A:$A,0)),""))</f>
        <v/>
      </c>
      <c r="L230" s="7" t="str">
        <f aca="false">IF(A230="","",IF(G230="não","Sem tabela no Growths",IF(I230="","Sem campo no Growths",IF(J230=K230,"Importa direto","Ajustar tipo"))))</f>
        <v/>
      </c>
      <c r="M230" s="9"/>
    </row>
    <row r="231" customFormat="false" ht="15" hidden="false" customHeight="false" outlineLevel="0" collapsed="false">
      <c r="A231" s="7" t="str">
        <f aca="false">IF('Outro banco'!A231="","",IF(LEFT('Outro banco'!A231,1)="(","",'Outro banco'!A231))</f>
        <v/>
      </c>
      <c r="B231" s="7" t="str">
        <f aca="false">IF(A231="","",'Outro banco'!B231)</f>
        <v/>
      </c>
      <c r="C231" s="7" t="str">
        <f aca="false">IF(A231="","",'Outro banco'!C231)</f>
        <v/>
      </c>
      <c r="D231" s="7" t="str">
        <f aca="false">IF(A231="","",'Outro banco'!D231)</f>
        <v/>
      </c>
      <c r="E231" s="9"/>
      <c r="F231" s="9"/>
      <c r="G231" s="7" t="str">
        <f aca="false">IF(A231="","",IF(COUNTIF(Tabelas!$A:$A,IF(E231="",A231,E231))&gt;0,"sim","não"))</f>
        <v/>
      </c>
      <c r="H231" s="7" t="str">
        <f aca="false">IF(A231="","",IF(E231="",A231,E231)&amp;"."&amp;IF(F231="",B231,F231))</f>
        <v/>
      </c>
      <c r="I231" s="7" t="str">
        <f aca="false">IF(A231="","",IFERROR(INDEX('Campos Growths'!$F:$F,MATCH(H231,'Campos Growths'!$A:$A,0)),""))</f>
        <v/>
      </c>
      <c r="J231" s="7" t="str">
        <f aca="false">IF(A231="","",IFERROR(VLOOKUP(IF(ISNUMBER(SEARCH("(",C231)),LEFT(C231,SEARCH("(",C231)-1),C231),Tipos!$A:$B,2,FALSE()),"outro"))</f>
        <v/>
      </c>
      <c r="K231" s="7" t="str">
        <f aca="false">IF(I231="","",IFERROR(INDEX('Campos Growths'!$L:$L,MATCH(H231,'Campos Growths'!$A:$A,0)),""))</f>
        <v/>
      </c>
      <c r="L231" s="7" t="str">
        <f aca="false">IF(A231="","",IF(G231="não","Sem tabela no Growths",IF(I231="","Sem campo no Growths",IF(J231=K231,"Importa direto","Ajustar tipo"))))</f>
        <v/>
      </c>
      <c r="M231" s="9"/>
    </row>
    <row r="232" customFormat="false" ht="15" hidden="false" customHeight="false" outlineLevel="0" collapsed="false">
      <c r="A232" s="7" t="str">
        <f aca="false">IF('Outro banco'!A232="","",IF(LEFT('Outro banco'!A232,1)="(","",'Outro banco'!A232))</f>
        <v/>
      </c>
      <c r="B232" s="7" t="str">
        <f aca="false">IF(A232="","",'Outro banco'!B232)</f>
        <v/>
      </c>
      <c r="C232" s="7" t="str">
        <f aca="false">IF(A232="","",'Outro banco'!C232)</f>
        <v/>
      </c>
      <c r="D232" s="7" t="str">
        <f aca="false">IF(A232="","",'Outro banco'!D232)</f>
        <v/>
      </c>
      <c r="E232" s="9"/>
      <c r="F232" s="9"/>
      <c r="G232" s="7" t="str">
        <f aca="false">IF(A232="","",IF(COUNTIF(Tabelas!$A:$A,IF(E232="",A232,E232))&gt;0,"sim","não"))</f>
        <v/>
      </c>
      <c r="H232" s="7" t="str">
        <f aca="false">IF(A232="","",IF(E232="",A232,E232)&amp;"."&amp;IF(F232="",B232,F232))</f>
        <v/>
      </c>
      <c r="I232" s="7" t="str">
        <f aca="false">IF(A232="","",IFERROR(INDEX('Campos Growths'!$F:$F,MATCH(H232,'Campos Growths'!$A:$A,0)),""))</f>
        <v/>
      </c>
      <c r="J232" s="7" t="str">
        <f aca="false">IF(A232="","",IFERROR(VLOOKUP(IF(ISNUMBER(SEARCH("(",C232)),LEFT(C232,SEARCH("(",C232)-1),C232),Tipos!$A:$B,2,FALSE()),"outro"))</f>
        <v/>
      </c>
      <c r="K232" s="7" t="str">
        <f aca="false">IF(I232="","",IFERROR(INDEX('Campos Growths'!$L:$L,MATCH(H232,'Campos Growths'!$A:$A,0)),""))</f>
        <v/>
      </c>
      <c r="L232" s="7" t="str">
        <f aca="false">IF(A232="","",IF(G232="não","Sem tabela no Growths",IF(I232="","Sem campo no Growths",IF(J232=K232,"Importa direto","Ajustar tipo"))))</f>
        <v/>
      </c>
      <c r="M232" s="9"/>
    </row>
    <row r="233" customFormat="false" ht="15" hidden="false" customHeight="false" outlineLevel="0" collapsed="false">
      <c r="A233" s="7" t="str">
        <f aca="false">IF('Outro banco'!A233="","",IF(LEFT('Outro banco'!A233,1)="(","",'Outro banco'!A233))</f>
        <v/>
      </c>
      <c r="B233" s="7" t="str">
        <f aca="false">IF(A233="","",'Outro banco'!B233)</f>
        <v/>
      </c>
      <c r="C233" s="7" t="str">
        <f aca="false">IF(A233="","",'Outro banco'!C233)</f>
        <v/>
      </c>
      <c r="D233" s="7" t="str">
        <f aca="false">IF(A233="","",'Outro banco'!D233)</f>
        <v/>
      </c>
      <c r="E233" s="9"/>
      <c r="F233" s="9"/>
      <c r="G233" s="7" t="str">
        <f aca="false">IF(A233="","",IF(COUNTIF(Tabelas!$A:$A,IF(E233="",A233,E233))&gt;0,"sim","não"))</f>
        <v/>
      </c>
      <c r="H233" s="7" t="str">
        <f aca="false">IF(A233="","",IF(E233="",A233,E233)&amp;"."&amp;IF(F233="",B233,F233))</f>
        <v/>
      </c>
      <c r="I233" s="7" t="str">
        <f aca="false">IF(A233="","",IFERROR(INDEX('Campos Growths'!$F:$F,MATCH(H233,'Campos Growths'!$A:$A,0)),""))</f>
        <v/>
      </c>
      <c r="J233" s="7" t="str">
        <f aca="false">IF(A233="","",IFERROR(VLOOKUP(IF(ISNUMBER(SEARCH("(",C233)),LEFT(C233,SEARCH("(",C233)-1),C233),Tipos!$A:$B,2,FALSE()),"outro"))</f>
        <v/>
      </c>
      <c r="K233" s="7" t="str">
        <f aca="false">IF(I233="","",IFERROR(INDEX('Campos Growths'!$L:$L,MATCH(H233,'Campos Growths'!$A:$A,0)),""))</f>
        <v/>
      </c>
      <c r="L233" s="7" t="str">
        <f aca="false">IF(A233="","",IF(G233="não","Sem tabela no Growths",IF(I233="","Sem campo no Growths",IF(J233=K233,"Importa direto","Ajustar tipo"))))</f>
        <v/>
      </c>
      <c r="M233" s="9"/>
    </row>
    <row r="234" customFormat="false" ht="15" hidden="false" customHeight="false" outlineLevel="0" collapsed="false">
      <c r="A234" s="7" t="str">
        <f aca="false">IF('Outro banco'!A234="","",IF(LEFT('Outro banco'!A234,1)="(","",'Outro banco'!A234))</f>
        <v/>
      </c>
      <c r="B234" s="7" t="str">
        <f aca="false">IF(A234="","",'Outro banco'!B234)</f>
        <v/>
      </c>
      <c r="C234" s="7" t="str">
        <f aca="false">IF(A234="","",'Outro banco'!C234)</f>
        <v/>
      </c>
      <c r="D234" s="7" t="str">
        <f aca="false">IF(A234="","",'Outro banco'!D234)</f>
        <v/>
      </c>
      <c r="E234" s="9"/>
      <c r="F234" s="9"/>
      <c r="G234" s="7" t="str">
        <f aca="false">IF(A234="","",IF(COUNTIF(Tabelas!$A:$A,IF(E234="",A234,E234))&gt;0,"sim","não"))</f>
        <v/>
      </c>
      <c r="H234" s="7" t="str">
        <f aca="false">IF(A234="","",IF(E234="",A234,E234)&amp;"."&amp;IF(F234="",B234,F234))</f>
        <v/>
      </c>
      <c r="I234" s="7" t="str">
        <f aca="false">IF(A234="","",IFERROR(INDEX('Campos Growths'!$F:$F,MATCH(H234,'Campos Growths'!$A:$A,0)),""))</f>
        <v/>
      </c>
      <c r="J234" s="7" t="str">
        <f aca="false">IF(A234="","",IFERROR(VLOOKUP(IF(ISNUMBER(SEARCH("(",C234)),LEFT(C234,SEARCH("(",C234)-1),C234),Tipos!$A:$B,2,FALSE()),"outro"))</f>
        <v/>
      </c>
      <c r="K234" s="7" t="str">
        <f aca="false">IF(I234="","",IFERROR(INDEX('Campos Growths'!$L:$L,MATCH(H234,'Campos Growths'!$A:$A,0)),""))</f>
        <v/>
      </c>
      <c r="L234" s="7" t="str">
        <f aca="false">IF(A234="","",IF(G234="não","Sem tabela no Growths",IF(I234="","Sem campo no Growths",IF(J234=K234,"Importa direto","Ajustar tipo"))))</f>
        <v/>
      </c>
      <c r="M234" s="9"/>
    </row>
    <row r="235" customFormat="false" ht="15" hidden="false" customHeight="false" outlineLevel="0" collapsed="false">
      <c r="A235" s="7" t="str">
        <f aca="false">IF('Outro banco'!A235="","",IF(LEFT('Outro banco'!A235,1)="(","",'Outro banco'!A235))</f>
        <v/>
      </c>
      <c r="B235" s="7" t="str">
        <f aca="false">IF(A235="","",'Outro banco'!B235)</f>
        <v/>
      </c>
      <c r="C235" s="7" t="str">
        <f aca="false">IF(A235="","",'Outro banco'!C235)</f>
        <v/>
      </c>
      <c r="D235" s="7" t="str">
        <f aca="false">IF(A235="","",'Outro banco'!D235)</f>
        <v/>
      </c>
      <c r="E235" s="9"/>
      <c r="F235" s="9"/>
      <c r="G235" s="7" t="str">
        <f aca="false">IF(A235="","",IF(COUNTIF(Tabelas!$A:$A,IF(E235="",A235,E235))&gt;0,"sim","não"))</f>
        <v/>
      </c>
      <c r="H235" s="7" t="str">
        <f aca="false">IF(A235="","",IF(E235="",A235,E235)&amp;"."&amp;IF(F235="",B235,F235))</f>
        <v/>
      </c>
      <c r="I235" s="7" t="str">
        <f aca="false">IF(A235="","",IFERROR(INDEX('Campos Growths'!$F:$F,MATCH(H235,'Campos Growths'!$A:$A,0)),""))</f>
        <v/>
      </c>
      <c r="J235" s="7" t="str">
        <f aca="false">IF(A235="","",IFERROR(VLOOKUP(IF(ISNUMBER(SEARCH("(",C235)),LEFT(C235,SEARCH("(",C235)-1),C235),Tipos!$A:$B,2,FALSE()),"outro"))</f>
        <v/>
      </c>
      <c r="K235" s="7" t="str">
        <f aca="false">IF(I235="","",IFERROR(INDEX('Campos Growths'!$L:$L,MATCH(H235,'Campos Growths'!$A:$A,0)),""))</f>
        <v/>
      </c>
      <c r="L235" s="7" t="str">
        <f aca="false">IF(A235="","",IF(G235="não","Sem tabela no Growths",IF(I235="","Sem campo no Growths",IF(J235=K235,"Importa direto","Ajustar tipo"))))</f>
        <v/>
      </c>
      <c r="M235" s="9"/>
    </row>
    <row r="236" customFormat="false" ht="15" hidden="false" customHeight="false" outlineLevel="0" collapsed="false">
      <c r="A236" s="7" t="str">
        <f aca="false">IF('Outro banco'!A236="","",IF(LEFT('Outro banco'!A236,1)="(","",'Outro banco'!A236))</f>
        <v/>
      </c>
      <c r="B236" s="7" t="str">
        <f aca="false">IF(A236="","",'Outro banco'!B236)</f>
        <v/>
      </c>
      <c r="C236" s="7" t="str">
        <f aca="false">IF(A236="","",'Outro banco'!C236)</f>
        <v/>
      </c>
      <c r="D236" s="7" t="str">
        <f aca="false">IF(A236="","",'Outro banco'!D236)</f>
        <v/>
      </c>
      <c r="E236" s="9"/>
      <c r="F236" s="9"/>
      <c r="G236" s="7" t="str">
        <f aca="false">IF(A236="","",IF(COUNTIF(Tabelas!$A:$A,IF(E236="",A236,E236))&gt;0,"sim","não"))</f>
        <v/>
      </c>
      <c r="H236" s="7" t="str">
        <f aca="false">IF(A236="","",IF(E236="",A236,E236)&amp;"."&amp;IF(F236="",B236,F236))</f>
        <v/>
      </c>
      <c r="I236" s="7" t="str">
        <f aca="false">IF(A236="","",IFERROR(INDEX('Campos Growths'!$F:$F,MATCH(H236,'Campos Growths'!$A:$A,0)),""))</f>
        <v/>
      </c>
      <c r="J236" s="7" t="str">
        <f aca="false">IF(A236="","",IFERROR(VLOOKUP(IF(ISNUMBER(SEARCH("(",C236)),LEFT(C236,SEARCH("(",C236)-1),C236),Tipos!$A:$B,2,FALSE()),"outro"))</f>
        <v/>
      </c>
      <c r="K236" s="7" t="str">
        <f aca="false">IF(I236="","",IFERROR(INDEX('Campos Growths'!$L:$L,MATCH(H236,'Campos Growths'!$A:$A,0)),""))</f>
        <v/>
      </c>
      <c r="L236" s="7" t="str">
        <f aca="false">IF(A236="","",IF(G236="não","Sem tabela no Growths",IF(I236="","Sem campo no Growths",IF(J236=K236,"Importa direto","Ajustar tipo"))))</f>
        <v/>
      </c>
      <c r="M236" s="9"/>
    </row>
    <row r="237" customFormat="false" ht="15" hidden="false" customHeight="false" outlineLevel="0" collapsed="false">
      <c r="A237" s="7" t="str">
        <f aca="false">IF('Outro banco'!A237="","",IF(LEFT('Outro banco'!A237,1)="(","",'Outro banco'!A237))</f>
        <v/>
      </c>
      <c r="B237" s="7" t="str">
        <f aca="false">IF(A237="","",'Outro banco'!B237)</f>
        <v/>
      </c>
      <c r="C237" s="7" t="str">
        <f aca="false">IF(A237="","",'Outro banco'!C237)</f>
        <v/>
      </c>
      <c r="D237" s="7" t="str">
        <f aca="false">IF(A237="","",'Outro banco'!D237)</f>
        <v/>
      </c>
      <c r="E237" s="9"/>
      <c r="F237" s="9"/>
      <c r="G237" s="7" t="str">
        <f aca="false">IF(A237="","",IF(COUNTIF(Tabelas!$A:$A,IF(E237="",A237,E237))&gt;0,"sim","não"))</f>
        <v/>
      </c>
      <c r="H237" s="7" t="str">
        <f aca="false">IF(A237="","",IF(E237="",A237,E237)&amp;"."&amp;IF(F237="",B237,F237))</f>
        <v/>
      </c>
      <c r="I237" s="7" t="str">
        <f aca="false">IF(A237="","",IFERROR(INDEX('Campos Growths'!$F:$F,MATCH(H237,'Campos Growths'!$A:$A,0)),""))</f>
        <v/>
      </c>
      <c r="J237" s="7" t="str">
        <f aca="false">IF(A237="","",IFERROR(VLOOKUP(IF(ISNUMBER(SEARCH("(",C237)),LEFT(C237,SEARCH("(",C237)-1),C237),Tipos!$A:$B,2,FALSE()),"outro"))</f>
        <v/>
      </c>
      <c r="K237" s="7" t="str">
        <f aca="false">IF(I237="","",IFERROR(INDEX('Campos Growths'!$L:$L,MATCH(H237,'Campos Growths'!$A:$A,0)),""))</f>
        <v/>
      </c>
      <c r="L237" s="7" t="str">
        <f aca="false">IF(A237="","",IF(G237="não","Sem tabela no Growths",IF(I237="","Sem campo no Growths",IF(J237=K237,"Importa direto","Ajustar tipo"))))</f>
        <v/>
      </c>
      <c r="M237" s="9"/>
    </row>
    <row r="238" customFormat="false" ht="15" hidden="false" customHeight="false" outlineLevel="0" collapsed="false">
      <c r="A238" s="7" t="str">
        <f aca="false">IF('Outro banco'!A238="","",IF(LEFT('Outro banco'!A238,1)="(","",'Outro banco'!A238))</f>
        <v/>
      </c>
      <c r="B238" s="7" t="str">
        <f aca="false">IF(A238="","",'Outro banco'!B238)</f>
        <v/>
      </c>
      <c r="C238" s="7" t="str">
        <f aca="false">IF(A238="","",'Outro banco'!C238)</f>
        <v/>
      </c>
      <c r="D238" s="7" t="str">
        <f aca="false">IF(A238="","",'Outro banco'!D238)</f>
        <v/>
      </c>
      <c r="E238" s="9"/>
      <c r="F238" s="9"/>
      <c r="G238" s="7" t="str">
        <f aca="false">IF(A238="","",IF(COUNTIF(Tabelas!$A:$A,IF(E238="",A238,E238))&gt;0,"sim","não"))</f>
        <v/>
      </c>
      <c r="H238" s="7" t="str">
        <f aca="false">IF(A238="","",IF(E238="",A238,E238)&amp;"."&amp;IF(F238="",B238,F238))</f>
        <v/>
      </c>
      <c r="I238" s="7" t="str">
        <f aca="false">IF(A238="","",IFERROR(INDEX('Campos Growths'!$F:$F,MATCH(H238,'Campos Growths'!$A:$A,0)),""))</f>
        <v/>
      </c>
      <c r="J238" s="7" t="str">
        <f aca="false">IF(A238="","",IFERROR(VLOOKUP(IF(ISNUMBER(SEARCH("(",C238)),LEFT(C238,SEARCH("(",C238)-1),C238),Tipos!$A:$B,2,FALSE()),"outro"))</f>
        <v/>
      </c>
      <c r="K238" s="7" t="str">
        <f aca="false">IF(I238="","",IFERROR(INDEX('Campos Growths'!$L:$L,MATCH(H238,'Campos Growths'!$A:$A,0)),""))</f>
        <v/>
      </c>
      <c r="L238" s="7" t="str">
        <f aca="false">IF(A238="","",IF(G238="não","Sem tabela no Growths",IF(I238="","Sem campo no Growths",IF(J238=K238,"Importa direto","Ajustar tipo"))))</f>
        <v/>
      </c>
      <c r="M238" s="9"/>
    </row>
    <row r="239" customFormat="false" ht="15" hidden="false" customHeight="false" outlineLevel="0" collapsed="false">
      <c r="A239" s="7" t="str">
        <f aca="false">IF('Outro banco'!A239="","",IF(LEFT('Outro banco'!A239,1)="(","",'Outro banco'!A239))</f>
        <v/>
      </c>
      <c r="B239" s="7" t="str">
        <f aca="false">IF(A239="","",'Outro banco'!B239)</f>
        <v/>
      </c>
      <c r="C239" s="7" t="str">
        <f aca="false">IF(A239="","",'Outro banco'!C239)</f>
        <v/>
      </c>
      <c r="D239" s="7" t="str">
        <f aca="false">IF(A239="","",'Outro banco'!D239)</f>
        <v/>
      </c>
      <c r="E239" s="9"/>
      <c r="F239" s="9"/>
      <c r="G239" s="7" t="str">
        <f aca="false">IF(A239="","",IF(COUNTIF(Tabelas!$A:$A,IF(E239="",A239,E239))&gt;0,"sim","não"))</f>
        <v/>
      </c>
      <c r="H239" s="7" t="str">
        <f aca="false">IF(A239="","",IF(E239="",A239,E239)&amp;"."&amp;IF(F239="",B239,F239))</f>
        <v/>
      </c>
      <c r="I239" s="7" t="str">
        <f aca="false">IF(A239="","",IFERROR(INDEX('Campos Growths'!$F:$F,MATCH(H239,'Campos Growths'!$A:$A,0)),""))</f>
        <v/>
      </c>
      <c r="J239" s="7" t="str">
        <f aca="false">IF(A239="","",IFERROR(VLOOKUP(IF(ISNUMBER(SEARCH("(",C239)),LEFT(C239,SEARCH("(",C239)-1),C239),Tipos!$A:$B,2,FALSE()),"outro"))</f>
        <v/>
      </c>
      <c r="K239" s="7" t="str">
        <f aca="false">IF(I239="","",IFERROR(INDEX('Campos Growths'!$L:$L,MATCH(H239,'Campos Growths'!$A:$A,0)),""))</f>
        <v/>
      </c>
      <c r="L239" s="7" t="str">
        <f aca="false">IF(A239="","",IF(G239="não","Sem tabela no Growths",IF(I239="","Sem campo no Growths",IF(J239=K239,"Importa direto","Ajustar tipo"))))</f>
        <v/>
      </c>
      <c r="M239" s="9"/>
    </row>
    <row r="240" customFormat="false" ht="15" hidden="false" customHeight="false" outlineLevel="0" collapsed="false">
      <c r="A240" s="7" t="str">
        <f aca="false">IF('Outro banco'!A240="","",IF(LEFT('Outro banco'!A240,1)="(","",'Outro banco'!A240))</f>
        <v/>
      </c>
      <c r="B240" s="7" t="str">
        <f aca="false">IF(A240="","",'Outro banco'!B240)</f>
        <v/>
      </c>
      <c r="C240" s="7" t="str">
        <f aca="false">IF(A240="","",'Outro banco'!C240)</f>
        <v/>
      </c>
      <c r="D240" s="7" t="str">
        <f aca="false">IF(A240="","",'Outro banco'!D240)</f>
        <v/>
      </c>
      <c r="E240" s="9"/>
      <c r="F240" s="9"/>
      <c r="G240" s="7" t="str">
        <f aca="false">IF(A240="","",IF(COUNTIF(Tabelas!$A:$A,IF(E240="",A240,E240))&gt;0,"sim","não"))</f>
        <v/>
      </c>
      <c r="H240" s="7" t="str">
        <f aca="false">IF(A240="","",IF(E240="",A240,E240)&amp;"."&amp;IF(F240="",B240,F240))</f>
        <v/>
      </c>
      <c r="I240" s="7" t="str">
        <f aca="false">IF(A240="","",IFERROR(INDEX('Campos Growths'!$F:$F,MATCH(H240,'Campos Growths'!$A:$A,0)),""))</f>
        <v/>
      </c>
      <c r="J240" s="7" t="str">
        <f aca="false">IF(A240="","",IFERROR(VLOOKUP(IF(ISNUMBER(SEARCH("(",C240)),LEFT(C240,SEARCH("(",C240)-1),C240),Tipos!$A:$B,2,FALSE()),"outro"))</f>
        <v/>
      </c>
      <c r="K240" s="7" t="str">
        <f aca="false">IF(I240="","",IFERROR(INDEX('Campos Growths'!$L:$L,MATCH(H240,'Campos Growths'!$A:$A,0)),""))</f>
        <v/>
      </c>
      <c r="L240" s="7" t="str">
        <f aca="false">IF(A240="","",IF(G240="não","Sem tabela no Growths",IF(I240="","Sem campo no Growths",IF(J240=K240,"Importa direto","Ajustar tipo"))))</f>
        <v/>
      </c>
      <c r="M240" s="9"/>
    </row>
    <row r="241" customFormat="false" ht="15" hidden="false" customHeight="false" outlineLevel="0" collapsed="false">
      <c r="A241" s="7" t="str">
        <f aca="false">IF('Outro banco'!A241="","",IF(LEFT('Outro banco'!A241,1)="(","",'Outro banco'!A241))</f>
        <v/>
      </c>
      <c r="B241" s="7" t="str">
        <f aca="false">IF(A241="","",'Outro banco'!B241)</f>
        <v/>
      </c>
      <c r="C241" s="7" t="str">
        <f aca="false">IF(A241="","",'Outro banco'!C241)</f>
        <v/>
      </c>
      <c r="D241" s="7" t="str">
        <f aca="false">IF(A241="","",'Outro banco'!D241)</f>
        <v/>
      </c>
      <c r="E241" s="9"/>
      <c r="F241" s="9"/>
      <c r="G241" s="7" t="str">
        <f aca="false">IF(A241="","",IF(COUNTIF(Tabelas!$A:$A,IF(E241="",A241,E241))&gt;0,"sim","não"))</f>
        <v/>
      </c>
      <c r="H241" s="7" t="str">
        <f aca="false">IF(A241="","",IF(E241="",A241,E241)&amp;"."&amp;IF(F241="",B241,F241))</f>
        <v/>
      </c>
      <c r="I241" s="7" t="str">
        <f aca="false">IF(A241="","",IFERROR(INDEX('Campos Growths'!$F:$F,MATCH(H241,'Campos Growths'!$A:$A,0)),""))</f>
        <v/>
      </c>
      <c r="J241" s="7" t="str">
        <f aca="false">IF(A241="","",IFERROR(VLOOKUP(IF(ISNUMBER(SEARCH("(",C241)),LEFT(C241,SEARCH("(",C241)-1),C241),Tipos!$A:$B,2,FALSE()),"outro"))</f>
        <v/>
      </c>
      <c r="K241" s="7" t="str">
        <f aca="false">IF(I241="","",IFERROR(INDEX('Campos Growths'!$L:$L,MATCH(H241,'Campos Growths'!$A:$A,0)),""))</f>
        <v/>
      </c>
      <c r="L241" s="7" t="str">
        <f aca="false">IF(A241="","",IF(G241="não","Sem tabela no Growths",IF(I241="","Sem campo no Growths",IF(J241=K241,"Importa direto","Ajustar tipo"))))</f>
        <v/>
      </c>
      <c r="M241" s="9"/>
    </row>
    <row r="242" customFormat="false" ht="15" hidden="false" customHeight="false" outlineLevel="0" collapsed="false">
      <c r="A242" s="7" t="str">
        <f aca="false">IF('Outro banco'!A242="","",IF(LEFT('Outro banco'!A242,1)="(","",'Outro banco'!A242))</f>
        <v/>
      </c>
      <c r="B242" s="7" t="str">
        <f aca="false">IF(A242="","",'Outro banco'!B242)</f>
        <v/>
      </c>
      <c r="C242" s="7" t="str">
        <f aca="false">IF(A242="","",'Outro banco'!C242)</f>
        <v/>
      </c>
      <c r="D242" s="7" t="str">
        <f aca="false">IF(A242="","",'Outro banco'!D242)</f>
        <v/>
      </c>
      <c r="E242" s="9"/>
      <c r="F242" s="9"/>
      <c r="G242" s="7" t="str">
        <f aca="false">IF(A242="","",IF(COUNTIF(Tabelas!$A:$A,IF(E242="",A242,E242))&gt;0,"sim","não"))</f>
        <v/>
      </c>
      <c r="H242" s="7" t="str">
        <f aca="false">IF(A242="","",IF(E242="",A242,E242)&amp;"."&amp;IF(F242="",B242,F242))</f>
        <v/>
      </c>
      <c r="I242" s="7" t="str">
        <f aca="false">IF(A242="","",IFERROR(INDEX('Campos Growths'!$F:$F,MATCH(H242,'Campos Growths'!$A:$A,0)),""))</f>
        <v/>
      </c>
      <c r="J242" s="7" t="str">
        <f aca="false">IF(A242="","",IFERROR(VLOOKUP(IF(ISNUMBER(SEARCH("(",C242)),LEFT(C242,SEARCH("(",C242)-1),C242),Tipos!$A:$B,2,FALSE()),"outro"))</f>
        <v/>
      </c>
      <c r="K242" s="7" t="str">
        <f aca="false">IF(I242="","",IFERROR(INDEX('Campos Growths'!$L:$L,MATCH(H242,'Campos Growths'!$A:$A,0)),""))</f>
        <v/>
      </c>
      <c r="L242" s="7" t="str">
        <f aca="false">IF(A242="","",IF(G242="não","Sem tabela no Growths",IF(I242="","Sem campo no Growths",IF(J242=K242,"Importa direto","Ajustar tipo"))))</f>
        <v/>
      </c>
      <c r="M242" s="9"/>
    </row>
    <row r="243" customFormat="false" ht="15" hidden="false" customHeight="false" outlineLevel="0" collapsed="false">
      <c r="A243" s="7" t="str">
        <f aca="false">IF('Outro banco'!A243="","",IF(LEFT('Outro banco'!A243,1)="(","",'Outro banco'!A243))</f>
        <v/>
      </c>
      <c r="B243" s="7" t="str">
        <f aca="false">IF(A243="","",'Outro banco'!B243)</f>
        <v/>
      </c>
      <c r="C243" s="7" t="str">
        <f aca="false">IF(A243="","",'Outro banco'!C243)</f>
        <v/>
      </c>
      <c r="D243" s="7" t="str">
        <f aca="false">IF(A243="","",'Outro banco'!D243)</f>
        <v/>
      </c>
      <c r="E243" s="9"/>
      <c r="F243" s="9"/>
      <c r="G243" s="7" t="str">
        <f aca="false">IF(A243="","",IF(COUNTIF(Tabelas!$A:$A,IF(E243="",A243,E243))&gt;0,"sim","não"))</f>
        <v/>
      </c>
      <c r="H243" s="7" t="str">
        <f aca="false">IF(A243="","",IF(E243="",A243,E243)&amp;"."&amp;IF(F243="",B243,F243))</f>
        <v/>
      </c>
      <c r="I243" s="7" t="str">
        <f aca="false">IF(A243="","",IFERROR(INDEX('Campos Growths'!$F:$F,MATCH(H243,'Campos Growths'!$A:$A,0)),""))</f>
        <v/>
      </c>
      <c r="J243" s="7" t="str">
        <f aca="false">IF(A243="","",IFERROR(VLOOKUP(IF(ISNUMBER(SEARCH("(",C243)),LEFT(C243,SEARCH("(",C243)-1),C243),Tipos!$A:$B,2,FALSE()),"outro"))</f>
        <v/>
      </c>
      <c r="K243" s="7" t="str">
        <f aca="false">IF(I243="","",IFERROR(INDEX('Campos Growths'!$L:$L,MATCH(H243,'Campos Growths'!$A:$A,0)),""))</f>
        <v/>
      </c>
      <c r="L243" s="7" t="str">
        <f aca="false">IF(A243="","",IF(G243="não","Sem tabela no Growths",IF(I243="","Sem campo no Growths",IF(J243=K243,"Importa direto","Ajustar tipo"))))</f>
        <v/>
      </c>
      <c r="M243" s="9"/>
    </row>
    <row r="244" customFormat="false" ht="15" hidden="false" customHeight="false" outlineLevel="0" collapsed="false">
      <c r="A244" s="7" t="str">
        <f aca="false">IF('Outro banco'!A244="","",IF(LEFT('Outro banco'!A244,1)="(","",'Outro banco'!A244))</f>
        <v/>
      </c>
      <c r="B244" s="7" t="str">
        <f aca="false">IF(A244="","",'Outro banco'!B244)</f>
        <v/>
      </c>
      <c r="C244" s="7" t="str">
        <f aca="false">IF(A244="","",'Outro banco'!C244)</f>
        <v/>
      </c>
      <c r="D244" s="7" t="str">
        <f aca="false">IF(A244="","",'Outro banco'!D244)</f>
        <v/>
      </c>
      <c r="E244" s="9"/>
      <c r="F244" s="9"/>
      <c r="G244" s="7" t="str">
        <f aca="false">IF(A244="","",IF(COUNTIF(Tabelas!$A:$A,IF(E244="",A244,E244))&gt;0,"sim","não"))</f>
        <v/>
      </c>
      <c r="H244" s="7" t="str">
        <f aca="false">IF(A244="","",IF(E244="",A244,E244)&amp;"."&amp;IF(F244="",B244,F244))</f>
        <v/>
      </c>
      <c r="I244" s="7" t="str">
        <f aca="false">IF(A244="","",IFERROR(INDEX('Campos Growths'!$F:$F,MATCH(H244,'Campos Growths'!$A:$A,0)),""))</f>
        <v/>
      </c>
      <c r="J244" s="7" t="str">
        <f aca="false">IF(A244="","",IFERROR(VLOOKUP(IF(ISNUMBER(SEARCH("(",C244)),LEFT(C244,SEARCH("(",C244)-1),C244),Tipos!$A:$B,2,FALSE()),"outro"))</f>
        <v/>
      </c>
      <c r="K244" s="7" t="str">
        <f aca="false">IF(I244="","",IFERROR(INDEX('Campos Growths'!$L:$L,MATCH(H244,'Campos Growths'!$A:$A,0)),""))</f>
        <v/>
      </c>
      <c r="L244" s="7" t="str">
        <f aca="false">IF(A244="","",IF(G244="não","Sem tabela no Growths",IF(I244="","Sem campo no Growths",IF(J244=K244,"Importa direto","Ajustar tipo"))))</f>
        <v/>
      </c>
      <c r="M244" s="9"/>
    </row>
    <row r="245" customFormat="false" ht="15" hidden="false" customHeight="false" outlineLevel="0" collapsed="false">
      <c r="A245" s="7" t="str">
        <f aca="false">IF('Outro banco'!A245="","",IF(LEFT('Outro banco'!A245,1)="(","",'Outro banco'!A245))</f>
        <v/>
      </c>
      <c r="B245" s="7" t="str">
        <f aca="false">IF(A245="","",'Outro banco'!B245)</f>
        <v/>
      </c>
      <c r="C245" s="7" t="str">
        <f aca="false">IF(A245="","",'Outro banco'!C245)</f>
        <v/>
      </c>
      <c r="D245" s="7" t="str">
        <f aca="false">IF(A245="","",'Outro banco'!D245)</f>
        <v/>
      </c>
      <c r="E245" s="9"/>
      <c r="F245" s="9"/>
      <c r="G245" s="7" t="str">
        <f aca="false">IF(A245="","",IF(COUNTIF(Tabelas!$A:$A,IF(E245="",A245,E245))&gt;0,"sim","não"))</f>
        <v/>
      </c>
      <c r="H245" s="7" t="str">
        <f aca="false">IF(A245="","",IF(E245="",A245,E245)&amp;"."&amp;IF(F245="",B245,F245))</f>
        <v/>
      </c>
      <c r="I245" s="7" t="str">
        <f aca="false">IF(A245="","",IFERROR(INDEX('Campos Growths'!$F:$F,MATCH(H245,'Campos Growths'!$A:$A,0)),""))</f>
        <v/>
      </c>
      <c r="J245" s="7" t="str">
        <f aca="false">IF(A245="","",IFERROR(VLOOKUP(IF(ISNUMBER(SEARCH("(",C245)),LEFT(C245,SEARCH("(",C245)-1),C245),Tipos!$A:$B,2,FALSE()),"outro"))</f>
        <v/>
      </c>
      <c r="K245" s="7" t="str">
        <f aca="false">IF(I245="","",IFERROR(INDEX('Campos Growths'!$L:$L,MATCH(H245,'Campos Growths'!$A:$A,0)),""))</f>
        <v/>
      </c>
      <c r="L245" s="7" t="str">
        <f aca="false">IF(A245="","",IF(G245="não","Sem tabela no Growths",IF(I245="","Sem campo no Growths",IF(J245=K245,"Importa direto","Ajustar tipo"))))</f>
        <v/>
      </c>
      <c r="M245" s="9"/>
    </row>
    <row r="246" customFormat="false" ht="15" hidden="false" customHeight="false" outlineLevel="0" collapsed="false">
      <c r="A246" s="7" t="str">
        <f aca="false">IF('Outro banco'!A246="","",IF(LEFT('Outro banco'!A246,1)="(","",'Outro banco'!A246))</f>
        <v/>
      </c>
      <c r="B246" s="7" t="str">
        <f aca="false">IF(A246="","",'Outro banco'!B246)</f>
        <v/>
      </c>
      <c r="C246" s="7" t="str">
        <f aca="false">IF(A246="","",'Outro banco'!C246)</f>
        <v/>
      </c>
      <c r="D246" s="7" t="str">
        <f aca="false">IF(A246="","",'Outro banco'!D246)</f>
        <v/>
      </c>
      <c r="E246" s="9"/>
      <c r="F246" s="9"/>
      <c r="G246" s="7" t="str">
        <f aca="false">IF(A246="","",IF(COUNTIF(Tabelas!$A:$A,IF(E246="",A246,E246))&gt;0,"sim","não"))</f>
        <v/>
      </c>
      <c r="H246" s="7" t="str">
        <f aca="false">IF(A246="","",IF(E246="",A246,E246)&amp;"."&amp;IF(F246="",B246,F246))</f>
        <v/>
      </c>
      <c r="I246" s="7" t="str">
        <f aca="false">IF(A246="","",IFERROR(INDEX('Campos Growths'!$F:$F,MATCH(H246,'Campos Growths'!$A:$A,0)),""))</f>
        <v/>
      </c>
      <c r="J246" s="7" t="str">
        <f aca="false">IF(A246="","",IFERROR(VLOOKUP(IF(ISNUMBER(SEARCH("(",C246)),LEFT(C246,SEARCH("(",C246)-1),C246),Tipos!$A:$B,2,FALSE()),"outro"))</f>
        <v/>
      </c>
      <c r="K246" s="7" t="str">
        <f aca="false">IF(I246="","",IFERROR(INDEX('Campos Growths'!$L:$L,MATCH(H246,'Campos Growths'!$A:$A,0)),""))</f>
        <v/>
      </c>
      <c r="L246" s="7" t="str">
        <f aca="false">IF(A246="","",IF(G246="não","Sem tabela no Growths",IF(I246="","Sem campo no Growths",IF(J246=K246,"Importa direto","Ajustar tipo"))))</f>
        <v/>
      </c>
      <c r="M246" s="9"/>
    </row>
    <row r="247" customFormat="false" ht="15" hidden="false" customHeight="false" outlineLevel="0" collapsed="false">
      <c r="A247" s="7" t="str">
        <f aca="false">IF('Outro banco'!A247="","",IF(LEFT('Outro banco'!A247,1)="(","",'Outro banco'!A247))</f>
        <v/>
      </c>
      <c r="B247" s="7" t="str">
        <f aca="false">IF(A247="","",'Outro banco'!B247)</f>
        <v/>
      </c>
      <c r="C247" s="7" t="str">
        <f aca="false">IF(A247="","",'Outro banco'!C247)</f>
        <v/>
      </c>
      <c r="D247" s="7" t="str">
        <f aca="false">IF(A247="","",'Outro banco'!D247)</f>
        <v/>
      </c>
      <c r="E247" s="9"/>
      <c r="F247" s="9"/>
      <c r="G247" s="7" t="str">
        <f aca="false">IF(A247="","",IF(COUNTIF(Tabelas!$A:$A,IF(E247="",A247,E247))&gt;0,"sim","não"))</f>
        <v/>
      </c>
      <c r="H247" s="7" t="str">
        <f aca="false">IF(A247="","",IF(E247="",A247,E247)&amp;"."&amp;IF(F247="",B247,F247))</f>
        <v/>
      </c>
      <c r="I247" s="7" t="str">
        <f aca="false">IF(A247="","",IFERROR(INDEX('Campos Growths'!$F:$F,MATCH(H247,'Campos Growths'!$A:$A,0)),""))</f>
        <v/>
      </c>
      <c r="J247" s="7" t="str">
        <f aca="false">IF(A247="","",IFERROR(VLOOKUP(IF(ISNUMBER(SEARCH("(",C247)),LEFT(C247,SEARCH("(",C247)-1),C247),Tipos!$A:$B,2,FALSE()),"outro"))</f>
        <v/>
      </c>
      <c r="K247" s="7" t="str">
        <f aca="false">IF(I247="","",IFERROR(INDEX('Campos Growths'!$L:$L,MATCH(H247,'Campos Growths'!$A:$A,0)),""))</f>
        <v/>
      </c>
      <c r="L247" s="7" t="str">
        <f aca="false">IF(A247="","",IF(G247="não","Sem tabela no Growths",IF(I247="","Sem campo no Growths",IF(J247=K247,"Importa direto","Ajustar tipo"))))</f>
        <v/>
      </c>
      <c r="M247" s="9"/>
    </row>
    <row r="248" customFormat="false" ht="15" hidden="false" customHeight="false" outlineLevel="0" collapsed="false">
      <c r="A248" s="7" t="str">
        <f aca="false">IF('Outro banco'!A248="","",IF(LEFT('Outro banco'!A248,1)="(","",'Outro banco'!A248))</f>
        <v/>
      </c>
      <c r="B248" s="7" t="str">
        <f aca="false">IF(A248="","",'Outro banco'!B248)</f>
        <v/>
      </c>
      <c r="C248" s="7" t="str">
        <f aca="false">IF(A248="","",'Outro banco'!C248)</f>
        <v/>
      </c>
      <c r="D248" s="7" t="str">
        <f aca="false">IF(A248="","",'Outro banco'!D248)</f>
        <v/>
      </c>
      <c r="E248" s="9"/>
      <c r="F248" s="9"/>
      <c r="G248" s="7" t="str">
        <f aca="false">IF(A248="","",IF(COUNTIF(Tabelas!$A:$A,IF(E248="",A248,E248))&gt;0,"sim","não"))</f>
        <v/>
      </c>
      <c r="H248" s="7" t="str">
        <f aca="false">IF(A248="","",IF(E248="",A248,E248)&amp;"."&amp;IF(F248="",B248,F248))</f>
        <v/>
      </c>
      <c r="I248" s="7" t="str">
        <f aca="false">IF(A248="","",IFERROR(INDEX('Campos Growths'!$F:$F,MATCH(H248,'Campos Growths'!$A:$A,0)),""))</f>
        <v/>
      </c>
      <c r="J248" s="7" t="str">
        <f aca="false">IF(A248="","",IFERROR(VLOOKUP(IF(ISNUMBER(SEARCH("(",C248)),LEFT(C248,SEARCH("(",C248)-1),C248),Tipos!$A:$B,2,FALSE()),"outro"))</f>
        <v/>
      </c>
      <c r="K248" s="7" t="str">
        <f aca="false">IF(I248="","",IFERROR(INDEX('Campos Growths'!$L:$L,MATCH(H248,'Campos Growths'!$A:$A,0)),""))</f>
        <v/>
      </c>
      <c r="L248" s="7" t="str">
        <f aca="false">IF(A248="","",IF(G248="não","Sem tabela no Growths",IF(I248="","Sem campo no Growths",IF(J248=K248,"Importa direto","Ajustar tipo"))))</f>
        <v/>
      </c>
      <c r="M248" s="9"/>
    </row>
    <row r="249" customFormat="false" ht="15" hidden="false" customHeight="false" outlineLevel="0" collapsed="false">
      <c r="A249" s="7" t="str">
        <f aca="false">IF('Outro banco'!A249="","",IF(LEFT('Outro banco'!A249,1)="(","",'Outro banco'!A249))</f>
        <v/>
      </c>
      <c r="B249" s="7" t="str">
        <f aca="false">IF(A249="","",'Outro banco'!B249)</f>
        <v/>
      </c>
      <c r="C249" s="7" t="str">
        <f aca="false">IF(A249="","",'Outro banco'!C249)</f>
        <v/>
      </c>
      <c r="D249" s="7" t="str">
        <f aca="false">IF(A249="","",'Outro banco'!D249)</f>
        <v/>
      </c>
      <c r="E249" s="9"/>
      <c r="F249" s="9"/>
      <c r="G249" s="7" t="str">
        <f aca="false">IF(A249="","",IF(COUNTIF(Tabelas!$A:$A,IF(E249="",A249,E249))&gt;0,"sim","não"))</f>
        <v/>
      </c>
      <c r="H249" s="7" t="str">
        <f aca="false">IF(A249="","",IF(E249="",A249,E249)&amp;"."&amp;IF(F249="",B249,F249))</f>
        <v/>
      </c>
      <c r="I249" s="7" t="str">
        <f aca="false">IF(A249="","",IFERROR(INDEX('Campos Growths'!$F:$F,MATCH(H249,'Campos Growths'!$A:$A,0)),""))</f>
        <v/>
      </c>
      <c r="J249" s="7" t="str">
        <f aca="false">IF(A249="","",IFERROR(VLOOKUP(IF(ISNUMBER(SEARCH("(",C249)),LEFT(C249,SEARCH("(",C249)-1),C249),Tipos!$A:$B,2,FALSE()),"outro"))</f>
        <v/>
      </c>
      <c r="K249" s="7" t="str">
        <f aca="false">IF(I249="","",IFERROR(INDEX('Campos Growths'!$L:$L,MATCH(H249,'Campos Growths'!$A:$A,0)),""))</f>
        <v/>
      </c>
      <c r="L249" s="7" t="str">
        <f aca="false">IF(A249="","",IF(G249="não","Sem tabela no Growths",IF(I249="","Sem campo no Growths",IF(J249=K249,"Importa direto","Ajustar tipo"))))</f>
        <v/>
      </c>
      <c r="M249" s="9"/>
    </row>
    <row r="250" customFormat="false" ht="15" hidden="false" customHeight="false" outlineLevel="0" collapsed="false">
      <c r="A250" s="7" t="str">
        <f aca="false">IF('Outro banco'!A250="","",IF(LEFT('Outro banco'!A250,1)="(","",'Outro banco'!A250))</f>
        <v/>
      </c>
      <c r="B250" s="7" t="str">
        <f aca="false">IF(A250="","",'Outro banco'!B250)</f>
        <v/>
      </c>
      <c r="C250" s="7" t="str">
        <f aca="false">IF(A250="","",'Outro banco'!C250)</f>
        <v/>
      </c>
      <c r="D250" s="7" t="str">
        <f aca="false">IF(A250="","",'Outro banco'!D250)</f>
        <v/>
      </c>
      <c r="E250" s="9"/>
      <c r="F250" s="9"/>
      <c r="G250" s="7" t="str">
        <f aca="false">IF(A250="","",IF(COUNTIF(Tabelas!$A:$A,IF(E250="",A250,E250))&gt;0,"sim","não"))</f>
        <v/>
      </c>
      <c r="H250" s="7" t="str">
        <f aca="false">IF(A250="","",IF(E250="",A250,E250)&amp;"."&amp;IF(F250="",B250,F250))</f>
        <v/>
      </c>
      <c r="I250" s="7" t="str">
        <f aca="false">IF(A250="","",IFERROR(INDEX('Campos Growths'!$F:$F,MATCH(H250,'Campos Growths'!$A:$A,0)),""))</f>
        <v/>
      </c>
      <c r="J250" s="7" t="str">
        <f aca="false">IF(A250="","",IFERROR(VLOOKUP(IF(ISNUMBER(SEARCH("(",C250)),LEFT(C250,SEARCH("(",C250)-1),C250),Tipos!$A:$B,2,FALSE()),"outro"))</f>
        <v/>
      </c>
      <c r="K250" s="7" t="str">
        <f aca="false">IF(I250="","",IFERROR(INDEX('Campos Growths'!$L:$L,MATCH(H250,'Campos Growths'!$A:$A,0)),""))</f>
        <v/>
      </c>
      <c r="L250" s="7" t="str">
        <f aca="false">IF(A250="","",IF(G250="não","Sem tabela no Growths",IF(I250="","Sem campo no Growths",IF(J250=K250,"Importa direto","Ajustar tipo"))))</f>
        <v/>
      </c>
      <c r="M250" s="9"/>
    </row>
    <row r="251" customFormat="false" ht="15" hidden="false" customHeight="false" outlineLevel="0" collapsed="false">
      <c r="A251" s="7" t="str">
        <f aca="false">IF('Outro banco'!A251="","",IF(LEFT('Outro banco'!A251,1)="(","",'Outro banco'!A251))</f>
        <v/>
      </c>
      <c r="B251" s="7" t="str">
        <f aca="false">IF(A251="","",'Outro banco'!B251)</f>
        <v/>
      </c>
      <c r="C251" s="7" t="str">
        <f aca="false">IF(A251="","",'Outro banco'!C251)</f>
        <v/>
      </c>
      <c r="D251" s="7" t="str">
        <f aca="false">IF(A251="","",'Outro banco'!D251)</f>
        <v/>
      </c>
      <c r="E251" s="9"/>
      <c r="F251" s="9"/>
      <c r="G251" s="7" t="str">
        <f aca="false">IF(A251="","",IF(COUNTIF(Tabelas!$A:$A,IF(E251="",A251,E251))&gt;0,"sim","não"))</f>
        <v/>
      </c>
      <c r="H251" s="7" t="str">
        <f aca="false">IF(A251="","",IF(E251="",A251,E251)&amp;"."&amp;IF(F251="",B251,F251))</f>
        <v/>
      </c>
      <c r="I251" s="7" t="str">
        <f aca="false">IF(A251="","",IFERROR(INDEX('Campos Growths'!$F:$F,MATCH(H251,'Campos Growths'!$A:$A,0)),""))</f>
        <v/>
      </c>
      <c r="J251" s="7" t="str">
        <f aca="false">IF(A251="","",IFERROR(VLOOKUP(IF(ISNUMBER(SEARCH("(",C251)),LEFT(C251,SEARCH("(",C251)-1),C251),Tipos!$A:$B,2,FALSE()),"outro"))</f>
        <v/>
      </c>
      <c r="K251" s="7" t="str">
        <f aca="false">IF(I251="","",IFERROR(INDEX('Campos Growths'!$L:$L,MATCH(H251,'Campos Growths'!$A:$A,0)),""))</f>
        <v/>
      </c>
      <c r="L251" s="7" t="str">
        <f aca="false">IF(A251="","",IF(G251="não","Sem tabela no Growths",IF(I251="","Sem campo no Growths",IF(J251=K251,"Importa direto","Ajustar tipo"))))</f>
        <v/>
      </c>
      <c r="M251" s="9"/>
    </row>
    <row r="252" customFormat="false" ht="15" hidden="false" customHeight="false" outlineLevel="0" collapsed="false">
      <c r="A252" s="7" t="str">
        <f aca="false">IF('Outro banco'!A252="","",IF(LEFT('Outro banco'!A252,1)="(","",'Outro banco'!A252))</f>
        <v/>
      </c>
      <c r="B252" s="7" t="str">
        <f aca="false">IF(A252="","",'Outro banco'!B252)</f>
        <v/>
      </c>
      <c r="C252" s="7" t="str">
        <f aca="false">IF(A252="","",'Outro banco'!C252)</f>
        <v/>
      </c>
      <c r="D252" s="7" t="str">
        <f aca="false">IF(A252="","",'Outro banco'!D252)</f>
        <v/>
      </c>
      <c r="E252" s="9"/>
      <c r="F252" s="9"/>
      <c r="G252" s="7" t="str">
        <f aca="false">IF(A252="","",IF(COUNTIF(Tabelas!$A:$A,IF(E252="",A252,E252))&gt;0,"sim","não"))</f>
        <v/>
      </c>
      <c r="H252" s="7" t="str">
        <f aca="false">IF(A252="","",IF(E252="",A252,E252)&amp;"."&amp;IF(F252="",B252,F252))</f>
        <v/>
      </c>
      <c r="I252" s="7" t="str">
        <f aca="false">IF(A252="","",IFERROR(INDEX('Campos Growths'!$F:$F,MATCH(H252,'Campos Growths'!$A:$A,0)),""))</f>
        <v/>
      </c>
      <c r="J252" s="7" t="str">
        <f aca="false">IF(A252="","",IFERROR(VLOOKUP(IF(ISNUMBER(SEARCH("(",C252)),LEFT(C252,SEARCH("(",C252)-1),C252),Tipos!$A:$B,2,FALSE()),"outro"))</f>
        <v/>
      </c>
      <c r="K252" s="7" t="str">
        <f aca="false">IF(I252="","",IFERROR(INDEX('Campos Growths'!$L:$L,MATCH(H252,'Campos Growths'!$A:$A,0)),""))</f>
        <v/>
      </c>
      <c r="L252" s="7" t="str">
        <f aca="false">IF(A252="","",IF(G252="não","Sem tabela no Growths",IF(I252="","Sem campo no Growths",IF(J252=K252,"Importa direto","Ajustar tipo"))))</f>
        <v/>
      </c>
      <c r="M252" s="9"/>
    </row>
    <row r="253" customFormat="false" ht="15" hidden="false" customHeight="false" outlineLevel="0" collapsed="false">
      <c r="A253" s="7" t="str">
        <f aca="false">IF('Outro banco'!A253="","",IF(LEFT('Outro banco'!A253,1)="(","",'Outro banco'!A253))</f>
        <v/>
      </c>
      <c r="B253" s="7" t="str">
        <f aca="false">IF(A253="","",'Outro banco'!B253)</f>
        <v/>
      </c>
      <c r="C253" s="7" t="str">
        <f aca="false">IF(A253="","",'Outro banco'!C253)</f>
        <v/>
      </c>
      <c r="D253" s="7" t="str">
        <f aca="false">IF(A253="","",'Outro banco'!D253)</f>
        <v/>
      </c>
      <c r="E253" s="9"/>
      <c r="F253" s="9"/>
      <c r="G253" s="7" t="str">
        <f aca="false">IF(A253="","",IF(COUNTIF(Tabelas!$A:$A,IF(E253="",A253,E253))&gt;0,"sim","não"))</f>
        <v/>
      </c>
      <c r="H253" s="7" t="str">
        <f aca="false">IF(A253="","",IF(E253="",A253,E253)&amp;"."&amp;IF(F253="",B253,F253))</f>
        <v/>
      </c>
      <c r="I253" s="7" t="str">
        <f aca="false">IF(A253="","",IFERROR(INDEX('Campos Growths'!$F:$F,MATCH(H253,'Campos Growths'!$A:$A,0)),""))</f>
        <v/>
      </c>
      <c r="J253" s="7" t="str">
        <f aca="false">IF(A253="","",IFERROR(VLOOKUP(IF(ISNUMBER(SEARCH("(",C253)),LEFT(C253,SEARCH("(",C253)-1),C253),Tipos!$A:$B,2,FALSE()),"outro"))</f>
        <v/>
      </c>
      <c r="K253" s="7" t="str">
        <f aca="false">IF(I253="","",IFERROR(INDEX('Campos Growths'!$L:$L,MATCH(H253,'Campos Growths'!$A:$A,0)),""))</f>
        <v/>
      </c>
      <c r="L253" s="7" t="str">
        <f aca="false">IF(A253="","",IF(G253="não","Sem tabela no Growths",IF(I253="","Sem campo no Growths",IF(J253=K253,"Importa direto","Ajustar tipo"))))</f>
        <v/>
      </c>
      <c r="M253" s="9"/>
    </row>
    <row r="254" customFormat="false" ht="15" hidden="false" customHeight="false" outlineLevel="0" collapsed="false">
      <c r="A254" s="7" t="str">
        <f aca="false">IF('Outro banco'!A254="","",IF(LEFT('Outro banco'!A254,1)="(","",'Outro banco'!A254))</f>
        <v/>
      </c>
      <c r="B254" s="7" t="str">
        <f aca="false">IF(A254="","",'Outro banco'!B254)</f>
        <v/>
      </c>
      <c r="C254" s="7" t="str">
        <f aca="false">IF(A254="","",'Outro banco'!C254)</f>
        <v/>
      </c>
      <c r="D254" s="7" t="str">
        <f aca="false">IF(A254="","",'Outro banco'!D254)</f>
        <v/>
      </c>
      <c r="E254" s="9"/>
      <c r="F254" s="9"/>
      <c r="G254" s="7" t="str">
        <f aca="false">IF(A254="","",IF(COUNTIF(Tabelas!$A:$A,IF(E254="",A254,E254))&gt;0,"sim","não"))</f>
        <v/>
      </c>
      <c r="H254" s="7" t="str">
        <f aca="false">IF(A254="","",IF(E254="",A254,E254)&amp;"."&amp;IF(F254="",B254,F254))</f>
        <v/>
      </c>
      <c r="I254" s="7" t="str">
        <f aca="false">IF(A254="","",IFERROR(INDEX('Campos Growths'!$F:$F,MATCH(H254,'Campos Growths'!$A:$A,0)),""))</f>
        <v/>
      </c>
      <c r="J254" s="7" t="str">
        <f aca="false">IF(A254="","",IFERROR(VLOOKUP(IF(ISNUMBER(SEARCH("(",C254)),LEFT(C254,SEARCH("(",C254)-1),C254),Tipos!$A:$B,2,FALSE()),"outro"))</f>
        <v/>
      </c>
      <c r="K254" s="7" t="str">
        <f aca="false">IF(I254="","",IFERROR(INDEX('Campos Growths'!$L:$L,MATCH(H254,'Campos Growths'!$A:$A,0)),""))</f>
        <v/>
      </c>
      <c r="L254" s="7" t="str">
        <f aca="false">IF(A254="","",IF(G254="não","Sem tabela no Growths",IF(I254="","Sem campo no Growths",IF(J254=K254,"Importa direto","Ajustar tipo"))))</f>
        <v/>
      </c>
      <c r="M254" s="9"/>
    </row>
    <row r="255" customFormat="false" ht="15" hidden="false" customHeight="false" outlineLevel="0" collapsed="false">
      <c r="A255" s="7" t="str">
        <f aca="false">IF('Outro banco'!A255="","",IF(LEFT('Outro banco'!A255,1)="(","",'Outro banco'!A255))</f>
        <v/>
      </c>
      <c r="B255" s="7" t="str">
        <f aca="false">IF(A255="","",'Outro banco'!B255)</f>
        <v/>
      </c>
      <c r="C255" s="7" t="str">
        <f aca="false">IF(A255="","",'Outro banco'!C255)</f>
        <v/>
      </c>
      <c r="D255" s="7" t="str">
        <f aca="false">IF(A255="","",'Outro banco'!D255)</f>
        <v/>
      </c>
      <c r="E255" s="9"/>
      <c r="F255" s="9"/>
      <c r="G255" s="7" t="str">
        <f aca="false">IF(A255="","",IF(COUNTIF(Tabelas!$A:$A,IF(E255="",A255,E255))&gt;0,"sim","não"))</f>
        <v/>
      </c>
      <c r="H255" s="7" t="str">
        <f aca="false">IF(A255="","",IF(E255="",A255,E255)&amp;"."&amp;IF(F255="",B255,F255))</f>
        <v/>
      </c>
      <c r="I255" s="7" t="str">
        <f aca="false">IF(A255="","",IFERROR(INDEX('Campos Growths'!$F:$F,MATCH(H255,'Campos Growths'!$A:$A,0)),""))</f>
        <v/>
      </c>
      <c r="J255" s="7" t="str">
        <f aca="false">IF(A255="","",IFERROR(VLOOKUP(IF(ISNUMBER(SEARCH("(",C255)),LEFT(C255,SEARCH("(",C255)-1),C255),Tipos!$A:$B,2,FALSE()),"outro"))</f>
        <v/>
      </c>
      <c r="K255" s="7" t="str">
        <f aca="false">IF(I255="","",IFERROR(INDEX('Campos Growths'!$L:$L,MATCH(H255,'Campos Growths'!$A:$A,0)),""))</f>
        <v/>
      </c>
      <c r="L255" s="7" t="str">
        <f aca="false">IF(A255="","",IF(G255="não","Sem tabela no Growths",IF(I255="","Sem campo no Growths",IF(J255=K255,"Importa direto","Ajustar tipo"))))</f>
        <v/>
      </c>
      <c r="M255" s="9"/>
    </row>
    <row r="256" customFormat="false" ht="15" hidden="false" customHeight="false" outlineLevel="0" collapsed="false">
      <c r="A256" s="7" t="str">
        <f aca="false">IF('Outro banco'!A256="","",IF(LEFT('Outro banco'!A256,1)="(","",'Outro banco'!A256))</f>
        <v/>
      </c>
      <c r="B256" s="7" t="str">
        <f aca="false">IF(A256="","",'Outro banco'!B256)</f>
        <v/>
      </c>
      <c r="C256" s="7" t="str">
        <f aca="false">IF(A256="","",'Outro banco'!C256)</f>
        <v/>
      </c>
      <c r="D256" s="7" t="str">
        <f aca="false">IF(A256="","",'Outro banco'!D256)</f>
        <v/>
      </c>
      <c r="E256" s="9"/>
      <c r="F256" s="9"/>
      <c r="G256" s="7" t="str">
        <f aca="false">IF(A256="","",IF(COUNTIF(Tabelas!$A:$A,IF(E256="",A256,E256))&gt;0,"sim","não"))</f>
        <v/>
      </c>
      <c r="H256" s="7" t="str">
        <f aca="false">IF(A256="","",IF(E256="",A256,E256)&amp;"."&amp;IF(F256="",B256,F256))</f>
        <v/>
      </c>
      <c r="I256" s="7" t="str">
        <f aca="false">IF(A256="","",IFERROR(INDEX('Campos Growths'!$F:$F,MATCH(H256,'Campos Growths'!$A:$A,0)),""))</f>
        <v/>
      </c>
      <c r="J256" s="7" t="str">
        <f aca="false">IF(A256="","",IFERROR(VLOOKUP(IF(ISNUMBER(SEARCH("(",C256)),LEFT(C256,SEARCH("(",C256)-1),C256),Tipos!$A:$B,2,FALSE()),"outro"))</f>
        <v/>
      </c>
      <c r="K256" s="7" t="str">
        <f aca="false">IF(I256="","",IFERROR(INDEX('Campos Growths'!$L:$L,MATCH(H256,'Campos Growths'!$A:$A,0)),""))</f>
        <v/>
      </c>
      <c r="L256" s="7" t="str">
        <f aca="false">IF(A256="","",IF(G256="não","Sem tabela no Growths",IF(I256="","Sem campo no Growths",IF(J256=K256,"Importa direto","Ajustar tipo"))))</f>
        <v/>
      </c>
      <c r="M256" s="9"/>
    </row>
    <row r="257" customFormat="false" ht="15" hidden="false" customHeight="false" outlineLevel="0" collapsed="false">
      <c r="A257" s="7" t="str">
        <f aca="false">IF('Outro banco'!A257="","",IF(LEFT('Outro banco'!A257,1)="(","",'Outro banco'!A257))</f>
        <v/>
      </c>
      <c r="B257" s="7" t="str">
        <f aca="false">IF(A257="","",'Outro banco'!B257)</f>
        <v/>
      </c>
      <c r="C257" s="7" t="str">
        <f aca="false">IF(A257="","",'Outro banco'!C257)</f>
        <v/>
      </c>
      <c r="D257" s="7" t="str">
        <f aca="false">IF(A257="","",'Outro banco'!D257)</f>
        <v/>
      </c>
      <c r="E257" s="9"/>
      <c r="F257" s="9"/>
      <c r="G257" s="7" t="str">
        <f aca="false">IF(A257="","",IF(COUNTIF(Tabelas!$A:$A,IF(E257="",A257,E257))&gt;0,"sim","não"))</f>
        <v/>
      </c>
      <c r="H257" s="7" t="str">
        <f aca="false">IF(A257="","",IF(E257="",A257,E257)&amp;"."&amp;IF(F257="",B257,F257))</f>
        <v/>
      </c>
      <c r="I257" s="7" t="str">
        <f aca="false">IF(A257="","",IFERROR(INDEX('Campos Growths'!$F:$F,MATCH(H257,'Campos Growths'!$A:$A,0)),""))</f>
        <v/>
      </c>
      <c r="J257" s="7" t="str">
        <f aca="false">IF(A257="","",IFERROR(VLOOKUP(IF(ISNUMBER(SEARCH("(",C257)),LEFT(C257,SEARCH("(",C257)-1),C257),Tipos!$A:$B,2,FALSE()),"outro"))</f>
        <v/>
      </c>
      <c r="K257" s="7" t="str">
        <f aca="false">IF(I257="","",IFERROR(INDEX('Campos Growths'!$L:$L,MATCH(H257,'Campos Growths'!$A:$A,0)),""))</f>
        <v/>
      </c>
      <c r="L257" s="7" t="str">
        <f aca="false">IF(A257="","",IF(G257="não","Sem tabela no Growths",IF(I257="","Sem campo no Growths",IF(J257=K257,"Importa direto","Ajustar tipo"))))</f>
        <v/>
      </c>
      <c r="M257" s="9"/>
    </row>
    <row r="258" customFormat="false" ht="15" hidden="false" customHeight="false" outlineLevel="0" collapsed="false">
      <c r="A258" s="7" t="str">
        <f aca="false">IF('Outro banco'!A258="","",IF(LEFT('Outro banco'!A258,1)="(","",'Outro banco'!A258))</f>
        <v/>
      </c>
      <c r="B258" s="7" t="str">
        <f aca="false">IF(A258="","",'Outro banco'!B258)</f>
        <v/>
      </c>
      <c r="C258" s="7" t="str">
        <f aca="false">IF(A258="","",'Outro banco'!C258)</f>
        <v/>
      </c>
      <c r="D258" s="7" t="str">
        <f aca="false">IF(A258="","",'Outro banco'!D258)</f>
        <v/>
      </c>
      <c r="E258" s="9"/>
      <c r="F258" s="9"/>
      <c r="G258" s="7" t="str">
        <f aca="false">IF(A258="","",IF(COUNTIF(Tabelas!$A:$A,IF(E258="",A258,E258))&gt;0,"sim","não"))</f>
        <v/>
      </c>
      <c r="H258" s="7" t="str">
        <f aca="false">IF(A258="","",IF(E258="",A258,E258)&amp;"."&amp;IF(F258="",B258,F258))</f>
        <v/>
      </c>
      <c r="I258" s="7" t="str">
        <f aca="false">IF(A258="","",IFERROR(INDEX('Campos Growths'!$F:$F,MATCH(H258,'Campos Growths'!$A:$A,0)),""))</f>
        <v/>
      </c>
      <c r="J258" s="7" t="str">
        <f aca="false">IF(A258="","",IFERROR(VLOOKUP(IF(ISNUMBER(SEARCH("(",C258)),LEFT(C258,SEARCH("(",C258)-1),C258),Tipos!$A:$B,2,FALSE()),"outro"))</f>
        <v/>
      </c>
      <c r="K258" s="7" t="str">
        <f aca="false">IF(I258="","",IFERROR(INDEX('Campos Growths'!$L:$L,MATCH(H258,'Campos Growths'!$A:$A,0)),""))</f>
        <v/>
      </c>
      <c r="L258" s="7" t="str">
        <f aca="false">IF(A258="","",IF(G258="não","Sem tabela no Growths",IF(I258="","Sem campo no Growths",IF(J258=K258,"Importa direto","Ajustar tipo"))))</f>
        <v/>
      </c>
      <c r="M258" s="9"/>
    </row>
    <row r="259" customFormat="false" ht="15" hidden="false" customHeight="false" outlineLevel="0" collapsed="false">
      <c r="A259" s="7" t="str">
        <f aca="false">IF('Outro banco'!A259="","",IF(LEFT('Outro banco'!A259,1)="(","",'Outro banco'!A259))</f>
        <v/>
      </c>
      <c r="B259" s="7" t="str">
        <f aca="false">IF(A259="","",'Outro banco'!B259)</f>
        <v/>
      </c>
      <c r="C259" s="7" t="str">
        <f aca="false">IF(A259="","",'Outro banco'!C259)</f>
        <v/>
      </c>
      <c r="D259" s="7" t="str">
        <f aca="false">IF(A259="","",'Outro banco'!D259)</f>
        <v/>
      </c>
      <c r="E259" s="9"/>
      <c r="F259" s="9"/>
      <c r="G259" s="7" t="str">
        <f aca="false">IF(A259="","",IF(COUNTIF(Tabelas!$A:$A,IF(E259="",A259,E259))&gt;0,"sim","não"))</f>
        <v/>
      </c>
      <c r="H259" s="7" t="str">
        <f aca="false">IF(A259="","",IF(E259="",A259,E259)&amp;"."&amp;IF(F259="",B259,F259))</f>
        <v/>
      </c>
      <c r="I259" s="7" t="str">
        <f aca="false">IF(A259="","",IFERROR(INDEX('Campos Growths'!$F:$F,MATCH(H259,'Campos Growths'!$A:$A,0)),""))</f>
        <v/>
      </c>
      <c r="J259" s="7" t="str">
        <f aca="false">IF(A259="","",IFERROR(VLOOKUP(IF(ISNUMBER(SEARCH("(",C259)),LEFT(C259,SEARCH("(",C259)-1),C259),Tipos!$A:$B,2,FALSE()),"outro"))</f>
        <v/>
      </c>
      <c r="K259" s="7" t="str">
        <f aca="false">IF(I259="","",IFERROR(INDEX('Campos Growths'!$L:$L,MATCH(H259,'Campos Growths'!$A:$A,0)),""))</f>
        <v/>
      </c>
      <c r="L259" s="7" t="str">
        <f aca="false">IF(A259="","",IF(G259="não","Sem tabela no Growths",IF(I259="","Sem campo no Growths",IF(J259=K259,"Importa direto","Ajustar tipo"))))</f>
        <v/>
      </c>
      <c r="M259" s="9"/>
    </row>
    <row r="260" customFormat="false" ht="15" hidden="false" customHeight="false" outlineLevel="0" collapsed="false">
      <c r="A260" s="7" t="str">
        <f aca="false">IF('Outro banco'!A260="","",IF(LEFT('Outro banco'!A260,1)="(","",'Outro banco'!A260))</f>
        <v/>
      </c>
      <c r="B260" s="7" t="str">
        <f aca="false">IF(A260="","",'Outro banco'!B260)</f>
        <v/>
      </c>
      <c r="C260" s="7" t="str">
        <f aca="false">IF(A260="","",'Outro banco'!C260)</f>
        <v/>
      </c>
      <c r="D260" s="7" t="str">
        <f aca="false">IF(A260="","",'Outro banco'!D260)</f>
        <v/>
      </c>
      <c r="E260" s="9"/>
      <c r="F260" s="9"/>
      <c r="G260" s="7" t="str">
        <f aca="false">IF(A260="","",IF(COUNTIF(Tabelas!$A:$A,IF(E260="",A260,E260))&gt;0,"sim","não"))</f>
        <v/>
      </c>
      <c r="H260" s="7" t="str">
        <f aca="false">IF(A260="","",IF(E260="",A260,E260)&amp;"."&amp;IF(F260="",B260,F260))</f>
        <v/>
      </c>
      <c r="I260" s="7" t="str">
        <f aca="false">IF(A260="","",IFERROR(INDEX('Campos Growths'!$F:$F,MATCH(H260,'Campos Growths'!$A:$A,0)),""))</f>
        <v/>
      </c>
      <c r="J260" s="7" t="str">
        <f aca="false">IF(A260="","",IFERROR(VLOOKUP(IF(ISNUMBER(SEARCH("(",C260)),LEFT(C260,SEARCH("(",C260)-1),C260),Tipos!$A:$B,2,FALSE()),"outro"))</f>
        <v/>
      </c>
      <c r="K260" s="7" t="str">
        <f aca="false">IF(I260="","",IFERROR(INDEX('Campos Growths'!$L:$L,MATCH(H260,'Campos Growths'!$A:$A,0)),""))</f>
        <v/>
      </c>
      <c r="L260" s="7" t="str">
        <f aca="false">IF(A260="","",IF(G260="não","Sem tabela no Growths",IF(I260="","Sem campo no Growths",IF(J260=K260,"Importa direto","Ajustar tipo"))))</f>
        <v/>
      </c>
      <c r="M260" s="9"/>
    </row>
    <row r="261" customFormat="false" ht="15" hidden="false" customHeight="false" outlineLevel="0" collapsed="false">
      <c r="A261" s="7" t="str">
        <f aca="false">IF('Outro banco'!A261="","",IF(LEFT('Outro banco'!A261,1)="(","",'Outro banco'!A261))</f>
        <v/>
      </c>
      <c r="B261" s="7" t="str">
        <f aca="false">IF(A261="","",'Outro banco'!B261)</f>
        <v/>
      </c>
      <c r="C261" s="7" t="str">
        <f aca="false">IF(A261="","",'Outro banco'!C261)</f>
        <v/>
      </c>
      <c r="D261" s="7" t="str">
        <f aca="false">IF(A261="","",'Outro banco'!D261)</f>
        <v/>
      </c>
      <c r="E261" s="9"/>
      <c r="F261" s="9"/>
      <c r="G261" s="7" t="str">
        <f aca="false">IF(A261="","",IF(COUNTIF(Tabelas!$A:$A,IF(E261="",A261,E261))&gt;0,"sim","não"))</f>
        <v/>
      </c>
      <c r="H261" s="7" t="str">
        <f aca="false">IF(A261="","",IF(E261="",A261,E261)&amp;"."&amp;IF(F261="",B261,F261))</f>
        <v/>
      </c>
      <c r="I261" s="7" t="str">
        <f aca="false">IF(A261="","",IFERROR(INDEX('Campos Growths'!$F:$F,MATCH(H261,'Campos Growths'!$A:$A,0)),""))</f>
        <v/>
      </c>
      <c r="J261" s="7" t="str">
        <f aca="false">IF(A261="","",IFERROR(VLOOKUP(IF(ISNUMBER(SEARCH("(",C261)),LEFT(C261,SEARCH("(",C261)-1),C261),Tipos!$A:$B,2,FALSE()),"outro"))</f>
        <v/>
      </c>
      <c r="K261" s="7" t="str">
        <f aca="false">IF(I261="","",IFERROR(INDEX('Campos Growths'!$L:$L,MATCH(H261,'Campos Growths'!$A:$A,0)),""))</f>
        <v/>
      </c>
      <c r="L261" s="7" t="str">
        <f aca="false">IF(A261="","",IF(G261="não","Sem tabela no Growths",IF(I261="","Sem campo no Growths",IF(J261=K261,"Importa direto","Ajustar tipo"))))</f>
        <v/>
      </c>
      <c r="M261" s="9"/>
    </row>
    <row r="262" customFormat="false" ht="15" hidden="false" customHeight="false" outlineLevel="0" collapsed="false">
      <c r="A262" s="7" t="str">
        <f aca="false">IF('Outro banco'!A262="","",IF(LEFT('Outro banco'!A262,1)="(","",'Outro banco'!A262))</f>
        <v/>
      </c>
      <c r="B262" s="7" t="str">
        <f aca="false">IF(A262="","",'Outro banco'!B262)</f>
        <v/>
      </c>
      <c r="C262" s="7" t="str">
        <f aca="false">IF(A262="","",'Outro banco'!C262)</f>
        <v/>
      </c>
      <c r="D262" s="7" t="str">
        <f aca="false">IF(A262="","",'Outro banco'!D262)</f>
        <v/>
      </c>
      <c r="E262" s="9"/>
      <c r="F262" s="9"/>
      <c r="G262" s="7" t="str">
        <f aca="false">IF(A262="","",IF(COUNTIF(Tabelas!$A:$A,IF(E262="",A262,E262))&gt;0,"sim","não"))</f>
        <v/>
      </c>
      <c r="H262" s="7" t="str">
        <f aca="false">IF(A262="","",IF(E262="",A262,E262)&amp;"."&amp;IF(F262="",B262,F262))</f>
        <v/>
      </c>
      <c r="I262" s="7" t="str">
        <f aca="false">IF(A262="","",IFERROR(INDEX('Campos Growths'!$F:$F,MATCH(H262,'Campos Growths'!$A:$A,0)),""))</f>
        <v/>
      </c>
      <c r="J262" s="7" t="str">
        <f aca="false">IF(A262="","",IFERROR(VLOOKUP(IF(ISNUMBER(SEARCH("(",C262)),LEFT(C262,SEARCH("(",C262)-1),C262),Tipos!$A:$B,2,FALSE()),"outro"))</f>
        <v/>
      </c>
      <c r="K262" s="7" t="str">
        <f aca="false">IF(I262="","",IFERROR(INDEX('Campos Growths'!$L:$L,MATCH(H262,'Campos Growths'!$A:$A,0)),""))</f>
        <v/>
      </c>
      <c r="L262" s="7" t="str">
        <f aca="false">IF(A262="","",IF(G262="não","Sem tabela no Growths",IF(I262="","Sem campo no Growths",IF(J262=K262,"Importa direto","Ajustar tipo"))))</f>
        <v/>
      </c>
      <c r="M262" s="9"/>
    </row>
    <row r="263" customFormat="false" ht="15" hidden="false" customHeight="false" outlineLevel="0" collapsed="false">
      <c r="A263" s="7" t="str">
        <f aca="false">IF('Outro banco'!A263="","",IF(LEFT('Outro banco'!A263,1)="(","",'Outro banco'!A263))</f>
        <v/>
      </c>
      <c r="B263" s="7" t="str">
        <f aca="false">IF(A263="","",'Outro banco'!B263)</f>
        <v/>
      </c>
      <c r="C263" s="7" t="str">
        <f aca="false">IF(A263="","",'Outro banco'!C263)</f>
        <v/>
      </c>
      <c r="D263" s="7" t="str">
        <f aca="false">IF(A263="","",'Outro banco'!D263)</f>
        <v/>
      </c>
      <c r="E263" s="9"/>
      <c r="F263" s="9"/>
      <c r="G263" s="7" t="str">
        <f aca="false">IF(A263="","",IF(COUNTIF(Tabelas!$A:$A,IF(E263="",A263,E263))&gt;0,"sim","não"))</f>
        <v/>
      </c>
      <c r="H263" s="7" t="str">
        <f aca="false">IF(A263="","",IF(E263="",A263,E263)&amp;"."&amp;IF(F263="",B263,F263))</f>
        <v/>
      </c>
      <c r="I263" s="7" t="str">
        <f aca="false">IF(A263="","",IFERROR(INDEX('Campos Growths'!$F:$F,MATCH(H263,'Campos Growths'!$A:$A,0)),""))</f>
        <v/>
      </c>
      <c r="J263" s="7" t="str">
        <f aca="false">IF(A263="","",IFERROR(VLOOKUP(IF(ISNUMBER(SEARCH("(",C263)),LEFT(C263,SEARCH("(",C263)-1),C263),Tipos!$A:$B,2,FALSE()),"outro"))</f>
        <v/>
      </c>
      <c r="K263" s="7" t="str">
        <f aca="false">IF(I263="","",IFERROR(INDEX('Campos Growths'!$L:$L,MATCH(H263,'Campos Growths'!$A:$A,0)),""))</f>
        <v/>
      </c>
      <c r="L263" s="7" t="str">
        <f aca="false">IF(A263="","",IF(G263="não","Sem tabela no Growths",IF(I263="","Sem campo no Growths",IF(J263=K263,"Importa direto","Ajustar tipo"))))</f>
        <v/>
      </c>
      <c r="M263" s="9"/>
    </row>
    <row r="264" customFormat="false" ht="15" hidden="false" customHeight="false" outlineLevel="0" collapsed="false">
      <c r="A264" s="7" t="str">
        <f aca="false">IF('Outro banco'!A264="","",IF(LEFT('Outro banco'!A264,1)="(","",'Outro banco'!A264))</f>
        <v/>
      </c>
      <c r="B264" s="7" t="str">
        <f aca="false">IF(A264="","",'Outro banco'!B264)</f>
        <v/>
      </c>
      <c r="C264" s="7" t="str">
        <f aca="false">IF(A264="","",'Outro banco'!C264)</f>
        <v/>
      </c>
      <c r="D264" s="7" t="str">
        <f aca="false">IF(A264="","",'Outro banco'!D264)</f>
        <v/>
      </c>
      <c r="E264" s="9"/>
      <c r="F264" s="9"/>
      <c r="G264" s="7" t="str">
        <f aca="false">IF(A264="","",IF(COUNTIF(Tabelas!$A:$A,IF(E264="",A264,E264))&gt;0,"sim","não"))</f>
        <v/>
      </c>
      <c r="H264" s="7" t="str">
        <f aca="false">IF(A264="","",IF(E264="",A264,E264)&amp;"."&amp;IF(F264="",B264,F264))</f>
        <v/>
      </c>
      <c r="I264" s="7" t="str">
        <f aca="false">IF(A264="","",IFERROR(INDEX('Campos Growths'!$F:$F,MATCH(H264,'Campos Growths'!$A:$A,0)),""))</f>
        <v/>
      </c>
      <c r="J264" s="7" t="str">
        <f aca="false">IF(A264="","",IFERROR(VLOOKUP(IF(ISNUMBER(SEARCH("(",C264)),LEFT(C264,SEARCH("(",C264)-1),C264),Tipos!$A:$B,2,FALSE()),"outro"))</f>
        <v/>
      </c>
      <c r="K264" s="7" t="str">
        <f aca="false">IF(I264="","",IFERROR(INDEX('Campos Growths'!$L:$L,MATCH(H264,'Campos Growths'!$A:$A,0)),""))</f>
        <v/>
      </c>
      <c r="L264" s="7" t="str">
        <f aca="false">IF(A264="","",IF(G264="não","Sem tabela no Growths",IF(I264="","Sem campo no Growths",IF(J264=K264,"Importa direto","Ajustar tipo"))))</f>
        <v/>
      </c>
      <c r="M264" s="9"/>
    </row>
    <row r="265" customFormat="false" ht="15" hidden="false" customHeight="false" outlineLevel="0" collapsed="false">
      <c r="A265" s="7" t="str">
        <f aca="false">IF('Outro banco'!A265="","",IF(LEFT('Outro banco'!A265,1)="(","",'Outro banco'!A265))</f>
        <v/>
      </c>
      <c r="B265" s="7" t="str">
        <f aca="false">IF(A265="","",'Outro banco'!B265)</f>
        <v/>
      </c>
      <c r="C265" s="7" t="str">
        <f aca="false">IF(A265="","",'Outro banco'!C265)</f>
        <v/>
      </c>
      <c r="D265" s="7" t="str">
        <f aca="false">IF(A265="","",'Outro banco'!D265)</f>
        <v/>
      </c>
      <c r="E265" s="9"/>
      <c r="F265" s="9"/>
      <c r="G265" s="7" t="str">
        <f aca="false">IF(A265="","",IF(COUNTIF(Tabelas!$A:$A,IF(E265="",A265,E265))&gt;0,"sim","não"))</f>
        <v/>
      </c>
      <c r="H265" s="7" t="str">
        <f aca="false">IF(A265="","",IF(E265="",A265,E265)&amp;"."&amp;IF(F265="",B265,F265))</f>
        <v/>
      </c>
      <c r="I265" s="7" t="str">
        <f aca="false">IF(A265="","",IFERROR(INDEX('Campos Growths'!$F:$F,MATCH(H265,'Campos Growths'!$A:$A,0)),""))</f>
        <v/>
      </c>
      <c r="J265" s="7" t="str">
        <f aca="false">IF(A265="","",IFERROR(VLOOKUP(IF(ISNUMBER(SEARCH("(",C265)),LEFT(C265,SEARCH("(",C265)-1),C265),Tipos!$A:$B,2,FALSE()),"outro"))</f>
        <v/>
      </c>
      <c r="K265" s="7" t="str">
        <f aca="false">IF(I265="","",IFERROR(INDEX('Campos Growths'!$L:$L,MATCH(H265,'Campos Growths'!$A:$A,0)),""))</f>
        <v/>
      </c>
      <c r="L265" s="7" t="str">
        <f aca="false">IF(A265="","",IF(G265="não","Sem tabela no Growths",IF(I265="","Sem campo no Growths",IF(J265=K265,"Importa direto","Ajustar tipo"))))</f>
        <v/>
      </c>
      <c r="M265" s="9"/>
    </row>
    <row r="266" customFormat="false" ht="15" hidden="false" customHeight="false" outlineLevel="0" collapsed="false">
      <c r="A266" s="7" t="str">
        <f aca="false">IF('Outro banco'!A266="","",IF(LEFT('Outro banco'!A266,1)="(","",'Outro banco'!A266))</f>
        <v/>
      </c>
      <c r="B266" s="7" t="str">
        <f aca="false">IF(A266="","",'Outro banco'!B266)</f>
        <v/>
      </c>
      <c r="C266" s="7" t="str">
        <f aca="false">IF(A266="","",'Outro banco'!C266)</f>
        <v/>
      </c>
      <c r="D266" s="7" t="str">
        <f aca="false">IF(A266="","",'Outro banco'!D266)</f>
        <v/>
      </c>
      <c r="E266" s="9"/>
      <c r="F266" s="9"/>
      <c r="G266" s="7" t="str">
        <f aca="false">IF(A266="","",IF(COUNTIF(Tabelas!$A:$A,IF(E266="",A266,E266))&gt;0,"sim","não"))</f>
        <v/>
      </c>
      <c r="H266" s="7" t="str">
        <f aca="false">IF(A266="","",IF(E266="",A266,E266)&amp;"."&amp;IF(F266="",B266,F266))</f>
        <v/>
      </c>
      <c r="I266" s="7" t="str">
        <f aca="false">IF(A266="","",IFERROR(INDEX('Campos Growths'!$F:$F,MATCH(H266,'Campos Growths'!$A:$A,0)),""))</f>
        <v/>
      </c>
      <c r="J266" s="7" t="str">
        <f aca="false">IF(A266="","",IFERROR(VLOOKUP(IF(ISNUMBER(SEARCH("(",C266)),LEFT(C266,SEARCH("(",C266)-1),C266),Tipos!$A:$B,2,FALSE()),"outro"))</f>
        <v/>
      </c>
      <c r="K266" s="7" t="str">
        <f aca="false">IF(I266="","",IFERROR(INDEX('Campos Growths'!$L:$L,MATCH(H266,'Campos Growths'!$A:$A,0)),""))</f>
        <v/>
      </c>
      <c r="L266" s="7" t="str">
        <f aca="false">IF(A266="","",IF(G266="não","Sem tabela no Growths",IF(I266="","Sem campo no Growths",IF(J266=K266,"Importa direto","Ajustar tipo"))))</f>
        <v/>
      </c>
      <c r="M266" s="9"/>
    </row>
    <row r="267" customFormat="false" ht="15" hidden="false" customHeight="false" outlineLevel="0" collapsed="false">
      <c r="A267" s="7" t="str">
        <f aca="false">IF('Outro banco'!A267="","",IF(LEFT('Outro banco'!A267,1)="(","",'Outro banco'!A267))</f>
        <v/>
      </c>
      <c r="B267" s="7" t="str">
        <f aca="false">IF(A267="","",'Outro banco'!B267)</f>
        <v/>
      </c>
      <c r="C267" s="7" t="str">
        <f aca="false">IF(A267="","",'Outro banco'!C267)</f>
        <v/>
      </c>
      <c r="D267" s="7" t="str">
        <f aca="false">IF(A267="","",'Outro banco'!D267)</f>
        <v/>
      </c>
      <c r="E267" s="9"/>
      <c r="F267" s="9"/>
      <c r="G267" s="7" t="str">
        <f aca="false">IF(A267="","",IF(COUNTIF(Tabelas!$A:$A,IF(E267="",A267,E267))&gt;0,"sim","não"))</f>
        <v/>
      </c>
      <c r="H267" s="7" t="str">
        <f aca="false">IF(A267="","",IF(E267="",A267,E267)&amp;"."&amp;IF(F267="",B267,F267))</f>
        <v/>
      </c>
      <c r="I267" s="7" t="str">
        <f aca="false">IF(A267="","",IFERROR(INDEX('Campos Growths'!$F:$F,MATCH(H267,'Campos Growths'!$A:$A,0)),""))</f>
        <v/>
      </c>
      <c r="J267" s="7" t="str">
        <f aca="false">IF(A267="","",IFERROR(VLOOKUP(IF(ISNUMBER(SEARCH("(",C267)),LEFT(C267,SEARCH("(",C267)-1),C267),Tipos!$A:$B,2,FALSE()),"outro"))</f>
        <v/>
      </c>
      <c r="K267" s="7" t="str">
        <f aca="false">IF(I267="","",IFERROR(INDEX('Campos Growths'!$L:$L,MATCH(H267,'Campos Growths'!$A:$A,0)),""))</f>
        <v/>
      </c>
      <c r="L267" s="7" t="str">
        <f aca="false">IF(A267="","",IF(G267="não","Sem tabela no Growths",IF(I267="","Sem campo no Growths",IF(J267=K267,"Importa direto","Ajustar tipo"))))</f>
        <v/>
      </c>
      <c r="M267" s="9"/>
    </row>
    <row r="268" customFormat="false" ht="15" hidden="false" customHeight="false" outlineLevel="0" collapsed="false">
      <c r="A268" s="7" t="str">
        <f aca="false">IF('Outro banco'!A268="","",IF(LEFT('Outro banco'!A268,1)="(","",'Outro banco'!A268))</f>
        <v/>
      </c>
      <c r="B268" s="7" t="str">
        <f aca="false">IF(A268="","",'Outro banco'!B268)</f>
        <v/>
      </c>
      <c r="C268" s="7" t="str">
        <f aca="false">IF(A268="","",'Outro banco'!C268)</f>
        <v/>
      </c>
      <c r="D268" s="7" t="str">
        <f aca="false">IF(A268="","",'Outro banco'!D268)</f>
        <v/>
      </c>
      <c r="E268" s="9"/>
      <c r="F268" s="9"/>
      <c r="G268" s="7" t="str">
        <f aca="false">IF(A268="","",IF(COUNTIF(Tabelas!$A:$A,IF(E268="",A268,E268))&gt;0,"sim","não"))</f>
        <v/>
      </c>
      <c r="H268" s="7" t="str">
        <f aca="false">IF(A268="","",IF(E268="",A268,E268)&amp;"."&amp;IF(F268="",B268,F268))</f>
        <v/>
      </c>
      <c r="I268" s="7" t="str">
        <f aca="false">IF(A268="","",IFERROR(INDEX('Campos Growths'!$F:$F,MATCH(H268,'Campos Growths'!$A:$A,0)),""))</f>
        <v/>
      </c>
      <c r="J268" s="7" t="str">
        <f aca="false">IF(A268="","",IFERROR(VLOOKUP(IF(ISNUMBER(SEARCH("(",C268)),LEFT(C268,SEARCH("(",C268)-1),C268),Tipos!$A:$B,2,FALSE()),"outro"))</f>
        <v/>
      </c>
      <c r="K268" s="7" t="str">
        <f aca="false">IF(I268="","",IFERROR(INDEX('Campos Growths'!$L:$L,MATCH(H268,'Campos Growths'!$A:$A,0)),""))</f>
        <v/>
      </c>
      <c r="L268" s="7" t="str">
        <f aca="false">IF(A268="","",IF(G268="não","Sem tabela no Growths",IF(I268="","Sem campo no Growths",IF(J268=K268,"Importa direto","Ajustar tipo"))))</f>
        <v/>
      </c>
      <c r="M268" s="9"/>
    </row>
    <row r="269" customFormat="false" ht="15" hidden="false" customHeight="false" outlineLevel="0" collapsed="false">
      <c r="A269" s="7" t="str">
        <f aca="false">IF('Outro banco'!A269="","",IF(LEFT('Outro banco'!A269,1)="(","",'Outro banco'!A269))</f>
        <v/>
      </c>
      <c r="B269" s="7" t="str">
        <f aca="false">IF(A269="","",'Outro banco'!B269)</f>
        <v/>
      </c>
      <c r="C269" s="7" t="str">
        <f aca="false">IF(A269="","",'Outro banco'!C269)</f>
        <v/>
      </c>
      <c r="D269" s="7" t="str">
        <f aca="false">IF(A269="","",'Outro banco'!D269)</f>
        <v/>
      </c>
      <c r="E269" s="9"/>
      <c r="F269" s="9"/>
      <c r="G269" s="7" t="str">
        <f aca="false">IF(A269="","",IF(COUNTIF(Tabelas!$A:$A,IF(E269="",A269,E269))&gt;0,"sim","não"))</f>
        <v/>
      </c>
      <c r="H269" s="7" t="str">
        <f aca="false">IF(A269="","",IF(E269="",A269,E269)&amp;"."&amp;IF(F269="",B269,F269))</f>
        <v/>
      </c>
      <c r="I269" s="7" t="str">
        <f aca="false">IF(A269="","",IFERROR(INDEX('Campos Growths'!$F:$F,MATCH(H269,'Campos Growths'!$A:$A,0)),""))</f>
        <v/>
      </c>
      <c r="J269" s="7" t="str">
        <f aca="false">IF(A269="","",IFERROR(VLOOKUP(IF(ISNUMBER(SEARCH("(",C269)),LEFT(C269,SEARCH("(",C269)-1),C269),Tipos!$A:$B,2,FALSE()),"outro"))</f>
        <v/>
      </c>
      <c r="K269" s="7" t="str">
        <f aca="false">IF(I269="","",IFERROR(INDEX('Campos Growths'!$L:$L,MATCH(H269,'Campos Growths'!$A:$A,0)),""))</f>
        <v/>
      </c>
      <c r="L269" s="7" t="str">
        <f aca="false">IF(A269="","",IF(G269="não","Sem tabela no Growths",IF(I269="","Sem campo no Growths",IF(J269=K269,"Importa direto","Ajustar tipo"))))</f>
        <v/>
      </c>
      <c r="M269" s="9"/>
    </row>
    <row r="270" customFormat="false" ht="15" hidden="false" customHeight="false" outlineLevel="0" collapsed="false">
      <c r="A270" s="7" t="str">
        <f aca="false">IF('Outro banco'!A270="","",IF(LEFT('Outro banco'!A270,1)="(","",'Outro banco'!A270))</f>
        <v/>
      </c>
      <c r="B270" s="7" t="str">
        <f aca="false">IF(A270="","",'Outro banco'!B270)</f>
        <v/>
      </c>
      <c r="C270" s="7" t="str">
        <f aca="false">IF(A270="","",'Outro banco'!C270)</f>
        <v/>
      </c>
      <c r="D270" s="7" t="str">
        <f aca="false">IF(A270="","",'Outro banco'!D270)</f>
        <v/>
      </c>
      <c r="E270" s="9"/>
      <c r="F270" s="9"/>
      <c r="G270" s="7" t="str">
        <f aca="false">IF(A270="","",IF(COUNTIF(Tabelas!$A:$A,IF(E270="",A270,E270))&gt;0,"sim","não"))</f>
        <v/>
      </c>
      <c r="H270" s="7" t="str">
        <f aca="false">IF(A270="","",IF(E270="",A270,E270)&amp;"."&amp;IF(F270="",B270,F270))</f>
        <v/>
      </c>
      <c r="I270" s="7" t="str">
        <f aca="false">IF(A270="","",IFERROR(INDEX('Campos Growths'!$F:$F,MATCH(H270,'Campos Growths'!$A:$A,0)),""))</f>
        <v/>
      </c>
      <c r="J270" s="7" t="str">
        <f aca="false">IF(A270="","",IFERROR(VLOOKUP(IF(ISNUMBER(SEARCH("(",C270)),LEFT(C270,SEARCH("(",C270)-1),C270),Tipos!$A:$B,2,FALSE()),"outro"))</f>
        <v/>
      </c>
      <c r="K270" s="7" t="str">
        <f aca="false">IF(I270="","",IFERROR(INDEX('Campos Growths'!$L:$L,MATCH(H270,'Campos Growths'!$A:$A,0)),""))</f>
        <v/>
      </c>
      <c r="L270" s="7" t="str">
        <f aca="false">IF(A270="","",IF(G270="não","Sem tabela no Growths",IF(I270="","Sem campo no Growths",IF(J270=K270,"Importa direto","Ajustar tipo"))))</f>
        <v/>
      </c>
      <c r="M270" s="9"/>
    </row>
    <row r="271" customFormat="false" ht="15" hidden="false" customHeight="false" outlineLevel="0" collapsed="false">
      <c r="A271" s="7" t="str">
        <f aca="false">IF('Outro banco'!A271="","",IF(LEFT('Outro banco'!A271,1)="(","",'Outro banco'!A271))</f>
        <v/>
      </c>
      <c r="B271" s="7" t="str">
        <f aca="false">IF(A271="","",'Outro banco'!B271)</f>
        <v/>
      </c>
      <c r="C271" s="7" t="str">
        <f aca="false">IF(A271="","",'Outro banco'!C271)</f>
        <v/>
      </c>
      <c r="D271" s="7" t="str">
        <f aca="false">IF(A271="","",'Outro banco'!D271)</f>
        <v/>
      </c>
      <c r="E271" s="9"/>
      <c r="F271" s="9"/>
      <c r="G271" s="7" t="str">
        <f aca="false">IF(A271="","",IF(COUNTIF(Tabelas!$A:$A,IF(E271="",A271,E271))&gt;0,"sim","não"))</f>
        <v/>
      </c>
      <c r="H271" s="7" t="str">
        <f aca="false">IF(A271="","",IF(E271="",A271,E271)&amp;"."&amp;IF(F271="",B271,F271))</f>
        <v/>
      </c>
      <c r="I271" s="7" t="str">
        <f aca="false">IF(A271="","",IFERROR(INDEX('Campos Growths'!$F:$F,MATCH(H271,'Campos Growths'!$A:$A,0)),""))</f>
        <v/>
      </c>
      <c r="J271" s="7" t="str">
        <f aca="false">IF(A271="","",IFERROR(VLOOKUP(IF(ISNUMBER(SEARCH("(",C271)),LEFT(C271,SEARCH("(",C271)-1),C271),Tipos!$A:$B,2,FALSE()),"outro"))</f>
        <v/>
      </c>
      <c r="K271" s="7" t="str">
        <f aca="false">IF(I271="","",IFERROR(INDEX('Campos Growths'!$L:$L,MATCH(H271,'Campos Growths'!$A:$A,0)),""))</f>
        <v/>
      </c>
      <c r="L271" s="7" t="str">
        <f aca="false">IF(A271="","",IF(G271="não","Sem tabela no Growths",IF(I271="","Sem campo no Growths",IF(J271=K271,"Importa direto","Ajustar tipo"))))</f>
        <v/>
      </c>
      <c r="M271" s="9"/>
    </row>
    <row r="272" customFormat="false" ht="15" hidden="false" customHeight="false" outlineLevel="0" collapsed="false">
      <c r="A272" s="7" t="str">
        <f aca="false">IF('Outro banco'!A272="","",IF(LEFT('Outro banco'!A272,1)="(","",'Outro banco'!A272))</f>
        <v/>
      </c>
      <c r="B272" s="7" t="str">
        <f aca="false">IF(A272="","",'Outro banco'!B272)</f>
        <v/>
      </c>
      <c r="C272" s="7" t="str">
        <f aca="false">IF(A272="","",'Outro banco'!C272)</f>
        <v/>
      </c>
      <c r="D272" s="7" t="str">
        <f aca="false">IF(A272="","",'Outro banco'!D272)</f>
        <v/>
      </c>
      <c r="E272" s="9"/>
      <c r="F272" s="9"/>
      <c r="G272" s="7" t="str">
        <f aca="false">IF(A272="","",IF(COUNTIF(Tabelas!$A:$A,IF(E272="",A272,E272))&gt;0,"sim","não"))</f>
        <v/>
      </c>
      <c r="H272" s="7" t="str">
        <f aca="false">IF(A272="","",IF(E272="",A272,E272)&amp;"."&amp;IF(F272="",B272,F272))</f>
        <v/>
      </c>
      <c r="I272" s="7" t="str">
        <f aca="false">IF(A272="","",IFERROR(INDEX('Campos Growths'!$F:$F,MATCH(H272,'Campos Growths'!$A:$A,0)),""))</f>
        <v/>
      </c>
      <c r="J272" s="7" t="str">
        <f aca="false">IF(A272="","",IFERROR(VLOOKUP(IF(ISNUMBER(SEARCH("(",C272)),LEFT(C272,SEARCH("(",C272)-1),C272),Tipos!$A:$B,2,FALSE()),"outro"))</f>
        <v/>
      </c>
      <c r="K272" s="7" t="str">
        <f aca="false">IF(I272="","",IFERROR(INDEX('Campos Growths'!$L:$L,MATCH(H272,'Campos Growths'!$A:$A,0)),""))</f>
        <v/>
      </c>
      <c r="L272" s="7" t="str">
        <f aca="false">IF(A272="","",IF(G272="não","Sem tabela no Growths",IF(I272="","Sem campo no Growths",IF(J272=K272,"Importa direto","Ajustar tipo"))))</f>
        <v/>
      </c>
      <c r="M272" s="9"/>
    </row>
    <row r="273" customFormat="false" ht="15" hidden="false" customHeight="false" outlineLevel="0" collapsed="false">
      <c r="A273" s="7" t="str">
        <f aca="false">IF('Outro banco'!A273="","",IF(LEFT('Outro banco'!A273,1)="(","",'Outro banco'!A273))</f>
        <v/>
      </c>
      <c r="B273" s="7" t="str">
        <f aca="false">IF(A273="","",'Outro banco'!B273)</f>
        <v/>
      </c>
      <c r="C273" s="7" t="str">
        <f aca="false">IF(A273="","",'Outro banco'!C273)</f>
        <v/>
      </c>
      <c r="D273" s="7" t="str">
        <f aca="false">IF(A273="","",'Outro banco'!D273)</f>
        <v/>
      </c>
      <c r="E273" s="9"/>
      <c r="F273" s="9"/>
      <c r="G273" s="7" t="str">
        <f aca="false">IF(A273="","",IF(COUNTIF(Tabelas!$A:$A,IF(E273="",A273,E273))&gt;0,"sim","não"))</f>
        <v/>
      </c>
      <c r="H273" s="7" t="str">
        <f aca="false">IF(A273="","",IF(E273="",A273,E273)&amp;"."&amp;IF(F273="",B273,F273))</f>
        <v/>
      </c>
      <c r="I273" s="7" t="str">
        <f aca="false">IF(A273="","",IFERROR(INDEX('Campos Growths'!$F:$F,MATCH(H273,'Campos Growths'!$A:$A,0)),""))</f>
        <v/>
      </c>
      <c r="J273" s="7" t="str">
        <f aca="false">IF(A273="","",IFERROR(VLOOKUP(IF(ISNUMBER(SEARCH("(",C273)),LEFT(C273,SEARCH("(",C273)-1),C273),Tipos!$A:$B,2,FALSE()),"outro"))</f>
        <v/>
      </c>
      <c r="K273" s="7" t="str">
        <f aca="false">IF(I273="","",IFERROR(INDEX('Campos Growths'!$L:$L,MATCH(H273,'Campos Growths'!$A:$A,0)),""))</f>
        <v/>
      </c>
      <c r="L273" s="7" t="str">
        <f aca="false">IF(A273="","",IF(G273="não","Sem tabela no Growths",IF(I273="","Sem campo no Growths",IF(J273=K273,"Importa direto","Ajustar tipo"))))</f>
        <v/>
      </c>
      <c r="M273" s="9"/>
    </row>
    <row r="274" customFormat="false" ht="15" hidden="false" customHeight="false" outlineLevel="0" collapsed="false">
      <c r="A274" s="7" t="str">
        <f aca="false">IF('Outro banco'!A274="","",IF(LEFT('Outro banco'!A274,1)="(","",'Outro banco'!A274))</f>
        <v/>
      </c>
      <c r="B274" s="7" t="str">
        <f aca="false">IF(A274="","",'Outro banco'!B274)</f>
        <v/>
      </c>
      <c r="C274" s="7" t="str">
        <f aca="false">IF(A274="","",'Outro banco'!C274)</f>
        <v/>
      </c>
      <c r="D274" s="7" t="str">
        <f aca="false">IF(A274="","",'Outro banco'!D274)</f>
        <v/>
      </c>
      <c r="E274" s="9"/>
      <c r="F274" s="9"/>
      <c r="G274" s="7" t="str">
        <f aca="false">IF(A274="","",IF(COUNTIF(Tabelas!$A:$A,IF(E274="",A274,E274))&gt;0,"sim","não"))</f>
        <v/>
      </c>
      <c r="H274" s="7" t="str">
        <f aca="false">IF(A274="","",IF(E274="",A274,E274)&amp;"."&amp;IF(F274="",B274,F274))</f>
        <v/>
      </c>
      <c r="I274" s="7" t="str">
        <f aca="false">IF(A274="","",IFERROR(INDEX('Campos Growths'!$F:$F,MATCH(H274,'Campos Growths'!$A:$A,0)),""))</f>
        <v/>
      </c>
      <c r="J274" s="7" t="str">
        <f aca="false">IF(A274="","",IFERROR(VLOOKUP(IF(ISNUMBER(SEARCH("(",C274)),LEFT(C274,SEARCH("(",C274)-1),C274),Tipos!$A:$B,2,FALSE()),"outro"))</f>
        <v/>
      </c>
      <c r="K274" s="7" t="str">
        <f aca="false">IF(I274="","",IFERROR(INDEX('Campos Growths'!$L:$L,MATCH(H274,'Campos Growths'!$A:$A,0)),""))</f>
        <v/>
      </c>
      <c r="L274" s="7" t="str">
        <f aca="false">IF(A274="","",IF(G274="não","Sem tabela no Growths",IF(I274="","Sem campo no Growths",IF(J274=K274,"Importa direto","Ajustar tipo"))))</f>
        <v/>
      </c>
      <c r="M274" s="9"/>
    </row>
    <row r="275" customFormat="false" ht="15" hidden="false" customHeight="false" outlineLevel="0" collapsed="false">
      <c r="A275" s="7" t="str">
        <f aca="false">IF('Outro banco'!A275="","",IF(LEFT('Outro banco'!A275,1)="(","",'Outro banco'!A275))</f>
        <v/>
      </c>
      <c r="B275" s="7" t="str">
        <f aca="false">IF(A275="","",'Outro banco'!B275)</f>
        <v/>
      </c>
      <c r="C275" s="7" t="str">
        <f aca="false">IF(A275="","",'Outro banco'!C275)</f>
        <v/>
      </c>
      <c r="D275" s="7" t="str">
        <f aca="false">IF(A275="","",'Outro banco'!D275)</f>
        <v/>
      </c>
      <c r="E275" s="9"/>
      <c r="F275" s="9"/>
      <c r="G275" s="7" t="str">
        <f aca="false">IF(A275="","",IF(COUNTIF(Tabelas!$A:$A,IF(E275="",A275,E275))&gt;0,"sim","não"))</f>
        <v/>
      </c>
      <c r="H275" s="7" t="str">
        <f aca="false">IF(A275="","",IF(E275="",A275,E275)&amp;"."&amp;IF(F275="",B275,F275))</f>
        <v/>
      </c>
      <c r="I275" s="7" t="str">
        <f aca="false">IF(A275="","",IFERROR(INDEX('Campos Growths'!$F:$F,MATCH(H275,'Campos Growths'!$A:$A,0)),""))</f>
        <v/>
      </c>
      <c r="J275" s="7" t="str">
        <f aca="false">IF(A275="","",IFERROR(VLOOKUP(IF(ISNUMBER(SEARCH("(",C275)),LEFT(C275,SEARCH("(",C275)-1),C275),Tipos!$A:$B,2,FALSE()),"outro"))</f>
        <v/>
      </c>
      <c r="K275" s="7" t="str">
        <f aca="false">IF(I275="","",IFERROR(INDEX('Campos Growths'!$L:$L,MATCH(H275,'Campos Growths'!$A:$A,0)),""))</f>
        <v/>
      </c>
      <c r="L275" s="7" t="str">
        <f aca="false">IF(A275="","",IF(G275="não","Sem tabela no Growths",IF(I275="","Sem campo no Growths",IF(J275=K275,"Importa direto","Ajustar tipo"))))</f>
        <v/>
      </c>
      <c r="M275" s="9"/>
    </row>
    <row r="276" customFormat="false" ht="15" hidden="false" customHeight="false" outlineLevel="0" collapsed="false">
      <c r="A276" s="7" t="str">
        <f aca="false">IF('Outro banco'!A276="","",IF(LEFT('Outro banco'!A276,1)="(","",'Outro banco'!A276))</f>
        <v/>
      </c>
      <c r="B276" s="7" t="str">
        <f aca="false">IF(A276="","",'Outro banco'!B276)</f>
        <v/>
      </c>
      <c r="C276" s="7" t="str">
        <f aca="false">IF(A276="","",'Outro banco'!C276)</f>
        <v/>
      </c>
      <c r="D276" s="7" t="str">
        <f aca="false">IF(A276="","",'Outro banco'!D276)</f>
        <v/>
      </c>
      <c r="E276" s="9"/>
      <c r="F276" s="9"/>
      <c r="G276" s="7" t="str">
        <f aca="false">IF(A276="","",IF(COUNTIF(Tabelas!$A:$A,IF(E276="",A276,E276))&gt;0,"sim","não"))</f>
        <v/>
      </c>
      <c r="H276" s="7" t="str">
        <f aca="false">IF(A276="","",IF(E276="",A276,E276)&amp;"."&amp;IF(F276="",B276,F276))</f>
        <v/>
      </c>
      <c r="I276" s="7" t="str">
        <f aca="false">IF(A276="","",IFERROR(INDEX('Campos Growths'!$F:$F,MATCH(H276,'Campos Growths'!$A:$A,0)),""))</f>
        <v/>
      </c>
      <c r="J276" s="7" t="str">
        <f aca="false">IF(A276="","",IFERROR(VLOOKUP(IF(ISNUMBER(SEARCH("(",C276)),LEFT(C276,SEARCH("(",C276)-1),C276),Tipos!$A:$B,2,FALSE()),"outro"))</f>
        <v/>
      </c>
      <c r="K276" s="7" t="str">
        <f aca="false">IF(I276="","",IFERROR(INDEX('Campos Growths'!$L:$L,MATCH(H276,'Campos Growths'!$A:$A,0)),""))</f>
        <v/>
      </c>
      <c r="L276" s="7" t="str">
        <f aca="false">IF(A276="","",IF(G276="não","Sem tabela no Growths",IF(I276="","Sem campo no Growths",IF(J276=K276,"Importa direto","Ajustar tipo"))))</f>
        <v/>
      </c>
      <c r="M276" s="9"/>
    </row>
    <row r="277" customFormat="false" ht="15" hidden="false" customHeight="false" outlineLevel="0" collapsed="false">
      <c r="A277" s="7" t="str">
        <f aca="false">IF('Outro banco'!A277="","",IF(LEFT('Outro banco'!A277,1)="(","",'Outro banco'!A277))</f>
        <v/>
      </c>
      <c r="B277" s="7" t="str">
        <f aca="false">IF(A277="","",'Outro banco'!B277)</f>
        <v/>
      </c>
      <c r="C277" s="7" t="str">
        <f aca="false">IF(A277="","",'Outro banco'!C277)</f>
        <v/>
      </c>
      <c r="D277" s="7" t="str">
        <f aca="false">IF(A277="","",'Outro banco'!D277)</f>
        <v/>
      </c>
      <c r="E277" s="9"/>
      <c r="F277" s="9"/>
      <c r="G277" s="7" t="str">
        <f aca="false">IF(A277="","",IF(COUNTIF(Tabelas!$A:$A,IF(E277="",A277,E277))&gt;0,"sim","não"))</f>
        <v/>
      </c>
      <c r="H277" s="7" t="str">
        <f aca="false">IF(A277="","",IF(E277="",A277,E277)&amp;"."&amp;IF(F277="",B277,F277))</f>
        <v/>
      </c>
      <c r="I277" s="7" t="str">
        <f aca="false">IF(A277="","",IFERROR(INDEX('Campos Growths'!$F:$F,MATCH(H277,'Campos Growths'!$A:$A,0)),""))</f>
        <v/>
      </c>
      <c r="J277" s="7" t="str">
        <f aca="false">IF(A277="","",IFERROR(VLOOKUP(IF(ISNUMBER(SEARCH("(",C277)),LEFT(C277,SEARCH("(",C277)-1),C277),Tipos!$A:$B,2,FALSE()),"outro"))</f>
        <v/>
      </c>
      <c r="K277" s="7" t="str">
        <f aca="false">IF(I277="","",IFERROR(INDEX('Campos Growths'!$L:$L,MATCH(H277,'Campos Growths'!$A:$A,0)),""))</f>
        <v/>
      </c>
      <c r="L277" s="7" t="str">
        <f aca="false">IF(A277="","",IF(G277="não","Sem tabela no Growths",IF(I277="","Sem campo no Growths",IF(J277=K277,"Importa direto","Ajustar tipo"))))</f>
        <v/>
      </c>
      <c r="M277" s="9"/>
    </row>
    <row r="278" customFormat="false" ht="15" hidden="false" customHeight="false" outlineLevel="0" collapsed="false">
      <c r="A278" s="7" t="str">
        <f aca="false">IF('Outro banco'!A278="","",IF(LEFT('Outro banco'!A278,1)="(","",'Outro banco'!A278))</f>
        <v/>
      </c>
      <c r="B278" s="7" t="str">
        <f aca="false">IF(A278="","",'Outro banco'!B278)</f>
        <v/>
      </c>
      <c r="C278" s="7" t="str">
        <f aca="false">IF(A278="","",'Outro banco'!C278)</f>
        <v/>
      </c>
      <c r="D278" s="7" t="str">
        <f aca="false">IF(A278="","",'Outro banco'!D278)</f>
        <v/>
      </c>
      <c r="E278" s="9"/>
      <c r="F278" s="9"/>
      <c r="G278" s="7" t="str">
        <f aca="false">IF(A278="","",IF(COUNTIF(Tabelas!$A:$A,IF(E278="",A278,E278))&gt;0,"sim","não"))</f>
        <v/>
      </c>
      <c r="H278" s="7" t="str">
        <f aca="false">IF(A278="","",IF(E278="",A278,E278)&amp;"."&amp;IF(F278="",B278,F278))</f>
        <v/>
      </c>
      <c r="I278" s="7" t="str">
        <f aca="false">IF(A278="","",IFERROR(INDEX('Campos Growths'!$F:$F,MATCH(H278,'Campos Growths'!$A:$A,0)),""))</f>
        <v/>
      </c>
      <c r="J278" s="7" t="str">
        <f aca="false">IF(A278="","",IFERROR(VLOOKUP(IF(ISNUMBER(SEARCH("(",C278)),LEFT(C278,SEARCH("(",C278)-1),C278),Tipos!$A:$B,2,FALSE()),"outro"))</f>
        <v/>
      </c>
      <c r="K278" s="7" t="str">
        <f aca="false">IF(I278="","",IFERROR(INDEX('Campos Growths'!$L:$L,MATCH(H278,'Campos Growths'!$A:$A,0)),""))</f>
        <v/>
      </c>
      <c r="L278" s="7" t="str">
        <f aca="false">IF(A278="","",IF(G278="não","Sem tabela no Growths",IF(I278="","Sem campo no Growths",IF(J278=K278,"Importa direto","Ajustar tipo"))))</f>
        <v/>
      </c>
      <c r="M278" s="9"/>
    </row>
    <row r="279" customFormat="false" ht="15" hidden="false" customHeight="false" outlineLevel="0" collapsed="false">
      <c r="A279" s="7" t="str">
        <f aca="false">IF('Outro banco'!A279="","",IF(LEFT('Outro banco'!A279,1)="(","",'Outro banco'!A279))</f>
        <v/>
      </c>
      <c r="B279" s="7" t="str">
        <f aca="false">IF(A279="","",'Outro banco'!B279)</f>
        <v/>
      </c>
      <c r="C279" s="7" t="str">
        <f aca="false">IF(A279="","",'Outro banco'!C279)</f>
        <v/>
      </c>
      <c r="D279" s="7" t="str">
        <f aca="false">IF(A279="","",'Outro banco'!D279)</f>
        <v/>
      </c>
      <c r="E279" s="9"/>
      <c r="F279" s="9"/>
      <c r="G279" s="7" t="str">
        <f aca="false">IF(A279="","",IF(COUNTIF(Tabelas!$A:$A,IF(E279="",A279,E279))&gt;0,"sim","não"))</f>
        <v/>
      </c>
      <c r="H279" s="7" t="str">
        <f aca="false">IF(A279="","",IF(E279="",A279,E279)&amp;"."&amp;IF(F279="",B279,F279))</f>
        <v/>
      </c>
      <c r="I279" s="7" t="str">
        <f aca="false">IF(A279="","",IFERROR(INDEX('Campos Growths'!$F:$F,MATCH(H279,'Campos Growths'!$A:$A,0)),""))</f>
        <v/>
      </c>
      <c r="J279" s="7" t="str">
        <f aca="false">IF(A279="","",IFERROR(VLOOKUP(IF(ISNUMBER(SEARCH("(",C279)),LEFT(C279,SEARCH("(",C279)-1),C279),Tipos!$A:$B,2,FALSE()),"outro"))</f>
        <v/>
      </c>
      <c r="K279" s="7" t="str">
        <f aca="false">IF(I279="","",IFERROR(INDEX('Campos Growths'!$L:$L,MATCH(H279,'Campos Growths'!$A:$A,0)),""))</f>
        <v/>
      </c>
      <c r="L279" s="7" t="str">
        <f aca="false">IF(A279="","",IF(G279="não","Sem tabela no Growths",IF(I279="","Sem campo no Growths",IF(J279=K279,"Importa direto","Ajustar tipo"))))</f>
        <v/>
      </c>
      <c r="M279" s="9"/>
    </row>
    <row r="280" customFormat="false" ht="15" hidden="false" customHeight="false" outlineLevel="0" collapsed="false">
      <c r="A280" s="7" t="str">
        <f aca="false">IF('Outro banco'!A280="","",IF(LEFT('Outro banco'!A280,1)="(","",'Outro banco'!A280))</f>
        <v/>
      </c>
      <c r="B280" s="7" t="str">
        <f aca="false">IF(A280="","",'Outro banco'!B280)</f>
        <v/>
      </c>
      <c r="C280" s="7" t="str">
        <f aca="false">IF(A280="","",'Outro banco'!C280)</f>
        <v/>
      </c>
      <c r="D280" s="7" t="str">
        <f aca="false">IF(A280="","",'Outro banco'!D280)</f>
        <v/>
      </c>
      <c r="E280" s="9"/>
      <c r="F280" s="9"/>
      <c r="G280" s="7" t="str">
        <f aca="false">IF(A280="","",IF(COUNTIF(Tabelas!$A:$A,IF(E280="",A280,E280))&gt;0,"sim","não"))</f>
        <v/>
      </c>
      <c r="H280" s="7" t="str">
        <f aca="false">IF(A280="","",IF(E280="",A280,E280)&amp;"."&amp;IF(F280="",B280,F280))</f>
        <v/>
      </c>
      <c r="I280" s="7" t="str">
        <f aca="false">IF(A280="","",IFERROR(INDEX('Campos Growths'!$F:$F,MATCH(H280,'Campos Growths'!$A:$A,0)),""))</f>
        <v/>
      </c>
      <c r="J280" s="7" t="str">
        <f aca="false">IF(A280="","",IFERROR(VLOOKUP(IF(ISNUMBER(SEARCH("(",C280)),LEFT(C280,SEARCH("(",C280)-1),C280),Tipos!$A:$B,2,FALSE()),"outro"))</f>
        <v/>
      </c>
      <c r="K280" s="7" t="str">
        <f aca="false">IF(I280="","",IFERROR(INDEX('Campos Growths'!$L:$L,MATCH(H280,'Campos Growths'!$A:$A,0)),""))</f>
        <v/>
      </c>
      <c r="L280" s="7" t="str">
        <f aca="false">IF(A280="","",IF(G280="não","Sem tabela no Growths",IF(I280="","Sem campo no Growths",IF(J280=K280,"Importa direto","Ajustar tipo"))))</f>
        <v/>
      </c>
      <c r="M280" s="9"/>
    </row>
    <row r="281" customFormat="false" ht="15" hidden="false" customHeight="false" outlineLevel="0" collapsed="false">
      <c r="A281" s="7" t="str">
        <f aca="false">IF('Outro banco'!A281="","",IF(LEFT('Outro banco'!A281,1)="(","",'Outro banco'!A281))</f>
        <v/>
      </c>
      <c r="B281" s="7" t="str">
        <f aca="false">IF(A281="","",'Outro banco'!B281)</f>
        <v/>
      </c>
      <c r="C281" s="7" t="str">
        <f aca="false">IF(A281="","",'Outro banco'!C281)</f>
        <v/>
      </c>
      <c r="D281" s="7" t="str">
        <f aca="false">IF(A281="","",'Outro banco'!D281)</f>
        <v/>
      </c>
      <c r="E281" s="9"/>
      <c r="F281" s="9"/>
      <c r="G281" s="7" t="str">
        <f aca="false">IF(A281="","",IF(COUNTIF(Tabelas!$A:$A,IF(E281="",A281,E281))&gt;0,"sim","não"))</f>
        <v/>
      </c>
      <c r="H281" s="7" t="str">
        <f aca="false">IF(A281="","",IF(E281="",A281,E281)&amp;"."&amp;IF(F281="",B281,F281))</f>
        <v/>
      </c>
      <c r="I281" s="7" t="str">
        <f aca="false">IF(A281="","",IFERROR(INDEX('Campos Growths'!$F:$F,MATCH(H281,'Campos Growths'!$A:$A,0)),""))</f>
        <v/>
      </c>
      <c r="J281" s="7" t="str">
        <f aca="false">IF(A281="","",IFERROR(VLOOKUP(IF(ISNUMBER(SEARCH("(",C281)),LEFT(C281,SEARCH("(",C281)-1),C281),Tipos!$A:$B,2,FALSE()),"outro"))</f>
        <v/>
      </c>
      <c r="K281" s="7" t="str">
        <f aca="false">IF(I281="","",IFERROR(INDEX('Campos Growths'!$L:$L,MATCH(H281,'Campos Growths'!$A:$A,0)),""))</f>
        <v/>
      </c>
      <c r="L281" s="7" t="str">
        <f aca="false">IF(A281="","",IF(G281="não","Sem tabela no Growths",IF(I281="","Sem campo no Growths",IF(J281=K281,"Importa direto","Ajustar tipo"))))</f>
        <v/>
      </c>
      <c r="M281" s="9"/>
    </row>
    <row r="282" customFormat="false" ht="15" hidden="false" customHeight="false" outlineLevel="0" collapsed="false">
      <c r="A282" s="7" t="str">
        <f aca="false">IF('Outro banco'!A282="","",IF(LEFT('Outro banco'!A282,1)="(","",'Outro banco'!A282))</f>
        <v/>
      </c>
      <c r="B282" s="7" t="str">
        <f aca="false">IF(A282="","",'Outro banco'!B282)</f>
        <v/>
      </c>
      <c r="C282" s="7" t="str">
        <f aca="false">IF(A282="","",'Outro banco'!C282)</f>
        <v/>
      </c>
      <c r="D282" s="7" t="str">
        <f aca="false">IF(A282="","",'Outro banco'!D282)</f>
        <v/>
      </c>
      <c r="E282" s="9"/>
      <c r="F282" s="9"/>
      <c r="G282" s="7" t="str">
        <f aca="false">IF(A282="","",IF(COUNTIF(Tabelas!$A:$A,IF(E282="",A282,E282))&gt;0,"sim","não"))</f>
        <v/>
      </c>
      <c r="H282" s="7" t="str">
        <f aca="false">IF(A282="","",IF(E282="",A282,E282)&amp;"."&amp;IF(F282="",B282,F282))</f>
        <v/>
      </c>
      <c r="I282" s="7" t="str">
        <f aca="false">IF(A282="","",IFERROR(INDEX('Campos Growths'!$F:$F,MATCH(H282,'Campos Growths'!$A:$A,0)),""))</f>
        <v/>
      </c>
      <c r="J282" s="7" t="str">
        <f aca="false">IF(A282="","",IFERROR(VLOOKUP(IF(ISNUMBER(SEARCH("(",C282)),LEFT(C282,SEARCH("(",C282)-1),C282),Tipos!$A:$B,2,FALSE()),"outro"))</f>
        <v/>
      </c>
      <c r="K282" s="7" t="str">
        <f aca="false">IF(I282="","",IFERROR(INDEX('Campos Growths'!$L:$L,MATCH(H282,'Campos Growths'!$A:$A,0)),""))</f>
        <v/>
      </c>
      <c r="L282" s="7" t="str">
        <f aca="false">IF(A282="","",IF(G282="não","Sem tabela no Growths",IF(I282="","Sem campo no Growths",IF(J282=K282,"Importa direto","Ajustar tipo"))))</f>
        <v/>
      </c>
      <c r="M282" s="9"/>
    </row>
    <row r="283" customFormat="false" ht="15" hidden="false" customHeight="false" outlineLevel="0" collapsed="false">
      <c r="A283" s="7" t="str">
        <f aca="false">IF('Outro banco'!A283="","",IF(LEFT('Outro banco'!A283,1)="(","",'Outro banco'!A283))</f>
        <v/>
      </c>
      <c r="B283" s="7" t="str">
        <f aca="false">IF(A283="","",'Outro banco'!B283)</f>
        <v/>
      </c>
      <c r="C283" s="7" t="str">
        <f aca="false">IF(A283="","",'Outro banco'!C283)</f>
        <v/>
      </c>
      <c r="D283" s="7" t="str">
        <f aca="false">IF(A283="","",'Outro banco'!D283)</f>
        <v/>
      </c>
      <c r="E283" s="9"/>
      <c r="F283" s="9"/>
      <c r="G283" s="7" t="str">
        <f aca="false">IF(A283="","",IF(COUNTIF(Tabelas!$A:$A,IF(E283="",A283,E283))&gt;0,"sim","não"))</f>
        <v/>
      </c>
      <c r="H283" s="7" t="str">
        <f aca="false">IF(A283="","",IF(E283="",A283,E283)&amp;"."&amp;IF(F283="",B283,F283))</f>
        <v/>
      </c>
      <c r="I283" s="7" t="str">
        <f aca="false">IF(A283="","",IFERROR(INDEX('Campos Growths'!$F:$F,MATCH(H283,'Campos Growths'!$A:$A,0)),""))</f>
        <v/>
      </c>
      <c r="J283" s="7" t="str">
        <f aca="false">IF(A283="","",IFERROR(VLOOKUP(IF(ISNUMBER(SEARCH("(",C283)),LEFT(C283,SEARCH("(",C283)-1),C283),Tipos!$A:$B,2,FALSE()),"outro"))</f>
        <v/>
      </c>
      <c r="K283" s="7" t="str">
        <f aca="false">IF(I283="","",IFERROR(INDEX('Campos Growths'!$L:$L,MATCH(H283,'Campos Growths'!$A:$A,0)),""))</f>
        <v/>
      </c>
      <c r="L283" s="7" t="str">
        <f aca="false">IF(A283="","",IF(G283="não","Sem tabela no Growths",IF(I283="","Sem campo no Growths",IF(J283=K283,"Importa direto","Ajustar tipo"))))</f>
        <v/>
      </c>
      <c r="M283" s="9"/>
    </row>
    <row r="284" customFormat="false" ht="15" hidden="false" customHeight="false" outlineLevel="0" collapsed="false">
      <c r="A284" s="7" t="str">
        <f aca="false">IF('Outro banco'!A284="","",IF(LEFT('Outro banco'!A284,1)="(","",'Outro banco'!A284))</f>
        <v/>
      </c>
      <c r="B284" s="7" t="str">
        <f aca="false">IF(A284="","",'Outro banco'!B284)</f>
        <v/>
      </c>
      <c r="C284" s="7" t="str">
        <f aca="false">IF(A284="","",'Outro banco'!C284)</f>
        <v/>
      </c>
      <c r="D284" s="7" t="str">
        <f aca="false">IF(A284="","",'Outro banco'!D284)</f>
        <v/>
      </c>
      <c r="E284" s="9"/>
      <c r="F284" s="9"/>
      <c r="G284" s="7" t="str">
        <f aca="false">IF(A284="","",IF(COUNTIF(Tabelas!$A:$A,IF(E284="",A284,E284))&gt;0,"sim","não"))</f>
        <v/>
      </c>
      <c r="H284" s="7" t="str">
        <f aca="false">IF(A284="","",IF(E284="",A284,E284)&amp;"."&amp;IF(F284="",B284,F284))</f>
        <v/>
      </c>
      <c r="I284" s="7" t="str">
        <f aca="false">IF(A284="","",IFERROR(INDEX('Campos Growths'!$F:$F,MATCH(H284,'Campos Growths'!$A:$A,0)),""))</f>
        <v/>
      </c>
      <c r="J284" s="7" t="str">
        <f aca="false">IF(A284="","",IFERROR(VLOOKUP(IF(ISNUMBER(SEARCH("(",C284)),LEFT(C284,SEARCH("(",C284)-1),C284),Tipos!$A:$B,2,FALSE()),"outro"))</f>
        <v/>
      </c>
      <c r="K284" s="7" t="str">
        <f aca="false">IF(I284="","",IFERROR(INDEX('Campos Growths'!$L:$L,MATCH(H284,'Campos Growths'!$A:$A,0)),""))</f>
        <v/>
      </c>
      <c r="L284" s="7" t="str">
        <f aca="false">IF(A284="","",IF(G284="não","Sem tabela no Growths",IF(I284="","Sem campo no Growths",IF(J284=K284,"Importa direto","Ajustar tipo"))))</f>
        <v/>
      </c>
      <c r="M284" s="9"/>
    </row>
    <row r="285" customFormat="false" ht="15" hidden="false" customHeight="false" outlineLevel="0" collapsed="false">
      <c r="A285" s="7" t="str">
        <f aca="false">IF('Outro banco'!A285="","",IF(LEFT('Outro banco'!A285,1)="(","",'Outro banco'!A285))</f>
        <v/>
      </c>
      <c r="B285" s="7" t="str">
        <f aca="false">IF(A285="","",'Outro banco'!B285)</f>
        <v/>
      </c>
      <c r="C285" s="7" t="str">
        <f aca="false">IF(A285="","",'Outro banco'!C285)</f>
        <v/>
      </c>
      <c r="D285" s="7" t="str">
        <f aca="false">IF(A285="","",'Outro banco'!D285)</f>
        <v/>
      </c>
      <c r="E285" s="9"/>
      <c r="F285" s="9"/>
      <c r="G285" s="7" t="str">
        <f aca="false">IF(A285="","",IF(COUNTIF(Tabelas!$A:$A,IF(E285="",A285,E285))&gt;0,"sim","não"))</f>
        <v/>
      </c>
      <c r="H285" s="7" t="str">
        <f aca="false">IF(A285="","",IF(E285="",A285,E285)&amp;"."&amp;IF(F285="",B285,F285))</f>
        <v/>
      </c>
      <c r="I285" s="7" t="str">
        <f aca="false">IF(A285="","",IFERROR(INDEX('Campos Growths'!$F:$F,MATCH(H285,'Campos Growths'!$A:$A,0)),""))</f>
        <v/>
      </c>
      <c r="J285" s="7" t="str">
        <f aca="false">IF(A285="","",IFERROR(VLOOKUP(IF(ISNUMBER(SEARCH("(",C285)),LEFT(C285,SEARCH("(",C285)-1),C285),Tipos!$A:$B,2,FALSE()),"outro"))</f>
        <v/>
      </c>
      <c r="K285" s="7" t="str">
        <f aca="false">IF(I285="","",IFERROR(INDEX('Campos Growths'!$L:$L,MATCH(H285,'Campos Growths'!$A:$A,0)),""))</f>
        <v/>
      </c>
      <c r="L285" s="7" t="str">
        <f aca="false">IF(A285="","",IF(G285="não","Sem tabela no Growths",IF(I285="","Sem campo no Growths",IF(J285=K285,"Importa direto","Ajustar tipo"))))</f>
        <v/>
      </c>
      <c r="M285" s="9"/>
    </row>
    <row r="286" customFormat="false" ht="15" hidden="false" customHeight="false" outlineLevel="0" collapsed="false">
      <c r="A286" s="7" t="str">
        <f aca="false">IF('Outro banco'!A286="","",IF(LEFT('Outro banco'!A286,1)="(","",'Outro banco'!A286))</f>
        <v/>
      </c>
      <c r="B286" s="7" t="str">
        <f aca="false">IF(A286="","",'Outro banco'!B286)</f>
        <v/>
      </c>
      <c r="C286" s="7" t="str">
        <f aca="false">IF(A286="","",'Outro banco'!C286)</f>
        <v/>
      </c>
      <c r="D286" s="7" t="str">
        <f aca="false">IF(A286="","",'Outro banco'!D286)</f>
        <v/>
      </c>
      <c r="E286" s="9"/>
      <c r="F286" s="9"/>
      <c r="G286" s="7" t="str">
        <f aca="false">IF(A286="","",IF(COUNTIF(Tabelas!$A:$A,IF(E286="",A286,E286))&gt;0,"sim","não"))</f>
        <v/>
      </c>
      <c r="H286" s="7" t="str">
        <f aca="false">IF(A286="","",IF(E286="",A286,E286)&amp;"."&amp;IF(F286="",B286,F286))</f>
        <v/>
      </c>
      <c r="I286" s="7" t="str">
        <f aca="false">IF(A286="","",IFERROR(INDEX('Campos Growths'!$F:$F,MATCH(H286,'Campos Growths'!$A:$A,0)),""))</f>
        <v/>
      </c>
      <c r="J286" s="7" t="str">
        <f aca="false">IF(A286="","",IFERROR(VLOOKUP(IF(ISNUMBER(SEARCH("(",C286)),LEFT(C286,SEARCH("(",C286)-1),C286),Tipos!$A:$B,2,FALSE()),"outro"))</f>
        <v/>
      </c>
      <c r="K286" s="7" t="str">
        <f aca="false">IF(I286="","",IFERROR(INDEX('Campos Growths'!$L:$L,MATCH(H286,'Campos Growths'!$A:$A,0)),""))</f>
        <v/>
      </c>
      <c r="L286" s="7" t="str">
        <f aca="false">IF(A286="","",IF(G286="não","Sem tabela no Growths",IF(I286="","Sem campo no Growths",IF(J286=K286,"Importa direto","Ajustar tipo"))))</f>
        <v/>
      </c>
      <c r="M286" s="9"/>
    </row>
    <row r="287" customFormat="false" ht="15" hidden="false" customHeight="false" outlineLevel="0" collapsed="false">
      <c r="A287" s="7" t="str">
        <f aca="false">IF('Outro banco'!A287="","",IF(LEFT('Outro banco'!A287,1)="(","",'Outro banco'!A287))</f>
        <v/>
      </c>
      <c r="B287" s="7" t="str">
        <f aca="false">IF(A287="","",'Outro banco'!B287)</f>
        <v/>
      </c>
      <c r="C287" s="7" t="str">
        <f aca="false">IF(A287="","",'Outro banco'!C287)</f>
        <v/>
      </c>
      <c r="D287" s="7" t="str">
        <f aca="false">IF(A287="","",'Outro banco'!D287)</f>
        <v/>
      </c>
      <c r="E287" s="9"/>
      <c r="F287" s="9"/>
      <c r="G287" s="7" t="str">
        <f aca="false">IF(A287="","",IF(COUNTIF(Tabelas!$A:$A,IF(E287="",A287,E287))&gt;0,"sim","não"))</f>
        <v/>
      </c>
      <c r="H287" s="7" t="str">
        <f aca="false">IF(A287="","",IF(E287="",A287,E287)&amp;"."&amp;IF(F287="",B287,F287))</f>
        <v/>
      </c>
      <c r="I287" s="7" t="str">
        <f aca="false">IF(A287="","",IFERROR(INDEX('Campos Growths'!$F:$F,MATCH(H287,'Campos Growths'!$A:$A,0)),""))</f>
        <v/>
      </c>
      <c r="J287" s="7" t="str">
        <f aca="false">IF(A287="","",IFERROR(VLOOKUP(IF(ISNUMBER(SEARCH("(",C287)),LEFT(C287,SEARCH("(",C287)-1),C287),Tipos!$A:$B,2,FALSE()),"outro"))</f>
        <v/>
      </c>
      <c r="K287" s="7" t="str">
        <f aca="false">IF(I287="","",IFERROR(INDEX('Campos Growths'!$L:$L,MATCH(H287,'Campos Growths'!$A:$A,0)),""))</f>
        <v/>
      </c>
      <c r="L287" s="7" t="str">
        <f aca="false">IF(A287="","",IF(G287="não","Sem tabela no Growths",IF(I287="","Sem campo no Growths",IF(J287=K287,"Importa direto","Ajustar tipo"))))</f>
        <v/>
      </c>
      <c r="M287" s="9"/>
    </row>
    <row r="288" customFormat="false" ht="15" hidden="false" customHeight="false" outlineLevel="0" collapsed="false">
      <c r="A288" s="7" t="str">
        <f aca="false">IF('Outro banco'!A288="","",IF(LEFT('Outro banco'!A288,1)="(","",'Outro banco'!A288))</f>
        <v/>
      </c>
      <c r="B288" s="7" t="str">
        <f aca="false">IF(A288="","",'Outro banco'!B288)</f>
        <v/>
      </c>
      <c r="C288" s="7" t="str">
        <f aca="false">IF(A288="","",'Outro banco'!C288)</f>
        <v/>
      </c>
      <c r="D288" s="7" t="str">
        <f aca="false">IF(A288="","",'Outro banco'!D288)</f>
        <v/>
      </c>
      <c r="E288" s="9"/>
      <c r="F288" s="9"/>
      <c r="G288" s="7" t="str">
        <f aca="false">IF(A288="","",IF(COUNTIF(Tabelas!$A:$A,IF(E288="",A288,E288))&gt;0,"sim","não"))</f>
        <v/>
      </c>
      <c r="H288" s="7" t="str">
        <f aca="false">IF(A288="","",IF(E288="",A288,E288)&amp;"."&amp;IF(F288="",B288,F288))</f>
        <v/>
      </c>
      <c r="I288" s="7" t="str">
        <f aca="false">IF(A288="","",IFERROR(INDEX('Campos Growths'!$F:$F,MATCH(H288,'Campos Growths'!$A:$A,0)),""))</f>
        <v/>
      </c>
      <c r="J288" s="7" t="str">
        <f aca="false">IF(A288="","",IFERROR(VLOOKUP(IF(ISNUMBER(SEARCH("(",C288)),LEFT(C288,SEARCH("(",C288)-1),C288),Tipos!$A:$B,2,FALSE()),"outro"))</f>
        <v/>
      </c>
      <c r="K288" s="7" t="str">
        <f aca="false">IF(I288="","",IFERROR(INDEX('Campos Growths'!$L:$L,MATCH(H288,'Campos Growths'!$A:$A,0)),""))</f>
        <v/>
      </c>
      <c r="L288" s="7" t="str">
        <f aca="false">IF(A288="","",IF(G288="não","Sem tabela no Growths",IF(I288="","Sem campo no Growths",IF(J288=K288,"Importa direto","Ajustar tipo"))))</f>
        <v/>
      </c>
      <c r="M288" s="9"/>
    </row>
    <row r="289" customFormat="false" ht="15" hidden="false" customHeight="false" outlineLevel="0" collapsed="false">
      <c r="A289" s="7" t="str">
        <f aca="false">IF('Outro banco'!A289="","",IF(LEFT('Outro banco'!A289,1)="(","",'Outro banco'!A289))</f>
        <v/>
      </c>
      <c r="B289" s="7" t="str">
        <f aca="false">IF(A289="","",'Outro banco'!B289)</f>
        <v/>
      </c>
      <c r="C289" s="7" t="str">
        <f aca="false">IF(A289="","",'Outro banco'!C289)</f>
        <v/>
      </c>
      <c r="D289" s="7" t="str">
        <f aca="false">IF(A289="","",'Outro banco'!D289)</f>
        <v/>
      </c>
      <c r="E289" s="9"/>
      <c r="F289" s="9"/>
      <c r="G289" s="7" t="str">
        <f aca="false">IF(A289="","",IF(COUNTIF(Tabelas!$A:$A,IF(E289="",A289,E289))&gt;0,"sim","não"))</f>
        <v/>
      </c>
      <c r="H289" s="7" t="str">
        <f aca="false">IF(A289="","",IF(E289="",A289,E289)&amp;"."&amp;IF(F289="",B289,F289))</f>
        <v/>
      </c>
      <c r="I289" s="7" t="str">
        <f aca="false">IF(A289="","",IFERROR(INDEX('Campos Growths'!$F:$F,MATCH(H289,'Campos Growths'!$A:$A,0)),""))</f>
        <v/>
      </c>
      <c r="J289" s="7" t="str">
        <f aca="false">IF(A289="","",IFERROR(VLOOKUP(IF(ISNUMBER(SEARCH("(",C289)),LEFT(C289,SEARCH("(",C289)-1),C289),Tipos!$A:$B,2,FALSE()),"outro"))</f>
        <v/>
      </c>
      <c r="K289" s="7" t="str">
        <f aca="false">IF(I289="","",IFERROR(INDEX('Campos Growths'!$L:$L,MATCH(H289,'Campos Growths'!$A:$A,0)),""))</f>
        <v/>
      </c>
      <c r="L289" s="7" t="str">
        <f aca="false">IF(A289="","",IF(G289="não","Sem tabela no Growths",IF(I289="","Sem campo no Growths",IF(J289=K289,"Importa direto","Ajustar tipo"))))</f>
        <v/>
      </c>
      <c r="M289" s="9"/>
    </row>
    <row r="290" customFormat="false" ht="15" hidden="false" customHeight="false" outlineLevel="0" collapsed="false">
      <c r="A290" s="7" t="str">
        <f aca="false">IF('Outro banco'!A290="","",IF(LEFT('Outro banco'!A290,1)="(","",'Outro banco'!A290))</f>
        <v/>
      </c>
      <c r="B290" s="7" t="str">
        <f aca="false">IF(A290="","",'Outro banco'!B290)</f>
        <v/>
      </c>
      <c r="C290" s="7" t="str">
        <f aca="false">IF(A290="","",'Outro banco'!C290)</f>
        <v/>
      </c>
      <c r="D290" s="7" t="str">
        <f aca="false">IF(A290="","",'Outro banco'!D290)</f>
        <v/>
      </c>
      <c r="E290" s="9"/>
      <c r="F290" s="9"/>
      <c r="G290" s="7" t="str">
        <f aca="false">IF(A290="","",IF(COUNTIF(Tabelas!$A:$A,IF(E290="",A290,E290))&gt;0,"sim","não"))</f>
        <v/>
      </c>
      <c r="H290" s="7" t="str">
        <f aca="false">IF(A290="","",IF(E290="",A290,E290)&amp;"."&amp;IF(F290="",B290,F290))</f>
        <v/>
      </c>
      <c r="I290" s="7" t="str">
        <f aca="false">IF(A290="","",IFERROR(INDEX('Campos Growths'!$F:$F,MATCH(H290,'Campos Growths'!$A:$A,0)),""))</f>
        <v/>
      </c>
      <c r="J290" s="7" t="str">
        <f aca="false">IF(A290="","",IFERROR(VLOOKUP(IF(ISNUMBER(SEARCH("(",C290)),LEFT(C290,SEARCH("(",C290)-1),C290),Tipos!$A:$B,2,FALSE()),"outro"))</f>
        <v/>
      </c>
      <c r="K290" s="7" t="str">
        <f aca="false">IF(I290="","",IFERROR(INDEX('Campos Growths'!$L:$L,MATCH(H290,'Campos Growths'!$A:$A,0)),""))</f>
        <v/>
      </c>
      <c r="L290" s="7" t="str">
        <f aca="false">IF(A290="","",IF(G290="não","Sem tabela no Growths",IF(I290="","Sem campo no Growths",IF(J290=K290,"Importa direto","Ajustar tipo"))))</f>
        <v/>
      </c>
      <c r="M290" s="9"/>
    </row>
    <row r="291" customFormat="false" ht="15" hidden="false" customHeight="false" outlineLevel="0" collapsed="false">
      <c r="A291" s="7" t="str">
        <f aca="false">IF('Outro banco'!A291="","",IF(LEFT('Outro banco'!A291,1)="(","",'Outro banco'!A291))</f>
        <v/>
      </c>
      <c r="B291" s="7" t="str">
        <f aca="false">IF(A291="","",'Outro banco'!B291)</f>
        <v/>
      </c>
      <c r="C291" s="7" t="str">
        <f aca="false">IF(A291="","",'Outro banco'!C291)</f>
        <v/>
      </c>
      <c r="D291" s="7" t="str">
        <f aca="false">IF(A291="","",'Outro banco'!D291)</f>
        <v/>
      </c>
      <c r="E291" s="9"/>
      <c r="F291" s="9"/>
      <c r="G291" s="7" t="str">
        <f aca="false">IF(A291="","",IF(COUNTIF(Tabelas!$A:$A,IF(E291="",A291,E291))&gt;0,"sim","não"))</f>
        <v/>
      </c>
      <c r="H291" s="7" t="str">
        <f aca="false">IF(A291="","",IF(E291="",A291,E291)&amp;"."&amp;IF(F291="",B291,F291))</f>
        <v/>
      </c>
      <c r="I291" s="7" t="str">
        <f aca="false">IF(A291="","",IFERROR(INDEX('Campos Growths'!$F:$F,MATCH(H291,'Campos Growths'!$A:$A,0)),""))</f>
        <v/>
      </c>
      <c r="J291" s="7" t="str">
        <f aca="false">IF(A291="","",IFERROR(VLOOKUP(IF(ISNUMBER(SEARCH("(",C291)),LEFT(C291,SEARCH("(",C291)-1),C291),Tipos!$A:$B,2,FALSE()),"outro"))</f>
        <v/>
      </c>
      <c r="K291" s="7" t="str">
        <f aca="false">IF(I291="","",IFERROR(INDEX('Campos Growths'!$L:$L,MATCH(H291,'Campos Growths'!$A:$A,0)),""))</f>
        <v/>
      </c>
      <c r="L291" s="7" t="str">
        <f aca="false">IF(A291="","",IF(G291="não","Sem tabela no Growths",IF(I291="","Sem campo no Growths",IF(J291=K291,"Importa direto","Ajustar tipo"))))</f>
        <v/>
      </c>
      <c r="M291" s="9"/>
    </row>
    <row r="292" customFormat="false" ht="15" hidden="false" customHeight="false" outlineLevel="0" collapsed="false">
      <c r="A292" s="7" t="str">
        <f aca="false">IF('Outro banco'!A292="","",IF(LEFT('Outro banco'!A292,1)="(","",'Outro banco'!A292))</f>
        <v/>
      </c>
      <c r="B292" s="7" t="str">
        <f aca="false">IF(A292="","",'Outro banco'!B292)</f>
        <v/>
      </c>
      <c r="C292" s="7" t="str">
        <f aca="false">IF(A292="","",'Outro banco'!C292)</f>
        <v/>
      </c>
      <c r="D292" s="7" t="str">
        <f aca="false">IF(A292="","",'Outro banco'!D292)</f>
        <v/>
      </c>
      <c r="E292" s="9"/>
      <c r="F292" s="9"/>
      <c r="G292" s="7" t="str">
        <f aca="false">IF(A292="","",IF(COUNTIF(Tabelas!$A:$A,IF(E292="",A292,E292))&gt;0,"sim","não"))</f>
        <v/>
      </c>
      <c r="H292" s="7" t="str">
        <f aca="false">IF(A292="","",IF(E292="",A292,E292)&amp;"."&amp;IF(F292="",B292,F292))</f>
        <v/>
      </c>
      <c r="I292" s="7" t="str">
        <f aca="false">IF(A292="","",IFERROR(INDEX('Campos Growths'!$F:$F,MATCH(H292,'Campos Growths'!$A:$A,0)),""))</f>
        <v/>
      </c>
      <c r="J292" s="7" t="str">
        <f aca="false">IF(A292="","",IFERROR(VLOOKUP(IF(ISNUMBER(SEARCH("(",C292)),LEFT(C292,SEARCH("(",C292)-1),C292),Tipos!$A:$B,2,FALSE()),"outro"))</f>
        <v/>
      </c>
      <c r="K292" s="7" t="str">
        <f aca="false">IF(I292="","",IFERROR(INDEX('Campos Growths'!$L:$L,MATCH(H292,'Campos Growths'!$A:$A,0)),""))</f>
        <v/>
      </c>
      <c r="L292" s="7" t="str">
        <f aca="false">IF(A292="","",IF(G292="não","Sem tabela no Growths",IF(I292="","Sem campo no Growths",IF(J292=K292,"Importa direto","Ajustar tipo"))))</f>
        <v/>
      </c>
      <c r="M292" s="9"/>
    </row>
    <row r="293" customFormat="false" ht="15" hidden="false" customHeight="false" outlineLevel="0" collapsed="false">
      <c r="A293" s="7" t="str">
        <f aca="false">IF('Outro banco'!A293="","",IF(LEFT('Outro banco'!A293,1)="(","",'Outro banco'!A293))</f>
        <v/>
      </c>
      <c r="B293" s="7" t="str">
        <f aca="false">IF(A293="","",'Outro banco'!B293)</f>
        <v/>
      </c>
      <c r="C293" s="7" t="str">
        <f aca="false">IF(A293="","",'Outro banco'!C293)</f>
        <v/>
      </c>
      <c r="D293" s="7" t="str">
        <f aca="false">IF(A293="","",'Outro banco'!D293)</f>
        <v/>
      </c>
      <c r="E293" s="9"/>
      <c r="F293" s="9"/>
      <c r="G293" s="7" t="str">
        <f aca="false">IF(A293="","",IF(COUNTIF(Tabelas!$A:$A,IF(E293="",A293,E293))&gt;0,"sim","não"))</f>
        <v/>
      </c>
      <c r="H293" s="7" t="str">
        <f aca="false">IF(A293="","",IF(E293="",A293,E293)&amp;"."&amp;IF(F293="",B293,F293))</f>
        <v/>
      </c>
      <c r="I293" s="7" t="str">
        <f aca="false">IF(A293="","",IFERROR(INDEX('Campos Growths'!$F:$F,MATCH(H293,'Campos Growths'!$A:$A,0)),""))</f>
        <v/>
      </c>
      <c r="J293" s="7" t="str">
        <f aca="false">IF(A293="","",IFERROR(VLOOKUP(IF(ISNUMBER(SEARCH("(",C293)),LEFT(C293,SEARCH("(",C293)-1),C293),Tipos!$A:$B,2,FALSE()),"outro"))</f>
        <v/>
      </c>
      <c r="K293" s="7" t="str">
        <f aca="false">IF(I293="","",IFERROR(INDEX('Campos Growths'!$L:$L,MATCH(H293,'Campos Growths'!$A:$A,0)),""))</f>
        <v/>
      </c>
      <c r="L293" s="7" t="str">
        <f aca="false">IF(A293="","",IF(G293="não","Sem tabela no Growths",IF(I293="","Sem campo no Growths",IF(J293=K293,"Importa direto","Ajustar tipo"))))</f>
        <v/>
      </c>
      <c r="M293" s="9"/>
    </row>
    <row r="294" customFormat="false" ht="15" hidden="false" customHeight="false" outlineLevel="0" collapsed="false">
      <c r="A294" s="7" t="str">
        <f aca="false">IF('Outro banco'!A294="","",IF(LEFT('Outro banco'!A294,1)="(","",'Outro banco'!A294))</f>
        <v/>
      </c>
      <c r="B294" s="7" t="str">
        <f aca="false">IF(A294="","",'Outro banco'!B294)</f>
        <v/>
      </c>
      <c r="C294" s="7" t="str">
        <f aca="false">IF(A294="","",'Outro banco'!C294)</f>
        <v/>
      </c>
      <c r="D294" s="7" t="str">
        <f aca="false">IF(A294="","",'Outro banco'!D294)</f>
        <v/>
      </c>
      <c r="E294" s="9"/>
      <c r="F294" s="9"/>
      <c r="G294" s="7" t="str">
        <f aca="false">IF(A294="","",IF(COUNTIF(Tabelas!$A:$A,IF(E294="",A294,E294))&gt;0,"sim","não"))</f>
        <v/>
      </c>
      <c r="H294" s="7" t="str">
        <f aca="false">IF(A294="","",IF(E294="",A294,E294)&amp;"."&amp;IF(F294="",B294,F294))</f>
        <v/>
      </c>
      <c r="I294" s="7" t="str">
        <f aca="false">IF(A294="","",IFERROR(INDEX('Campos Growths'!$F:$F,MATCH(H294,'Campos Growths'!$A:$A,0)),""))</f>
        <v/>
      </c>
      <c r="J294" s="7" t="str">
        <f aca="false">IF(A294="","",IFERROR(VLOOKUP(IF(ISNUMBER(SEARCH("(",C294)),LEFT(C294,SEARCH("(",C294)-1),C294),Tipos!$A:$B,2,FALSE()),"outro"))</f>
        <v/>
      </c>
      <c r="K294" s="7" t="str">
        <f aca="false">IF(I294="","",IFERROR(INDEX('Campos Growths'!$L:$L,MATCH(H294,'Campos Growths'!$A:$A,0)),""))</f>
        <v/>
      </c>
      <c r="L294" s="7" t="str">
        <f aca="false">IF(A294="","",IF(G294="não","Sem tabela no Growths",IF(I294="","Sem campo no Growths",IF(J294=K294,"Importa direto","Ajustar tipo"))))</f>
        <v/>
      </c>
      <c r="M294" s="9"/>
    </row>
    <row r="295" customFormat="false" ht="15" hidden="false" customHeight="false" outlineLevel="0" collapsed="false">
      <c r="A295" s="7" t="str">
        <f aca="false">IF('Outro banco'!A295="","",IF(LEFT('Outro banco'!A295,1)="(","",'Outro banco'!A295))</f>
        <v/>
      </c>
      <c r="B295" s="7" t="str">
        <f aca="false">IF(A295="","",'Outro banco'!B295)</f>
        <v/>
      </c>
      <c r="C295" s="7" t="str">
        <f aca="false">IF(A295="","",'Outro banco'!C295)</f>
        <v/>
      </c>
      <c r="D295" s="7" t="str">
        <f aca="false">IF(A295="","",'Outro banco'!D295)</f>
        <v/>
      </c>
      <c r="E295" s="9"/>
      <c r="F295" s="9"/>
      <c r="G295" s="7" t="str">
        <f aca="false">IF(A295="","",IF(COUNTIF(Tabelas!$A:$A,IF(E295="",A295,E295))&gt;0,"sim","não"))</f>
        <v/>
      </c>
      <c r="H295" s="7" t="str">
        <f aca="false">IF(A295="","",IF(E295="",A295,E295)&amp;"."&amp;IF(F295="",B295,F295))</f>
        <v/>
      </c>
      <c r="I295" s="7" t="str">
        <f aca="false">IF(A295="","",IFERROR(INDEX('Campos Growths'!$F:$F,MATCH(H295,'Campos Growths'!$A:$A,0)),""))</f>
        <v/>
      </c>
      <c r="J295" s="7" t="str">
        <f aca="false">IF(A295="","",IFERROR(VLOOKUP(IF(ISNUMBER(SEARCH("(",C295)),LEFT(C295,SEARCH("(",C295)-1),C295),Tipos!$A:$B,2,FALSE()),"outro"))</f>
        <v/>
      </c>
      <c r="K295" s="7" t="str">
        <f aca="false">IF(I295="","",IFERROR(INDEX('Campos Growths'!$L:$L,MATCH(H295,'Campos Growths'!$A:$A,0)),""))</f>
        <v/>
      </c>
      <c r="L295" s="7" t="str">
        <f aca="false">IF(A295="","",IF(G295="não","Sem tabela no Growths",IF(I295="","Sem campo no Growths",IF(J295=K295,"Importa direto","Ajustar tipo"))))</f>
        <v/>
      </c>
      <c r="M295" s="9"/>
    </row>
    <row r="296" customFormat="false" ht="15" hidden="false" customHeight="false" outlineLevel="0" collapsed="false">
      <c r="A296" s="7" t="str">
        <f aca="false">IF('Outro banco'!A296="","",IF(LEFT('Outro banco'!A296,1)="(","",'Outro banco'!A296))</f>
        <v/>
      </c>
      <c r="B296" s="7" t="str">
        <f aca="false">IF(A296="","",'Outro banco'!B296)</f>
        <v/>
      </c>
      <c r="C296" s="7" t="str">
        <f aca="false">IF(A296="","",'Outro banco'!C296)</f>
        <v/>
      </c>
      <c r="D296" s="7" t="str">
        <f aca="false">IF(A296="","",'Outro banco'!D296)</f>
        <v/>
      </c>
      <c r="E296" s="9"/>
      <c r="F296" s="9"/>
      <c r="G296" s="7" t="str">
        <f aca="false">IF(A296="","",IF(COUNTIF(Tabelas!$A:$A,IF(E296="",A296,E296))&gt;0,"sim","não"))</f>
        <v/>
      </c>
      <c r="H296" s="7" t="str">
        <f aca="false">IF(A296="","",IF(E296="",A296,E296)&amp;"."&amp;IF(F296="",B296,F296))</f>
        <v/>
      </c>
      <c r="I296" s="7" t="str">
        <f aca="false">IF(A296="","",IFERROR(INDEX('Campos Growths'!$F:$F,MATCH(H296,'Campos Growths'!$A:$A,0)),""))</f>
        <v/>
      </c>
      <c r="J296" s="7" t="str">
        <f aca="false">IF(A296="","",IFERROR(VLOOKUP(IF(ISNUMBER(SEARCH("(",C296)),LEFT(C296,SEARCH("(",C296)-1),C296),Tipos!$A:$B,2,FALSE()),"outro"))</f>
        <v/>
      </c>
      <c r="K296" s="7" t="str">
        <f aca="false">IF(I296="","",IFERROR(INDEX('Campos Growths'!$L:$L,MATCH(H296,'Campos Growths'!$A:$A,0)),""))</f>
        <v/>
      </c>
      <c r="L296" s="7" t="str">
        <f aca="false">IF(A296="","",IF(G296="não","Sem tabela no Growths",IF(I296="","Sem campo no Growths",IF(J296=K296,"Importa direto","Ajustar tipo"))))</f>
        <v/>
      </c>
      <c r="M296" s="9"/>
    </row>
    <row r="297" customFormat="false" ht="15" hidden="false" customHeight="false" outlineLevel="0" collapsed="false">
      <c r="A297" s="7" t="str">
        <f aca="false">IF('Outro banco'!A297="","",IF(LEFT('Outro banco'!A297,1)="(","",'Outro banco'!A297))</f>
        <v/>
      </c>
      <c r="B297" s="7" t="str">
        <f aca="false">IF(A297="","",'Outro banco'!B297)</f>
        <v/>
      </c>
      <c r="C297" s="7" t="str">
        <f aca="false">IF(A297="","",'Outro banco'!C297)</f>
        <v/>
      </c>
      <c r="D297" s="7" t="str">
        <f aca="false">IF(A297="","",'Outro banco'!D297)</f>
        <v/>
      </c>
      <c r="E297" s="9"/>
      <c r="F297" s="9"/>
      <c r="G297" s="7" t="str">
        <f aca="false">IF(A297="","",IF(COUNTIF(Tabelas!$A:$A,IF(E297="",A297,E297))&gt;0,"sim","não"))</f>
        <v/>
      </c>
      <c r="H297" s="7" t="str">
        <f aca="false">IF(A297="","",IF(E297="",A297,E297)&amp;"."&amp;IF(F297="",B297,F297))</f>
        <v/>
      </c>
      <c r="I297" s="7" t="str">
        <f aca="false">IF(A297="","",IFERROR(INDEX('Campos Growths'!$F:$F,MATCH(H297,'Campos Growths'!$A:$A,0)),""))</f>
        <v/>
      </c>
      <c r="J297" s="7" t="str">
        <f aca="false">IF(A297="","",IFERROR(VLOOKUP(IF(ISNUMBER(SEARCH("(",C297)),LEFT(C297,SEARCH("(",C297)-1),C297),Tipos!$A:$B,2,FALSE()),"outro"))</f>
        <v/>
      </c>
      <c r="K297" s="7" t="str">
        <f aca="false">IF(I297="","",IFERROR(INDEX('Campos Growths'!$L:$L,MATCH(H297,'Campos Growths'!$A:$A,0)),""))</f>
        <v/>
      </c>
      <c r="L297" s="7" t="str">
        <f aca="false">IF(A297="","",IF(G297="não","Sem tabela no Growths",IF(I297="","Sem campo no Growths",IF(J297=K297,"Importa direto","Ajustar tipo"))))</f>
        <v/>
      </c>
      <c r="M297" s="9"/>
    </row>
    <row r="298" customFormat="false" ht="15" hidden="false" customHeight="false" outlineLevel="0" collapsed="false">
      <c r="A298" s="7" t="str">
        <f aca="false">IF('Outro banco'!A298="","",IF(LEFT('Outro banco'!A298,1)="(","",'Outro banco'!A298))</f>
        <v/>
      </c>
      <c r="B298" s="7" t="str">
        <f aca="false">IF(A298="","",'Outro banco'!B298)</f>
        <v/>
      </c>
      <c r="C298" s="7" t="str">
        <f aca="false">IF(A298="","",'Outro banco'!C298)</f>
        <v/>
      </c>
      <c r="D298" s="7" t="str">
        <f aca="false">IF(A298="","",'Outro banco'!D298)</f>
        <v/>
      </c>
      <c r="E298" s="9"/>
      <c r="F298" s="9"/>
      <c r="G298" s="7" t="str">
        <f aca="false">IF(A298="","",IF(COUNTIF(Tabelas!$A:$A,IF(E298="",A298,E298))&gt;0,"sim","não"))</f>
        <v/>
      </c>
      <c r="H298" s="7" t="str">
        <f aca="false">IF(A298="","",IF(E298="",A298,E298)&amp;"."&amp;IF(F298="",B298,F298))</f>
        <v/>
      </c>
      <c r="I298" s="7" t="str">
        <f aca="false">IF(A298="","",IFERROR(INDEX('Campos Growths'!$F:$F,MATCH(H298,'Campos Growths'!$A:$A,0)),""))</f>
        <v/>
      </c>
      <c r="J298" s="7" t="str">
        <f aca="false">IF(A298="","",IFERROR(VLOOKUP(IF(ISNUMBER(SEARCH("(",C298)),LEFT(C298,SEARCH("(",C298)-1),C298),Tipos!$A:$B,2,FALSE()),"outro"))</f>
        <v/>
      </c>
      <c r="K298" s="7" t="str">
        <f aca="false">IF(I298="","",IFERROR(INDEX('Campos Growths'!$L:$L,MATCH(H298,'Campos Growths'!$A:$A,0)),""))</f>
        <v/>
      </c>
      <c r="L298" s="7" t="str">
        <f aca="false">IF(A298="","",IF(G298="não","Sem tabela no Growths",IF(I298="","Sem campo no Growths",IF(J298=K298,"Importa direto","Ajustar tipo"))))</f>
        <v/>
      </c>
      <c r="M298" s="9"/>
    </row>
    <row r="299" customFormat="false" ht="15" hidden="false" customHeight="false" outlineLevel="0" collapsed="false">
      <c r="A299" s="7" t="str">
        <f aca="false">IF('Outro banco'!A299="","",IF(LEFT('Outro banco'!A299,1)="(","",'Outro banco'!A299))</f>
        <v/>
      </c>
      <c r="B299" s="7" t="str">
        <f aca="false">IF(A299="","",'Outro banco'!B299)</f>
        <v/>
      </c>
      <c r="C299" s="7" t="str">
        <f aca="false">IF(A299="","",'Outro banco'!C299)</f>
        <v/>
      </c>
      <c r="D299" s="7" t="str">
        <f aca="false">IF(A299="","",'Outro banco'!D299)</f>
        <v/>
      </c>
      <c r="E299" s="9"/>
      <c r="F299" s="9"/>
      <c r="G299" s="7" t="str">
        <f aca="false">IF(A299="","",IF(COUNTIF(Tabelas!$A:$A,IF(E299="",A299,E299))&gt;0,"sim","não"))</f>
        <v/>
      </c>
      <c r="H299" s="7" t="str">
        <f aca="false">IF(A299="","",IF(E299="",A299,E299)&amp;"."&amp;IF(F299="",B299,F299))</f>
        <v/>
      </c>
      <c r="I299" s="7" t="str">
        <f aca="false">IF(A299="","",IFERROR(INDEX('Campos Growths'!$F:$F,MATCH(H299,'Campos Growths'!$A:$A,0)),""))</f>
        <v/>
      </c>
      <c r="J299" s="7" t="str">
        <f aca="false">IF(A299="","",IFERROR(VLOOKUP(IF(ISNUMBER(SEARCH("(",C299)),LEFT(C299,SEARCH("(",C299)-1),C299),Tipos!$A:$B,2,FALSE()),"outro"))</f>
        <v/>
      </c>
      <c r="K299" s="7" t="str">
        <f aca="false">IF(I299="","",IFERROR(INDEX('Campos Growths'!$L:$L,MATCH(H299,'Campos Growths'!$A:$A,0)),""))</f>
        <v/>
      </c>
      <c r="L299" s="7" t="str">
        <f aca="false">IF(A299="","",IF(G299="não","Sem tabela no Growths",IF(I299="","Sem campo no Growths",IF(J299=K299,"Importa direto","Ajustar tipo"))))</f>
        <v/>
      </c>
      <c r="M299" s="9"/>
    </row>
    <row r="300" customFormat="false" ht="15" hidden="false" customHeight="false" outlineLevel="0" collapsed="false">
      <c r="A300" s="7" t="str">
        <f aca="false">IF('Outro banco'!A300="","",IF(LEFT('Outro banco'!A300,1)="(","",'Outro banco'!A300))</f>
        <v/>
      </c>
      <c r="B300" s="7" t="str">
        <f aca="false">IF(A300="","",'Outro banco'!B300)</f>
        <v/>
      </c>
      <c r="C300" s="7" t="str">
        <f aca="false">IF(A300="","",'Outro banco'!C300)</f>
        <v/>
      </c>
      <c r="D300" s="7" t="str">
        <f aca="false">IF(A300="","",'Outro banco'!D300)</f>
        <v/>
      </c>
      <c r="E300" s="9"/>
      <c r="F300" s="9"/>
      <c r="G300" s="7" t="str">
        <f aca="false">IF(A300="","",IF(COUNTIF(Tabelas!$A:$A,IF(E300="",A300,E300))&gt;0,"sim","não"))</f>
        <v/>
      </c>
      <c r="H300" s="7" t="str">
        <f aca="false">IF(A300="","",IF(E300="",A300,E300)&amp;"."&amp;IF(F300="",B300,F300))</f>
        <v/>
      </c>
      <c r="I300" s="7" t="str">
        <f aca="false">IF(A300="","",IFERROR(INDEX('Campos Growths'!$F:$F,MATCH(H300,'Campos Growths'!$A:$A,0)),""))</f>
        <v/>
      </c>
      <c r="J300" s="7" t="str">
        <f aca="false">IF(A300="","",IFERROR(VLOOKUP(IF(ISNUMBER(SEARCH("(",C300)),LEFT(C300,SEARCH("(",C300)-1),C300),Tipos!$A:$B,2,FALSE()),"outro"))</f>
        <v/>
      </c>
      <c r="K300" s="7" t="str">
        <f aca="false">IF(I300="","",IFERROR(INDEX('Campos Growths'!$L:$L,MATCH(H300,'Campos Growths'!$A:$A,0)),""))</f>
        <v/>
      </c>
      <c r="L300" s="7" t="str">
        <f aca="false">IF(A300="","",IF(G300="não","Sem tabela no Growths",IF(I300="","Sem campo no Growths",IF(J300=K300,"Importa direto","Ajustar tipo"))))</f>
        <v/>
      </c>
      <c r="M300" s="9"/>
    </row>
    <row r="301" customFormat="false" ht="15" hidden="false" customHeight="false" outlineLevel="0" collapsed="false">
      <c r="A301" s="7" t="str">
        <f aca="false">IF('Outro banco'!A301="","",IF(LEFT('Outro banco'!A301,1)="(","",'Outro banco'!A301))</f>
        <v/>
      </c>
      <c r="B301" s="7" t="str">
        <f aca="false">IF(A301="","",'Outro banco'!B301)</f>
        <v/>
      </c>
      <c r="C301" s="7" t="str">
        <f aca="false">IF(A301="","",'Outro banco'!C301)</f>
        <v/>
      </c>
      <c r="D301" s="7" t="str">
        <f aca="false">IF(A301="","",'Outro banco'!D301)</f>
        <v/>
      </c>
      <c r="E301" s="9"/>
      <c r="F301" s="9"/>
      <c r="G301" s="7" t="str">
        <f aca="false">IF(A301="","",IF(COUNTIF(Tabelas!$A:$A,IF(E301="",A301,E301))&gt;0,"sim","não"))</f>
        <v/>
      </c>
      <c r="H301" s="7" t="str">
        <f aca="false">IF(A301="","",IF(E301="",A301,E301)&amp;"."&amp;IF(F301="",B301,F301))</f>
        <v/>
      </c>
      <c r="I301" s="7" t="str">
        <f aca="false">IF(A301="","",IFERROR(INDEX('Campos Growths'!$F:$F,MATCH(H301,'Campos Growths'!$A:$A,0)),""))</f>
        <v/>
      </c>
      <c r="J301" s="7" t="str">
        <f aca="false">IF(A301="","",IFERROR(VLOOKUP(IF(ISNUMBER(SEARCH("(",C301)),LEFT(C301,SEARCH("(",C301)-1),C301),Tipos!$A:$B,2,FALSE()),"outro"))</f>
        <v/>
      </c>
      <c r="K301" s="7" t="str">
        <f aca="false">IF(I301="","",IFERROR(INDEX('Campos Growths'!$L:$L,MATCH(H301,'Campos Growths'!$A:$A,0)),""))</f>
        <v/>
      </c>
      <c r="L301" s="7" t="str">
        <f aca="false">IF(A301="","",IF(G301="não","Sem tabela no Growths",IF(I301="","Sem campo no Growths",IF(J301=K301,"Importa direto","Ajustar tipo"))))</f>
        <v/>
      </c>
      <c r="M301" s="9"/>
    </row>
    <row r="302" customFormat="false" ht="15" hidden="false" customHeight="false" outlineLevel="0" collapsed="false">
      <c r="A302" s="7" t="str">
        <f aca="false">IF('Outro banco'!A302="","",IF(LEFT('Outro banco'!A302,1)="(","",'Outro banco'!A302))</f>
        <v/>
      </c>
      <c r="B302" s="7" t="str">
        <f aca="false">IF(A302="","",'Outro banco'!B302)</f>
        <v/>
      </c>
      <c r="C302" s="7" t="str">
        <f aca="false">IF(A302="","",'Outro banco'!C302)</f>
        <v/>
      </c>
      <c r="D302" s="7" t="str">
        <f aca="false">IF(A302="","",'Outro banco'!D302)</f>
        <v/>
      </c>
      <c r="E302" s="9"/>
      <c r="F302" s="9"/>
      <c r="G302" s="7" t="str">
        <f aca="false">IF(A302="","",IF(COUNTIF(Tabelas!$A:$A,IF(E302="",A302,E302))&gt;0,"sim","não"))</f>
        <v/>
      </c>
      <c r="H302" s="7" t="str">
        <f aca="false">IF(A302="","",IF(E302="",A302,E302)&amp;"."&amp;IF(F302="",B302,F302))</f>
        <v/>
      </c>
      <c r="I302" s="7" t="str">
        <f aca="false">IF(A302="","",IFERROR(INDEX('Campos Growths'!$F:$F,MATCH(H302,'Campos Growths'!$A:$A,0)),""))</f>
        <v/>
      </c>
      <c r="J302" s="7" t="str">
        <f aca="false">IF(A302="","",IFERROR(VLOOKUP(IF(ISNUMBER(SEARCH("(",C302)),LEFT(C302,SEARCH("(",C302)-1),C302),Tipos!$A:$B,2,FALSE()),"outro"))</f>
        <v/>
      </c>
      <c r="K302" s="7" t="str">
        <f aca="false">IF(I302="","",IFERROR(INDEX('Campos Growths'!$L:$L,MATCH(H302,'Campos Growths'!$A:$A,0)),""))</f>
        <v/>
      </c>
      <c r="L302" s="7" t="str">
        <f aca="false">IF(A302="","",IF(G302="não","Sem tabela no Growths",IF(I302="","Sem campo no Growths",IF(J302=K302,"Importa direto","Ajustar tipo"))))</f>
        <v/>
      </c>
      <c r="M302" s="9"/>
    </row>
    <row r="303" customFormat="false" ht="15" hidden="false" customHeight="false" outlineLevel="0" collapsed="false">
      <c r="A303" s="7" t="str">
        <f aca="false">IF('Outro banco'!A303="","",IF(LEFT('Outro banco'!A303,1)="(","",'Outro banco'!A303))</f>
        <v/>
      </c>
      <c r="B303" s="7" t="str">
        <f aca="false">IF(A303="","",'Outro banco'!B303)</f>
        <v/>
      </c>
      <c r="C303" s="7" t="str">
        <f aca="false">IF(A303="","",'Outro banco'!C303)</f>
        <v/>
      </c>
      <c r="D303" s="7" t="str">
        <f aca="false">IF(A303="","",'Outro banco'!D303)</f>
        <v/>
      </c>
      <c r="E303" s="9"/>
      <c r="F303" s="9"/>
      <c r="G303" s="7" t="str">
        <f aca="false">IF(A303="","",IF(COUNTIF(Tabelas!$A:$A,IF(E303="",A303,E303))&gt;0,"sim","não"))</f>
        <v/>
      </c>
      <c r="H303" s="7" t="str">
        <f aca="false">IF(A303="","",IF(E303="",A303,E303)&amp;"."&amp;IF(F303="",B303,F303))</f>
        <v/>
      </c>
      <c r="I303" s="7" t="str">
        <f aca="false">IF(A303="","",IFERROR(INDEX('Campos Growths'!$F:$F,MATCH(H303,'Campos Growths'!$A:$A,0)),""))</f>
        <v/>
      </c>
      <c r="J303" s="7" t="str">
        <f aca="false">IF(A303="","",IFERROR(VLOOKUP(IF(ISNUMBER(SEARCH("(",C303)),LEFT(C303,SEARCH("(",C303)-1),C303),Tipos!$A:$B,2,FALSE()),"outro"))</f>
        <v/>
      </c>
      <c r="K303" s="7" t="str">
        <f aca="false">IF(I303="","",IFERROR(INDEX('Campos Growths'!$L:$L,MATCH(H303,'Campos Growths'!$A:$A,0)),""))</f>
        <v/>
      </c>
      <c r="L303" s="7" t="str">
        <f aca="false">IF(A303="","",IF(G303="não","Sem tabela no Growths",IF(I303="","Sem campo no Growths",IF(J303=K303,"Importa direto","Ajustar tipo"))))</f>
        <v/>
      </c>
      <c r="M303" s="9"/>
    </row>
    <row r="304" customFormat="false" ht="15" hidden="false" customHeight="false" outlineLevel="0" collapsed="false">
      <c r="A304" s="7" t="str">
        <f aca="false">IF('Outro banco'!A304="","",IF(LEFT('Outro banco'!A304,1)="(","",'Outro banco'!A304))</f>
        <v/>
      </c>
      <c r="B304" s="7" t="str">
        <f aca="false">IF(A304="","",'Outro banco'!B304)</f>
        <v/>
      </c>
      <c r="C304" s="7" t="str">
        <f aca="false">IF(A304="","",'Outro banco'!C304)</f>
        <v/>
      </c>
      <c r="D304" s="7" t="str">
        <f aca="false">IF(A304="","",'Outro banco'!D304)</f>
        <v/>
      </c>
      <c r="E304" s="9"/>
      <c r="F304" s="9"/>
      <c r="G304" s="7" t="str">
        <f aca="false">IF(A304="","",IF(COUNTIF(Tabelas!$A:$A,IF(E304="",A304,E304))&gt;0,"sim","não"))</f>
        <v/>
      </c>
      <c r="H304" s="7" t="str">
        <f aca="false">IF(A304="","",IF(E304="",A304,E304)&amp;"."&amp;IF(F304="",B304,F304))</f>
        <v/>
      </c>
      <c r="I304" s="7" t="str">
        <f aca="false">IF(A304="","",IFERROR(INDEX('Campos Growths'!$F:$F,MATCH(H304,'Campos Growths'!$A:$A,0)),""))</f>
        <v/>
      </c>
      <c r="J304" s="7" t="str">
        <f aca="false">IF(A304="","",IFERROR(VLOOKUP(IF(ISNUMBER(SEARCH("(",C304)),LEFT(C304,SEARCH("(",C304)-1),C304),Tipos!$A:$B,2,FALSE()),"outro"))</f>
        <v/>
      </c>
      <c r="K304" s="7" t="str">
        <f aca="false">IF(I304="","",IFERROR(INDEX('Campos Growths'!$L:$L,MATCH(H304,'Campos Growths'!$A:$A,0)),""))</f>
        <v/>
      </c>
      <c r="L304" s="7" t="str">
        <f aca="false">IF(A304="","",IF(G304="não","Sem tabela no Growths",IF(I304="","Sem campo no Growths",IF(J304=K304,"Importa direto","Ajustar tipo"))))</f>
        <v/>
      </c>
      <c r="M304" s="9"/>
    </row>
    <row r="305" customFormat="false" ht="15" hidden="false" customHeight="false" outlineLevel="0" collapsed="false">
      <c r="A305" s="7" t="str">
        <f aca="false">IF('Outro banco'!A305="","",IF(LEFT('Outro banco'!A305,1)="(","",'Outro banco'!A305))</f>
        <v/>
      </c>
      <c r="B305" s="7" t="str">
        <f aca="false">IF(A305="","",'Outro banco'!B305)</f>
        <v/>
      </c>
      <c r="C305" s="7" t="str">
        <f aca="false">IF(A305="","",'Outro banco'!C305)</f>
        <v/>
      </c>
      <c r="D305" s="7" t="str">
        <f aca="false">IF(A305="","",'Outro banco'!D305)</f>
        <v/>
      </c>
      <c r="E305" s="9"/>
      <c r="F305" s="9"/>
      <c r="G305" s="7" t="str">
        <f aca="false">IF(A305="","",IF(COUNTIF(Tabelas!$A:$A,IF(E305="",A305,E305))&gt;0,"sim","não"))</f>
        <v/>
      </c>
      <c r="H305" s="7" t="str">
        <f aca="false">IF(A305="","",IF(E305="",A305,E305)&amp;"."&amp;IF(F305="",B305,F305))</f>
        <v/>
      </c>
      <c r="I305" s="7" t="str">
        <f aca="false">IF(A305="","",IFERROR(INDEX('Campos Growths'!$F:$F,MATCH(H305,'Campos Growths'!$A:$A,0)),""))</f>
        <v/>
      </c>
      <c r="J305" s="7" t="str">
        <f aca="false">IF(A305="","",IFERROR(VLOOKUP(IF(ISNUMBER(SEARCH("(",C305)),LEFT(C305,SEARCH("(",C305)-1),C305),Tipos!$A:$B,2,FALSE()),"outro"))</f>
        <v/>
      </c>
      <c r="K305" s="7" t="str">
        <f aca="false">IF(I305="","",IFERROR(INDEX('Campos Growths'!$L:$L,MATCH(H305,'Campos Growths'!$A:$A,0)),""))</f>
        <v/>
      </c>
      <c r="L305" s="7" t="str">
        <f aca="false">IF(A305="","",IF(G305="não","Sem tabela no Growths",IF(I305="","Sem campo no Growths",IF(J305=K305,"Importa direto","Ajustar tipo"))))</f>
        <v/>
      </c>
      <c r="M305" s="9"/>
    </row>
    <row r="306" customFormat="false" ht="15" hidden="false" customHeight="false" outlineLevel="0" collapsed="false">
      <c r="A306" s="7" t="str">
        <f aca="false">IF('Outro banco'!A306="","",IF(LEFT('Outro banco'!A306,1)="(","",'Outro banco'!A306))</f>
        <v/>
      </c>
      <c r="B306" s="7" t="str">
        <f aca="false">IF(A306="","",'Outro banco'!B306)</f>
        <v/>
      </c>
      <c r="C306" s="7" t="str">
        <f aca="false">IF(A306="","",'Outro banco'!C306)</f>
        <v/>
      </c>
      <c r="D306" s="7" t="str">
        <f aca="false">IF(A306="","",'Outro banco'!D306)</f>
        <v/>
      </c>
      <c r="E306" s="9"/>
      <c r="F306" s="9"/>
      <c r="G306" s="7" t="str">
        <f aca="false">IF(A306="","",IF(COUNTIF(Tabelas!$A:$A,IF(E306="",A306,E306))&gt;0,"sim","não"))</f>
        <v/>
      </c>
      <c r="H306" s="7" t="str">
        <f aca="false">IF(A306="","",IF(E306="",A306,E306)&amp;"."&amp;IF(F306="",B306,F306))</f>
        <v/>
      </c>
      <c r="I306" s="7" t="str">
        <f aca="false">IF(A306="","",IFERROR(INDEX('Campos Growths'!$F:$F,MATCH(H306,'Campos Growths'!$A:$A,0)),""))</f>
        <v/>
      </c>
      <c r="J306" s="7" t="str">
        <f aca="false">IF(A306="","",IFERROR(VLOOKUP(IF(ISNUMBER(SEARCH("(",C306)),LEFT(C306,SEARCH("(",C306)-1),C306),Tipos!$A:$B,2,FALSE()),"outro"))</f>
        <v/>
      </c>
      <c r="K306" s="7" t="str">
        <f aca="false">IF(I306="","",IFERROR(INDEX('Campos Growths'!$L:$L,MATCH(H306,'Campos Growths'!$A:$A,0)),""))</f>
        <v/>
      </c>
      <c r="L306" s="7" t="str">
        <f aca="false">IF(A306="","",IF(G306="não","Sem tabela no Growths",IF(I306="","Sem campo no Growths",IF(J306=K306,"Importa direto","Ajustar tipo"))))</f>
        <v/>
      </c>
      <c r="M306" s="9"/>
    </row>
    <row r="307" customFormat="false" ht="15" hidden="false" customHeight="false" outlineLevel="0" collapsed="false">
      <c r="A307" s="7" t="str">
        <f aca="false">IF('Outro banco'!A307="","",IF(LEFT('Outro banco'!A307,1)="(","",'Outro banco'!A307))</f>
        <v/>
      </c>
      <c r="B307" s="7" t="str">
        <f aca="false">IF(A307="","",'Outro banco'!B307)</f>
        <v/>
      </c>
      <c r="C307" s="7" t="str">
        <f aca="false">IF(A307="","",'Outro banco'!C307)</f>
        <v/>
      </c>
      <c r="D307" s="7" t="str">
        <f aca="false">IF(A307="","",'Outro banco'!D307)</f>
        <v/>
      </c>
      <c r="E307" s="9"/>
      <c r="F307" s="9"/>
      <c r="G307" s="7" t="str">
        <f aca="false">IF(A307="","",IF(COUNTIF(Tabelas!$A:$A,IF(E307="",A307,E307))&gt;0,"sim","não"))</f>
        <v/>
      </c>
      <c r="H307" s="7" t="str">
        <f aca="false">IF(A307="","",IF(E307="",A307,E307)&amp;"."&amp;IF(F307="",B307,F307))</f>
        <v/>
      </c>
      <c r="I307" s="7" t="str">
        <f aca="false">IF(A307="","",IFERROR(INDEX('Campos Growths'!$F:$F,MATCH(H307,'Campos Growths'!$A:$A,0)),""))</f>
        <v/>
      </c>
      <c r="J307" s="7" t="str">
        <f aca="false">IF(A307="","",IFERROR(VLOOKUP(IF(ISNUMBER(SEARCH("(",C307)),LEFT(C307,SEARCH("(",C307)-1),C307),Tipos!$A:$B,2,FALSE()),"outro"))</f>
        <v/>
      </c>
      <c r="K307" s="7" t="str">
        <f aca="false">IF(I307="","",IFERROR(INDEX('Campos Growths'!$L:$L,MATCH(H307,'Campos Growths'!$A:$A,0)),""))</f>
        <v/>
      </c>
      <c r="L307" s="7" t="str">
        <f aca="false">IF(A307="","",IF(G307="não","Sem tabela no Growths",IF(I307="","Sem campo no Growths",IF(J307=K307,"Importa direto","Ajustar tipo"))))</f>
        <v/>
      </c>
      <c r="M307" s="9"/>
    </row>
    <row r="308" customFormat="false" ht="15" hidden="false" customHeight="false" outlineLevel="0" collapsed="false">
      <c r="A308" s="7" t="str">
        <f aca="false">IF('Outro banco'!A308="","",IF(LEFT('Outro banco'!A308,1)="(","",'Outro banco'!A308))</f>
        <v/>
      </c>
      <c r="B308" s="7" t="str">
        <f aca="false">IF(A308="","",'Outro banco'!B308)</f>
        <v/>
      </c>
      <c r="C308" s="7" t="str">
        <f aca="false">IF(A308="","",'Outro banco'!C308)</f>
        <v/>
      </c>
      <c r="D308" s="7" t="str">
        <f aca="false">IF(A308="","",'Outro banco'!D308)</f>
        <v/>
      </c>
      <c r="E308" s="9"/>
      <c r="F308" s="9"/>
      <c r="G308" s="7" t="str">
        <f aca="false">IF(A308="","",IF(COUNTIF(Tabelas!$A:$A,IF(E308="",A308,E308))&gt;0,"sim","não"))</f>
        <v/>
      </c>
      <c r="H308" s="7" t="str">
        <f aca="false">IF(A308="","",IF(E308="",A308,E308)&amp;"."&amp;IF(F308="",B308,F308))</f>
        <v/>
      </c>
      <c r="I308" s="7" t="str">
        <f aca="false">IF(A308="","",IFERROR(INDEX('Campos Growths'!$F:$F,MATCH(H308,'Campos Growths'!$A:$A,0)),""))</f>
        <v/>
      </c>
      <c r="J308" s="7" t="str">
        <f aca="false">IF(A308="","",IFERROR(VLOOKUP(IF(ISNUMBER(SEARCH("(",C308)),LEFT(C308,SEARCH("(",C308)-1),C308),Tipos!$A:$B,2,FALSE()),"outro"))</f>
        <v/>
      </c>
      <c r="K308" s="7" t="str">
        <f aca="false">IF(I308="","",IFERROR(INDEX('Campos Growths'!$L:$L,MATCH(H308,'Campos Growths'!$A:$A,0)),""))</f>
        <v/>
      </c>
      <c r="L308" s="7" t="str">
        <f aca="false">IF(A308="","",IF(G308="não","Sem tabela no Growths",IF(I308="","Sem campo no Growths",IF(J308=K308,"Importa direto","Ajustar tipo"))))</f>
        <v/>
      </c>
      <c r="M308" s="9"/>
    </row>
    <row r="309" customFormat="false" ht="15" hidden="false" customHeight="false" outlineLevel="0" collapsed="false">
      <c r="A309" s="7" t="str">
        <f aca="false">IF('Outro banco'!A309="","",IF(LEFT('Outro banco'!A309,1)="(","",'Outro banco'!A309))</f>
        <v/>
      </c>
      <c r="B309" s="7" t="str">
        <f aca="false">IF(A309="","",'Outro banco'!B309)</f>
        <v/>
      </c>
      <c r="C309" s="7" t="str">
        <f aca="false">IF(A309="","",'Outro banco'!C309)</f>
        <v/>
      </c>
      <c r="D309" s="7" t="str">
        <f aca="false">IF(A309="","",'Outro banco'!D309)</f>
        <v/>
      </c>
      <c r="E309" s="9"/>
      <c r="F309" s="9"/>
      <c r="G309" s="7" t="str">
        <f aca="false">IF(A309="","",IF(COUNTIF(Tabelas!$A:$A,IF(E309="",A309,E309))&gt;0,"sim","não"))</f>
        <v/>
      </c>
      <c r="H309" s="7" t="str">
        <f aca="false">IF(A309="","",IF(E309="",A309,E309)&amp;"."&amp;IF(F309="",B309,F309))</f>
        <v/>
      </c>
      <c r="I309" s="7" t="str">
        <f aca="false">IF(A309="","",IFERROR(INDEX('Campos Growths'!$F:$F,MATCH(H309,'Campos Growths'!$A:$A,0)),""))</f>
        <v/>
      </c>
      <c r="J309" s="7" t="str">
        <f aca="false">IF(A309="","",IFERROR(VLOOKUP(IF(ISNUMBER(SEARCH("(",C309)),LEFT(C309,SEARCH("(",C309)-1),C309),Tipos!$A:$B,2,FALSE()),"outro"))</f>
        <v/>
      </c>
      <c r="K309" s="7" t="str">
        <f aca="false">IF(I309="","",IFERROR(INDEX('Campos Growths'!$L:$L,MATCH(H309,'Campos Growths'!$A:$A,0)),""))</f>
        <v/>
      </c>
      <c r="L309" s="7" t="str">
        <f aca="false">IF(A309="","",IF(G309="não","Sem tabela no Growths",IF(I309="","Sem campo no Growths",IF(J309=K309,"Importa direto","Ajustar tipo"))))</f>
        <v/>
      </c>
      <c r="M309" s="9"/>
    </row>
    <row r="310" customFormat="false" ht="15" hidden="false" customHeight="false" outlineLevel="0" collapsed="false">
      <c r="A310" s="7" t="str">
        <f aca="false">IF('Outro banco'!A310="","",IF(LEFT('Outro banco'!A310,1)="(","",'Outro banco'!A310))</f>
        <v/>
      </c>
      <c r="B310" s="7" t="str">
        <f aca="false">IF(A310="","",'Outro banco'!B310)</f>
        <v/>
      </c>
      <c r="C310" s="7" t="str">
        <f aca="false">IF(A310="","",'Outro banco'!C310)</f>
        <v/>
      </c>
      <c r="D310" s="7" t="str">
        <f aca="false">IF(A310="","",'Outro banco'!D310)</f>
        <v/>
      </c>
      <c r="E310" s="9"/>
      <c r="F310" s="9"/>
      <c r="G310" s="7" t="str">
        <f aca="false">IF(A310="","",IF(COUNTIF(Tabelas!$A:$A,IF(E310="",A310,E310))&gt;0,"sim","não"))</f>
        <v/>
      </c>
      <c r="H310" s="7" t="str">
        <f aca="false">IF(A310="","",IF(E310="",A310,E310)&amp;"."&amp;IF(F310="",B310,F310))</f>
        <v/>
      </c>
      <c r="I310" s="7" t="str">
        <f aca="false">IF(A310="","",IFERROR(INDEX('Campos Growths'!$F:$F,MATCH(H310,'Campos Growths'!$A:$A,0)),""))</f>
        <v/>
      </c>
      <c r="J310" s="7" t="str">
        <f aca="false">IF(A310="","",IFERROR(VLOOKUP(IF(ISNUMBER(SEARCH("(",C310)),LEFT(C310,SEARCH("(",C310)-1),C310),Tipos!$A:$B,2,FALSE()),"outro"))</f>
        <v/>
      </c>
      <c r="K310" s="7" t="str">
        <f aca="false">IF(I310="","",IFERROR(INDEX('Campos Growths'!$L:$L,MATCH(H310,'Campos Growths'!$A:$A,0)),""))</f>
        <v/>
      </c>
      <c r="L310" s="7" t="str">
        <f aca="false">IF(A310="","",IF(G310="não","Sem tabela no Growths",IF(I310="","Sem campo no Growths",IF(J310=K310,"Importa direto","Ajustar tipo"))))</f>
        <v/>
      </c>
      <c r="M310" s="9"/>
    </row>
    <row r="311" customFormat="false" ht="15" hidden="false" customHeight="false" outlineLevel="0" collapsed="false">
      <c r="A311" s="7" t="str">
        <f aca="false">IF('Outro banco'!A311="","",IF(LEFT('Outro banco'!A311,1)="(","",'Outro banco'!A311))</f>
        <v/>
      </c>
      <c r="B311" s="7" t="str">
        <f aca="false">IF(A311="","",'Outro banco'!B311)</f>
        <v/>
      </c>
      <c r="C311" s="7" t="str">
        <f aca="false">IF(A311="","",'Outro banco'!C311)</f>
        <v/>
      </c>
      <c r="D311" s="7" t="str">
        <f aca="false">IF(A311="","",'Outro banco'!D311)</f>
        <v/>
      </c>
      <c r="E311" s="9"/>
      <c r="F311" s="9"/>
      <c r="G311" s="7" t="str">
        <f aca="false">IF(A311="","",IF(COUNTIF(Tabelas!$A:$A,IF(E311="",A311,E311))&gt;0,"sim","não"))</f>
        <v/>
      </c>
      <c r="H311" s="7" t="str">
        <f aca="false">IF(A311="","",IF(E311="",A311,E311)&amp;"."&amp;IF(F311="",B311,F311))</f>
        <v/>
      </c>
      <c r="I311" s="7" t="str">
        <f aca="false">IF(A311="","",IFERROR(INDEX('Campos Growths'!$F:$F,MATCH(H311,'Campos Growths'!$A:$A,0)),""))</f>
        <v/>
      </c>
      <c r="J311" s="7" t="str">
        <f aca="false">IF(A311="","",IFERROR(VLOOKUP(IF(ISNUMBER(SEARCH("(",C311)),LEFT(C311,SEARCH("(",C311)-1),C311),Tipos!$A:$B,2,FALSE()),"outro"))</f>
        <v/>
      </c>
      <c r="K311" s="7" t="str">
        <f aca="false">IF(I311="","",IFERROR(INDEX('Campos Growths'!$L:$L,MATCH(H311,'Campos Growths'!$A:$A,0)),""))</f>
        <v/>
      </c>
      <c r="L311" s="7" t="str">
        <f aca="false">IF(A311="","",IF(G311="não","Sem tabela no Growths",IF(I311="","Sem campo no Growths",IF(J311=K311,"Importa direto","Ajustar tipo"))))</f>
        <v/>
      </c>
      <c r="M311" s="9"/>
    </row>
    <row r="312" customFormat="false" ht="15" hidden="false" customHeight="false" outlineLevel="0" collapsed="false">
      <c r="A312" s="7" t="str">
        <f aca="false">IF('Outro banco'!A312="","",IF(LEFT('Outro banco'!A312,1)="(","",'Outro banco'!A312))</f>
        <v/>
      </c>
      <c r="B312" s="7" t="str">
        <f aca="false">IF(A312="","",'Outro banco'!B312)</f>
        <v/>
      </c>
      <c r="C312" s="7" t="str">
        <f aca="false">IF(A312="","",'Outro banco'!C312)</f>
        <v/>
      </c>
      <c r="D312" s="7" t="str">
        <f aca="false">IF(A312="","",'Outro banco'!D312)</f>
        <v/>
      </c>
      <c r="E312" s="9"/>
      <c r="F312" s="9"/>
      <c r="G312" s="7" t="str">
        <f aca="false">IF(A312="","",IF(COUNTIF(Tabelas!$A:$A,IF(E312="",A312,E312))&gt;0,"sim","não"))</f>
        <v/>
      </c>
      <c r="H312" s="7" t="str">
        <f aca="false">IF(A312="","",IF(E312="",A312,E312)&amp;"."&amp;IF(F312="",B312,F312))</f>
        <v/>
      </c>
      <c r="I312" s="7" t="str">
        <f aca="false">IF(A312="","",IFERROR(INDEX('Campos Growths'!$F:$F,MATCH(H312,'Campos Growths'!$A:$A,0)),""))</f>
        <v/>
      </c>
      <c r="J312" s="7" t="str">
        <f aca="false">IF(A312="","",IFERROR(VLOOKUP(IF(ISNUMBER(SEARCH("(",C312)),LEFT(C312,SEARCH("(",C312)-1),C312),Tipos!$A:$B,2,FALSE()),"outro"))</f>
        <v/>
      </c>
      <c r="K312" s="7" t="str">
        <f aca="false">IF(I312="","",IFERROR(INDEX('Campos Growths'!$L:$L,MATCH(H312,'Campos Growths'!$A:$A,0)),""))</f>
        <v/>
      </c>
      <c r="L312" s="7" t="str">
        <f aca="false">IF(A312="","",IF(G312="não","Sem tabela no Growths",IF(I312="","Sem campo no Growths",IF(J312=K312,"Importa direto","Ajustar tipo"))))</f>
        <v/>
      </c>
      <c r="M312" s="9"/>
    </row>
    <row r="313" customFormat="false" ht="15" hidden="false" customHeight="false" outlineLevel="0" collapsed="false">
      <c r="A313" s="7" t="str">
        <f aca="false">IF('Outro banco'!A313="","",IF(LEFT('Outro banco'!A313,1)="(","",'Outro banco'!A313))</f>
        <v/>
      </c>
      <c r="B313" s="7" t="str">
        <f aca="false">IF(A313="","",'Outro banco'!B313)</f>
        <v/>
      </c>
      <c r="C313" s="7" t="str">
        <f aca="false">IF(A313="","",'Outro banco'!C313)</f>
        <v/>
      </c>
      <c r="D313" s="7" t="str">
        <f aca="false">IF(A313="","",'Outro banco'!D313)</f>
        <v/>
      </c>
      <c r="E313" s="9"/>
      <c r="F313" s="9"/>
      <c r="G313" s="7" t="str">
        <f aca="false">IF(A313="","",IF(COUNTIF(Tabelas!$A:$A,IF(E313="",A313,E313))&gt;0,"sim","não"))</f>
        <v/>
      </c>
      <c r="H313" s="7" t="str">
        <f aca="false">IF(A313="","",IF(E313="",A313,E313)&amp;"."&amp;IF(F313="",B313,F313))</f>
        <v/>
      </c>
      <c r="I313" s="7" t="str">
        <f aca="false">IF(A313="","",IFERROR(INDEX('Campos Growths'!$F:$F,MATCH(H313,'Campos Growths'!$A:$A,0)),""))</f>
        <v/>
      </c>
      <c r="J313" s="7" t="str">
        <f aca="false">IF(A313="","",IFERROR(VLOOKUP(IF(ISNUMBER(SEARCH("(",C313)),LEFT(C313,SEARCH("(",C313)-1),C313),Tipos!$A:$B,2,FALSE()),"outro"))</f>
        <v/>
      </c>
      <c r="K313" s="7" t="str">
        <f aca="false">IF(I313="","",IFERROR(INDEX('Campos Growths'!$L:$L,MATCH(H313,'Campos Growths'!$A:$A,0)),""))</f>
        <v/>
      </c>
      <c r="L313" s="7" t="str">
        <f aca="false">IF(A313="","",IF(G313="não","Sem tabela no Growths",IF(I313="","Sem campo no Growths",IF(J313=K313,"Importa direto","Ajustar tipo"))))</f>
        <v/>
      </c>
      <c r="M313" s="9"/>
    </row>
    <row r="314" customFormat="false" ht="15" hidden="false" customHeight="false" outlineLevel="0" collapsed="false">
      <c r="A314" s="7" t="str">
        <f aca="false">IF('Outro banco'!A314="","",IF(LEFT('Outro banco'!A314,1)="(","",'Outro banco'!A314))</f>
        <v/>
      </c>
      <c r="B314" s="7" t="str">
        <f aca="false">IF(A314="","",'Outro banco'!B314)</f>
        <v/>
      </c>
      <c r="C314" s="7" t="str">
        <f aca="false">IF(A314="","",'Outro banco'!C314)</f>
        <v/>
      </c>
      <c r="D314" s="7" t="str">
        <f aca="false">IF(A314="","",'Outro banco'!D314)</f>
        <v/>
      </c>
      <c r="E314" s="9"/>
      <c r="F314" s="9"/>
      <c r="G314" s="7" t="str">
        <f aca="false">IF(A314="","",IF(COUNTIF(Tabelas!$A:$A,IF(E314="",A314,E314))&gt;0,"sim","não"))</f>
        <v/>
      </c>
      <c r="H314" s="7" t="str">
        <f aca="false">IF(A314="","",IF(E314="",A314,E314)&amp;"."&amp;IF(F314="",B314,F314))</f>
        <v/>
      </c>
      <c r="I314" s="7" t="str">
        <f aca="false">IF(A314="","",IFERROR(INDEX('Campos Growths'!$F:$F,MATCH(H314,'Campos Growths'!$A:$A,0)),""))</f>
        <v/>
      </c>
      <c r="J314" s="7" t="str">
        <f aca="false">IF(A314="","",IFERROR(VLOOKUP(IF(ISNUMBER(SEARCH("(",C314)),LEFT(C314,SEARCH("(",C314)-1),C314),Tipos!$A:$B,2,FALSE()),"outro"))</f>
        <v/>
      </c>
      <c r="K314" s="7" t="str">
        <f aca="false">IF(I314="","",IFERROR(INDEX('Campos Growths'!$L:$L,MATCH(H314,'Campos Growths'!$A:$A,0)),""))</f>
        <v/>
      </c>
      <c r="L314" s="7" t="str">
        <f aca="false">IF(A314="","",IF(G314="não","Sem tabela no Growths",IF(I314="","Sem campo no Growths",IF(J314=K314,"Importa direto","Ajustar tipo"))))</f>
        <v/>
      </c>
      <c r="M314" s="9"/>
    </row>
    <row r="315" customFormat="false" ht="15" hidden="false" customHeight="false" outlineLevel="0" collapsed="false">
      <c r="A315" s="7" t="str">
        <f aca="false">IF('Outro banco'!A315="","",IF(LEFT('Outro banco'!A315,1)="(","",'Outro banco'!A315))</f>
        <v/>
      </c>
      <c r="B315" s="7" t="str">
        <f aca="false">IF(A315="","",'Outro banco'!B315)</f>
        <v/>
      </c>
      <c r="C315" s="7" t="str">
        <f aca="false">IF(A315="","",'Outro banco'!C315)</f>
        <v/>
      </c>
      <c r="D315" s="7" t="str">
        <f aca="false">IF(A315="","",'Outro banco'!D315)</f>
        <v/>
      </c>
      <c r="E315" s="9"/>
      <c r="F315" s="9"/>
      <c r="G315" s="7" t="str">
        <f aca="false">IF(A315="","",IF(COUNTIF(Tabelas!$A:$A,IF(E315="",A315,E315))&gt;0,"sim","não"))</f>
        <v/>
      </c>
      <c r="H315" s="7" t="str">
        <f aca="false">IF(A315="","",IF(E315="",A315,E315)&amp;"."&amp;IF(F315="",B315,F315))</f>
        <v/>
      </c>
      <c r="I315" s="7" t="str">
        <f aca="false">IF(A315="","",IFERROR(INDEX('Campos Growths'!$F:$F,MATCH(H315,'Campos Growths'!$A:$A,0)),""))</f>
        <v/>
      </c>
      <c r="J315" s="7" t="str">
        <f aca="false">IF(A315="","",IFERROR(VLOOKUP(IF(ISNUMBER(SEARCH("(",C315)),LEFT(C315,SEARCH("(",C315)-1),C315),Tipos!$A:$B,2,FALSE()),"outro"))</f>
        <v/>
      </c>
      <c r="K315" s="7" t="str">
        <f aca="false">IF(I315="","",IFERROR(INDEX('Campos Growths'!$L:$L,MATCH(H315,'Campos Growths'!$A:$A,0)),""))</f>
        <v/>
      </c>
      <c r="L315" s="7" t="str">
        <f aca="false">IF(A315="","",IF(G315="não","Sem tabela no Growths",IF(I315="","Sem campo no Growths",IF(J315=K315,"Importa direto","Ajustar tipo"))))</f>
        <v/>
      </c>
      <c r="M315" s="9"/>
    </row>
    <row r="316" customFormat="false" ht="15" hidden="false" customHeight="false" outlineLevel="0" collapsed="false">
      <c r="A316" s="7" t="str">
        <f aca="false">IF('Outro banco'!A316="","",IF(LEFT('Outro banco'!A316,1)="(","",'Outro banco'!A316))</f>
        <v/>
      </c>
      <c r="B316" s="7" t="str">
        <f aca="false">IF(A316="","",'Outro banco'!B316)</f>
        <v/>
      </c>
      <c r="C316" s="7" t="str">
        <f aca="false">IF(A316="","",'Outro banco'!C316)</f>
        <v/>
      </c>
      <c r="D316" s="7" t="str">
        <f aca="false">IF(A316="","",'Outro banco'!D316)</f>
        <v/>
      </c>
      <c r="E316" s="9"/>
      <c r="F316" s="9"/>
      <c r="G316" s="7" t="str">
        <f aca="false">IF(A316="","",IF(COUNTIF(Tabelas!$A:$A,IF(E316="",A316,E316))&gt;0,"sim","não"))</f>
        <v/>
      </c>
      <c r="H316" s="7" t="str">
        <f aca="false">IF(A316="","",IF(E316="",A316,E316)&amp;"."&amp;IF(F316="",B316,F316))</f>
        <v/>
      </c>
      <c r="I316" s="7" t="str">
        <f aca="false">IF(A316="","",IFERROR(INDEX('Campos Growths'!$F:$F,MATCH(H316,'Campos Growths'!$A:$A,0)),""))</f>
        <v/>
      </c>
      <c r="J316" s="7" t="str">
        <f aca="false">IF(A316="","",IFERROR(VLOOKUP(IF(ISNUMBER(SEARCH("(",C316)),LEFT(C316,SEARCH("(",C316)-1),C316),Tipos!$A:$B,2,FALSE()),"outro"))</f>
        <v/>
      </c>
      <c r="K316" s="7" t="str">
        <f aca="false">IF(I316="","",IFERROR(INDEX('Campos Growths'!$L:$L,MATCH(H316,'Campos Growths'!$A:$A,0)),""))</f>
        <v/>
      </c>
      <c r="L316" s="7" t="str">
        <f aca="false">IF(A316="","",IF(G316="não","Sem tabela no Growths",IF(I316="","Sem campo no Growths",IF(J316=K316,"Importa direto","Ajustar tipo"))))</f>
        <v/>
      </c>
      <c r="M316" s="9"/>
    </row>
    <row r="317" customFormat="false" ht="15" hidden="false" customHeight="false" outlineLevel="0" collapsed="false">
      <c r="A317" s="7" t="str">
        <f aca="false">IF('Outro banco'!A317="","",IF(LEFT('Outro banco'!A317,1)="(","",'Outro banco'!A317))</f>
        <v/>
      </c>
      <c r="B317" s="7" t="str">
        <f aca="false">IF(A317="","",'Outro banco'!B317)</f>
        <v/>
      </c>
      <c r="C317" s="7" t="str">
        <f aca="false">IF(A317="","",'Outro banco'!C317)</f>
        <v/>
      </c>
      <c r="D317" s="7" t="str">
        <f aca="false">IF(A317="","",'Outro banco'!D317)</f>
        <v/>
      </c>
      <c r="E317" s="9"/>
      <c r="F317" s="9"/>
      <c r="G317" s="7" t="str">
        <f aca="false">IF(A317="","",IF(COUNTIF(Tabelas!$A:$A,IF(E317="",A317,E317))&gt;0,"sim","não"))</f>
        <v/>
      </c>
      <c r="H317" s="7" t="str">
        <f aca="false">IF(A317="","",IF(E317="",A317,E317)&amp;"."&amp;IF(F317="",B317,F317))</f>
        <v/>
      </c>
      <c r="I317" s="7" t="str">
        <f aca="false">IF(A317="","",IFERROR(INDEX('Campos Growths'!$F:$F,MATCH(H317,'Campos Growths'!$A:$A,0)),""))</f>
        <v/>
      </c>
      <c r="J317" s="7" t="str">
        <f aca="false">IF(A317="","",IFERROR(VLOOKUP(IF(ISNUMBER(SEARCH("(",C317)),LEFT(C317,SEARCH("(",C317)-1),C317),Tipos!$A:$B,2,FALSE()),"outro"))</f>
        <v/>
      </c>
      <c r="K317" s="7" t="str">
        <f aca="false">IF(I317="","",IFERROR(INDEX('Campos Growths'!$L:$L,MATCH(H317,'Campos Growths'!$A:$A,0)),""))</f>
        <v/>
      </c>
      <c r="L317" s="7" t="str">
        <f aca="false">IF(A317="","",IF(G317="não","Sem tabela no Growths",IF(I317="","Sem campo no Growths",IF(J317=K317,"Importa direto","Ajustar tipo"))))</f>
        <v/>
      </c>
      <c r="M317" s="9"/>
    </row>
    <row r="318" customFormat="false" ht="15" hidden="false" customHeight="false" outlineLevel="0" collapsed="false">
      <c r="A318" s="7" t="str">
        <f aca="false">IF('Outro banco'!A318="","",IF(LEFT('Outro banco'!A318,1)="(","",'Outro banco'!A318))</f>
        <v/>
      </c>
      <c r="B318" s="7" t="str">
        <f aca="false">IF(A318="","",'Outro banco'!B318)</f>
        <v/>
      </c>
      <c r="C318" s="7" t="str">
        <f aca="false">IF(A318="","",'Outro banco'!C318)</f>
        <v/>
      </c>
      <c r="D318" s="7" t="str">
        <f aca="false">IF(A318="","",'Outro banco'!D318)</f>
        <v/>
      </c>
      <c r="E318" s="9"/>
      <c r="F318" s="9"/>
      <c r="G318" s="7" t="str">
        <f aca="false">IF(A318="","",IF(COUNTIF(Tabelas!$A:$A,IF(E318="",A318,E318))&gt;0,"sim","não"))</f>
        <v/>
      </c>
      <c r="H318" s="7" t="str">
        <f aca="false">IF(A318="","",IF(E318="",A318,E318)&amp;"."&amp;IF(F318="",B318,F318))</f>
        <v/>
      </c>
      <c r="I318" s="7" t="str">
        <f aca="false">IF(A318="","",IFERROR(INDEX('Campos Growths'!$F:$F,MATCH(H318,'Campos Growths'!$A:$A,0)),""))</f>
        <v/>
      </c>
      <c r="J318" s="7" t="str">
        <f aca="false">IF(A318="","",IFERROR(VLOOKUP(IF(ISNUMBER(SEARCH("(",C318)),LEFT(C318,SEARCH("(",C318)-1),C318),Tipos!$A:$B,2,FALSE()),"outro"))</f>
        <v/>
      </c>
      <c r="K318" s="7" t="str">
        <f aca="false">IF(I318="","",IFERROR(INDEX('Campos Growths'!$L:$L,MATCH(H318,'Campos Growths'!$A:$A,0)),""))</f>
        <v/>
      </c>
      <c r="L318" s="7" t="str">
        <f aca="false">IF(A318="","",IF(G318="não","Sem tabela no Growths",IF(I318="","Sem campo no Growths",IF(J318=K318,"Importa direto","Ajustar tipo"))))</f>
        <v/>
      </c>
      <c r="M318" s="9"/>
    </row>
    <row r="319" customFormat="false" ht="15" hidden="false" customHeight="false" outlineLevel="0" collapsed="false">
      <c r="A319" s="7" t="str">
        <f aca="false">IF('Outro banco'!A319="","",IF(LEFT('Outro banco'!A319,1)="(","",'Outro banco'!A319))</f>
        <v/>
      </c>
      <c r="B319" s="7" t="str">
        <f aca="false">IF(A319="","",'Outro banco'!B319)</f>
        <v/>
      </c>
      <c r="C319" s="7" t="str">
        <f aca="false">IF(A319="","",'Outro banco'!C319)</f>
        <v/>
      </c>
      <c r="D319" s="7" t="str">
        <f aca="false">IF(A319="","",'Outro banco'!D319)</f>
        <v/>
      </c>
      <c r="E319" s="9"/>
      <c r="F319" s="9"/>
      <c r="G319" s="7" t="str">
        <f aca="false">IF(A319="","",IF(COUNTIF(Tabelas!$A:$A,IF(E319="",A319,E319))&gt;0,"sim","não"))</f>
        <v/>
      </c>
      <c r="H319" s="7" t="str">
        <f aca="false">IF(A319="","",IF(E319="",A319,E319)&amp;"."&amp;IF(F319="",B319,F319))</f>
        <v/>
      </c>
      <c r="I319" s="7" t="str">
        <f aca="false">IF(A319="","",IFERROR(INDEX('Campos Growths'!$F:$F,MATCH(H319,'Campos Growths'!$A:$A,0)),""))</f>
        <v/>
      </c>
      <c r="J319" s="7" t="str">
        <f aca="false">IF(A319="","",IFERROR(VLOOKUP(IF(ISNUMBER(SEARCH("(",C319)),LEFT(C319,SEARCH("(",C319)-1),C319),Tipos!$A:$B,2,FALSE()),"outro"))</f>
        <v/>
      </c>
      <c r="K319" s="7" t="str">
        <f aca="false">IF(I319="","",IFERROR(INDEX('Campos Growths'!$L:$L,MATCH(H319,'Campos Growths'!$A:$A,0)),""))</f>
        <v/>
      </c>
      <c r="L319" s="7" t="str">
        <f aca="false">IF(A319="","",IF(G319="não","Sem tabela no Growths",IF(I319="","Sem campo no Growths",IF(J319=K319,"Importa direto","Ajustar tipo"))))</f>
        <v/>
      </c>
      <c r="M319" s="9"/>
    </row>
    <row r="320" customFormat="false" ht="15" hidden="false" customHeight="false" outlineLevel="0" collapsed="false">
      <c r="A320" s="7" t="str">
        <f aca="false">IF('Outro banco'!A320="","",IF(LEFT('Outro banco'!A320,1)="(","",'Outro banco'!A320))</f>
        <v/>
      </c>
      <c r="B320" s="7" t="str">
        <f aca="false">IF(A320="","",'Outro banco'!B320)</f>
        <v/>
      </c>
      <c r="C320" s="7" t="str">
        <f aca="false">IF(A320="","",'Outro banco'!C320)</f>
        <v/>
      </c>
      <c r="D320" s="7" t="str">
        <f aca="false">IF(A320="","",'Outro banco'!D320)</f>
        <v/>
      </c>
      <c r="E320" s="9"/>
      <c r="F320" s="9"/>
      <c r="G320" s="7" t="str">
        <f aca="false">IF(A320="","",IF(COUNTIF(Tabelas!$A:$A,IF(E320="",A320,E320))&gt;0,"sim","não"))</f>
        <v/>
      </c>
      <c r="H320" s="7" t="str">
        <f aca="false">IF(A320="","",IF(E320="",A320,E320)&amp;"."&amp;IF(F320="",B320,F320))</f>
        <v/>
      </c>
      <c r="I320" s="7" t="str">
        <f aca="false">IF(A320="","",IFERROR(INDEX('Campos Growths'!$F:$F,MATCH(H320,'Campos Growths'!$A:$A,0)),""))</f>
        <v/>
      </c>
      <c r="J320" s="7" t="str">
        <f aca="false">IF(A320="","",IFERROR(VLOOKUP(IF(ISNUMBER(SEARCH("(",C320)),LEFT(C320,SEARCH("(",C320)-1),C320),Tipos!$A:$B,2,FALSE()),"outro"))</f>
        <v/>
      </c>
      <c r="K320" s="7" t="str">
        <f aca="false">IF(I320="","",IFERROR(INDEX('Campos Growths'!$L:$L,MATCH(H320,'Campos Growths'!$A:$A,0)),""))</f>
        <v/>
      </c>
      <c r="L320" s="7" t="str">
        <f aca="false">IF(A320="","",IF(G320="não","Sem tabela no Growths",IF(I320="","Sem campo no Growths",IF(J320=K320,"Importa direto","Ajustar tipo"))))</f>
        <v/>
      </c>
      <c r="M320" s="9"/>
    </row>
    <row r="321" customFormat="false" ht="15" hidden="false" customHeight="false" outlineLevel="0" collapsed="false">
      <c r="A321" s="7" t="str">
        <f aca="false">IF('Outro banco'!A321="","",IF(LEFT('Outro banco'!A321,1)="(","",'Outro banco'!A321))</f>
        <v/>
      </c>
      <c r="B321" s="7" t="str">
        <f aca="false">IF(A321="","",'Outro banco'!B321)</f>
        <v/>
      </c>
      <c r="C321" s="7" t="str">
        <f aca="false">IF(A321="","",'Outro banco'!C321)</f>
        <v/>
      </c>
      <c r="D321" s="7" t="str">
        <f aca="false">IF(A321="","",'Outro banco'!D321)</f>
        <v/>
      </c>
      <c r="E321" s="9"/>
      <c r="F321" s="9"/>
      <c r="G321" s="7" t="str">
        <f aca="false">IF(A321="","",IF(COUNTIF(Tabelas!$A:$A,IF(E321="",A321,E321))&gt;0,"sim","não"))</f>
        <v/>
      </c>
      <c r="H321" s="7" t="str">
        <f aca="false">IF(A321="","",IF(E321="",A321,E321)&amp;"."&amp;IF(F321="",B321,F321))</f>
        <v/>
      </c>
      <c r="I321" s="7" t="str">
        <f aca="false">IF(A321="","",IFERROR(INDEX('Campos Growths'!$F:$F,MATCH(H321,'Campos Growths'!$A:$A,0)),""))</f>
        <v/>
      </c>
      <c r="J321" s="7" t="str">
        <f aca="false">IF(A321="","",IFERROR(VLOOKUP(IF(ISNUMBER(SEARCH("(",C321)),LEFT(C321,SEARCH("(",C321)-1),C321),Tipos!$A:$B,2,FALSE()),"outro"))</f>
        <v/>
      </c>
      <c r="K321" s="7" t="str">
        <f aca="false">IF(I321="","",IFERROR(INDEX('Campos Growths'!$L:$L,MATCH(H321,'Campos Growths'!$A:$A,0)),""))</f>
        <v/>
      </c>
      <c r="L321" s="7" t="str">
        <f aca="false">IF(A321="","",IF(G321="não","Sem tabela no Growths",IF(I321="","Sem campo no Growths",IF(J321=K321,"Importa direto","Ajustar tipo"))))</f>
        <v/>
      </c>
      <c r="M321" s="9"/>
    </row>
    <row r="322" customFormat="false" ht="15" hidden="false" customHeight="false" outlineLevel="0" collapsed="false">
      <c r="A322" s="7" t="str">
        <f aca="false">IF('Outro banco'!A322="","",IF(LEFT('Outro banco'!A322,1)="(","",'Outro banco'!A322))</f>
        <v/>
      </c>
      <c r="B322" s="7" t="str">
        <f aca="false">IF(A322="","",'Outro banco'!B322)</f>
        <v/>
      </c>
      <c r="C322" s="7" t="str">
        <f aca="false">IF(A322="","",'Outro banco'!C322)</f>
        <v/>
      </c>
      <c r="D322" s="7" t="str">
        <f aca="false">IF(A322="","",'Outro banco'!D322)</f>
        <v/>
      </c>
      <c r="E322" s="9"/>
      <c r="F322" s="9"/>
      <c r="G322" s="7" t="str">
        <f aca="false">IF(A322="","",IF(COUNTIF(Tabelas!$A:$A,IF(E322="",A322,E322))&gt;0,"sim","não"))</f>
        <v/>
      </c>
      <c r="H322" s="7" t="str">
        <f aca="false">IF(A322="","",IF(E322="",A322,E322)&amp;"."&amp;IF(F322="",B322,F322))</f>
        <v/>
      </c>
      <c r="I322" s="7" t="str">
        <f aca="false">IF(A322="","",IFERROR(INDEX('Campos Growths'!$F:$F,MATCH(H322,'Campos Growths'!$A:$A,0)),""))</f>
        <v/>
      </c>
      <c r="J322" s="7" t="str">
        <f aca="false">IF(A322="","",IFERROR(VLOOKUP(IF(ISNUMBER(SEARCH("(",C322)),LEFT(C322,SEARCH("(",C322)-1),C322),Tipos!$A:$B,2,FALSE()),"outro"))</f>
        <v/>
      </c>
      <c r="K322" s="7" t="str">
        <f aca="false">IF(I322="","",IFERROR(INDEX('Campos Growths'!$L:$L,MATCH(H322,'Campos Growths'!$A:$A,0)),""))</f>
        <v/>
      </c>
      <c r="L322" s="7" t="str">
        <f aca="false">IF(A322="","",IF(G322="não","Sem tabela no Growths",IF(I322="","Sem campo no Growths",IF(J322=K322,"Importa direto","Ajustar tipo"))))</f>
        <v/>
      </c>
      <c r="M322" s="9"/>
    </row>
    <row r="323" customFormat="false" ht="15" hidden="false" customHeight="false" outlineLevel="0" collapsed="false">
      <c r="A323" s="7" t="str">
        <f aca="false">IF('Outro banco'!A323="","",IF(LEFT('Outro banco'!A323,1)="(","",'Outro banco'!A323))</f>
        <v/>
      </c>
      <c r="B323" s="7" t="str">
        <f aca="false">IF(A323="","",'Outro banco'!B323)</f>
        <v/>
      </c>
      <c r="C323" s="7" t="str">
        <f aca="false">IF(A323="","",'Outro banco'!C323)</f>
        <v/>
      </c>
      <c r="D323" s="7" t="str">
        <f aca="false">IF(A323="","",'Outro banco'!D323)</f>
        <v/>
      </c>
      <c r="E323" s="9"/>
      <c r="F323" s="9"/>
      <c r="G323" s="7" t="str">
        <f aca="false">IF(A323="","",IF(COUNTIF(Tabelas!$A:$A,IF(E323="",A323,E323))&gt;0,"sim","não"))</f>
        <v/>
      </c>
      <c r="H323" s="7" t="str">
        <f aca="false">IF(A323="","",IF(E323="",A323,E323)&amp;"."&amp;IF(F323="",B323,F323))</f>
        <v/>
      </c>
      <c r="I323" s="7" t="str">
        <f aca="false">IF(A323="","",IFERROR(INDEX('Campos Growths'!$F:$F,MATCH(H323,'Campos Growths'!$A:$A,0)),""))</f>
        <v/>
      </c>
      <c r="J323" s="7" t="str">
        <f aca="false">IF(A323="","",IFERROR(VLOOKUP(IF(ISNUMBER(SEARCH("(",C323)),LEFT(C323,SEARCH("(",C323)-1),C323),Tipos!$A:$B,2,FALSE()),"outro"))</f>
        <v/>
      </c>
      <c r="K323" s="7" t="str">
        <f aca="false">IF(I323="","",IFERROR(INDEX('Campos Growths'!$L:$L,MATCH(H323,'Campos Growths'!$A:$A,0)),""))</f>
        <v/>
      </c>
      <c r="L323" s="7" t="str">
        <f aca="false">IF(A323="","",IF(G323="não","Sem tabela no Growths",IF(I323="","Sem campo no Growths",IF(J323=K323,"Importa direto","Ajustar tipo"))))</f>
        <v/>
      </c>
      <c r="M323" s="9"/>
    </row>
    <row r="324" customFormat="false" ht="15" hidden="false" customHeight="false" outlineLevel="0" collapsed="false">
      <c r="A324" s="7" t="str">
        <f aca="false">IF('Outro banco'!A324="","",IF(LEFT('Outro banco'!A324,1)="(","",'Outro banco'!A324))</f>
        <v/>
      </c>
      <c r="B324" s="7" t="str">
        <f aca="false">IF(A324="","",'Outro banco'!B324)</f>
        <v/>
      </c>
      <c r="C324" s="7" t="str">
        <f aca="false">IF(A324="","",'Outro banco'!C324)</f>
        <v/>
      </c>
      <c r="D324" s="7" t="str">
        <f aca="false">IF(A324="","",'Outro banco'!D324)</f>
        <v/>
      </c>
      <c r="E324" s="9"/>
      <c r="F324" s="9"/>
      <c r="G324" s="7" t="str">
        <f aca="false">IF(A324="","",IF(COUNTIF(Tabelas!$A:$A,IF(E324="",A324,E324))&gt;0,"sim","não"))</f>
        <v/>
      </c>
      <c r="H324" s="7" t="str">
        <f aca="false">IF(A324="","",IF(E324="",A324,E324)&amp;"."&amp;IF(F324="",B324,F324))</f>
        <v/>
      </c>
      <c r="I324" s="7" t="str">
        <f aca="false">IF(A324="","",IFERROR(INDEX('Campos Growths'!$F:$F,MATCH(H324,'Campos Growths'!$A:$A,0)),""))</f>
        <v/>
      </c>
      <c r="J324" s="7" t="str">
        <f aca="false">IF(A324="","",IFERROR(VLOOKUP(IF(ISNUMBER(SEARCH("(",C324)),LEFT(C324,SEARCH("(",C324)-1),C324),Tipos!$A:$B,2,FALSE()),"outro"))</f>
        <v/>
      </c>
      <c r="K324" s="7" t="str">
        <f aca="false">IF(I324="","",IFERROR(INDEX('Campos Growths'!$L:$L,MATCH(H324,'Campos Growths'!$A:$A,0)),""))</f>
        <v/>
      </c>
      <c r="L324" s="7" t="str">
        <f aca="false">IF(A324="","",IF(G324="não","Sem tabela no Growths",IF(I324="","Sem campo no Growths",IF(J324=K324,"Importa direto","Ajustar tipo"))))</f>
        <v/>
      </c>
      <c r="M324" s="9"/>
    </row>
    <row r="325" customFormat="false" ht="15" hidden="false" customHeight="false" outlineLevel="0" collapsed="false">
      <c r="A325" s="7" t="str">
        <f aca="false">IF('Outro banco'!A325="","",IF(LEFT('Outro banco'!A325,1)="(","",'Outro banco'!A325))</f>
        <v/>
      </c>
      <c r="B325" s="7" t="str">
        <f aca="false">IF(A325="","",'Outro banco'!B325)</f>
        <v/>
      </c>
      <c r="C325" s="7" t="str">
        <f aca="false">IF(A325="","",'Outro banco'!C325)</f>
        <v/>
      </c>
      <c r="D325" s="7" t="str">
        <f aca="false">IF(A325="","",'Outro banco'!D325)</f>
        <v/>
      </c>
      <c r="E325" s="9"/>
      <c r="F325" s="9"/>
      <c r="G325" s="7" t="str">
        <f aca="false">IF(A325="","",IF(COUNTIF(Tabelas!$A:$A,IF(E325="",A325,E325))&gt;0,"sim","não"))</f>
        <v/>
      </c>
      <c r="H325" s="7" t="str">
        <f aca="false">IF(A325="","",IF(E325="",A325,E325)&amp;"."&amp;IF(F325="",B325,F325))</f>
        <v/>
      </c>
      <c r="I325" s="7" t="str">
        <f aca="false">IF(A325="","",IFERROR(INDEX('Campos Growths'!$F:$F,MATCH(H325,'Campos Growths'!$A:$A,0)),""))</f>
        <v/>
      </c>
      <c r="J325" s="7" t="str">
        <f aca="false">IF(A325="","",IFERROR(VLOOKUP(IF(ISNUMBER(SEARCH("(",C325)),LEFT(C325,SEARCH("(",C325)-1),C325),Tipos!$A:$B,2,FALSE()),"outro"))</f>
        <v/>
      </c>
      <c r="K325" s="7" t="str">
        <f aca="false">IF(I325="","",IFERROR(INDEX('Campos Growths'!$L:$L,MATCH(H325,'Campos Growths'!$A:$A,0)),""))</f>
        <v/>
      </c>
      <c r="L325" s="7" t="str">
        <f aca="false">IF(A325="","",IF(G325="não","Sem tabela no Growths",IF(I325="","Sem campo no Growths",IF(J325=K325,"Importa direto","Ajustar tipo"))))</f>
        <v/>
      </c>
      <c r="M325" s="9"/>
    </row>
    <row r="326" customFormat="false" ht="15" hidden="false" customHeight="false" outlineLevel="0" collapsed="false">
      <c r="A326" s="7" t="str">
        <f aca="false">IF('Outro banco'!A326="","",IF(LEFT('Outro banco'!A326,1)="(","",'Outro banco'!A326))</f>
        <v/>
      </c>
      <c r="B326" s="7" t="str">
        <f aca="false">IF(A326="","",'Outro banco'!B326)</f>
        <v/>
      </c>
      <c r="C326" s="7" t="str">
        <f aca="false">IF(A326="","",'Outro banco'!C326)</f>
        <v/>
      </c>
      <c r="D326" s="7" t="str">
        <f aca="false">IF(A326="","",'Outro banco'!D326)</f>
        <v/>
      </c>
      <c r="E326" s="9"/>
      <c r="F326" s="9"/>
      <c r="G326" s="7" t="str">
        <f aca="false">IF(A326="","",IF(COUNTIF(Tabelas!$A:$A,IF(E326="",A326,E326))&gt;0,"sim","não"))</f>
        <v/>
      </c>
      <c r="H326" s="7" t="str">
        <f aca="false">IF(A326="","",IF(E326="",A326,E326)&amp;"."&amp;IF(F326="",B326,F326))</f>
        <v/>
      </c>
      <c r="I326" s="7" t="str">
        <f aca="false">IF(A326="","",IFERROR(INDEX('Campos Growths'!$F:$F,MATCH(H326,'Campos Growths'!$A:$A,0)),""))</f>
        <v/>
      </c>
      <c r="J326" s="7" t="str">
        <f aca="false">IF(A326="","",IFERROR(VLOOKUP(IF(ISNUMBER(SEARCH("(",C326)),LEFT(C326,SEARCH("(",C326)-1),C326),Tipos!$A:$B,2,FALSE()),"outro"))</f>
        <v/>
      </c>
      <c r="K326" s="7" t="str">
        <f aca="false">IF(I326="","",IFERROR(INDEX('Campos Growths'!$L:$L,MATCH(H326,'Campos Growths'!$A:$A,0)),""))</f>
        <v/>
      </c>
      <c r="L326" s="7" t="str">
        <f aca="false">IF(A326="","",IF(G326="não","Sem tabela no Growths",IF(I326="","Sem campo no Growths",IF(J326=K326,"Importa direto","Ajustar tipo"))))</f>
        <v/>
      </c>
      <c r="M326" s="9"/>
    </row>
    <row r="327" customFormat="false" ht="15" hidden="false" customHeight="false" outlineLevel="0" collapsed="false">
      <c r="A327" s="7" t="str">
        <f aca="false">IF('Outro banco'!A327="","",IF(LEFT('Outro banco'!A327,1)="(","",'Outro banco'!A327))</f>
        <v/>
      </c>
      <c r="B327" s="7" t="str">
        <f aca="false">IF(A327="","",'Outro banco'!B327)</f>
        <v/>
      </c>
      <c r="C327" s="7" t="str">
        <f aca="false">IF(A327="","",'Outro banco'!C327)</f>
        <v/>
      </c>
      <c r="D327" s="7" t="str">
        <f aca="false">IF(A327="","",'Outro banco'!D327)</f>
        <v/>
      </c>
      <c r="E327" s="9"/>
      <c r="F327" s="9"/>
      <c r="G327" s="7" t="str">
        <f aca="false">IF(A327="","",IF(COUNTIF(Tabelas!$A:$A,IF(E327="",A327,E327))&gt;0,"sim","não"))</f>
        <v/>
      </c>
      <c r="H327" s="7" t="str">
        <f aca="false">IF(A327="","",IF(E327="",A327,E327)&amp;"."&amp;IF(F327="",B327,F327))</f>
        <v/>
      </c>
      <c r="I327" s="7" t="str">
        <f aca="false">IF(A327="","",IFERROR(INDEX('Campos Growths'!$F:$F,MATCH(H327,'Campos Growths'!$A:$A,0)),""))</f>
        <v/>
      </c>
      <c r="J327" s="7" t="str">
        <f aca="false">IF(A327="","",IFERROR(VLOOKUP(IF(ISNUMBER(SEARCH("(",C327)),LEFT(C327,SEARCH("(",C327)-1),C327),Tipos!$A:$B,2,FALSE()),"outro"))</f>
        <v/>
      </c>
      <c r="K327" s="7" t="str">
        <f aca="false">IF(I327="","",IFERROR(INDEX('Campos Growths'!$L:$L,MATCH(H327,'Campos Growths'!$A:$A,0)),""))</f>
        <v/>
      </c>
      <c r="L327" s="7" t="str">
        <f aca="false">IF(A327="","",IF(G327="não","Sem tabela no Growths",IF(I327="","Sem campo no Growths",IF(J327=K327,"Importa direto","Ajustar tipo"))))</f>
        <v/>
      </c>
      <c r="M327" s="9"/>
    </row>
    <row r="328" customFormat="false" ht="15" hidden="false" customHeight="false" outlineLevel="0" collapsed="false">
      <c r="A328" s="7" t="str">
        <f aca="false">IF('Outro banco'!A328="","",IF(LEFT('Outro banco'!A328,1)="(","",'Outro banco'!A328))</f>
        <v/>
      </c>
      <c r="B328" s="7" t="str">
        <f aca="false">IF(A328="","",'Outro banco'!B328)</f>
        <v/>
      </c>
      <c r="C328" s="7" t="str">
        <f aca="false">IF(A328="","",'Outro banco'!C328)</f>
        <v/>
      </c>
      <c r="D328" s="7" t="str">
        <f aca="false">IF(A328="","",'Outro banco'!D328)</f>
        <v/>
      </c>
      <c r="E328" s="9"/>
      <c r="F328" s="9"/>
      <c r="G328" s="7" t="str">
        <f aca="false">IF(A328="","",IF(COUNTIF(Tabelas!$A:$A,IF(E328="",A328,E328))&gt;0,"sim","não"))</f>
        <v/>
      </c>
      <c r="H328" s="7" t="str">
        <f aca="false">IF(A328="","",IF(E328="",A328,E328)&amp;"."&amp;IF(F328="",B328,F328))</f>
        <v/>
      </c>
      <c r="I328" s="7" t="str">
        <f aca="false">IF(A328="","",IFERROR(INDEX('Campos Growths'!$F:$F,MATCH(H328,'Campos Growths'!$A:$A,0)),""))</f>
        <v/>
      </c>
      <c r="J328" s="7" t="str">
        <f aca="false">IF(A328="","",IFERROR(VLOOKUP(IF(ISNUMBER(SEARCH("(",C328)),LEFT(C328,SEARCH("(",C328)-1),C328),Tipos!$A:$B,2,FALSE()),"outro"))</f>
        <v/>
      </c>
      <c r="K328" s="7" t="str">
        <f aca="false">IF(I328="","",IFERROR(INDEX('Campos Growths'!$L:$L,MATCH(H328,'Campos Growths'!$A:$A,0)),""))</f>
        <v/>
      </c>
      <c r="L328" s="7" t="str">
        <f aca="false">IF(A328="","",IF(G328="não","Sem tabela no Growths",IF(I328="","Sem campo no Growths",IF(J328=K328,"Importa direto","Ajustar tipo"))))</f>
        <v/>
      </c>
      <c r="M328" s="9"/>
    </row>
    <row r="329" customFormat="false" ht="15" hidden="false" customHeight="false" outlineLevel="0" collapsed="false">
      <c r="A329" s="7" t="str">
        <f aca="false">IF('Outro banco'!A329="","",IF(LEFT('Outro banco'!A329,1)="(","",'Outro banco'!A329))</f>
        <v/>
      </c>
      <c r="B329" s="7" t="str">
        <f aca="false">IF(A329="","",'Outro banco'!B329)</f>
        <v/>
      </c>
      <c r="C329" s="7" t="str">
        <f aca="false">IF(A329="","",'Outro banco'!C329)</f>
        <v/>
      </c>
      <c r="D329" s="7" t="str">
        <f aca="false">IF(A329="","",'Outro banco'!D329)</f>
        <v/>
      </c>
      <c r="E329" s="9"/>
      <c r="F329" s="9"/>
      <c r="G329" s="7" t="str">
        <f aca="false">IF(A329="","",IF(COUNTIF(Tabelas!$A:$A,IF(E329="",A329,E329))&gt;0,"sim","não"))</f>
        <v/>
      </c>
      <c r="H329" s="7" t="str">
        <f aca="false">IF(A329="","",IF(E329="",A329,E329)&amp;"."&amp;IF(F329="",B329,F329))</f>
        <v/>
      </c>
      <c r="I329" s="7" t="str">
        <f aca="false">IF(A329="","",IFERROR(INDEX('Campos Growths'!$F:$F,MATCH(H329,'Campos Growths'!$A:$A,0)),""))</f>
        <v/>
      </c>
      <c r="J329" s="7" t="str">
        <f aca="false">IF(A329="","",IFERROR(VLOOKUP(IF(ISNUMBER(SEARCH("(",C329)),LEFT(C329,SEARCH("(",C329)-1),C329),Tipos!$A:$B,2,FALSE()),"outro"))</f>
        <v/>
      </c>
      <c r="K329" s="7" t="str">
        <f aca="false">IF(I329="","",IFERROR(INDEX('Campos Growths'!$L:$L,MATCH(H329,'Campos Growths'!$A:$A,0)),""))</f>
        <v/>
      </c>
      <c r="L329" s="7" t="str">
        <f aca="false">IF(A329="","",IF(G329="não","Sem tabela no Growths",IF(I329="","Sem campo no Growths",IF(J329=K329,"Importa direto","Ajustar tipo"))))</f>
        <v/>
      </c>
      <c r="M329" s="9"/>
    </row>
    <row r="330" customFormat="false" ht="15" hidden="false" customHeight="false" outlineLevel="0" collapsed="false">
      <c r="A330" s="7" t="str">
        <f aca="false">IF('Outro banco'!A330="","",IF(LEFT('Outro banco'!A330,1)="(","",'Outro banco'!A330))</f>
        <v/>
      </c>
      <c r="B330" s="7" t="str">
        <f aca="false">IF(A330="","",'Outro banco'!B330)</f>
        <v/>
      </c>
      <c r="C330" s="7" t="str">
        <f aca="false">IF(A330="","",'Outro banco'!C330)</f>
        <v/>
      </c>
      <c r="D330" s="7" t="str">
        <f aca="false">IF(A330="","",'Outro banco'!D330)</f>
        <v/>
      </c>
      <c r="E330" s="9"/>
      <c r="F330" s="9"/>
      <c r="G330" s="7" t="str">
        <f aca="false">IF(A330="","",IF(COUNTIF(Tabelas!$A:$A,IF(E330="",A330,E330))&gt;0,"sim","não"))</f>
        <v/>
      </c>
      <c r="H330" s="7" t="str">
        <f aca="false">IF(A330="","",IF(E330="",A330,E330)&amp;"."&amp;IF(F330="",B330,F330))</f>
        <v/>
      </c>
      <c r="I330" s="7" t="str">
        <f aca="false">IF(A330="","",IFERROR(INDEX('Campos Growths'!$F:$F,MATCH(H330,'Campos Growths'!$A:$A,0)),""))</f>
        <v/>
      </c>
      <c r="J330" s="7" t="str">
        <f aca="false">IF(A330="","",IFERROR(VLOOKUP(IF(ISNUMBER(SEARCH("(",C330)),LEFT(C330,SEARCH("(",C330)-1),C330),Tipos!$A:$B,2,FALSE()),"outro"))</f>
        <v/>
      </c>
      <c r="K330" s="7" t="str">
        <f aca="false">IF(I330="","",IFERROR(INDEX('Campos Growths'!$L:$L,MATCH(H330,'Campos Growths'!$A:$A,0)),""))</f>
        <v/>
      </c>
      <c r="L330" s="7" t="str">
        <f aca="false">IF(A330="","",IF(G330="não","Sem tabela no Growths",IF(I330="","Sem campo no Growths",IF(J330=K330,"Importa direto","Ajustar tipo"))))</f>
        <v/>
      </c>
      <c r="M330" s="9"/>
    </row>
    <row r="331" customFormat="false" ht="15" hidden="false" customHeight="false" outlineLevel="0" collapsed="false">
      <c r="A331" s="7" t="str">
        <f aca="false">IF('Outro banco'!A331="","",IF(LEFT('Outro banco'!A331,1)="(","",'Outro banco'!A331))</f>
        <v/>
      </c>
      <c r="B331" s="7" t="str">
        <f aca="false">IF(A331="","",'Outro banco'!B331)</f>
        <v/>
      </c>
      <c r="C331" s="7" t="str">
        <f aca="false">IF(A331="","",'Outro banco'!C331)</f>
        <v/>
      </c>
      <c r="D331" s="7" t="str">
        <f aca="false">IF(A331="","",'Outro banco'!D331)</f>
        <v/>
      </c>
      <c r="E331" s="9"/>
      <c r="F331" s="9"/>
      <c r="G331" s="7" t="str">
        <f aca="false">IF(A331="","",IF(COUNTIF(Tabelas!$A:$A,IF(E331="",A331,E331))&gt;0,"sim","não"))</f>
        <v/>
      </c>
      <c r="H331" s="7" t="str">
        <f aca="false">IF(A331="","",IF(E331="",A331,E331)&amp;"."&amp;IF(F331="",B331,F331))</f>
        <v/>
      </c>
      <c r="I331" s="7" t="str">
        <f aca="false">IF(A331="","",IFERROR(INDEX('Campos Growths'!$F:$F,MATCH(H331,'Campos Growths'!$A:$A,0)),""))</f>
        <v/>
      </c>
      <c r="J331" s="7" t="str">
        <f aca="false">IF(A331="","",IFERROR(VLOOKUP(IF(ISNUMBER(SEARCH("(",C331)),LEFT(C331,SEARCH("(",C331)-1),C331),Tipos!$A:$B,2,FALSE()),"outro"))</f>
        <v/>
      </c>
      <c r="K331" s="7" t="str">
        <f aca="false">IF(I331="","",IFERROR(INDEX('Campos Growths'!$L:$L,MATCH(H331,'Campos Growths'!$A:$A,0)),""))</f>
        <v/>
      </c>
      <c r="L331" s="7" t="str">
        <f aca="false">IF(A331="","",IF(G331="não","Sem tabela no Growths",IF(I331="","Sem campo no Growths",IF(J331=K331,"Importa direto","Ajustar tipo"))))</f>
        <v/>
      </c>
      <c r="M331" s="9"/>
    </row>
    <row r="332" customFormat="false" ht="15" hidden="false" customHeight="false" outlineLevel="0" collapsed="false">
      <c r="A332" s="7" t="str">
        <f aca="false">IF('Outro banco'!A332="","",IF(LEFT('Outro banco'!A332,1)="(","",'Outro banco'!A332))</f>
        <v/>
      </c>
      <c r="B332" s="7" t="str">
        <f aca="false">IF(A332="","",'Outro banco'!B332)</f>
        <v/>
      </c>
      <c r="C332" s="7" t="str">
        <f aca="false">IF(A332="","",'Outro banco'!C332)</f>
        <v/>
      </c>
      <c r="D332" s="7" t="str">
        <f aca="false">IF(A332="","",'Outro banco'!D332)</f>
        <v/>
      </c>
      <c r="E332" s="9"/>
      <c r="F332" s="9"/>
      <c r="G332" s="7" t="str">
        <f aca="false">IF(A332="","",IF(COUNTIF(Tabelas!$A:$A,IF(E332="",A332,E332))&gt;0,"sim","não"))</f>
        <v/>
      </c>
      <c r="H332" s="7" t="str">
        <f aca="false">IF(A332="","",IF(E332="",A332,E332)&amp;"."&amp;IF(F332="",B332,F332))</f>
        <v/>
      </c>
      <c r="I332" s="7" t="str">
        <f aca="false">IF(A332="","",IFERROR(INDEX('Campos Growths'!$F:$F,MATCH(H332,'Campos Growths'!$A:$A,0)),""))</f>
        <v/>
      </c>
      <c r="J332" s="7" t="str">
        <f aca="false">IF(A332="","",IFERROR(VLOOKUP(IF(ISNUMBER(SEARCH("(",C332)),LEFT(C332,SEARCH("(",C332)-1),C332),Tipos!$A:$B,2,FALSE()),"outro"))</f>
        <v/>
      </c>
      <c r="K332" s="7" t="str">
        <f aca="false">IF(I332="","",IFERROR(INDEX('Campos Growths'!$L:$L,MATCH(H332,'Campos Growths'!$A:$A,0)),""))</f>
        <v/>
      </c>
      <c r="L332" s="7" t="str">
        <f aca="false">IF(A332="","",IF(G332="não","Sem tabela no Growths",IF(I332="","Sem campo no Growths",IF(J332=K332,"Importa direto","Ajustar tipo"))))</f>
        <v/>
      </c>
      <c r="M332" s="9"/>
    </row>
    <row r="333" customFormat="false" ht="15" hidden="false" customHeight="false" outlineLevel="0" collapsed="false">
      <c r="A333" s="7" t="str">
        <f aca="false">IF('Outro banco'!A333="","",IF(LEFT('Outro banco'!A333,1)="(","",'Outro banco'!A333))</f>
        <v/>
      </c>
      <c r="B333" s="7" t="str">
        <f aca="false">IF(A333="","",'Outro banco'!B333)</f>
        <v/>
      </c>
      <c r="C333" s="7" t="str">
        <f aca="false">IF(A333="","",'Outro banco'!C333)</f>
        <v/>
      </c>
      <c r="D333" s="7" t="str">
        <f aca="false">IF(A333="","",'Outro banco'!D333)</f>
        <v/>
      </c>
      <c r="E333" s="9"/>
      <c r="F333" s="9"/>
      <c r="G333" s="7" t="str">
        <f aca="false">IF(A333="","",IF(COUNTIF(Tabelas!$A:$A,IF(E333="",A333,E333))&gt;0,"sim","não"))</f>
        <v/>
      </c>
      <c r="H333" s="7" t="str">
        <f aca="false">IF(A333="","",IF(E333="",A333,E333)&amp;"."&amp;IF(F333="",B333,F333))</f>
        <v/>
      </c>
      <c r="I333" s="7" t="str">
        <f aca="false">IF(A333="","",IFERROR(INDEX('Campos Growths'!$F:$F,MATCH(H333,'Campos Growths'!$A:$A,0)),""))</f>
        <v/>
      </c>
      <c r="J333" s="7" t="str">
        <f aca="false">IF(A333="","",IFERROR(VLOOKUP(IF(ISNUMBER(SEARCH("(",C333)),LEFT(C333,SEARCH("(",C333)-1),C333),Tipos!$A:$B,2,FALSE()),"outro"))</f>
        <v/>
      </c>
      <c r="K333" s="7" t="str">
        <f aca="false">IF(I333="","",IFERROR(INDEX('Campos Growths'!$L:$L,MATCH(H333,'Campos Growths'!$A:$A,0)),""))</f>
        <v/>
      </c>
      <c r="L333" s="7" t="str">
        <f aca="false">IF(A333="","",IF(G333="não","Sem tabela no Growths",IF(I333="","Sem campo no Growths",IF(J333=K333,"Importa direto","Ajustar tipo"))))</f>
        <v/>
      </c>
      <c r="M333" s="9"/>
    </row>
    <row r="334" customFormat="false" ht="15" hidden="false" customHeight="false" outlineLevel="0" collapsed="false">
      <c r="A334" s="7" t="str">
        <f aca="false">IF('Outro banco'!A334="","",IF(LEFT('Outro banco'!A334,1)="(","",'Outro banco'!A334))</f>
        <v/>
      </c>
      <c r="B334" s="7" t="str">
        <f aca="false">IF(A334="","",'Outro banco'!B334)</f>
        <v/>
      </c>
      <c r="C334" s="7" t="str">
        <f aca="false">IF(A334="","",'Outro banco'!C334)</f>
        <v/>
      </c>
      <c r="D334" s="7" t="str">
        <f aca="false">IF(A334="","",'Outro banco'!D334)</f>
        <v/>
      </c>
      <c r="E334" s="9"/>
      <c r="F334" s="9"/>
      <c r="G334" s="7" t="str">
        <f aca="false">IF(A334="","",IF(COUNTIF(Tabelas!$A:$A,IF(E334="",A334,E334))&gt;0,"sim","não"))</f>
        <v/>
      </c>
      <c r="H334" s="7" t="str">
        <f aca="false">IF(A334="","",IF(E334="",A334,E334)&amp;"."&amp;IF(F334="",B334,F334))</f>
        <v/>
      </c>
      <c r="I334" s="7" t="str">
        <f aca="false">IF(A334="","",IFERROR(INDEX('Campos Growths'!$F:$F,MATCH(H334,'Campos Growths'!$A:$A,0)),""))</f>
        <v/>
      </c>
      <c r="J334" s="7" t="str">
        <f aca="false">IF(A334="","",IFERROR(VLOOKUP(IF(ISNUMBER(SEARCH("(",C334)),LEFT(C334,SEARCH("(",C334)-1),C334),Tipos!$A:$B,2,FALSE()),"outro"))</f>
        <v/>
      </c>
      <c r="K334" s="7" t="str">
        <f aca="false">IF(I334="","",IFERROR(INDEX('Campos Growths'!$L:$L,MATCH(H334,'Campos Growths'!$A:$A,0)),""))</f>
        <v/>
      </c>
      <c r="L334" s="7" t="str">
        <f aca="false">IF(A334="","",IF(G334="não","Sem tabela no Growths",IF(I334="","Sem campo no Growths",IF(J334=K334,"Importa direto","Ajustar tipo"))))</f>
        <v/>
      </c>
      <c r="M334" s="9"/>
    </row>
    <row r="335" customFormat="false" ht="15" hidden="false" customHeight="false" outlineLevel="0" collapsed="false">
      <c r="A335" s="7" t="str">
        <f aca="false">IF('Outro banco'!A335="","",IF(LEFT('Outro banco'!A335,1)="(","",'Outro banco'!A335))</f>
        <v/>
      </c>
      <c r="B335" s="7" t="str">
        <f aca="false">IF(A335="","",'Outro banco'!B335)</f>
        <v/>
      </c>
      <c r="C335" s="7" t="str">
        <f aca="false">IF(A335="","",'Outro banco'!C335)</f>
        <v/>
      </c>
      <c r="D335" s="7" t="str">
        <f aca="false">IF(A335="","",'Outro banco'!D335)</f>
        <v/>
      </c>
      <c r="E335" s="9"/>
      <c r="F335" s="9"/>
      <c r="G335" s="7" t="str">
        <f aca="false">IF(A335="","",IF(COUNTIF(Tabelas!$A:$A,IF(E335="",A335,E335))&gt;0,"sim","não"))</f>
        <v/>
      </c>
      <c r="H335" s="7" t="str">
        <f aca="false">IF(A335="","",IF(E335="",A335,E335)&amp;"."&amp;IF(F335="",B335,F335))</f>
        <v/>
      </c>
      <c r="I335" s="7" t="str">
        <f aca="false">IF(A335="","",IFERROR(INDEX('Campos Growths'!$F:$F,MATCH(H335,'Campos Growths'!$A:$A,0)),""))</f>
        <v/>
      </c>
      <c r="J335" s="7" t="str">
        <f aca="false">IF(A335="","",IFERROR(VLOOKUP(IF(ISNUMBER(SEARCH("(",C335)),LEFT(C335,SEARCH("(",C335)-1),C335),Tipos!$A:$B,2,FALSE()),"outro"))</f>
        <v/>
      </c>
      <c r="K335" s="7" t="str">
        <f aca="false">IF(I335="","",IFERROR(INDEX('Campos Growths'!$L:$L,MATCH(H335,'Campos Growths'!$A:$A,0)),""))</f>
        <v/>
      </c>
      <c r="L335" s="7" t="str">
        <f aca="false">IF(A335="","",IF(G335="não","Sem tabela no Growths",IF(I335="","Sem campo no Growths",IF(J335=K335,"Importa direto","Ajustar tipo"))))</f>
        <v/>
      </c>
      <c r="M335" s="9"/>
    </row>
    <row r="336" customFormat="false" ht="15" hidden="false" customHeight="false" outlineLevel="0" collapsed="false">
      <c r="A336" s="7" t="str">
        <f aca="false">IF('Outro banco'!A336="","",IF(LEFT('Outro banco'!A336,1)="(","",'Outro banco'!A336))</f>
        <v/>
      </c>
      <c r="B336" s="7" t="str">
        <f aca="false">IF(A336="","",'Outro banco'!B336)</f>
        <v/>
      </c>
      <c r="C336" s="7" t="str">
        <f aca="false">IF(A336="","",'Outro banco'!C336)</f>
        <v/>
      </c>
      <c r="D336" s="7" t="str">
        <f aca="false">IF(A336="","",'Outro banco'!D336)</f>
        <v/>
      </c>
      <c r="E336" s="9"/>
      <c r="F336" s="9"/>
      <c r="G336" s="7" t="str">
        <f aca="false">IF(A336="","",IF(COUNTIF(Tabelas!$A:$A,IF(E336="",A336,E336))&gt;0,"sim","não"))</f>
        <v/>
      </c>
      <c r="H336" s="7" t="str">
        <f aca="false">IF(A336="","",IF(E336="",A336,E336)&amp;"."&amp;IF(F336="",B336,F336))</f>
        <v/>
      </c>
      <c r="I336" s="7" t="str">
        <f aca="false">IF(A336="","",IFERROR(INDEX('Campos Growths'!$F:$F,MATCH(H336,'Campos Growths'!$A:$A,0)),""))</f>
        <v/>
      </c>
      <c r="J336" s="7" t="str">
        <f aca="false">IF(A336="","",IFERROR(VLOOKUP(IF(ISNUMBER(SEARCH("(",C336)),LEFT(C336,SEARCH("(",C336)-1),C336),Tipos!$A:$B,2,FALSE()),"outro"))</f>
        <v/>
      </c>
      <c r="K336" s="7" t="str">
        <f aca="false">IF(I336="","",IFERROR(INDEX('Campos Growths'!$L:$L,MATCH(H336,'Campos Growths'!$A:$A,0)),""))</f>
        <v/>
      </c>
      <c r="L336" s="7" t="str">
        <f aca="false">IF(A336="","",IF(G336="não","Sem tabela no Growths",IF(I336="","Sem campo no Growths",IF(J336=K336,"Importa direto","Ajustar tipo"))))</f>
        <v/>
      </c>
      <c r="M336" s="9"/>
    </row>
    <row r="337" customFormat="false" ht="15" hidden="false" customHeight="false" outlineLevel="0" collapsed="false">
      <c r="A337" s="7" t="str">
        <f aca="false">IF('Outro banco'!A337="","",IF(LEFT('Outro banco'!A337,1)="(","",'Outro banco'!A337))</f>
        <v/>
      </c>
      <c r="B337" s="7" t="str">
        <f aca="false">IF(A337="","",'Outro banco'!B337)</f>
        <v/>
      </c>
      <c r="C337" s="7" t="str">
        <f aca="false">IF(A337="","",'Outro banco'!C337)</f>
        <v/>
      </c>
      <c r="D337" s="7" t="str">
        <f aca="false">IF(A337="","",'Outro banco'!D337)</f>
        <v/>
      </c>
      <c r="E337" s="9"/>
      <c r="F337" s="9"/>
      <c r="G337" s="7" t="str">
        <f aca="false">IF(A337="","",IF(COUNTIF(Tabelas!$A:$A,IF(E337="",A337,E337))&gt;0,"sim","não"))</f>
        <v/>
      </c>
      <c r="H337" s="7" t="str">
        <f aca="false">IF(A337="","",IF(E337="",A337,E337)&amp;"."&amp;IF(F337="",B337,F337))</f>
        <v/>
      </c>
      <c r="I337" s="7" t="str">
        <f aca="false">IF(A337="","",IFERROR(INDEX('Campos Growths'!$F:$F,MATCH(H337,'Campos Growths'!$A:$A,0)),""))</f>
        <v/>
      </c>
      <c r="J337" s="7" t="str">
        <f aca="false">IF(A337="","",IFERROR(VLOOKUP(IF(ISNUMBER(SEARCH("(",C337)),LEFT(C337,SEARCH("(",C337)-1),C337),Tipos!$A:$B,2,FALSE()),"outro"))</f>
        <v/>
      </c>
      <c r="K337" s="7" t="str">
        <f aca="false">IF(I337="","",IFERROR(INDEX('Campos Growths'!$L:$L,MATCH(H337,'Campos Growths'!$A:$A,0)),""))</f>
        <v/>
      </c>
      <c r="L337" s="7" t="str">
        <f aca="false">IF(A337="","",IF(G337="não","Sem tabela no Growths",IF(I337="","Sem campo no Growths",IF(J337=K337,"Importa direto","Ajustar tipo"))))</f>
        <v/>
      </c>
      <c r="M337" s="9"/>
    </row>
    <row r="338" customFormat="false" ht="15" hidden="false" customHeight="false" outlineLevel="0" collapsed="false">
      <c r="A338" s="7" t="str">
        <f aca="false">IF('Outro banco'!A338="","",IF(LEFT('Outro banco'!A338,1)="(","",'Outro banco'!A338))</f>
        <v/>
      </c>
      <c r="B338" s="7" t="str">
        <f aca="false">IF(A338="","",'Outro banco'!B338)</f>
        <v/>
      </c>
      <c r="C338" s="7" t="str">
        <f aca="false">IF(A338="","",'Outro banco'!C338)</f>
        <v/>
      </c>
      <c r="D338" s="7" t="str">
        <f aca="false">IF(A338="","",'Outro banco'!D338)</f>
        <v/>
      </c>
      <c r="E338" s="9"/>
      <c r="F338" s="9"/>
      <c r="G338" s="7" t="str">
        <f aca="false">IF(A338="","",IF(COUNTIF(Tabelas!$A:$A,IF(E338="",A338,E338))&gt;0,"sim","não"))</f>
        <v/>
      </c>
      <c r="H338" s="7" t="str">
        <f aca="false">IF(A338="","",IF(E338="",A338,E338)&amp;"."&amp;IF(F338="",B338,F338))</f>
        <v/>
      </c>
      <c r="I338" s="7" t="str">
        <f aca="false">IF(A338="","",IFERROR(INDEX('Campos Growths'!$F:$F,MATCH(H338,'Campos Growths'!$A:$A,0)),""))</f>
        <v/>
      </c>
      <c r="J338" s="7" t="str">
        <f aca="false">IF(A338="","",IFERROR(VLOOKUP(IF(ISNUMBER(SEARCH("(",C338)),LEFT(C338,SEARCH("(",C338)-1),C338),Tipos!$A:$B,2,FALSE()),"outro"))</f>
        <v/>
      </c>
      <c r="K338" s="7" t="str">
        <f aca="false">IF(I338="","",IFERROR(INDEX('Campos Growths'!$L:$L,MATCH(H338,'Campos Growths'!$A:$A,0)),""))</f>
        <v/>
      </c>
      <c r="L338" s="7" t="str">
        <f aca="false">IF(A338="","",IF(G338="não","Sem tabela no Growths",IF(I338="","Sem campo no Growths",IF(J338=K338,"Importa direto","Ajustar tipo"))))</f>
        <v/>
      </c>
      <c r="M338" s="9"/>
    </row>
    <row r="339" customFormat="false" ht="15" hidden="false" customHeight="false" outlineLevel="0" collapsed="false">
      <c r="A339" s="7" t="str">
        <f aca="false">IF('Outro banco'!A339="","",IF(LEFT('Outro banco'!A339,1)="(","",'Outro banco'!A339))</f>
        <v/>
      </c>
      <c r="B339" s="7" t="str">
        <f aca="false">IF(A339="","",'Outro banco'!B339)</f>
        <v/>
      </c>
      <c r="C339" s="7" t="str">
        <f aca="false">IF(A339="","",'Outro banco'!C339)</f>
        <v/>
      </c>
      <c r="D339" s="7" t="str">
        <f aca="false">IF(A339="","",'Outro banco'!D339)</f>
        <v/>
      </c>
      <c r="E339" s="9"/>
      <c r="F339" s="9"/>
      <c r="G339" s="7" t="str">
        <f aca="false">IF(A339="","",IF(COUNTIF(Tabelas!$A:$A,IF(E339="",A339,E339))&gt;0,"sim","não"))</f>
        <v/>
      </c>
      <c r="H339" s="7" t="str">
        <f aca="false">IF(A339="","",IF(E339="",A339,E339)&amp;"."&amp;IF(F339="",B339,F339))</f>
        <v/>
      </c>
      <c r="I339" s="7" t="str">
        <f aca="false">IF(A339="","",IFERROR(INDEX('Campos Growths'!$F:$F,MATCH(H339,'Campos Growths'!$A:$A,0)),""))</f>
        <v/>
      </c>
      <c r="J339" s="7" t="str">
        <f aca="false">IF(A339="","",IFERROR(VLOOKUP(IF(ISNUMBER(SEARCH("(",C339)),LEFT(C339,SEARCH("(",C339)-1),C339),Tipos!$A:$B,2,FALSE()),"outro"))</f>
        <v/>
      </c>
      <c r="K339" s="7" t="str">
        <f aca="false">IF(I339="","",IFERROR(INDEX('Campos Growths'!$L:$L,MATCH(H339,'Campos Growths'!$A:$A,0)),""))</f>
        <v/>
      </c>
      <c r="L339" s="7" t="str">
        <f aca="false">IF(A339="","",IF(G339="não","Sem tabela no Growths",IF(I339="","Sem campo no Growths",IF(J339=K339,"Importa direto","Ajustar tipo"))))</f>
        <v/>
      </c>
      <c r="M339" s="9"/>
    </row>
    <row r="340" customFormat="false" ht="15" hidden="false" customHeight="false" outlineLevel="0" collapsed="false">
      <c r="A340" s="7" t="str">
        <f aca="false">IF('Outro banco'!A340="","",IF(LEFT('Outro banco'!A340,1)="(","",'Outro banco'!A340))</f>
        <v/>
      </c>
      <c r="B340" s="7" t="str">
        <f aca="false">IF(A340="","",'Outro banco'!B340)</f>
        <v/>
      </c>
      <c r="C340" s="7" t="str">
        <f aca="false">IF(A340="","",'Outro banco'!C340)</f>
        <v/>
      </c>
      <c r="D340" s="7" t="str">
        <f aca="false">IF(A340="","",'Outro banco'!D340)</f>
        <v/>
      </c>
      <c r="E340" s="9"/>
      <c r="F340" s="9"/>
      <c r="G340" s="7" t="str">
        <f aca="false">IF(A340="","",IF(COUNTIF(Tabelas!$A:$A,IF(E340="",A340,E340))&gt;0,"sim","não"))</f>
        <v/>
      </c>
      <c r="H340" s="7" t="str">
        <f aca="false">IF(A340="","",IF(E340="",A340,E340)&amp;"."&amp;IF(F340="",B340,F340))</f>
        <v/>
      </c>
      <c r="I340" s="7" t="str">
        <f aca="false">IF(A340="","",IFERROR(INDEX('Campos Growths'!$F:$F,MATCH(H340,'Campos Growths'!$A:$A,0)),""))</f>
        <v/>
      </c>
      <c r="J340" s="7" t="str">
        <f aca="false">IF(A340="","",IFERROR(VLOOKUP(IF(ISNUMBER(SEARCH("(",C340)),LEFT(C340,SEARCH("(",C340)-1),C340),Tipos!$A:$B,2,FALSE()),"outro"))</f>
        <v/>
      </c>
      <c r="K340" s="7" t="str">
        <f aca="false">IF(I340="","",IFERROR(INDEX('Campos Growths'!$L:$L,MATCH(H340,'Campos Growths'!$A:$A,0)),""))</f>
        <v/>
      </c>
      <c r="L340" s="7" t="str">
        <f aca="false">IF(A340="","",IF(G340="não","Sem tabela no Growths",IF(I340="","Sem campo no Growths",IF(J340=K340,"Importa direto","Ajustar tipo"))))</f>
        <v/>
      </c>
      <c r="M340" s="9"/>
    </row>
    <row r="341" customFormat="false" ht="15" hidden="false" customHeight="false" outlineLevel="0" collapsed="false">
      <c r="A341" s="7" t="str">
        <f aca="false">IF('Outro banco'!A341="","",IF(LEFT('Outro banco'!A341,1)="(","",'Outro banco'!A341))</f>
        <v/>
      </c>
      <c r="B341" s="7" t="str">
        <f aca="false">IF(A341="","",'Outro banco'!B341)</f>
        <v/>
      </c>
      <c r="C341" s="7" t="str">
        <f aca="false">IF(A341="","",'Outro banco'!C341)</f>
        <v/>
      </c>
      <c r="D341" s="7" t="str">
        <f aca="false">IF(A341="","",'Outro banco'!D341)</f>
        <v/>
      </c>
      <c r="E341" s="9"/>
      <c r="F341" s="9"/>
      <c r="G341" s="7" t="str">
        <f aca="false">IF(A341="","",IF(COUNTIF(Tabelas!$A:$A,IF(E341="",A341,E341))&gt;0,"sim","não"))</f>
        <v/>
      </c>
      <c r="H341" s="7" t="str">
        <f aca="false">IF(A341="","",IF(E341="",A341,E341)&amp;"."&amp;IF(F341="",B341,F341))</f>
        <v/>
      </c>
      <c r="I341" s="7" t="str">
        <f aca="false">IF(A341="","",IFERROR(INDEX('Campos Growths'!$F:$F,MATCH(H341,'Campos Growths'!$A:$A,0)),""))</f>
        <v/>
      </c>
      <c r="J341" s="7" t="str">
        <f aca="false">IF(A341="","",IFERROR(VLOOKUP(IF(ISNUMBER(SEARCH("(",C341)),LEFT(C341,SEARCH("(",C341)-1),C341),Tipos!$A:$B,2,FALSE()),"outro"))</f>
        <v/>
      </c>
      <c r="K341" s="7" t="str">
        <f aca="false">IF(I341="","",IFERROR(INDEX('Campos Growths'!$L:$L,MATCH(H341,'Campos Growths'!$A:$A,0)),""))</f>
        <v/>
      </c>
      <c r="L341" s="7" t="str">
        <f aca="false">IF(A341="","",IF(G341="não","Sem tabela no Growths",IF(I341="","Sem campo no Growths",IF(J341=K341,"Importa direto","Ajustar tipo"))))</f>
        <v/>
      </c>
      <c r="M341" s="9"/>
    </row>
    <row r="342" customFormat="false" ht="15" hidden="false" customHeight="false" outlineLevel="0" collapsed="false">
      <c r="A342" s="7" t="str">
        <f aca="false">IF('Outro banco'!A342="","",IF(LEFT('Outro banco'!A342,1)="(","",'Outro banco'!A342))</f>
        <v/>
      </c>
      <c r="B342" s="7" t="str">
        <f aca="false">IF(A342="","",'Outro banco'!B342)</f>
        <v/>
      </c>
      <c r="C342" s="7" t="str">
        <f aca="false">IF(A342="","",'Outro banco'!C342)</f>
        <v/>
      </c>
      <c r="D342" s="7" t="str">
        <f aca="false">IF(A342="","",'Outro banco'!D342)</f>
        <v/>
      </c>
      <c r="E342" s="9"/>
      <c r="F342" s="9"/>
      <c r="G342" s="7" t="str">
        <f aca="false">IF(A342="","",IF(COUNTIF(Tabelas!$A:$A,IF(E342="",A342,E342))&gt;0,"sim","não"))</f>
        <v/>
      </c>
      <c r="H342" s="7" t="str">
        <f aca="false">IF(A342="","",IF(E342="",A342,E342)&amp;"."&amp;IF(F342="",B342,F342))</f>
        <v/>
      </c>
      <c r="I342" s="7" t="str">
        <f aca="false">IF(A342="","",IFERROR(INDEX('Campos Growths'!$F:$F,MATCH(H342,'Campos Growths'!$A:$A,0)),""))</f>
        <v/>
      </c>
      <c r="J342" s="7" t="str">
        <f aca="false">IF(A342="","",IFERROR(VLOOKUP(IF(ISNUMBER(SEARCH("(",C342)),LEFT(C342,SEARCH("(",C342)-1),C342),Tipos!$A:$B,2,FALSE()),"outro"))</f>
        <v/>
      </c>
      <c r="K342" s="7" t="str">
        <f aca="false">IF(I342="","",IFERROR(INDEX('Campos Growths'!$L:$L,MATCH(H342,'Campos Growths'!$A:$A,0)),""))</f>
        <v/>
      </c>
      <c r="L342" s="7" t="str">
        <f aca="false">IF(A342="","",IF(G342="não","Sem tabela no Growths",IF(I342="","Sem campo no Growths",IF(J342=K342,"Importa direto","Ajustar tipo"))))</f>
        <v/>
      </c>
      <c r="M342" s="9"/>
    </row>
    <row r="343" customFormat="false" ht="15" hidden="false" customHeight="false" outlineLevel="0" collapsed="false">
      <c r="A343" s="7" t="str">
        <f aca="false">IF('Outro banco'!A343="","",IF(LEFT('Outro banco'!A343,1)="(","",'Outro banco'!A343))</f>
        <v/>
      </c>
      <c r="B343" s="7" t="str">
        <f aca="false">IF(A343="","",'Outro banco'!B343)</f>
        <v/>
      </c>
      <c r="C343" s="7" t="str">
        <f aca="false">IF(A343="","",'Outro banco'!C343)</f>
        <v/>
      </c>
      <c r="D343" s="7" t="str">
        <f aca="false">IF(A343="","",'Outro banco'!D343)</f>
        <v/>
      </c>
      <c r="E343" s="9"/>
      <c r="F343" s="9"/>
      <c r="G343" s="7" t="str">
        <f aca="false">IF(A343="","",IF(COUNTIF(Tabelas!$A:$A,IF(E343="",A343,E343))&gt;0,"sim","não"))</f>
        <v/>
      </c>
      <c r="H343" s="7" t="str">
        <f aca="false">IF(A343="","",IF(E343="",A343,E343)&amp;"."&amp;IF(F343="",B343,F343))</f>
        <v/>
      </c>
      <c r="I343" s="7" t="str">
        <f aca="false">IF(A343="","",IFERROR(INDEX('Campos Growths'!$F:$F,MATCH(H343,'Campos Growths'!$A:$A,0)),""))</f>
        <v/>
      </c>
      <c r="J343" s="7" t="str">
        <f aca="false">IF(A343="","",IFERROR(VLOOKUP(IF(ISNUMBER(SEARCH("(",C343)),LEFT(C343,SEARCH("(",C343)-1),C343),Tipos!$A:$B,2,FALSE()),"outro"))</f>
        <v/>
      </c>
      <c r="K343" s="7" t="str">
        <f aca="false">IF(I343="","",IFERROR(INDEX('Campos Growths'!$L:$L,MATCH(H343,'Campos Growths'!$A:$A,0)),""))</f>
        <v/>
      </c>
      <c r="L343" s="7" t="str">
        <f aca="false">IF(A343="","",IF(G343="não","Sem tabela no Growths",IF(I343="","Sem campo no Growths",IF(J343=K343,"Importa direto","Ajustar tipo"))))</f>
        <v/>
      </c>
      <c r="M343" s="9"/>
    </row>
    <row r="344" customFormat="false" ht="15" hidden="false" customHeight="false" outlineLevel="0" collapsed="false">
      <c r="A344" s="7" t="str">
        <f aca="false">IF('Outro banco'!A344="","",IF(LEFT('Outro banco'!A344,1)="(","",'Outro banco'!A344))</f>
        <v/>
      </c>
      <c r="B344" s="7" t="str">
        <f aca="false">IF(A344="","",'Outro banco'!B344)</f>
        <v/>
      </c>
      <c r="C344" s="7" t="str">
        <f aca="false">IF(A344="","",'Outro banco'!C344)</f>
        <v/>
      </c>
      <c r="D344" s="7" t="str">
        <f aca="false">IF(A344="","",'Outro banco'!D344)</f>
        <v/>
      </c>
      <c r="E344" s="9"/>
      <c r="F344" s="9"/>
      <c r="G344" s="7" t="str">
        <f aca="false">IF(A344="","",IF(COUNTIF(Tabelas!$A:$A,IF(E344="",A344,E344))&gt;0,"sim","não"))</f>
        <v/>
      </c>
      <c r="H344" s="7" t="str">
        <f aca="false">IF(A344="","",IF(E344="",A344,E344)&amp;"."&amp;IF(F344="",B344,F344))</f>
        <v/>
      </c>
      <c r="I344" s="7" t="str">
        <f aca="false">IF(A344="","",IFERROR(INDEX('Campos Growths'!$F:$F,MATCH(H344,'Campos Growths'!$A:$A,0)),""))</f>
        <v/>
      </c>
      <c r="J344" s="7" t="str">
        <f aca="false">IF(A344="","",IFERROR(VLOOKUP(IF(ISNUMBER(SEARCH("(",C344)),LEFT(C344,SEARCH("(",C344)-1),C344),Tipos!$A:$B,2,FALSE()),"outro"))</f>
        <v/>
      </c>
      <c r="K344" s="7" t="str">
        <f aca="false">IF(I344="","",IFERROR(INDEX('Campos Growths'!$L:$L,MATCH(H344,'Campos Growths'!$A:$A,0)),""))</f>
        <v/>
      </c>
      <c r="L344" s="7" t="str">
        <f aca="false">IF(A344="","",IF(G344="não","Sem tabela no Growths",IF(I344="","Sem campo no Growths",IF(J344=K344,"Importa direto","Ajustar tipo"))))</f>
        <v/>
      </c>
      <c r="M344" s="9"/>
    </row>
    <row r="345" customFormat="false" ht="15" hidden="false" customHeight="false" outlineLevel="0" collapsed="false">
      <c r="A345" s="7" t="str">
        <f aca="false">IF('Outro banco'!A345="","",IF(LEFT('Outro banco'!A345,1)="(","",'Outro banco'!A345))</f>
        <v/>
      </c>
      <c r="B345" s="7" t="str">
        <f aca="false">IF(A345="","",'Outro banco'!B345)</f>
        <v/>
      </c>
      <c r="C345" s="7" t="str">
        <f aca="false">IF(A345="","",'Outro banco'!C345)</f>
        <v/>
      </c>
      <c r="D345" s="7" t="str">
        <f aca="false">IF(A345="","",'Outro banco'!D345)</f>
        <v/>
      </c>
      <c r="E345" s="9"/>
      <c r="F345" s="9"/>
      <c r="G345" s="7" t="str">
        <f aca="false">IF(A345="","",IF(COUNTIF(Tabelas!$A:$A,IF(E345="",A345,E345))&gt;0,"sim","não"))</f>
        <v/>
      </c>
      <c r="H345" s="7" t="str">
        <f aca="false">IF(A345="","",IF(E345="",A345,E345)&amp;"."&amp;IF(F345="",B345,F345))</f>
        <v/>
      </c>
      <c r="I345" s="7" t="str">
        <f aca="false">IF(A345="","",IFERROR(INDEX('Campos Growths'!$F:$F,MATCH(H345,'Campos Growths'!$A:$A,0)),""))</f>
        <v/>
      </c>
      <c r="J345" s="7" t="str">
        <f aca="false">IF(A345="","",IFERROR(VLOOKUP(IF(ISNUMBER(SEARCH("(",C345)),LEFT(C345,SEARCH("(",C345)-1),C345),Tipos!$A:$B,2,FALSE()),"outro"))</f>
        <v/>
      </c>
      <c r="K345" s="7" t="str">
        <f aca="false">IF(I345="","",IFERROR(INDEX('Campos Growths'!$L:$L,MATCH(H345,'Campos Growths'!$A:$A,0)),""))</f>
        <v/>
      </c>
      <c r="L345" s="7" t="str">
        <f aca="false">IF(A345="","",IF(G345="não","Sem tabela no Growths",IF(I345="","Sem campo no Growths",IF(J345=K345,"Importa direto","Ajustar tipo"))))</f>
        <v/>
      </c>
      <c r="M345" s="9"/>
    </row>
    <row r="346" customFormat="false" ht="15" hidden="false" customHeight="false" outlineLevel="0" collapsed="false">
      <c r="A346" s="7" t="str">
        <f aca="false">IF('Outro banco'!A346="","",IF(LEFT('Outro banco'!A346,1)="(","",'Outro banco'!A346))</f>
        <v/>
      </c>
      <c r="B346" s="7" t="str">
        <f aca="false">IF(A346="","",'Outro banco'!B346)</f>
        <v/>
      </c>
      <c r="C346" s="7" t="str">
        <f aca="false">IF(A346="","",'Outro banco'!C346)</f>
        <v/>
      </c>
      <c r="D346" s="7" t="str">
        <f aca="false">IF(A346="","",'Outro banco'!D346)</f>
        <v/>
      </c>
      <c r="E346" s="9"/>
      <c r="F346" s="9"/>
      <c r="G346" s="7" t="str">
        <f aca="false">IF(A346="","",IF(COUNTIF(Tabelas!$A:$A,IF(E346="",A346,E346))&gt;0,"sim","não"))</f>
        <v/>
      </c>
      <c r="H346" s="7" t="str">
        <f aca="false">IF(A346="","",IF(E346="",A346,E346)&amp;"."&amp;IF(F346="",B346,F346))</f>
        <v/>
      </c>
      <c r="I346" s="7" t="str">
        <f aca="false">IF(A346="","",IFERROR(INDEX('Campos Growths'!$F:$F,MATCH(H346,'Campos Growths'!$A:$A,0)),""))</f>
        <v/>
      </c>
      <c r="J346" s="7" t="str">
        <f aca="false">IF(A346="","",IFERROR(VLOOKUP(IF(ISNUMBER(SEARCH("(",C346)),LEFT(C346,SEARCH("(",C346)-1),C346),Tipos!$A:$B,2,FALSE()),"outro"))</f>
        <v/>
      </c>
      <c r="K346" s="7" t="str">
        <f aca="false">IF(I346="","",IFERROR(INDEX('Campos Growths'!$L:$L,MATCH(H346,'Campos Growths'!$A:$A,0)),""))</f>
        <v/>
      </c>
      <c r="L346" s="7" t="str">
        <f aca="false">IF(A346="","",IF(G346="não","Sem tabela no Growths",IF(I346="","Sem campo no Growths",IF(J346=K346,"Importa direto","Ajustar tipo"))))</f>
        <v/>
      </c>
      <c r="M346" s="9"/>
    </row>
    <row r="347" customFormat="false" ht="15" hidden="false" customHeight="false" outlineLevel="0" collapsed="false">
      <c r="A347" s="7" t="str">
        <f aca="false">IF('Outro banco'!A347="","",IF(LEFT('Outro banco'!A347,1)="(","",'Outro banco'!A347))</f>
        <v/>
      </c>
      <c r="B347" s="7" t="str">
        <f aca="false">IF(A347="","",'Outro banco'!B347)</f>
        <v/>
      </c>
      <c r="C347" s="7" t="str">
        <f aca="false">IF(A347="","",'Outro banco'!C347)</f>
        <v/>
      </c>
      <c r="D347" s="7" t="str">
        <f aca="false">IF(A347="","",'Outro banco'!D347)</f>
        <v/>
      </c>
      <c r="E347" s="9"/>
      <c r="F347" s="9"/>
      <c r="G347" s="7" t="str">
        <f aca="false">IF(A347="","",IF(COUNTIF(Tabelas!$A:$A,IF(E347="",A347,E347))&gt;0,"sim","não"))</f>
        <v/>
      </c>
      <c r="H347" s="7" t="str">
        <f aca="false">IF(A347="","",IF(E347="",A347,E347)&amp;"."&amp;IF(F347="",B347,F347))</f>
        <v/>
      </c>
      <c r="I347" s="7" t="str">
        <f aca="false">IF(A347="","",IFERROR(INDEX('Campos Growths'!$F:$F,MATCH(H347,'Campos Growths'!$A:$A,0)),""))</f>
        <v/>
      </c>
      <c r="J347" s="7" t="str">
        <f aca="false">IF(A347="","",IFERROR(VLOOKUP(IF(ISNUMBER(SEARCH("(",C347)),LEFT(C347,SEARCH("(",C347)-1),C347),Tipos!$A:$B,2,FALSE()),"outro"))</f>
        <v/>
      </c>
      <c r="K347" s="7" t="str">
        <f aca="false">IF(I347="","",IFERROR(INDEX('Campos Growths'!$L:$L,MATCH(H347,'Campos Growths'!$A:$A,0)),""))</f>
        <v/>
      </c>
      <c r="L347" s="7" t="str">
        <f aca="false">IF(A347="","",IF(G347="não","Sem tabela no Growths",IF(I347="","Sem campo no Growths",IF(J347=K347,"Importa direto","Ajustar tipo"))))</f>
        <v/>
      </c>
      <c r="M347" s="9"/>
    </row>
    <row r="348" customFormat="false" ht="15" hidden="false" customHeight="false" outlineLevel="0" collapsed="false">
      <c r="A348" s="7" t="str">
        <f aca="false">IF('Outro banco'!A348="","",IF(LEFT('Outro banco'!A348,1)="(","",'Outro banco'!A348))</f>
        <v/>
      </c>
      <c r="B348" s="7" t="str">
        <f aca="false">IF(A348="","",'Outro banco'!B348)</f>
        <v/>
      </c>
      <c r="C348" s="7" t="str">
        <f aca="false">IF(A348="","",'Outro banco'!C348)</f>
        <v/>
      </c>
      <c r="D348" s="7" t="str">
        <f aca="false">IF(A348="","",'Outro banco'!D348)</f>
        <v/>
      </c>
      <c r="E348" s="9"/>
      <c r="F348" s="9"/>
      <c r="G348" s="7" t="str">
        <f aca="false">IF(A348="","",IF(COUNTIF(Tabelas!$A:$A,IF(E348="",A348,E348))&gt;0,"sim","não"))</f>
        <v/>
      </c>
      <c r="H348" s="7" t="str">
        <f aca="false">IF(A348="","",IF(E348="",A348,E348)&amp;"."&amp;IF(F348="",B348,F348))</f>
        <v/>
      </c>
      <c r="I348" s="7" t="str">
        <f aca="false">IF(A348="","",IFERROR(INDEX('Campos Growths'!$F:$F,MATCH(H348,'Campos Growths'!$A:$A,0)),""))</f>
        <v/>
      </c>
      <c r="J348" s="7" t="str">
        <f aca="false">IF(A348="","",IFERROR(VLOOKUP(IF(ISNUMBER(SEARCH("(",C348)),LEFT(C348,SEARCH("(",C348)-1),C348),Tipos!$A:$B,2,FALSE()),"outro"))</f>
        <v/>
      </c>
      <c r="K348" s="7" t="str">
        <f aca="false">IF(I348="","",IFERROR(INDEX('Campos Growths'!$L:$L,MATCH(H348,'Campos Growths'!$A:$A,0)),""))</f>
        <v/>
      </c>
      <c r="L348" s="7" t="str">
        <f aca="false">IF(A348="","",IF(G348="não","Sem tabela no Growths",IF(I348="","Sem campo no Growths",IF(J348=K348,"Importa direto","Ajustar tipo"))))</f>
        <v/>
      </c>
      <c r="M348" s="9"/>
    </row>
    <row r="349" customFormat="false" ht="15" hidden="false" customHeight="false" outlineLevel="0" collapsed="false">
      <c r="A349" s="7" t="str">
        <f aca="false">IF('Outro banco'!A349="","",IF(LEFT('Outro banco'!A349,1)="(","",'Outro banco'!A349))</f>
        <v/>
      </c>
      <c r="B349" s="7" t="str">
        <f aca="false">IF(A349="","",'Outro banco'!B349)</f>
        <v/>
      </c>
      <c r="C349" s="7" t="str">
        <f aca="false">IF(A349="","",'Outro banco'!C349)</f>
        <v/>
      </c>
      <c r="D349" s="7" t="str">
        <f aca="false">IF(A349="","",'Outro banco'!D349)</f>
        <v/>
      </c>
      <c r="E349" s="9"/>
      <c r="F349" s="9"/>
      <c r="G349" s="7" t="str">
        <f aca="false">IF(A349="","",IF(COUNTIF(Tabelas!$A:$A,IF(E349="",A349,E349))&gt;0,"sim","não"))</f>
        <v/>
      </c>
      <c r="H349" s="7" t="str">
        <f aca="false">IF(A349="","",IF(E349="",A349,E349)&amp;"."&amp;IF(F349="",B349,F349))</f>
        <v/>
      </c>
      <c r="I349" s="7" t="str">
        <f aca="false">IF(A349="","",IFERROR(INDEX('Campos Growths'!$F:$F,MATCH(H349,'Campos Growths'!$A:$A,0)),""))</f>
        <v/>
      </c>
      <c r="J349" s="7" t="str">
        <f aca="false">IF(A349="","",IFERROR(VLOOKUP(IF(ISNUMBER(SEARCH("(",C349)),LEFT(C349,SEARCH("(",C349)-1),C349),Tipos!$A:$B,2,FALSE()),"outro"))</f>
        <v/>
      </c>
      <c r="K349" s="7" t="str">
        <f aca="false">IF(I349="","",IFERROR(INDEX('Campos Growths'!$L:$L,MATCH(H349,'Campos Growths'!$A:$A,0)),""))</f>
        <v/>
      </c>
      <c r="L349" s="7" t="str">
        <f aca="false">IF(A349="","",IF(G349="não","Sem tabela no Growths",IF(I349="","Sem campo no Growths",IF(J349=K349,"Importa direto","Ajustar tipo"))))</f>
        <v/>
      </c>
      <c r="M349" s="9"/>
    </row>
    <row r="350" customFormat="false" ht="15" hidden="false" customHeight="false" outlineLevel="0" collapsed="false">
      <c r="A350" s="7" t="str">
        <f aca="false">IF('Outro banco'!A350="","",IF(LEFT('Outro banco'!A350,1)="(","",'Outro banco'!A350))</f>
        <v/>
      </c>
      <c r="B350" s="7" t="str">
        <f aca="false">IF(A350="","",'Outro banco'!B350)</f>
        <v/>
      </c>
      <c r="C350" s="7" t="str">
        <f aca="false">IF(A350="","",'Outro banco'!C350)</f>
        <v/>
      </c>
      <c r="D350" s="7" t="str">
        <f aca="false">IF(A350="","",'Outro banco'!D350)</f>
        <v/>
      </c>
      <c r="E350" s="9"/>
      <c r="F350" s="9"/>
      <c r="G350" s="7" t="str">
        <f aca="false">IF(A350="","",IF(COUNTIF(Tabelas!$A:$A,IF(E350="",A350,E350))&gt;0,"sim","não"))</f>
        <v/>
      </c>
      <c r="H350" s="7" t="str">
        <f aca="false">IF(A350="","",IF(E350="",A350,E350)&amp;"."&amp;IF(F350="",B350,F350))</f>
        <v/>
      </c>
      <c r="I350" s="7" t="str">
        <f aca="false">IF(A350="","",IFERROR(INDEX('Campos Growths'!$F:$F,MATCH(H350,'Campos Growths'!$A:$A,0)),""))</f>
        <v/>
      </c>
      <c r="J350" s="7" t="str">
        <f aca="false">IF(A350="","",IFERROR(VLOOKUP(IF(ISNUMBER(SEARCH("(",C350)),LEFT(C350,SEARCH("(",C350)-1),C350),Tipos!$A:$B,2,FALSE()),"outro"))</f>
        <v/>
      </c>
      <c r="K350" s="7" t="str">
        <f aca="false">IF(I350="","",IFERROR(INDEX('Campos Growths'!$L:$L,MATCH(H350,'Campos Growths'!$A:$A,0)),""))</f>
        <v/>
      </c>
      <c r="L350" s="7" t="str">
        <f aca="false">IF(A350="","",IF(G350="não","Sem tabela no Growths",IF(I350="","Sem campo no Growths",IF(J350=K350,"Importa direto","Ajustar tipo"))))</f>
        <v/>
      </c>
      <c r="M350" s="9"/>
    </row>
    <row r="351" customFormat="false" ht="15" hidden="false" customHeight="false" outlineLevel="0" collapsed="false">
      <c r="A351" s="7" t="str">
        <f aca="false">IF('Outro banco'!A351="","",IF(LEFT('Outro banco'!A351,1)="(","",'Outro banco'!A351))</f>
        <v/>
      </c>
      <c r="B351" s="7" t="str">
        <f aca="false">IF(A351="","",'Outro banco'!B351)</f>
        <v/>
      </c>
      <c r="C351" s="7" t="str">
        <f aca="false">IF(A351="","",'Outro banco'!C351)</f>
        <v/>
      </c>
      <c r="D351" s="7" t="str">
        <f aca="false">IF(A351="","",'Outro banco'!D351)</f>
        <v/>
      </c>
      <c r="E351" s="9"/>
      <c r="F351" s="9"/>
      <c r="G351" s="7" t="str">
        <f aca="false">IF(A351="","",IF(COUNTIF(Tabelas!$A:$A,IF(E351="",A351,E351))&gt;0,"sim","não"))</f>
        <v/>
      </c>
      <c r="H351" s="7" t="str">
        <f aca="false">IF(A351="","",IF(E351="",A351,E351)&amp;"."&amp;IF(F351="",B351,F351))</f>
        <v/>
      </c>
      <c r="I351" s="7" t="str">
        <f aca="false">IF(A351="","",IFERROR(INDEX('Campos Growths'!$F:$F,MATCH(H351,'Campos Growths'!$A:$A,0)),""))</f>
        <v/>
      </c>
      <c r="J351" s="7" t="str">
        <f aca="false">IF(A351="","",IFERROR(VLOOKUP(IF(ISNUMBER(SEARCH("(",C351)),LEFT(C351,SEARCH("(",C351)-1),C351),Tipos!$A:$B,2,FALSE()),"outro"))</f>
        <v/>
      </c>
      <c r="K351" s="7" t="str">
        <f aca="false">IF(I351="","",IFERROR(INDEX('Campos Growths'!$L:$L,MATCH(H351,'Campos Growths'!$A:$A,0)),""))</f>
        <v/>
      </c>
      <c r="L351" s="7" t="str">
        <f aca="false">IF(A351="","",IF(G351="não","Sem tabela no Growths",IF(I351="","Sem campo no Growths",IF(J351=K351,"Importa direto","Ajustar tipo"))))</f>
        <v/>
      </c>
      <c r="M351" s="9"/>
    </row>
    <row r="352" customFormat="false" ht="15" hidden="false" customHeight="false" outlineLevel="0" collapsed="false">
      <c r="A352" s="7" t="str">
        <f aca="false">IF('Outro banco'!A352="","",IF(LEFT('Outro banco'!A352,1)="(","",'Outro banco'!A352))</f>
        <v/>
      </c>
      <c r="B352" s="7" t="str">
        <f aca="false">IF(A352="","",'Outro banco'!B352)</f>
        <v/>
      </c>
      <c r="C352" s="7" t="str">
        <f aca="false">IF(A352="","",'Outro banco'!C352)</f>
        <v/>
      </c>
      <c r="D352" s="7" t="str">
        <f aca="false">IF(A352="","",'Outro banco'!D352)</f>
        <v/>
      </c>
      <c r="E352" s="9"/>
      <c r="F352" s="9"/>
      <c r="G352" s="7" t="str">
        <f aca="false">IF(A352="","",IF(COUNTIF(Tabelas!$A:$A,IF(E352="",A352,E352))&gt;0,"sim","não"))</f>
        <v/>
      </c>
      <c r="H352" s="7" t="str">
        <f aca="false">IF(A352="","",IF(E352="",A352,E352)&amp;"."&amp;IF(F352="",B352,F352))</f>
        <v/>
      </c>
      <c r="I352" s="7" t="str">
        <f aca="false">IF(A352="","",IFERROR(INDEX('Campos Growths'!$F:$F,MATCH(H352,'Campos Growths'!$A:$A,0)),""))</f>
        <v/>
      </c>
      <c r="J352" s="7" t="str">
        <f aca="false">IF(A352="","",IFERROR(VLOOKUP(IF(ISNUMBER(SEARCH("(",C352)),LEFT(C352,SEARCH("(",C352)-1),C352),Tipos!$A:$B,2,FALSE()),"outro"))</f>
        <v/>
      </c>
      <c r="K352" s="7" t="str">
        <f aca="false">IF(I352="","",IFERROR(INDEX('Campos Growths'!$L:$L,MATCH(H352,'Campos Growths'!$A:$A,0)),""))</f>
        <v/>
      </c>
      <c r="L352" s="7" t="str">
        <f aca="false">IF(A352="","",IF(G352="não","Sem tabela no Growths",IF(I352="","Sem campo no Growths",IF(J352=K352,"Importa direto","Ajustar tipo"))))</f>
        <v/>
      </c>
      <c r="M352" s="9"/>
    </row>
    <row r="353" customFormat="false" ht="15" hidden="false" customHeight="false" outlineLevel="0" collapsed="false">
      <c r="A353" s="7" t="str">
        <f aca="false">IF('Outro banco'!A353="","",IF(LEFT('Outro banco'!A353,1)="(","",'Outro banco'!A353))</f>
        <v/>
      </c>
      <c r="B353" s="7" t="str">
        <f aca="false">IF(A353="","",'Outro banco'!B353)</f>
        <v/>
      </c>
      <c r="C353" s="7" t="str">
        <f aca="false">IF(A353="","",'Outro banco'!C353)</f>
        <v/>
      </c>
      <c r="D353" s="7" t="str">
        <f aca="false">IF(A353="","",'Outro banco'!D353)</f>
        <v/>
      </c>
      <c r="E353" s="9"/>
      <c r="F353" s="9"/>
      <c r="G353" s="7" t="str">
        <f aca="false">IF(A353="","",IF(COUNTIF(Tabelas!$A:$A,IF(E353="",A353,E353))&gt;0,"sim","não"))</f>
        <v/>
      </c>
      <c r="H353" s="7" t="str">
        <f aca="false">IF(A353="","",IF(E353="",A353,E353)&amp;"."&amp;IF(F353="",B353,F353))</f>
        <v/>
      </c>
      <c r="I353" s="7" t="str">
        <f aca="false">IF(A353="","",IFERROR(INDEX('Campos Growths'!$F:$F,MATCH(H353,'Campos Growths'!$A:$A,0)),""))</f>
        <v/>
      </c>
      <c r="J353" s="7" t="str">
        <f aca="false">IF(A353="","",IFERROR(VLOOKUP(IF(ISNUMBER(SEARCH("(",C353)),LEFT(C353,SEARCH("(",C353)-1),C353),Tipos!$A:$B,2,FALSE()),"outro"))</f>
        <v/>
      </c>
      <c r="K353" s="7" t="str">
        <f aca="false">IF(I353="","",IFERROR(INDEX('Campos Growths'!$L:$L,MATCH(H353,'Campos Growths'!$A:$A,0)),""))</f>
        <v/>
      </c>
      <c r="L353" s="7" t="str">
        <f aca="false">IF(A353="","",IF(G353="não","Sem tabela no Growths",IF(I353="","Sem campo no Growths",IF(J353=K353,"Importa direto","Ajustar tipo"))))</f>
        <v/>
      </c>
      <c r="M353" s="9"/>
    </row>
    <row r="354" customFormat="false" ht="15" hidden="false" customHeight="false" outlineLevel="0" collapsed="false">
      <c r="A354" s="7" t="str">
        <f aca="false">IF('Outro banco'!A354="","",IF(LEFT('Outro banco'!A354,1)="(","",'Outro banco'!A354))</f>
        <v/>
      </c>
      <c r="B354" s="7" t="str">
        <f aca="false">IF(A354="","",'Outro banco'!B354)</f>
        <v/>
      </c>
      <c r="C354" s="7" t="str">
        <f aca="false">IF(A354="","",'Outro banco'!C354)</f>
        <v/>
      </c>
      <c r="D354" s="7" t="str">
        <f aca="false">IF(A354="","",'Outro banco'!D354)</f>
        <v/>
      </c>
      <c r="E354" s="9"/>
      <c r="F354" s="9"/>
      <c r="G354" s="7" t="str">
        <f aca="false">IF(A354="","",IF(COUNTIF(Tabelas!$A:$A,IF(E354="",A354,E354))&gt;0,"sim","não"))</f>
        <v/>
      </c>
      <c r="H354" s="7" t="str">
        <f aca="false">IF(A354="","",IF(E354="",A354,E354)&amp;"."&amp;IF(F354="",B354,F354))</f>
        <v/>
      </c>
      <c r="I354" s="7" t="str">
        <f aca="false">IF(A354="","",IFERROR(INDEX('Campos Growths'!$F:$F,MATCH(H354,'Campos Growths'!$A:$A,0)),""))</f>
        <v/>
      </c>
      <c r="J354" s="7" t="str">
        <f aca="false">IF(A354="","",IFERROR(VLOOKUP(IF(ISNUMBER(SEARCH("(",C354)),LEFT(C354,SEARCH("(",C354)-1),C354),Tipos!$A:$B,2,FALSE()),"outro"))</f>
        <v/>
      </c>
      <c r="K354" s="7" t="str">
        <f aca="false">IF(I354="","",IFERROR(INDEX('Campos Growths'!$L:$L,MATCH(H354,'Campos Growths'!$A:$A,0)),""))</f>
        <v/>
      </c>
      <c r="L354" s="7" t="str">
        <f aca="false">IF(A354="","",IF(G354="não","Sem tabela no Growths",IF(I354="","Sem campo no Growths",IF(J354=K354,"Importa direto","Ajustar tipo"))))</f>
        <v/>
      </c>
      <c r="M354" s="9"/>
    </row>
    <row r="355" customFormat="false" ht="15" hidden="false" customHeight="false" outlineLevel="0" collapsed="false">
      <c r="A355" s="7" t="str">
        <f aca="false">IF('Outro banco'!A355="","",IF(LEFT('Outro banco'!A355,1)="(","",'Outro banco'!A355))</f>
        <v/>
      </c>
      <c r="B355" s="7" t="str">
        <f aca="false">IF(A355="","",'Outro banco'!B355)</f>
        <v/>
      </c>
      <c r="C355" s="7" t="str">
        <f aca="false">IF(A355="","",'Outro banco'!C355)</f>
        <v/>
      </c>
      <c r="D355" s="7" t="str">
        <f aca="false">IF(A355="","",'Outro banco'!D355)</f>
        <v/>
      </c>
      <c r="E355" s="9"/>
      <c r="F355" s="9"/>
      <c r="G355" s="7" t="str">
        <f aca="false">IF(A355="","",IF(COUNTIF(Tabelas!$A:$A,IF(E355="",A355,E355))&gt;0,"sim","não"))</f>
        <v/>
      </c>
      <c r="H355" s="7" t="str">
        <f aca="false">IF(A355="","",IF(E355="",A355,E355)&amp;"."&amp;IF(F355="",B355,F355))</f>
        <v/>
      </c>
      <c r="I355" s="7" t="str">
        <f aca="false">IF(A355="","",IFERROR(INDEX('Campos Growths'!$F:$F,MATCH(H355,'Campos Growths'!$A:$A,0)),""))</f>
        <v/>
      </c>
      <c r="J355" s="7" t="str">
        <f aca="false">IF(A355="","",IFERROR(VLOOKUP(IF(ISNUMBER(SEARCH("(",C355)),LEFT(C355,SEARCH("(",C355)-1),C355),Tipos!$A:$B,2,FALSE()),"outro"))</f>
        <v/>
      </c>
      <c r="K355" s="7" t="str">
        <f aca="false">IF(I355="","",IFERROR(INDEX('Campos Growths'!$L:$L,MATCH(H355,'Campos Growths'!$A:$A,0)),""))</f>
        <v/>
      </c>
      <c r="L355" s="7" t="str">
        <f aca="false">IF(A355="","",IF(G355="não","Sem tabela no Growths",IF(I355="","Sem campo no Growths",IF(J355=K355,"Importa direto","Ajustar tipo"))))</f>
        <v/>
      </c>
      <c r="M355" s="9"/>
    </row>
    <row r="356" customFormat="false" ht="15" hidden="false" customHeight="false" outlineLevel="0" collapsed="false">
      <c r="A356" s="7" t="str">
        <f aca="false">IF('Outro banco'!A356="","",IF(LEFT('Outro banco'!A356,1)="(","",'Outro banco'!A356))</f>
        <v/>
      </c>
      <c r="B356" s="7" t="str">
        <f aca="false">IF(A356="","",'Outro banco'!B356)</f>
        <v/>
      </c>
      <c r="C356" s="7" t="str">
        <f aca="false">IF(A356="","",'Outro banco'!C356)</f>
        <v/>
      </c>
      <c r="D356" s="7" t="str">
        <f aca="false">IF(A356="","",'Outro banco'!D356)</f>
        <v/>
      </c>
      <c r="E356" s="9"/>
      <c r="F356" s="9"/>
      <c r="G356" s="7" t="str">
        <f aca="false">IF(A356="","",IF(COUNTIF(Tabelas!$A:$A,IF(E356="",A356,E356))&gt;0,"sim","não"))</f>
        <v/>
      </c>
      <c r="H356" s="7" t="str">
        <f aca="false">IF(A356="","",IF(E356="",A356,E356)&amp;"."&amp;IF(F356="",B356,F356))</f>
        <v/>
      </c>
      <c r="I356" s="7" t="str">
        <f aca="false">IF(A356="","",IFERROR(INDEX('Campos Growths'!$F:$F,MATCH(H356,'Campos Growths'!$A:$A,0)),""))</f>
        <v/>
      </c>
      <c r="J356" s="7" t="str">
        <f aca="false">IF(A356="","",IFERROR(VLOOKUP(IF(ISNUMBER(SEARCH("(",C356)),LEFT(C356,SEARCH("(",C356)-1),C356),Tipos!$A:$B,2,FALSE()),"outro"))</f>
        <v/>
      </c>
      <c r="K356" s="7" t="str">
        <f aca="false">IF(I356="","",IFERROR(INDEX('Campos Growths'!$L:$L,MATCH(H356,'Campos Growths'!$A:$A,0)),""))</f>
        <v/>
      </c>
      <c r="L356" s="7" t="str">
        <f aca="false">IF(A356="","",IF(G356="não","Sem tabela no Growths",IF(I356="","Sem campo no Growths",IF(J356=K356,"Importa direto","Ajustar tipo"))))</f>
        <v/>
      </c>
      <c r="M356" s="9"/>
    </row>
    <row r="357" customFormat="false" ht="15" hidden="false" customHeight="false" outlineLevel="0" collapsed="false">
      <c r="A357" s="7" t="str">
        <f aca="false">IF('Outro banco'!A357="","",IF(LEFT('Outro banco'!A357,1)="(","",'Outro banco'!A357))</f>
        <v/>
      </c>
      <c r="B357" s="7" t="str">
        <f aca="false">IF(A357="","",'Outro banco'!B357)</f>
        <v/>
      </c>
      <c r="C357" s="7" t="str">
        <f aca="false">IF(A357="","",'Outro banco'!C357)</f>
        <v/>
      </c>
      <c r="D357" s="7" t="str">
        <f aca="false">IF(A357="","",'Outro banco'!D357)</f>
        <v/>
      </c>
      <c r="E357" s="9"/>
      <c r="F357" s="9"/>
      <c r="G357" s="7" t="str">
        <f aca="false">IF(A357="","",IF(COUNTIF(Tabelas!$A:$A,IF(E357="",A357,E357))&gt;0,"sim","não"))</f>
        <v/>
      </c>
      <c r="H357" s="7" t="str">
        <f aca="false">IF(A357="","",IF(E357="",A357,E357)&amp;"."&amp;IF(F357="",B357,F357))</f>
        <v/>
      </c>
      <c r="I357" s="7" t="str">
        <f aca="false">IF(A357="","",IFERROR(INDEX('Campos Growths'!$F:$F,MATCH(H357,'Campos Growths'!$A:$A,0)),""))</f>
        <v/>
      </c>
      <c r="J357" s="7" t="str">
        <f aca="false">IF(A357="","",IFERROR(VLOOKUP(IF(ISNUMBER(SEARCH("(",C357)),LEFT(C357,SEARCH("(",C357)-1),C357),Tipos!$A:$B,2,FALSE()),"outro"))</f>
        <v/>
      </c>
      <c r="K357" s="7" t="str">
        <f aca="false">IF(I357="","",IFERROR(INDEX('Campos Growths'!$L:$L,MATCH(H357,'Campos Growths'!$A:$A,0)),""))</f>
        <v/>
      </c>
      <c r="L357" s="7" t="str">
        <f aca="false">IF(A357="","",IF(G357="não","Sem tabela no Growths",IF(I357="","Sem campo no Growths",IF(J357=K357,"Importa direto","Ajustar tipo"))))</f>
        <v/>
      </c>
      <c r="M357" s="9"/>
    </row>
    <row r="358" customFormat="false" ht="15" hidden="false" customHeight="false" outlineLevel="0" collapsed="false">
      <c r="A358" s="7" t="str">
        <f aca="false">IF('Outro banco'!A358="","",IF(LEFT('Outro banco'!A358,1)="(","",'Outro banco'!A358))</f>
        <v/>
      </c>
      <c r="B358" s="7" t="str">
        <f aca="false">IF(A358="","",'Outro banco'!B358)</f>
        <v/>
      </c>
      <c r="C358" s="7" t="str">
        <f aca="false">IF(A358="","",'Outro banco'!C358)</f>
        <v/>
      </c>
      <c r="D358" s="7" t="str">
        <f aca="false">IF(A358="","",'Outro banco'!D358)</f>
        <v/>
      </c>
      <c r="E358" s="9"/>
      <c r="F358" s="9"/>
      <c r="G358" s="7" t="str">
        <f aca="false">IF(A358="","",IF(COUNTIF(Tabelas!$A:$A,IF(E358="",A358,E358))&gt;0,"sim","não"))</f>
        <v/>
      </c>
      <c r="H358" s="7" t="str">
        <f aca="false">IF(A358="","",IF(E358="",A358,E358)&amp;"."&amp;IF(F358="",B358,F358))</f>
        <v/>
      </c>
      <c r="I358" s="7" t="str">
        <f aca="false">IF(A358="","",IFERROR(INDEX('Campos Growths'!$F:$F,MATCH(H358,'Campos Growths'!$A:$A,0)),""))</f>
        <v/>
      </c>
      <c r="J358" s="7" t="str">
        <f aca="false">IF(A358="","",IFERROR(VLOOKUP(IF(ISNUMBER(SEARCH("(",C358)),LEFT(C358,SEARCH("(",C358)-1),C358),Tipos!$A:$B,2,FALSE()),"outro"))</f>
        <v/>
      </c>
      <c r="K358" s="7" t="str">
        <f aca="false">IF(I358="","",IFERROR(INDEX('Campos Growths'!$L:$L,MATCH(H358,'Campos Growths'!$A:$A,0)),""))</f>
        <v/>
      </c>
      <c r="L358" s="7" t="str">
        <f aca="false">IF(A358="","",IF(G358="não","Sem tabela no Growths",IF(I358="","Sem campo no Growths",IF(J358=K358,"Importa direto","Ajustar tipo"))))</f>
        <v/>
      </c>
      <c r="M358" s="9"/>
    </row>
    <row r="359" customFormat="false" ht="15" hidden="false" customHeight="false" outlineLevel="0" collapsed="false">
      <c r="A359" s="7" t="str">
        <f aca="false">IF('Outro banco'!A359="","",IF(LEFT('Outro banco'!A359,1)="(","",'Outro banco'!A359))</f>
        <v/>
      </c>
      <c r="B359" s="7" t="str">
        <f aca="false">IF(A359="","",'Outro banco'!B359)</f>
        <v/>
      </c>
      <c r="C359" s="7" t="str">
        <f aca="false">IF(A359="","",'Outro banco'!C359)</f>
        <v/>
      </c>
      <c r="D359" s="7" t="str">
        <f aca="false">IF(A359="","",'Outro banco'!D359)</f>
        <v/>
      </c>
      <c r="E359" s="9"/>
      <c r="F359" s="9"/>
      <c r="G359" s="7" t="str">
        <f aca="false">IF(A359="","",IF(COUNTIF(Tabelas!$A:$A,IF(E359="",A359,E359))&gt;0,"sim","não"))</f>
        <v/>
      </c>
      <c r="H359" s="7" t="str">
        <f aca="false">IF(A359="","",IF(E359="",A359,E359)&amp;"."&amp;IF(F359="",B359,F359))</f>
        <v/>
      </c>
      <c r="I359" s="7" t="str">
        <f aca="false">IF(A359="","",IFERROR(INDEX('Campos Growths'!$F:$F,MATCH(H359,'Campos Growths'!$A:$A,0)),""))</f>
        <v/>
      </c>
      <c r="J359" s="7" t="str">
        <f aca="false">IF(A359="","",IFERROR(VLOOKUP(IF(ISNUMBER(SEARCH("(",C359)),LEFT(C359,SEARCH("(",C359)-1),C359),Tipos!$A:$B,2,FALSE()),"outro"))</f>
        <v/>
      </c>
      <c r="K359" s="7" t="str">
        <f aca="false">IF(I359="","",IFERROR(INDEX('Campos Growths'!$L:$L,MATCH(H359,'Campos Growths'!$A:$A,0)),""))</f>
        <v/>
      </c>
      <c r="L359" s="7" t="str">
        <f aca="false">IF(A359="","",IF(G359="não","Sem tabela no Growths",IF(I359="","Sem campo no Growths",IF(J359=K359,"Importa direto","Ajustar tipo"))))</f>
        <v/>
      </c>
      <c r="M359" s="9"/>
    </row>
    <row r="360" customFormat="false" ht="15" hidden="false" customHeight="false" outlineLevel="0" collapsed="false">
      <c r="A360" s="7" t="str">
        <f aca="false">IF('Outro banco'!A360="","",IF(LEFT('Outro banco'!A360,1)="(","",'Outro banco'!A360))</f>
        <v/>
      </c>
      <c r="B360" s="7" t="str">
        <f aca="false">IF(A360="","",'Outro banco'!B360)</f>
        <v/>
      </c>
      <c r="C360" s="7" t="str">
        <f aca="false">IF(A360="","",'Outro banco'!C360)</f>
        <v/>
      </c>
      <c r="D360" s="7" t="str">
        <f aca="false">IF(A360="","",'Outro banco'!D360)</f>
        <v/>
      </c>
      <c r="E360" s="9"/>
      <c r="F360" s="9"/>
      <c r="G360" s="7" t="str">
        <f aca="false">IF(A360="","",IF(COUNTIF(Tabelas!$A:$A,IF(E360="",A360,E360))&gt;0,"sim","não"))</f>
        <v/>
      </c>
      <c r="H360" s="7" t="str">
        <f aca="false">IF(A360="","",IF(E360="",A360,E360)&amp;"."&amp;IF(F360="",B360,F360))</f>
        <v/>
      </c>
      <c r="I360" s="7" t="str">
        <f aca="false">IF(A360="","",IFERROR(INDEX('Campos Growths'!$F:$F,MATCH(H360,'Campos Growths'!$A:$A,0)),""))</f>
        <v/>
      </c>
      <c r="J360" s="7" t="str">
        <f aca="false">IF(A360="","",IFERROR(VLOOKUP(IF(ISNUMBER(SEARCH("(",C360)),LEFT(C360,SEARCH("(",C360)-1),C360),Tipos!$A:$B,2,FALSE()),"outro"))</f>
        <v/>
      </c>
      <c r="K360" s="7" t="str">
        <f aca="false">IF(I360="","",IFERROR(INDEX('Campos Growths'!$L:$L,MATCH(H360,'Campos Growths'!$A:$A,0)),""))</f>
        <v/>
      </c>
      <c r="L360" s="7" t="str">
        <f aca="false">IF(A360="","",IF(G360="não","Sem tabela no Growths",IF(I360="","Sem campo no Growths",IF(J360=K360,"Importa direto","Ajustar tipo"))))</f>
        <v/>
      </c>
      <c r="M360" s="9"/>
    </row>
    <row r="361" customFormat="false" ht="15" hidden="false" customHeight="false" outlineLevel="0" collapsed="false">
      <c r="A361" s="7" t="str">
        <f aca="false">IF('Outro banco'!A361="","",IF(LEFT('Outro banco'!A361,1)="(","",'Outro banco'!A361))</f>
        <v/>
      </c>
      <c r="B361" s="7" t="str">
        <f aca="false">IF(A361="","",'Outro banco'!B361)</f>
        <v/>
      </c>
      <c r="C361" s="7" t="str">
        <f aca="false">IF(A361="","",'Outro banco'!C361)</f>
        <v/>
      </c>
      <c r="D361" s="7" t="str">
        <f aca="false">IF(A361="","",'Outro banco'!D361)</f>
        <v/>
      </c>
      <c r="E361" s="9"/>
      <c r="F361" s="9"/>
      <c r="G361" s="7" t="str">
        <f aca="false">IF(A361="","",IF(COUNTIF(Tabelas!$A:$A,IF(E361="",A361,E361))&gt;0,"sim","não"))</f>
        <v/>
      </c>
      <c r="H361" s="7" t="str">
        <f aca="false">IF(A361="","",IF(E361="",A361,E361)&amp;"."&amp;IF(F361="",B361,F361))</f>
        <v/>
      </c>
      <c r="I361" s="7" t="str">
        <f aca="false">IF(A361="","",IFERROR(INDEX('Campos Growths'!$F:$F,MATCH(H361,'Campos Growths'!$A:$A,0)),""))</f>
        <v/>
      </c>
      <c r="J361" s="7" t="str">
        <f aca="false">IF(A361="","",IFERROR(VLOOKUP(IF(ISNUMBER(SEARCH("(",C361)),LEFT(C361,SEARCH("(",C361)-1),C361),Tipos!$A:$B,2,FALSE()),"outro"))</f>
        <v/>
      </c>
      <c r="K361" s="7" t="str">
        <f aca="false">IF(I361="","",IFERROR(INDEX('Campos Growths'!$L:$L,MATCH(H361,'Campos Growths'!$A:$A,0)),""))</f>
        <v/>
      </c>
      <c r="L361" s="7" t="str">
        <f aca="false">IF(A361="","",IF(G361="não","Sem tabela no Growths",IF(I361="","Sem campo no Growths",IF(J361=K361,"Importa direto","Ajustar tipo"))))</f>
        <v/>
      </c>
      <c r="M361" s="9"/>
    </row>
    <row r="362" customFormat="false" ht="15" hidden="false" customHeight="false" outlineLevel="0" collapsed="false">
      <c r="A362" s="7" t="str">
        <f aca="false">IF('Outro banco'!A362="","",IF(LEFT('Outro banco'!A362,1)="(","",'Outro banco'!A362))</f>
        <v/>
      </c>
      <c r="B362" s="7" t="str">
        <f aca="false">IF(A362="","",'Outro banco'!B362)</f>
        <v/>
      </c>
      <c r="C362" s="7" t="str">
        <f aca="false">IF(A362="","",'Outro banco'!C362)</f>
        <v/>
      </c>
      <c r="D362" s="7" t="str">
        <f aca="false">IF(A362="","",'Outro banco'!D362)</f>
        <v/>
      </c>
      <c r="E362" s="9"/>
      <c r="F362" s="9"/>
      <c r="G362" s="7" t="str">
        <f aca="false">IF(A362="","",IF(COUNTIF(Tabelas!$A:$A,IF(E362="",A362,E362))&gt;0,"sim","não"))</f>
        <v/>
      </c>
      <c r="H362" s="7" t="str">
        <f aca="false">IF(A362="","",IF(E362="",A362,E362)&amp;"."&amp;IF(F362="",B362,F362))</f>
        <v/>
      </c>
      <c r="I362" s="7" t="str">
        <f aca="false">IF(A362="","",IFERROR(INDEX('Campos Growths'!$F:$F,MATCH(H362,'Campos Growths'!$A:$A,0)),""))</f>
        <v/>
      </c>
      <c r="J362" s="7" t="str">
        <f aca="false">IF(A362="","",IFERROR(VLOOKUP(IF(ISNUMBER(SEARCH("(",C362)),LEFT(C362,SEARCH("(",C362)-1),C362),Tipos!$A:$B,2,FALSE()),"outro"))</f>
        <v/>
      </c>
      <c r="K362" s="7" t="str">
        <f aca="false">IF(I362="","",IFERROR(INDEX('Campos Growths'!$L:$L,MATCH(H362,'Campos Growths'!$A:$A,0)),""))</f>
        <v/>
      </c>
      <c r="L362" s="7" t="str">
        <f aca="false">IF(A362="","",IF(G362="não","Sem tabela no Growths",IF(I362="","Sem campo no Growths",IF(J362=K362,"Importa direto","Ajustar tipo"))))</f>
        <v/>
      </c>
      <c r="M362" s="9"/>
    </row>
    <row r="363" customFormat="false" ht="15" hidden="false" customHeight="false" outlineLevel="0" collapsed="false">
      <c r="A363" s="7" t="str">
        <f aca="false">IF('Outro banco'!A363="","",IF(LEFT('Outro banco'!A363,1)="(","",'Outro banco'!A363))</f>
        <v/>
      </c>
      <c r="B363" s="7" t="str">
        <f aca="false">IF(A363="","",'Outro banco'!B363)</f>
        <v/>
      </c>
      <c r="C363" s="7" t="str">
        <f aca="false">IF(A363="","",'Outro banco'!C363)</f>
        <v/>
      </c>
      <c r="D363" s="7" t="str">
        <f aca="false">IF(A363="","",'Outro banco'!D363)</f>
        <v/>
      </c>
      <c r="E363" s="9"/>
      <c r="F363" s="9"/>
      <c r="G363" s="7" t="str">
        <f aca="false">IF(A363="","",IF(COUNTIF(Tabelas!$A:$A,IF(E363="",A363,E363))&gt;0,"sim","não"))</f>
        <v/>
      </c>
      <c r="H363" s="7" t="str">
        <f aca="false">IF(A363="","",IF(E363="",A363,E363)&amp;"."&amp;IF(F363="",B363,F363))</f>
        <v/>
      </c>
      <c r="I363" s="7" t="str">
        <f aca="false">IF(A363="","",IFERROR(INDEX('Campos Growths'!$F:$F,MATCH(H363,'Campos Growths'!$A:$A,0)),""))</f>
        <v/>
      </c>
      <c r="J363" s="7" t="str">
        <f aca="false">IF(A363="","",IFERROR(VLOOKUP(IF(ISNUMBER(SEARCH("(",C363)),LEFT(C363,SEARCH("(",C363)-1),C363),Tipos!$A:$B,2,FALSE()),"outro"))</f>
        <v/>
      </c>
      <c r="K363" s="7" t="str">
        <f aca="false">IF(I363="","",IFERROR(INDEX('Campos Growths'!$L:$L,MATCH(H363,'Campos Growths'!$A:$A,0)),""))</f>
        <v/>
      </c>
      <c r="L363" s="7" t="str">
        <f aca="false">IF(A363="","",IF(G363="não","Sem tabela no Growths",IF(I363="","Sem campo no Growths",IF(J363=K363,"Importa direto","Ajustar tipo"))))</f>
        <v/>
      </c>
      <c r="M363" s="9"/>
    </row>
    <row r="364" customFormat="false" ht="15" hidden="false" customHeight="false" outlineLevel="0" collapsed="false">
      <c r="A364" s="7" t="str">
        <f aca="false">IF('Outro banco'!A364="","",IF(LEFT('Outro banco'!A364,1)="(","",'Outro banco'!A364))</f>
        <v/>
      </c>
      <c r="B364" s="7" t="str">
        <f aca="false">IF(A364="","",'Outro banco'!B364)</f>
        <v/>
      </c>
      <c r="C364" s="7" t="str">
        <f aca="false">IF(A364="","",'Outro banco'!C364)</f>
        <v/>
      </c>
      <c r="D364" s="7" t="str">
        <f aca="false">IF(A364="","",'Outro banco'!D364)</f>
        <v/>
      </c>
      <c r="E364" s="9"/>
      <c r="F364" s="9"/>
      <c r="G364" s="7" t="str">
        <f aca="false">IF(A364="","",IF(COUNTIF(Tabelas!$A:$A,IF(E364="",A364,E364))&gt;0,"sim","não"))</f>
        <v/>
      </c>
      <c r="H364" s="7" t="str">
        <f aca="false">IF(A364="","",IF(E364="",A364,E364)&amp;"."&amp;IF(F364="",B364,F364))</f>
        <v/>
      </c>
      <c r="I364" s="7" t="str">
        <f aca="false">IF(A364="","",IFERROR(INDEX('Campos Growths'!$F:$F,MATCH(H364,'Campos Growths'!$A:$A,0)),""))</f>
        <v/>
      </c>
      <c r="J364" s="7" t="str">
        <f aca="false">IF(A364="","",IFERROR(VLOOKUP(IF(ISNUMBER(SEARCH("(",C364)),LEFT(C364,SEARCH("(",C364)-1),C364),Tipos!$A:$B,2,FALSE()),"outro"))</f>
        <v/>
      </c>
      <c r="K364" s="7" t="str">
        <f aca="false">IF(I364="","",IFERROR(INDEX('Campos Growths'!$L:$L,MATCH(H364,'Campos Growths'!$A:$A,0)),""))</f>
        <v/>
      </c>
      <c r="L364" s="7" t="str">
        <f aca="false">IF(A364="","",IF(G364="não","Sem tabela no Growths",IF(I364="","Sem campo no Growths",IF(J364=K364,"Importa direto","Ajustar tipo"))))</f>
        <v/>
      </c>
      <c r="M364" s="9"/>
    </row>
    <row r="365" customFormat="false" ht="15" hidden="false" customHeight="false" outlineLevel="0" collapsed="false">
      <c r="A365" s="7" t="str">
        <f aca="false">IF('Outro banco'!A365="","",IF(LEFT('Outro banco'!A365,1)="(","",'Outro banco'!A365))</f>
        <v/>
      </c>
      <c r="B365" s="7" t="str">
        <f aca="false">IF(A365="","",'Outro banco'!B365)</f>
        <v/>
      </c>
      <c r="C365" s="7" t="str">
        <f aca="false">IF(A365="","",'Outro banco'!C365)</f>
        <v/>
      </c>
      <c r="D365" s="7" t="str">
        <f aca="false">IF(A365="","",'Outro banco'!D365)</f>
        <v/>
      </c>
      <c r="E365" s="9"/>
      <c r="F365" s="9"/>
      <c r="G365" s="7" t="str">
        <f aca="false">IF(A365="","",IF(COUNTIF(Tabelas!$A:$A,IF(E365="",A365,E365))&gt;0,"sim","não"))</f>
        <v/>
      </c>
      <c r="H365" s="7" t="str">
        <f aca="false">IF(A365="","",IF(E365="",A365,E365)&amp;"."&amp;IF(F365="",B365,F365))</f>
        <v/>
      </c>
      <c r="I365" s="7" t="str">
        <f aca="false">IF(A365="","",IFERROR(INDEX('Campos Growths'!$F:$F,MATCH(H365,'Campos Growths'!$A:$A,0)),""))</f>
        <v/>
      </c>
      <c r="J365" s="7" t="str">
        <f aca="false">IF(A365="","",IFERROR(VLOOKUP(IF(ISNUMBER(SEARCH("(",C365)),LEFT(C365,SEARCH("(",C365)-1),C365),Tipos!$A:$B,2,FALSE()),"outro"))</f>
        <v/>
      </c>
      <c r="K365" s="7" t="str">
        <f aca="false">IF(I365="","",IFERROR(INDEX('Campos Growths'!$L:$L,MATCH(H365,'Campos Growths'!$A:$A,0)),""))</f>
        <v/>
      </c>
      <c r="L365" s="7" t="str">
        <f aca="false">IF(A365="","",IF(G365="não","Sem tabela no Growths",IF(I365="","Sem campo no Growths",IF(J365=K365,"Importa direto","Ajustar tipo"))))</f>
        <v/>
      </c>
      <c r="M365" s="9"/>
    </row>
    <row r="366" customFormat="false" ht="15" hidden="false" customHeight="false" outlineLevel="0" collapsed="false">
      <c r="A366" s="7" t="str">
        <f aca="false">IF('Outro banco'!A366="","",IF(LEFT('Outro banco'!A366,1)="(","",'Outro banco'!A366))</f>
        <v/>
      </c>
      <c r="B366" s="7" t="str">
        <f aca="false">IF(A366="","",'Outro banco'!B366)</f>
        <v/>
      </c>
      <c r="C366" s="7" t="str">
        <f aca="false">IF(A366="","",'Outro banco'!C366)</f>
        <v/>
      </c>
      <c r="D366" s="7" t="str">
        <f aca="false">IF(A366="","",'Outro banco'!D366)</f>
        <v/>
      </c>
      <c r="E366" s="9"/>
      <c r="F366" s="9"/>
      <c r="G366" s="7" t="str">
        <f aca="false">IF(A366="","",IF(COUNTIF(Tabelas!$A:$A,IF(E366="",A366,E366))&gt;0,"sim","não"))</f>
        <v/>
      </c>
      <c r="H366" s="7" t="str">
        <f aca="false">IF(A366="","",IF(E366="",A366,E366)&amp;"."&amp;IF(F366="",B366,F366))</f>
        <v/>
      </c>
      <c r="I366" s="7" t="str">
        <f aca="false">IF(A366="","",IFERROR(INDEX('Campos Growths'!$F:$F,MATCH(H366,'Campos Growths'!$A:$A,0)),""))</f>
        <v/>
      </c>
      <c r="J366" s="7" t="str">
        <f aca="false">IF(A366="","",IFERROR(VLOOKUP(IF(ISNUMBER(SEARCH("(",C366)),LEFT(C366,SEARCH("(",C366)-1),C366),Tipos!$A:$B,2,FALSE()),"outro"))</f>
        <v/>
      </c>
      <c r="K366" s="7" t="str">
        <f aca="false">IF(I366="","",IFERROR(INDEX('Campos Growths'!$L:$L,MATCH(H366,'Campos Growths'!$A:$A,0)),""))</f>
        <v/>
      </c>
      <c r="L366" s="7" t="str">
        <f aca="false">IF(A366="","",IF(G366="não","Sem tabela no Growths",IF(I366="","Sem campo no Growths",IF(J366=K366,"Importa direto","Ajustar tipo"))))</f>
        <v/>
      </c>
      <c r="M366" s="9"/>
    </row>
    <row r="367" customFormat="false" ht="15" hidden="false" customHeight="false" outlineLevel="0" collapsed="false">
      <c r="A367" s="7" t="str">
        <f aca="false">IF('Outro banco'!A367="","",IF(LEFT('Outro banco'!A367,1)="(","",'Outro banco'!A367))</f>
        <v/>
      </c>
      <c r="B367" s="7" t="str">
        <f aca="false">IF(A367="","",'Outro banco'!B367)</f>
        <v/>
      </c>
      <c r="C367" s="7" t="str">
        <f aca="false">IF(A367="","",'Outro banco'!C367)</f>
        <v/>
      </c>
      <c r="D367" s="7" t="str">
        <f aca="false">IF(A367="","",'Outro banco'!D367)</f>
        <v/>
      </c>
      <c r="E367" s="9"/>
      <c r="F367" s="9"/>
      <c r="G367" s="7" t="str">
        <f aca="false">IF(A367="","",IF(COUNTIF(Tabelas!$A:$A,IF(E367="",A367,E367))&gt;0,"sim","não"))</f>
        <v/>
      </c>
      <c r="H367" s="7" t="str">
        <f aca="false">IF(A367="","",IF(E367="",A367,E367)&amp;"."&amp;IF(F367="",B367,F367))</f>
        <v/>
      </c>
      <c r="I367" s="7" t="str">
        <f aca="false">IF(A367="","",IFERROR(INDEX('Campos Growths'!$F:$F,MATCH(H367,'Campos Growths'!$A:$A,0)),""))</f>
        <v/>
      </c>
      <c r="J367" s="7" t="str">
        <f aca="false">IF(A367="","",IFERROR(VLOOKUP(IF(ISNUMBER(SEARCH("(",C367)),LEFT(C367,SEARCH("(",C367)-1),C367),Tipos!$A:$B,2,FALSE()),"outro"))</f>
        <v/>
      </c>
      <c r="K367" s="7" t="str">
        <f aca="false">IF(I367="","",IFERROR(INDEX('Campos Growths'!$L:$L,MATCH(H367,'Campos Growths'!$A:$A,0)),""))</f>
        <v/>
      </c>
      <c r="L367" s="7" t="str">
        <f aca="false">IF(A367="","",IF(G367="não","Sem tabela no Growths",IF(I367="","Sem campo no Growths",IF(J367=K367,"Importa direto","Ajustar tipo"))))</f>
        <v/>
      </c>
      <c r="M367" s="9"/>
    </row>
    <row r="368" customFormat="false" ht="15" hidden="false" customHeight="false" outlineLevel="0" collapsed="false">
      <c r="A368" s="7" t="str">
        <f aca="false">IF('Outro banco'!A368="","",IF(LEFT('Outro banco'!A368,1)="(","",'Outro banco'!A368))</f>
        <v/>
      </c>
      <c r="B368" s="7" t="str">
        <f aca="false">IF(A368="","",'Outro banco'!B368)</f>
        <v/>
      </c>
      <c r="C368" s="7" t="str">
        <f aca="false">IF(A368="","",'Outro banco'!C368)</f>
        <v/>
      </c>
      <c r="D368" s="7" t="str">
        <f aca="false">IF(A368="","",'Outro banco'!D368)</f>
        <v/>
      </c>
      <c r="E368" s="9"/>
      <c r="F368" s="9"/>
      <c r="G368" s="7" t="str">
        <f aca="false">IF(A368="","",IF(COUNTIF(Tabelas!$A:$A,IF(E368="",A368,E368))&gt;0,"sim","não"))</f>
        <v/>
      </c>
      <c r="H368" s="7" t="str">
        <f aca="false">IF(A368="","",IF(E368="",A368,E368)&amp;"."&amp;IF(F368="",B368,F368))</f>
        <v/>
      </c>
      <c r="I368" s="7" t="str">
        <f aca="false">IF(A368="","",IFERROR(INDEX('Campos Growths'!$F:$F,MATCH(H368,'Campos Growths'!$A:$A,0)),""))</f>
        <v/>
      </c>
      <c r="J368" s="7" t="str">
        <f aca="false">IF(A368="","",IFERROR(VLOOKUP(IF(ISNUMBER(SEARCH("(",C368)),LEFT(C368,SEARCH("(",C368)-1),C368),Tipos!$A:$B,2,FALSE()),"outro"))</f>
        <v/>
      </c>
      <c r="K368" s="7" t="str">
        <f aca="false">IF(I368="","",IFERROR(INDEX('Campos Growths'!$L:$L,MATCH(H368,'Campos Growths'!$A:$A,0)),""))</f>
        <v/>
      </c>
      <c r="L368" s="7" t="str">
        <f aca="false">IF(A368="","",IF(G368="não","Sem tabela no Growths",IF(I368="","Sem campo no Growths",IF(J368=K368,"Importa direto","Ajustar tipo"))))</f>
        <v/>
      </c>
      <c r="M368" s="9"/>
    </row>
    <row r="369" customFormat="false" ht="15" hidden="false" customHeight="false" outlineLevel="0" collapsed="false">
      <c r="A369" s="7" t="str">
        <f aca="false">IF('Outro banco'!A369="","",IF(LEFT('Outro banco'!A369,1)="(","",'Outro banco'!A369))</f>
        <v/>
      </c>
      <c r="B369" s="7" t="str">
        <f aca="false">IF(A369="","",'Outro banco'!B369)</f>
        <v/>
      </c>
      <c r="C369" s="7" t="str">
        <f aca="false">IF(A369="","",'Outro banco'!C369)</f>
        <v/>
      </c>
      <c r="D369" s="7" t="str">
        <f aca="false">IF(A369="","",'Outro banco'!D369)</f>
        <v/>
      </c>
      <c r="E369" s="9"/>
      <c r="F369" s="9"/>
      <c r="G369" s="7" t="str">
        <f aca="false">IF(A369="","",IF(COUNTIF(Tabelas!$A:$A,IF(E369="",A369,E369))&gt;0,"sim","não"))</f>
        <v/>
      </c>
      <c r="H369" s="7" t="str">
        <f aca="false">IF(A369="","",IF(E369="",A369,E369)&amp;"."&amp;IF(F369="",B369,F369))</f>
        <v/>
      </c>
      <c r="I369" s="7" t="str">
        <f aca="false">IF(A369="","",IFERROR(INDEX('Campos Growths'!$F:$F,MATCH(H369,'Campos Growths'!$A:$A,0)),""))</f>
        <v/>
      </c>
      <c r="J369" s="7" t="str">
        <f aca="false">IF(A369="","",IFERROR(VLOOKUP(IF(ISNUMBER(SEARCH("(",C369)),LEFT(C369,SEARCH("(",C369)-1),C369),Tipos!$A:$B,2,FALSE()),"outro"))</f>
        <v/>
      </c>
      <c r="K369" s="7" t="str">
        <f aca="false">IF(I369="","",IFERROR(INDEX('Campos Growths'!$L:$L,MATCH(H369,'Campos Growths'!$A:$A,0)),""))</f>
        <v/>
      </c>
      <c r="L369" s="7" t="str">
        <f aca="false">IF(A369="","",IF(G369="não","Sem tabela no Growths",IF(I369="","Sem campo no Growths",IF(J369=K369,"Importa direto","Ajustar tipo"))))</f>
        <v/>
      </c>
      <c r="M369" s="9"/>
    </row>
    <row r="370" customFormat="false" ht="15" hidden="false" customHeight="false" outlineLevel="0" collapsed="false">
      <c r="A370" s="7" t="str">
        <f aca="false">IF('Outro banco'!A370="","",IF(LEFT('Outro banco'!A370,1)="(","",'Outro banco'!A370))</f>
        <v/>
      </c>
      <c r="B370" s="7" t="str">
        <f aca="false">IF(A370="","",'Outro banco'!B370)</f>
        <v/>
      </c>
      <c r="C370" s="7" t="str">
        <f aca="false">IF(A370="","",'Outro banco'!C370)</f>
        <v/>
      </c>
      <c r="D370" s="7" t="str">
        <f aca="false">IF(A370="","",'Outro banco'!D370)</f>
        <v/>
      </c>
      <c r="E370" s="9"/>
      <c r="F370" s="9"/>
      <c r="G370" s="7" t="str">
        <f aca="false">IF(A370="","",IF(COUNTIF(Tabelas!$A:$A,IF(E370="",A370,E370))&gt;0,"sim","não"))</f>
        <v/>
      </c>
      <c r="H370" s="7" t="str">
        <f aca="false">IF(A370="","",IF(E370="",A370,E370)&amp;"."&amp;IF(F370="",B370,F370))</f>
        <v/>
      </c>
      <c r="I370" s="7" t="str">
        <f aca="false">IF(A370="","",IFERROR(INDEX('Campos Growths'!$F:$F,MATCH(H370,'Campos Growths'!$A:$A,0)),""))</f>
        <v/>
      </c>
      <c r="J370" s="7" t="str">
        <f aca="false">IF(A370="","",IFERROR(VLOOKUP(IF(ISNUMBER(SEARCH("(",C370)),LEFT(C370,SEARCH("(",C370)-1),C370),Tipos!$A:$B,2,FALSE()),"outro"))</f>
        <v/>
      </c>
      <c r="K370" s="7" t="str">
        <f aca="false">IF(I370="","",IFERROR(INDEX('Campos Growths'!$L:$L,MATCH(H370,'Campos Growths'!$A:$A,0)),""))</f>
        <v/>
      </c>
      <c r="L370" s="7" t="str">
        <f aca="false">IF(A370="","",IF(G370="não","Sem tabela no Growths",IF(I370="","Sem campo no Growths",IF(J370=K370,"Importa direto","Ajustar tipo"))))</f>
        <v/>
      </c>
      <c r="M370" s="9"/>
    </row>
    <row r="371" customFormat="false" ht="15" hidden="false" customHeight="false" outlineLevel="0" collapsed="false">
      <c r="A371" s="7" t="str">
        <f aca="false">IF('Outro banco'!A371="","",IF(LEFT('Outro banco'!A371,1)="(","",'Outro banco'!A371))</f>
        <v/>
      </c>
      <c r="B371" s="7" t="str">
        <f aca="false">IF(A371="","",'Outro banco'!B371)</f>
        <v/>
      </c>
      <c r="C371" s="7" t="str">
        <f aca="false">IF(A371="","",'Outro banco'!C371)</f>
        <v/>
      </c>
      <c r="D371" s="7" t="str">
        <f aca="false">IF(A371="","",'Outro banco'!D371)</f>
        <v/>
      </c>
      <c r="E371" s="9"/>
      <c r="F371" s="9"/>
      <c r="G371" s="7" t="str">
        <f aca="false">IF(A371="","",IF(COUNTIF(Tabelas!$A:$A,IF(E371="",A371,E371))&gt;0,"sim","não"))</f>
        <v/>
      </c>
      <c r="H371" s="7" t="str">
        <f aca="false">IF(A371="","",IF(E371="",A371,E371)&amp;"."&amp;IF(F371="",B371,F371))</f>
        <v/>
      </c>
      <c r="I371" s="7" t="str">
        <f aca="false">IF(A371="","",IFERROR(INDEX('Campos Growths'!$F:$F,MATCH(H371,'Campos Growths'!$A:$A,0)),""))</f>
        <v/>
      </c>
      <c r="J371" s="7" t="str">
        <f aca="false">IF(A371="","",IFERROR(VLOOKUP(IF(ISNUMBER(SEARCH("(",C371)),LEFT(C371,SEARCH("(",C371)-1),C371),Tipos!$A:$B,2,FALSE()),"outro"))</f>
        <v/>
      </c>
      <c r="K371" s="7" t="str">
        <f aca="false">IF(I371="","",IFERROR(INDEX('Campos Growths'!$L:$L,MATCH(H371,'Campos Growths'!$A:$A,0)),""))</f>
        <v/>
      </c>
      <c r="L371" s="7" t="str">
        <f aca="false">IF(A371="","",IF(G371="não","Sem tabela no Growths",IF(I371="","Sem campo no Growths",IF(J371=K371,"Importa direto","Ajustar tipo"))))</f>
        <v/>
      </c>
      <c r="M371" s="9"/>
    </row>
    <row r="372" customFormat="false" ht="15" hidden="false" customHeight="false" outlineLevel="0" collapsed="false">
      <c r="A372" s="7" t="str">
        <f aca="false">IF('Outro banco'!A372="","",IF(LEFT('Outro banco'!A372,1)="(","",'Outro banco'!A372))</f>
        <v/>
      </c>
      <c r="B372" s="7" t="str">
        <f aca="false">IF(A372="","",'Outro banco'!B372)</f>
        <v/>
      </c>
      <c r="C372" s="7" t="str">
        <f aca="false">IF(A372="","",'Outro banco'!C372)</f>
        <v/>
      </c>
      <c r="D372" s="7" t="str">
        <f aca="false">IF(A372="","",'Outro banco'!D372)</f>
        <v/>
      </c>
      <c r="E372" s="9"/>
      <c r="F372" s="9"/>
      <c r="G372" s="7" t="str">
        <f aca="false">IF(A372="","",IF(COUNTIF(Tabelas!$A:$A,IF(E372="",A372,E372))&gt;0,"sim","não"))</f>
        <v/>
      </c>
      <c r="H372" s="7" t="str">
        <f aca="false">IF(A372="","",IF(E372="",A372,E372)&amp;"."&amp;IF(F372="",B372,F372))</f>
        <v/>
      </c>
      <c r="I372" s="7" t="str">
        <f aca="false">IF(A372="","",IFERROR(INDEX('Campos Growths'!$F:$F,MATCH(H372,'Campos Growths'!$A:$A,0)),""))</f>
        <v/>
      </c>
      <c r="J372" s="7" t="str">
        <f aca="false">IF(A372="","",IFERROR(VLOOKUP(IF(ISNUMBER(SEARCH("(",C372)),LEFT(C372,SEARCH("(",C372)-1),C372),Tipos!$A:$B,2,FALSE()),"outro"))</f>
        <v/>
      </c>
      <c r="K372" s="7" t="str">
        <f aca="false">IF(I372="","",IFERROR(INDEX('Campos Growths'!$L:$L,MATCH(H372,'Campos Growths'!$A:$A,0)),""))</f>
        <v/>
      </c>
      <c r="L372" s="7" t="str">
        <f aca="false">IF(A372="","",IF(G372="não","Sem tabela no Growths",IF(I372="","Sem campo no Growths",IF(J372=K372,"Importa direto","Ajustar tipo"))))</f>
        <v/>
      </c>
      <c r="M372" s="9"/>
    </row>
    <row r="373" customFormat="false" ht="15" hidden="false" customHeight="false" outlineLevel="0" collapsed="false">
      <c r="A373" s="7" t="str">
        <f aca="false">IF('Outro banco'!A373="","",IF(LEFT('Outro banco'!A373,1)="(","",'Outro banco'!A373))</f>
        <v/>
      </c>
      <c r="B373" s="7" t="str">
        <f aca="false">IF(A373="","",'Outro banco'!B373)</f>
        <v/>
      </c>
      <c r="C373" s="7" t="str">
        <f aca="false">IF(A373="","",'Outro banco'!C373)</f>
        <v/>
      </c>
      <c r="D373" s="7" t="str">
        <f aca="false">IF(A373="","",'Outro banco'!D373)</f>
        <v/>
      </c>
      <c r="E373" s="9"/>
      <c r="F373" s="9"/>
      <c r="G373" s="7" t="str">
        <f aca="false">IF(A373="","",IF(COUNTIF(Tabelas!$A:$A,IF(E373="",A373,E373))&gt;0,"sim","não"))</f>
        <v/>
      </c>
      <c r="H373" s="7" t="str">
        <f aca="false">IF(A373="","",IF(E373="",A373,E373)&amp;"."&amp;IF(F373="",B373,F373))</f>
        <v/>
      </c>
      <c r="I373" s="7" t="str">
        <f aca="false">IF(A373="","",IFERROR(INDEX('Campos Growths'!$F:$F,MATCH(H373,'Campos Growths'!$A:$A,0)),""))</f>
        <v/>
      </c>
      <c r="J373" s="7" t="str">
        <f aca="false">IF(A373="","",IFERROR(VLOOKUP(IF(ISNUMBER(SEARCH("(",C373)),LEFT(C373,SEARCH("(",C373)-1),C373),Tipos!$A:$B,2,FALSE()),"outro"))</f>
        <v/>
      </c>
      <c r="K373" s="7" t="str">
        <f aca="false">IF(I373="","",IFERROR(INDEX('Campos Growths'!$L:$L,MATCH(H373,'Campos Growths'!$A:$A,0)),""))</f>
        <v/>
      </c>
      <c r="L373" s="7" t="str">
        <f aca="false">IF(A373="","",IF(G373="não","Sem tabela no Growths",IF(I373="","Sem campo no Growths",IF(J373=K373,"Importa direto","Ajustar tipo"))))</f>
        <v/>
      </c>
      <c r="M373" s="9"/>
    </row>
    <row r="374" customFormat="false" ht="15" hidden="false" customHeight="false" outlineLevel="0" collapsed="false">
      <c r="A374" s="7" t="str">
        <f aca="false">IF('Outro banco'!A374="","",IF(LEFT('Outro banco'!A374,1)="(","",'Outro banco'!A374))</f>
        <v/>
      </c>
      <c r="B374" s="7" t="str">
        <f aca="false">IF(A374="","",'Outro banco'!B374)</f>
        <v/>
      </c>
      <c r="C374" s="7" t="str">
        <f aca="false">IF(A374="","",'Outro banco'!C374)</f>
        <v/>
      </c>
      <c r="D374" s="7" t="str">
        <f aca="false">IF(A374="","",'Outro banco'!D374)</f>
        <v/>
      </c>
      <c r="E374" s="9"/>
      <c r="F374" s="9"/>
      <c r="G374" s="7" t="str">
        <f aca="false">IF(A374="","",IF(COUNTIF(Tabelas!$A:$A,IF(E374="",A374,E374))&gt;0,"sim","não"))</f>
        <v/>
      </c>
      <c r="H374" s="7" t="str">
        <f aca="false">IF(A374="","",IF(E374="",A374,E374)&amp;"."&amp;IF(F374="",B374,F374))</f>
        <v/>
      </c>
      <c r="I374" s="7" t="str">
        <f aca="false">IF(A374="","",IFERROR(INDEX('Campos Growths'!$F:$F,MATCH(H374,'Campos Growths'!$A:$A,0)),""))</f>
        <v/>
      </c>
      <c r="J374" s="7" t="str">
        <f aca="false">IF(A374="","",IFERROR(VLOOKUP(IF(ISNUMBER(SEARCH("(",C374)),LEFT(C374,SEARCH("(",C374)-1),C374),Tipos!$A:$B,2,FALSE()),"outro"))</f>
        <v/>
      </c>
      <c r="K374" s="7" t="str">
        <f aca="false">IF(I374="","",IFERROR(INDEX('Campos Growths'!$L:$L,MATCH(H374,'Campos Growths'!$A:$A,0)),""))</f>
        <v/>
      </c>
      <c r="L374" s="7" t="str">
        <f aca="false">IF(A374="","",IF(G374="não","Sem tabela no Growths",IF(I374="","Sem campo no Growths",IF(J374=K374,"Importa direto","Ajustar tipo"))))</f>
        <v/>
      </c>
      <c r="M374" s="9"/>
    </row>
    <row r="375" customFormat="false" ht="15" hidden="false" customHeight="false" outlineLevel="0" collapsed="false">
      <c r="A375" s="7" t="str">
        <f aca="false">IF('Outro banco'!A375="","",IF(LEFT('Outro banco'!A375,1)="(","",'Outro banco'!A375))</f>
        <v/>
      </c>
      <c r="B375" s="7" t="str">
        <f aca="false">IF(A375="","",'Outro banco'!B375)</f>
        <v/>
      </c>
      <c r="C375" s="7" t="str">
        <f aca="false">IF(A375="","",'Outro banco'!C375)</f>
        <v/>
      </c>
      <c r="D375" s="7" t="str">
        <f aca="false">IF(A375="","",'Outro banco'!D375)</f>
        <v/>
      </c>
      <c r="E375" s="9"/>
      <c r="F375" s="9"/>
      <c r="G375" s="7" t="str">
        <f aca="false">IF(A375="","",IF(COUNTIF(Tabelas!$A:$A,IF(E375="",A375,E375))&gt;0,"sim","não"))</f>
        <v/>
      </c>
      <c r="H375" s="7" t="str">
        <f aca="false">IF(A375="","",IF(E375="",A375,E375)&amp;"."&amp;IF(F375="",B375,F375))</f>
        <v/>
      </c>
      <c r="I375" s="7" t="str">
        <f aca="false">IF(A375="","",IFERROR(INDEX('Campos Growths'!$F:$F,MATCH(H375,'Campos Growths'!$A:$A,0)),""))</f>
        <v/>
      </c>
      <c r="J375" s="7" t="str">
        <f aca="false">IF(A375="","",IFERROR(VLOOKUP(IF(ISNUMBER(SEARCH("(",C375)),LEFT(C375,SEARCH("(",C375)-1),C375),Tipos!$A:$B,2,FALSE()),"outro"))</f>
        <v/>
      </c>
      <c r="K375" s="7" t="str">
        <f aca="false">IF(I375="","",IFERROR(INDEX('Campos Growths'!$L:$L,MATCH(H375,'Campos Growths'!$A:$A,0)),""))</f>
        <v/>
      </c>
      <c r="L375" s="7" t="str">
        <f aca="false">IF(A375="","",IF(G375="não","Sem tabela no Growths",IF(I375="","Sem campo no Growths",IF(J375=K375,"Importa direto","Ajustar tipo"))))</f>
        <v/>
      </c>
      <c r="M375" s="9"/>
    </row>
    <row r="376" customFormat="false" ht="15" hidden="false" customHeight="false" outlineLevel="0" collapsed="false">
      <c r="A376" s="7" t="str">
        <f aca="false">IF('Outro banco'!A376="","",IF(LEFT('Outro banco'!A376,1)="(","",'Outro banco'!A376))</f>
        <v/>
      </c>
      <c r="B376" s="7" t="str">
        <f aca="false">IF(A376="","",'Outro banco'!B376)</f>
        <v/>
      </c>
      <c r="C376" s="7" t="str">
        <f aca="false">IF(A376="","",'Outro banco'!C376)</f>
        <v/>
      </c>
      <c r="D376" s="7" t="str">
        <f aca="false">IF(A376="","",'Outro banco'!D376)</f>
        <v/>
      </c>
      <c r="E376" s="9"/>
      <c r="F376" s="9"/>
      <c r="G376" s="7" t="str">
        <f aca="false">IF(A376="","",IF(COUNTIF(Tabelas!$A:$A,IF(E376="",A376,E376))&gt;0,"sim","não"))</f>
        <v/>
      </c>
      <c r="H376" s="7" t="str">
        <f aca="false">IF(A376="","",IF(E376="",A376,E376)&amp;"."&amp;IF(F376="",B376,F376))</f>
        <v/>
      </c>
      <c r="I376" s="7" t="str">
        <f aca="false">IF(A376="","",IFERROR(INDEX('Campos Growths'!$F:$F,MATCH(H376,'Campos Growths'!$A:$A,0)),""))</f>
        <v/>
      </c>
      <c r="J376" s="7" t="str">
        <f aca="false">IF(A376="","",IFERROR(VLOOKUP(IF(ISNUMBER(SEARCH("(",C376)),LEFT(C376,SEARCH("(",C376)-1),C376),Tipos!$A:$B,2,FALSE()),"outro"))</f>
        <v/>
      </c>
      <c r="K376" s="7" t="str">
        <f aca="false">IF(I376="","",IFERROR(INDEX('Campos Growths'!$L:$L,MATCH(H376,'Campos Growths'!$A:$A,0)),""))</f>
        <v/>
      </c>
      <c r="L376" s="7" t="str">
        <f aca="false">IF(A376="","",IF(G376="não","Sem tabela no Growths",IF(I376="","Sem campo no Growths",IF(J376=K376,"Importa direto","Ajustar tipo"))))</f>
        <v/>
      </c>
      <c r="M376" s="9"/>
    </row>
    <row r="377" customFormat="false" ht="15" hidden="false" customHeight="false" outlineLevel="0" collapsed="false">
      <c r="A377" s="7" t="str">
        <f aca="false">IF('Outro banco'!A377="","",IF(LEFT('Outro banco'!A377,1)="(","",'Outro banco'!A377))</f>
        <v/>
      </c>
      <c r="B377" s="7" t="str">
        <f aca="false">IF(A377="","",'Outro banco'!B377)</f>
        <v/>
      </c>
      <c r="C377" s="7" t="str">
        <f aca="false">IF(A377="","",'Outro banco'!C377)</f>
        <v/>
      </c>
      <c r="D377" s="7" t="str">
        <f aca="false">IF(A377="","",'Outro banco'!D377)</f>
        <v/>
      </c>
      <c r="E377" s="9"/>
      <c r="F377" s="9"/>
      <c r="G377" s="7" t="str">
        <f aca="false">IF(A377="","",IF(COUNTIF(Tabelas!$A:$A,IF(E377="",A377,E377))&gt;0,"sim","não"))</f>
        <v/>
      </c>
      <c r="H377" s="7" t="str">
        <f aca="false">IF(A377="","",IF(E377="",A377,E377)&amp;"."&amp;IF(F377="",B377,F377))</f>
        <v/>
      </c>
      <c r="I377" s="7" t="str">
        <f aca="false">IF(A377="","",IFERROR(INDEX('Campos Growths'!$F:$F,MATCH(H377,'Campos Growths'!$A:$A,0)),""))</f>
        <v/>
      </c>
      <c r="J377" s="7" t="str">
        <f aca="false">IF(A377="","",IFERROR(VLOOKUP(IF(ISNUMBER(SEARCH("(",C377)),LEFT(C377,SEARCH("(",C377)-1),C377),Tipos!$A:$B,2,FALSE()),"outro"))</f>
        <v/>
      </c>
      <c r="K377" s="7" t="str">
        <f aca="false">IF(I377="","",IFERROR(INDEX('Campos Growths'!$L:$L,MATCH(H377,'Campos Growths'!$A:$A,0)),""))</f>
        <v/>
      </c>
      <c r="L377" s="7" t="str">
        <f aca="false">IF(A377="","",IF(G377="não","Sem tabela no Growths",IF(I377="","Sem campo no Growths",IF(J377=K377,"Importa direto","Ajustar tipo"))))</f>
        <v/>
      </c>
      <c r="M377" s="9"/>
    </row>
    <row r="378" customFormat="false" ht="15" hidden="false" customHeight="false" outlineLevel="0" collapsed="false">
      <c r="A378" s="7" t="str">
        <f aca="false">IF('Outro banco'!A378="","",IF(LEFT('Outro banco'!A378,1)="(","",'Outro banco'!A378))</f>
        <v/>
      </c>
      <c r="B378" s="7" t="str">
        <f aca="false">IF(A378="","",'Outro banco'!B378)</f>
        <v/>
      </c>
      <c r="C378" s="7" t="str">
        <f aca="false">IF(A378="","",'Outro banco'!C378)</f>
        <v/>
      </c>
      <c r="D378" s="7" t="str">
        <f aca="false">IF(A378="","",'Outro banco'!D378)</f>
        <v/>
      </c>
      <c r="E378" s="9"/>
      <c r="F378" s="9"/>
      <c r="G378" s="7" t="str">
        <f aca="false">IF(A378="","",IF(COUNTIF(Tabelas!$A:$A,IF(E378="",A378,E378))&gt;0,"sim","não"))</f>
        <v/>
      </c>
      <c r="H378" s="7" t="str">
        <f aca="false">IF(A378="","",IF(E378="",A378,E378)&amp;"."&amp;IF(F378="",B378,F378))</f>
        <v/>
      </c>
      <c r="I378" s="7" t="str">
        <f aca="false">IF(A378="","",IFERROR(INDEX('Campos Growths'!$F:$F,MATCH(H378,'Campos Growths'!$A:$A,0)),""))</f>
        <v/>
      </c>
      <c r="J378" s="7" t="str">
        <f aca="false">IF(A378="","",IFERROR(VLOOKUP(IF(ISNUMBER(SEARCH("(",C378)),LEFT(C378,SEARCH("(",C378)-1),C378),Tipos!$A:$B,2,FALSE()),"outro"))</f>
        <v/>
      </c>
      <c r="K378" s="7" t="str">
        <f aca="false">IF(I378="","",IFERROR(INDEX('Campos Growths'!$L:$L,MATCH(H378,'Campos Growths'!$A:$A,0)),""))</f>
        <v/>
      </c>
      <c r="L378" s="7" t="str">
        <f aca="false">IF(A378="","",IF(G378="não","Sem tabela no Growths",IF(I378="","Sem campo no Growths",IF(J378=K378,"Importa direto","Ajustar tipo"))))</f>
        <v/>
      </c>
      <c r="M378" s="9"/>
    </row>
    <row r="379" customFormat="false" ht="15" hidden="false" customHeight="false" outlineLevel="0" collapsed="false">
      <c r="A379" s="7" t="str">
        <f aca="false">IF('Outro banco'!A379="","",IF(LEFT('Outro banco'!A379,1)="(","",'Outro banco'!A379))</f>
        <v/>
      </c>
      <c r="B379" s="7" t="str">
        <f aca="false">IF(A379="","",'Outro banco'!B379)</f>
        <v/>
      </c>
      <c r="C379" s="7" t="str">
        <f aca="false">IF(A379="","",'Outro banco'!C379)</f>
        <v/>
      </c>
      <c r="D379" s="7" t="str">
        <f aca="false">IF(A379="","",'Outro banco'!D379)</f>
        <v/>
      </c>
      <c r="E379" s="9"/>
      <c r="F379" s="9"/>
      <c r="G379" s="7" t="str">
        <f aca="false">IF(A379="","",IF(COUNTIF(Tabelas!$A:$A,IF(E379="",A379,E379))&gt;0,"sim","não"))</f>
        <v/>
      </c>
      <c r="H379" s="7" t="str">
        <f aca="false">IF(A379="","",IF(E379="",A379,E379)&amp;"."&amp;IF(F379="",B379,F379))</f>
        <v/>
      </c>
      <c r="I379" s="7" t="str">
        <f aca="false">IF(A379="","",IFERROR(INDEX('Campos Growths'!$F:$F,MATCH(H379,'Campos Growths'!$A:$A,0)),""))</f>
        <v/>
      </c>
      <c r="J379" s="7" t="str">
        <f aca="false">IF(A379="","",IFERROR(VLOOKUP(IF(ISNUMBER(SEARCH("(",C379)),LEFT(C379,SEARCH("(",C379)-1),C379),Tipos!$A:$B,2,FALSE()),"outro"))</f>
        <v/>
      </c>
      <c r="K379" s="7" t="str">
        <f aca="false">IF(I379="","",IFERROR(INDEX('Campos Growths'!$L:$L,MATCH(H379,'Campos Growths'!$A:$A,0)),""))</f>
        <v/>
      </c>
      <c r="L379" s="7" t="str">
        <f aca="false">IF(A379="","",IF(G379="não","Sem tabela no Growths",IF(I379="","Sem campo no Growths",IF(J379=K379,"Importa direto","Ajustar tipo"))))</f>
        <v/>
      </c>
      <c r="M379" s="9"/>
    </row>
    <row r="380" customFormat="false" ht="15" hidden="false" customHeight="false" outlineLevel="0" collapsed="false">
      <c r="A380" s="7" t="str">
        <f aca="false">IF('Outro banco'!A380="","",IF(LEFT('Outro banco'!A380,1)="(","",'Outro banco'!A380))</f>
        <v/>
      </c>
      <c r="B380" s="7" t="str">
        <f aca="false">IF(A380="","",'Outro banco'!B380)</f>
        <v/>
      </c>
      <c r="C380" s="7" t="str">
        <f aca="false">IF(A380="","",'Outro banco'!C380)</f>
        <v/>
      </c>
      <c r="D380" s="7" t="str">
        <f aca="false">IF(A380="","",'Outro banco'!D380)</f>
        <v/>
      </c>
      <c r="E380" s="9"/>
      <c r="F380" s="9"/>
      <c r="G380" s="7" t="str">
        <f aca="false">IF(A380="","",IF(COUNTIF(Tabelas!$A:$A,IF(E380="",A380,E380))&gt;0,"sim","não"))</f>
        <v/>
      </c>
      <c r="H380" s="7" t="str">
        <f aca="false">IF(A380="","",IF(E380="",A380,E380)&amp;"."&amp;IF(F380="",B380,F380))</f>
        <v/>
      </c>
      <c r="I380" s="7" t="str">
        <f aca="false">IF(A380="","",IFERROR(INDEX('Campos Growths'!$F:$F,MATCH(H380,'Campos Growths'!$A:$A,0)),""))</f>
        <v/>
      </c>
      <c r="J380" s="7" t="str">
        <f aca="false">IF(A380="","",IFERROR(VLOOKUP(IF(ISNUMBER(SEARCH("(",C380)),LEFT(C380,SEARCH("(",C380)-1),C380),Tipos!$A:$B,2,FALSE()),"outro"))</f>
        <v/>
      </c>
      <c r="K380" s="7" t="str">
        <f aca="false">IF(I380="","",IFERROR(INDEX('Campos Growths'!$L:$L,MATCH(H380,'Campos Growths'!$A:$A,0)),""))</f>
        <v/>
      </c>
      <c r="L380" s="7" t="str">
        <f aca="false">IF(A380="","",IF(G380="não","Sem tabela no Growths",IF(I380="","Sem campo no Growths",IF(J380=K380,"Importa direto","Ajustar tipo"))))</f>
        <v/>
      </c>
      <c r="M380" s="9"/>
    </row>
    <row r="381" customFormat="false" ht="15" hidden="false" customHeight="false" outlineLevel="0" collapsed="false">
      <c r="A381" s="7" t="str">
        <f aca="false">IF('Outro banco'!A381="","",IF(LEFT('Outro banco'!A381,1)="(","",'Outro banco'!A381))</f>
        <v/>
      </c>
      <c r="B381" s="7" t="str">
        <f aca="false">IF(A381="","",'Outro banco'!B381)</f>
        <v/>
      </c>
      <c r="C381" s="7" t="str">
        <f aca="false">IF(A381="","",'Outro banco'!C381)</f>
        <v/>
      </c>
      <c r="D381" s="7" t="str">
        <f aca="false">IF(A381="","",'Outro banco'!D381)</f>
        <v/>
      </c>
      <c r="E381" s="9"/>
      <c r="F381" s="9"/>
      <c r="G381" s="7" t="str">
        <f aca="false">IF(A381="","",IF(COUNTIF(Tabelas!$A:$A,IF(E381="",A381,E381))&gt;0,"sim","não"))</f>
        <v/>
      </c>
      <c r="H381" s="7" t="str">
        <f aca="false">IF(A381="","",IF(E381="",A381,E381)&amp;"."&amp;IF(F381="",B381,F381))</f>
        <v/>
      </c>
      <c r="I381" s="7" t="str">
        <f aca="false">IF(A381="","",IFERROR(INDEX('Campos Growths'!$F:$F,MATCH(H381,'Campos Growths'!$A:$A,0)),""))</f>
        <v/>
      </c>
      <c r="J381" s="7" t="str">
        <f aca="false">IF(A381="","",IFERROR(VLOOKUP(IF(ISNUMBER(SEARCH("(",C381)),LEFT(C381,SEARCH("(",C381)-1),C381),Tipos!$A:$B,2,FALSE()),"outro"))</f>
        <v/>
      </c>
      <c r="K381" s="7" t="str">
        <f aca="false">IF(I381="","",IFERROR(INDEX('Campos Growths'!$L:$L,MATCH(H381,'Campos Growths'!$A:$A,0)),""))</f>
        <v/>
      </c>
      <c r="L381" s="7" t="str">
        <f aca="false">IF(A381="","",IF(G381="não","Sem tabela no Growths",IF(I381="","Sem campo no Growths",IF(J381=K381,"Importa direto","Ajustar tipo"))))</f>
        <v/>
      </c>
      <c r="M381" s="9"/>
    </row>
    <row r="382" customFormat="false" ht="15" hidden="false" customHeight="false" outlineLevel="0" collapsed="false">
      <c r="A382" s="7" t="str">
        <f aca="false">IF('Outro banco'!A382="","",IF(LEFT('Outro banco'!A382,1)="(","",'Outro banco'!A382))</f>
        <v/>
      </c>
      <c r="B382" s="7" t="str">
        <f aca="false">IF(A382="","",'Outro banco'!B382)</f>
        <v/>
      </c>
      <c r="C382" s="7" t="str">
        <f aca="false">IF(A382="","",'Outro banco'!C382)</f>
        <v/>
      </c>
      <c r="D382" s="7" t="str">
        <f aca="false">IF(A382="","",'Outro banco'!D382)</f>
        <v/>
      </c>
      <c r="E382" s="9"/>
      <c r="F382" s="9"/>
      <c r="G382" s="7" t="str">
        <f aca="false">IF(A382="","",IF(COUNTIF(Tabelas!$A:$A,IF(E382="",A382,E382))&gt;0,"sim","não"))</f>
        <v/>
      </c>
      <c r="H382" s="7" t="str">
        <f aca="false">IF(A382="","",IF(E382="",A382,E382)&amp;"."&amp;IF(F382="",B382,F382))</f>
        <v/>
      </c>
      <c r="I382" s="7" t="str">
        <f aca="false">IF(A382="","",IFERROR(INDEX('Campos Growths'!$F:$F,MATCH(H382,'Campos Growths'!$A:$A,0)),""))</f>
        <v/>
      </c>
      <c r="J382" s="7" t="str">
        <f aca="false">IF(A382="","",IFERROR(VLOOKUP(IF(ISNUMBER(SEARCH("(",C382)),LEFT(C382,SEARCH("(",C382)-1),C382),Tipos!$A:$B,2,FALSE()),"outro"))</f>
        <v/>
      </c>
      <c r="K382" s="7" t="str">
        <f aca="false">IF(I382="","",IFERROR(INDEX('Campos Growths'!$L:$L,MATCH(H382,'Campos Growths'!$A:$A,0)),""))</f>
        <v/>
      </c>
      <c r="L382" s="7" t="str">
        <f aca="false">IF(A382="","",IF(G382="não","Sem tabela no Growths",IF(I382="","Sem campo no Growths",IF(J382=K382,"Importa direto","Ajustar tipo"))))</f>
        <v/>
      </c>
      <c r="M382" s="9"/>
    </row>
    <row r="383" customFormat="false" ht="15" hidden="false" customHeight="false" outlineLevel="0" collapsed="false">
      <c r="A383" s="7" t="str">
        <f aca="false">IF('Outro banco'!A383="","",IF(LEFT('Outro banco'!A383,1)="(","",'Outro banco'!A383))</f>
        <v/>
      </c>
      <c r="B383" s="7" t="str">
        <f aca="false">IF(A383="","",'Outro banco'!B383)</f>
        <v/>
      </c>
      <c r="C383" s="7" t="str">
        <f aca="false">IF(A383="","",'Outro banco'!C383)</f>
        <v/>
      </c>
      <c r="D383" s="7" t="str">
        <f aca="false">IF(A383="","",'Outro banco'!D383)</f>
        <v/>
      </c>
      <c r="E383" s="9"/>
      <c r="F383" s="9"/>
      <c r="G383" s="7" t="str">
        <f aca="false">IF(A383="","",IF(COUNTIF(Tabelas!$A:$A,IF(E383="",A383,E383))&gt;0,"sim","não"))</f>
        <v/>
      </c>
      <c r="H383" s="7" t="str">
        <f aca="false">IF(A383="","",IF(E383="",A383,E383)&amp;"."&amp;IF(F383="",B383,F383))</f>
        <v/>
      </c>
      <c r="I383" s="7" t="str">
        <f aca="false">IF(A383="","",IFERROR(INDEX('Campos Growths'!$F:$F,MATCH(H383,'Campos Growths'!$A:$A,0)),""))</f>
        <v/>
      </c>
      <c r="J383" s="7" t="str">
        <f aca="false">IF(A383="","",IFERROR(VLOOKUP(IF(ISNUMBER(SEARCH("(",C383)),LEFT(C383,SEARCH("(",C383)-1),C383),Tipos!$A:$B,2,FALSE()),"outro"))</f>
        <v/>
      </c>
      <c r="K383" s="7" t="str">
        <f aca="false">IF(I383="","",IFERROR(INDEX('Campos Growths'!$L:$L,MATCH(H383,'Campos Growths'!$A:$A,0)),""))</f>
        <v/>
      </c>
      <c r="L383" s="7" t="str">
        <f aca="false">IF(A383="","",IF(G383="não","Sem tabela no Growths",IF(I383="","Sem campo no Growths",IF(J383=K383,"Importa direto","Ajustar tipo"))))</f>
        <v/>
      </c>
      <c r="M383" s="9"/>
    </row>
    <row r="384" customFormat="false" ht="15" hidden="false" customHeight="false" outlineLevel="0" collapsed="false">
      <c r="A384" s="7" t="str">
        <f aca="false">IF('Outro banco'!A384="","",IF(LEFT('Outro banco'!A384,1)="(","",'Outro banco'!A384))</f>
        <v/>
      </c>
      <c r="B384" s="7" t="str">
        <f aca="false">IF(A384="","",'Outro banco'!B384)</f>
        <v/>
      </c>
      <c r="C384" s="7" t="str">
        <f aca="false">IF(A384="","",'Outro banco'!C384)</f>
        <v/>
      </c>
      <c r="D384" s="7" t="str">
        <f aca="false">IF(A384="","",'Outro banco'!D384)</f>
        <v/>
      </c>
      <c r="E384" s="9"/>
      <c r="F384" s="9"/>
      <c r="G384" s="7" t="str">
        <f aca="false">IF(A384="","",IF(COUNTIF(Tabelas!$A:$A,IF(E384="",A384,E384))&gt;0,"sim","não"))</f>
        <v/>
      </c>
      <c r="H384" s="7" t="str">
        <f aca="false">IF(A384="","",IF(E384="",A384,E384)&amp;"."&amp;IF(F384="",B384,F384))</f>
        <v/>
      </c>
      <c r="I384" s="7" t="str">
        <f aca="false">IF(A384="","",IFERROR(INDEX('Campos Growths'!$F:$F,MATCH(H384,'Campos Growths'!$A:$A,0)),""))</f>
        <v/>
      </c>
      <c r="J384" s="7" t="str">
        <f aca="false">IF(A384="","",IFERROR(VLOOKUP(IF(ISNUMBER(SEARCH("(",C384)),LEFT(C384,SEARCH("(",C384)-1),C384),Tipos!$A:$B,2,FALSE()),"outro"))</f>
        <v/>
      </c>
      <c r="K384" s="7" t="str">
        <f aca="false">IF(I384="","",IFERROR(INDEX('Campos Growths'!$L:$L,MATCH(H384,'Campos Growths'!$A:$A,0)),""))</f>
        <v/>
      </c>
      <c r="L384" s="7" t="str">
        <f aca="false">IF(A384="","",IF(G384="não","Sem tabela no Growths",IF(I384="","Sem campo no Growths",IF(J384=K384,"Importa direto","Ajustar tipo"))))</f>
        <v/>
      </c>
      <c r="M384" s="9"/>
    </row>
    <row r="385" customFormat="false" ht="15" hidden="false" customHeight="false" outlineLevel="0" collapsed="false">
      <c r="A385" s="7" t="str">
        <f aca="false">IF('Outro banco'!A385="","",IF(LEFT('Outro banco'!A385,1)="(","",'Outro banco'!A385))</f>
        <v/>
      </c>
      <c r="B385" s="7" t="str">
        <f aca="false">IF(A385="","",'Outro banco'!B385)</f>
        <v/>
      </c>
      <c r="C385" s="7" t="str">
        <f aca="false">IF(A385="","",'Outro banco'!C385)</f>
        <v/>
      </c>
      <c r="D385" s="7" t="str">
        <f aca="false">IF(A385="","",'Outro banco'!D385)</f>
        <v/>
      </c>
      <c r="E385" s="9"/>
      <c r="F385" s="9"/>
      <c r="G385" s="7" t="str">
        <f aca="false">IF(A385="","",IF(COUNTIF(Tabelas!$A:$A,IF(E385="",A385,E385))&gt;0,"sim","não"))</f>
        <v/>
      </c>
      <c r="H385" s="7" t="str">
        <f aca="false">IF(A385="","",IF(E385="",A385,E385)&amp;"."&amp;IF(F385="",B385,F385))</f>
        <v/>
      </c>
      <c r="I385" s="7" t="str">
        <f aca="false">IF(A385="","",IFERROR(INDEX('Campos Growths'!$F:$F,MATCH(H385,'Campos Growths'!$A:$A,0)),""))</f>
        <v/>
      </c>
      <c r="J385" s="7" t="str">
        <f aca="false">IF(A385="","",IFERROR(VLOOKUP(IF(ISNUMBER(SEARCH("(",C385)),LEFT(C385,SEARCH("(",C385)-1),C385),Tipos!$A:$B,2,FALSE()),"outro"))</f>
        <v/>
      </c>
      <c r="K385" s="7" t="str">
        <f aca="false">IF(I385="","",IFERROR(INDEX('Campos Growths'!$L:$L,MATCH(H385,'Campos Growths'!$A:$A,0)),""))</f>
        <v/>
      </c>
      <c r="L385" s="7" t="str">
        <f aca="false">IF(A385="","",IF(G385="não","Sem tabela no Growths",IF(I385="","Sem campo no Growths",IF(J385=K385,"Importa direto","Ajustar tipo"))))</f>
        <v/>
      </c>
      <c r="M385" s="9"/>
    </row>
    <row r="386" customFormat="false" ht="15" hidden="false" customHeight="false" outlineLevel="0" collapsed="false">
      <c r="A386" s="7" t="str">
        <f aca="false">IF('Outro banco'!A386="","",IF(LEFT('Outro banco'!A386,1)="(","",'Outro banco'!A386))</f>
        <v/>
      </c>
      <c r="B386" s="7" t="str">
        <f aca="false">IF(A386="","",'Outro banco'!B386)</f>
        <v/>
      </c>
      <c r="C386" s="7" t="str">
        <f aca="false">IF(A386="","",'Outro banco'!C386)</f>
        <v/>
      </c>
      <c r="D386" s="7" t="str">
        <f aca="false">IF(A386="","",'Outro banco'!D386)</f>
        <v/>
      </c>
      <c r="E386" s="9"/>
      <c r="F386" s="9"/>
      <c r="G386" s="7" t="str">
        <f aca="false">IF(A386="","",IF(COUNTIF(Tabelas!$A:$A,IF(E386="",A386,E386))&gt;0,"sim","não"))</f>
        <v/>
      </c>
      <c r="H386" s="7" t="str">
        <f aca="false">IF(A386="","",IF(E386="",A386,E386)&amp;"."&amp;IF(F386="",B386,F386))</f>
        <v/>
      </c>
      <c r="I386" s="7" t="str">
        <f aca="false">IF(A386="","",IFERROR(INDEX('Campos Growths'!$F:$F,MATCH(H386,'Campos Growths'!$A:$A,0)),""))</f>
        <v/>
      </c>
      <c r="J386" s="7" t="str">
        <f aca="false">IF(A386="","",IFERROR(VLOOKUP(IF(ISNUMBER(SEARCH("(",C386)),LEFT(C386,SEARCH("(",C386)-1),C386),Tipos!$A:$B,2,FALSE()),"outro"))</f>
        <v/>
      </c>
      <c r="K386" s="7" t="str">
        <f aca="false">IF(I386="","",IFERROR(INDEX('Campos Growths'!$L:$L,MATCH(H386,'Campos Growths'!$A:$A,0)),""))</f>
        <v/>
      </c>
      <c r="L386" s="7" t="str">
        <f aca="false">IF(A386="","",IF(G386="não","Sem tabela no Growths",IF(I386="","Sem campo no Growths",IF(J386=K386,"Importa direto","Ajustar tipo"))))</f>
        <v/>
      </c>
      <c r="M386" s="9"/>
    </row>
    <row r="387" customFormat="false" ht="15" hidden="false" customHeight="false" outlineLevel="0" collapsed="false">
      <c r="A387" s="7" t="str">
        <f aca="false">IF('Outro banco'!A387="","",IF(LEFT('Outro banco'!A387,1)="(","",'Outro banco'!A387))</f>
        <v/>
      </c>
      <c r="B387" s="7" t="str">
        <f aca="false">IF(A387="","",'Outro banco'!B387)</f>
        <v/>
      </c>
      <c r="C387" s="7" t="str">
        <f aca="false">IF(A387="","",'Outro banco'!C387)</f>
        <v/>
      </c>
      <c r="D387" s="7" t="str">
        <f aca="false">IF(A387="","",'Outro banco'!D387)</f>
        <v/>
      </c>
      <c r="E387" s="9"/>
      <c r="F387" s="9"/>
      <c r="G387" s="7" t="str">
        <f aca="false">IF(A387="","",IF(COUNTIF(Tabelas!$A:$A,IF(E387="",A387,E387))&gt;0,"sim","não"))</f>
        <v/>
      </c>
      <c r="H387" s="7" t="str">
        <f aca="false">IF(A387="","",IF(E387="",A387,E387)&amp;"."&amp;IF(F387="",B387,F387))</f>
        <v/>
      </c>
      <c r="I387" s="7" t="str">
        <f aca="false">IF(A387="","",IFERROR(INDEX('Campos Growths'!$F:$F,MATCH(H387,'Campos Growths'!$A:$A,0)),""))</f>
        <v/>
      </c>
      <c r="J387" s="7" t="str">
        <f aca="false">IF(A387="","",IFERROR(VLOOKUP(IF(ISNUMBER(SEARCH("(",C387)),LEFT(C387,SEARCH("(",C387)-1),C387),Tipos!$A:$B,2,FALSE()),"outro"))</f>
        <v/>
      </c>
      <c r="K387" s="7" t="str">
        <f aca="false">IF(I387="","",IFERROR(INDEX('Campos Growths'!$L:$L,MATCH(H387,'Campos Growths'!$A:$A,0)),""))</f>
        <v/>
      </c>
      <c r="L387" s="7" t="str">
        <f aca="false">IF(A387="","",IF(G387="não","Sem tabela no Growths",IF(I387="","Sem campo no Growths",IF(J387=K387,"Importa direto","Ajustar tipo"))))</f>
        <v/>
      </c>
      <c r="M387" s="9"/>
    </row>
    <row r="388" customFormat="false" ht="15" hidden="false" customHeight="false" outlineLevel="0" collapsed="false">
      <c r="A388" s="7" t="str">
        <f aca="false">IF('Outro banco'!A388="","",IF(LEFT('Outro banco'!A388,1)="(","",'Outro banco'!A388))</f>
        <v/>
      </c>
      <c r="B388" s="7" t="str">
        <f aca="false">IF(A388="","",'Outro banco'!B388)</f>
        <v/>
      </c>
      <c r="C388" s="7" t="str">
        <f aca="false">IF(A388="","",'Outro banco'!C388)</f>
        <v/>
      </c>
      <c r="D388" s="7" t="str">
        <f aca="false">IF(A388="","",'Outro banco'!D388)</f>
        <v/>
      </c>
      <c r="E388" s="9"/>
      <c r="F388" s="9"/>
      <c r="G388" s="7" t="str">
        <f aca="false">IF(A388="","",IF(COUNTIF(Tabelas!$A:$A,IF(E388="",A388,E388))&gt;0,"sim","não"))</f>
        <v/>
      </c>
      <c r="H388" s="7" t="str">
        <f aca="false">IF(A388="","",IF(E388="",A388,E388)&amp;"."&amp;IF(F388="",B388,F388))</f>
        <v/>
      </c>
      <c r="I388" s="7" t="str">
        <f aca="false">IF(A388="","",IFERROR(INDEX('Campos Growths'!$F:$F,MATCH(H388,'Campos Growths'!$A:$A,0)),""))</f>
        <v/>
      </c>
      <c r="J388" s="7" t="str">
        <f aca="false">IF(A388="","",IFERROR(VLOOKUP(IF(ISNUMBER(SEARCH("(",C388)),LEFT(C388,SEARCH("(",C388)-1),C388),Tipos!$A:$B,2,FALSE()),"outro"))</f>
        <v/>
      </c>
      <c r="K388" s="7" t="str">
        <f aca="false">IF(I388="","",IFERROR(INDEX('Campos Growths'!$L:$L,MATCH(H388,'Campos Growths'!$A:$A,0)),""))</f>
        <v/>
      </c>
      <c r="L388" s="7" t="str">
        <f aca="false">IF(A388="","",IF(G388="não","Sem tabela no Growths",IF(I388="","Sem campo no Growths",IF(J388=K388,"Importa direto","Ajustar tipo"))))</f>
        <v/>
      </c>
      <c r="M388" s="9"/>
    </row>
    <row r="389" customFormat="false" ht="15" hidden="false" customHeight="false" outlineLevel="0" collapsed="false">
      <c r="A389" s="7" t="str">
        <f aca="false">IF('Outro banco'!A389="","",IF(LEFT('Outro banco'!A389,1)="(","",'Outro banco'!A389))</f>
        <v/>
      </c>
      <c r="B389" s="7" t="str">
        <f aca="false">IF(A389="","",'Outro banco'!B389)</f>
        <v/>
      </c>
      <c r="C389" s="7" t="str">
        <f aca="false">IF(A389="","",'Outro banco'!C389)</f>
        <v/>
      </c>
      <c r="D389" s="7" t="str">
        <f aca="false">IF(A389="","",'Outro banco'!D389)</f>
        <v/>
      </c>
      <c r="E389" s="9"/>
      <c r="F389" s="9"/>
      <c r="G389" s="7" t="str">
        <f aca="false">IF(A389="","",IF(COUNTIF(Tabelas!$A:$A,IF(E389="",A389,E389))&gt;0,"sim","não"))</f>
        <v/>
      </c>
      <c r="H389" s="7" t="str">
        <f aca="false">IF(A389="","",IF(E389="",A389,E389)&amp;"."&amp;IF(F389="",B389,F389))</f>
        <v/>
      </c>
      <c r="I389" s="7" t="str">
        <f aca="false">IF(A389="","",IFERROR(INDEX('Campos Growths'!$F:$F,MATCH(H389,'Campos Growths'!$A:$A,0)),""))</f>
        <v/>
      </c>
      <c r="J389" s="7" t="str">
        <f aca="false">IF(A389="","",IFERROR(VLOOKUP(IF(ISNUMBER(SEARCH("(",C389)),LEFT(C389,SEARCH("(",C389)-1),C389),Tipos!$A:$B,2,FALSE()),"outro"))</f>
        <v/>
      </c>
      <c r="K389" s="7" t="str">
        <f aca="false">IF(I389="","",IFERROR(INDEX('Campos Growths'!$L:$L,MATCH(H389,'Campos Growths'!$A:$A,0)),""))</f>
        <v/>
      </c>
      <c r="L389" s="7" t="str">
        <f aca="false">IF(A389="","",IF(G389="não","Sem tabela no Growths",IF(I389="","Sem campo no Growths",IF(J389=K389,"Importa direto","Ajustar tipo"))))</f>
        <v/>
      </c>
      <c r="M389" s="9"/>
    </row>
    <row r="390" customFormat="false" ht="15" hidden="false" customHeight="false" outlineLevel="0" collapsed="false">
      <c r="A390" s="7" t="str">
        <f aca="false">IF('Outro banco'!A390="","",IF(LEFT('Outro banco'!A390,1)="(","",'Outro banco'!A390))</f>
        <v/>
      </c>
      <c r="B390" s="7" t="str">
        <f aca="false">IF(A390="","",'Outro banco'!B390)</f>
        <v/>
      </c>
      <c r="C390" s="7" t="str">
        <f aca="false">IF(A390="","",'Outro banco'!C390)</f>
        <v/>
      </c>
      <c r="D390" s="7" t="str">
        <f aca="false">IF(A390="","",'Outro banco'!D390)</f>
        <v/>
      </c>
      <c r="E390" s="9"/>
      <c r="F390" s="9"/>
      <c r="G390" s="7" t="str">
        <f aca="false">IF(A390="","",IF(COUNTIF(Tabelas!$A:$A,IF(E390="",A390,E390))&gt;0,"sim","não"))</f>
        <v/>
      </c>
      <c r="H390" s="7" t="str">
        <f aca="false">IF(A390="","",IF(E390="",A390,E390)&amp;"."&amp;IF(F390="",B390,F390))</f>
        <v/>
      </c>
      <c r="I390" s="7" t="str">
        <f aca="false">IF(A390="","",IFERROR(INDEX('Campos Growths'!$F:$F,MATCH(H390,'Campos Growths'!$A:$A,0)),""))</f>
        <v/>
      </c>
      <c r="J390" s="7" t="str">
        <f aca="false">IF(A390="","",IFERROR(VLOOKUP(IF(ISNUMBER(SEARCH("(",C390)),LEFT(C390,SEARCH("(",C390)-1),C390),Tipos!$A:$B,2,FALSE()),"outro"))</f>
        <v/>
      </c>
      <c r="K390" s="7" t="str">
        <f aca="false">IF(I390="","",IFERROR(INDEX('Campos Growths'!$L:$L,MATCH(H390,'Campos Growths'!$A:$A,0)),""))</f>
        <v/>
      </c>
      <c r="L390" s="7" t="str">
        <f aca="false">IF(A390="","",IF(G390="não","Sem tabela no Growths",IF(I390="","Sem campo no Growths",IF(J390=K390,"Importa direto","Ajustar tipo"))))</f>
        <v/>
      </c>
      <c r="M390" s="9"/>
    </row>
    <row r="391" customFormat="false" ht="15" hidden="false" customHeight="false" outlineLevel="0" collapsed="false">
      <c r="A391" s="7" t="str">
        <f aca="false">IF('Outro banco'!A391="","",IF(LEFT('Outro banco'!A391,1)="(","",'Outro banco'!A391))</f>
        <v/>
      </c>
      <c r="B391" s="7" t="str">
        <f aca="false">IF(A391="","",'Outro banco'!B391)</f>
        <v/>
      </c>
      <c r="C391" s="7" t="str">
        <f aca="false">IF(A391="","",'Outro banco'!C391)</f>
        <v/>
      </c>
      <c r="D391" s="7" t="str">
        <f aca="false">IF(A391="","",'Outro banco'!D391)</f>
        <v/>
      </c>
      <c r="E391" s="9"/>
      <c r="F391" s="9"/>
      <c r="G391" s="7" t="str">
        <f aca="false">IF(A391="","",IF(COUNTIF(Tabelas!$A:$A,IF(E391="",A391,E391))&gt;0,"sim","não"))</f>
        <v/>
      </c>
      <c r="H391" s="7" t="str">
        <f aca="false">IF(A391="","",IF(E391="",A391,E391)&amp;"."&amp;IF(F391="",B391,F391))</f>
        <v/>
      </c>
      <c r="I391" s="7" t="str">
        <f aca="false">IF(A391="","",IFERROR(INDEX('Campos Growths'!$F:$F,MATCH(H391,'Campos Growths'!$A:$A,0)),""))</f>
        <v/>
      </c>
      <c r="J391" s="7" t="str">
        <f aca="false">IF(A391="","",IFERROR(VLOOKUP(IF(ISNUMBER(SEARCH("(",C391)),LEFT(C391,SEARCH("(",C391)-1),C391),Tipos!$A:$B,2,FALSE()),"outro"))</f>
        <v/>
      </c>
      <c r="K391" s="7" t="str">
        <f aca="false">IF(I391="","",IFERROR(INDEX('Campos Growths'!$L:$L,MATCH(H391,'Campos Growths'!$A:$A,0)),""))</f>
        <v/>
      </c>
      <c r="L391" s="7" t="str">
        <f aca="false">IF(A391="","",IF(G391="não","Sem tabela no Growths",IF(I391="","Sem campo no Growths",IF(J391=K391,"Importa direto","Ajustar tipo"))))</f>
        <v/>
      </c>
      <c r="M391" s="9"/>
    </row>
    <row r="392" customFormat="false" ht="15" hidden="false" customHeight="false" outlineLevel="0" collapsed="false">
      <c r="A392" s="7" t="str">
        <f aca="false">IF('Outro banco'!A392="","",IF(LEFT('Outro banco'!A392,1)="(","",'Outro banco'!A392))</f>
        <v/>
      </c>
      <c r="B392" s="7" t="str">
        <f aca="false">IF(A392="","",'Outro banco'!B392)</f>
        <v/>
      </c>
      <c r="C392" s="7" t="str">
        <f aca="false">IF(A392="","",'Outro banco'!C392)</f>
        <v/>
      </c>
      <c r="D392" s="7" t="str">
        <f aca="false">IF(A392="","",'Outro banco'!D392)</f>
        <v/>
      </c>
      <c r="E392" s="9"/>
      <c r="F392" s="9"/>
      <c r="G392" s="7" t="str">
        <f aca="false">IF(A392="","",IF(COUNTIF(Tabelas!$A:$A,IF(E392="",A392,E392))&gt;0,"sim","não"))</f>
        <v/>
      </c>
      <c r="H392" s="7" t="str">
        <f aca="false">IF(A392="","",IF(E392="",A392,E392)&amp;"."&amp;IF(F392="",B392,F392))</f>
        <v/>
      </c>
      <c r="I392" s="7" t="str">
        <f aca="false">IF(A392="","",IFERROR(INDEX('Campos Growths'!$F:$F,MATCH(H392,'Campos Growths'!$A:$A,0)),""))</f>
        <v/>
      </c>
      <c r="J392" s="7" t="str">
        <f aca="false">IF(A392="","",IFERROR(VLOOKUP(IF(ISNUMBER(SEARCH("(",C392)),LEFT(C392,SEARCH("(",C392)-1),C392),Tipos!$A:$B,2,FALSE()),"outro"))</f>
        <v/>
      </c>
      <c r="K392" s="7" t="str">
        <f aca="false">IF(I392="","",IFERROR(INDEX('Campos Growths'!$L:$L,MATCH(H392,'Campos Growths'!$A:$A,0)),""))</f>
        <v/>
      </c>
      <c r="L392" s="7" t="str">
        <f aca="false">IF(A392="","",IF(G392="não","Sem tabela no Growths",IF(I392="","Sem campo no Growths",IF(J392=K392,"Importa direto","Ajustar tipo"))))</f>
        <v/>
      </c>
      <c r="M392" s="9"/>
    </row>
    <row r="393" customFormat="false" ht="15" hidden="false" customHeight="false" outlineLevel="0" collapsed="false">
      <c r="A393" s="7" t="str">
        <f aca="false">IF('Outro banco'!A393="","",IF(LEFT('Outro banco'!A393,1)="(","",'Outro banco'!A393))</f>
        <v/>
      </c>
      <c r="B393" s="7" t="str">
        <f aca="false">IF(A393="","",'Outro banco'!B393)</f>
        <v/>
      </c>
      <c r="C393" s="7" t="str">
        <f aca="false">IF(A393="","",'Outro banco'!C393)</f>
        <v/>
      </c>
      <c r="D393" s="7" t="str">
        <f aca="false">IF(A393="","",'Outro banco'!D393)</f>
        <v/>
      </c>
      <c r="E393" s="9"/>
      <c r="F393" s="9"/>
      <c r="G393" s="7" t="str">
        <f aca="false">IF(A393="","",IF(COUNTIF(Tabelas!$A:$A,IF(E393="",A393,E393))&gt;0,"sim","não"))</f>
        <v/>
      </c>
      <c r="H393" s="7" t="str">
        <f aca="false">IF(A393="","",IF(E393="",A393,E393)&amp;"."&amp;IF(F393="",B393,F393))</f>
        <v/>
      </c>
      <c r="I393" s="7" t="str">
        <f aca="false">IF(A393="","",IFERROR(INDEX('Campos Growths'!$F:$F,MATCH(H393,'Campos Growths'!$A:$A,0)),""))</f>
        <v/>
      </c>
      <c r="J393" s="7" t="str">
        <f aca="false">IF(A393="","",IFERROR(VLOOKUP(IF(ISNUMBER(SEARCH("(",C393)),LEFT(C393,SEARCH("(",C393)-1),C393),Tipos!$A:$B,2,FALSE()),"outro"))</f>
        <v/>
      </c>
      <c r="K393" s="7" t="str">
        <f aca="false">IF(I393="","",IFERROR(INDEX('Campos Growths'!$L:$L,MATCH(H393,'Campos Growths'!$A:$A,0)),""))</f>
        <v/>
      </c>
      <c r="L393" s="7" t="str">
        <f aca="false">IF(A393="","",IF(G393="não","Sem tabela no Growths",IF(I393="","Sem campo no Growths",IF(J393=K393,"Importa direto","Ajustar tipo"))))</f>
        <v/>
      </c>
      <c r="M393" s="9"/>
    </row>
    <row r="394" customFormat="false" ht="15" hidden="false" customHeight="false" outlineLevel="0" collapsed="false">
      <c r="A394" s="7" t="str">
        <f aca="false">IF('Outro banco'!A394="","",IF(LEFT('Outro banco'!A394,1)="(","",'Outro banco'!A394))</f>
        <v/>
      </c>
      <c r="B394" s="7" t="str">
        <f aca="false">IF(A394="","",'Outro banco'!B394)</f>
        <v/>
      </c>
      <c r="C394" s="7" t="str">
        <f aca="false">IF(A394="","",'Outro banco'!C394)</f>
        <v/>
      </c>
      <c r="D394" s="7" t="str">
        <f aca="false">IF(A394="","",'Outro banco'!D394)</f>
        <v/>
      </c>
      <c r="E394" s="9"/>
      <c r="F394" s="9"/>
      <c r="G394" s="7" t="str">
        <f aca="false">IF(A394="","",IF(COUNTIF(Tabelas!$A:$A,IF(E394="",A394,E394))&gt;0,"sim","não"))</f>
        <v/>
      </c>
      <c r="H394" s="7" t="str">
        <f aca="false">IF(A394="","",IF(E394="",A394,E394)&amp;"."&amp;IF(F394="",B394,F394))</f>
        <v/>
      </c>
      <c r="I394" s="7" t="str">
        <f aca="false">IF(A394="","",IFERROR(INDEX('Campos Growths'!$F:$F,MATCH(H394,'Campos Growths'!$A:$A,0)),""))</f>
        <v/>
      </c>
      <c r="J394" s="7" t="str">
        <f aca="false">IF(A394="","",IFERROR(VLOOKUP(IF(ISNUMBER(SEARCH("(",C394)),LEFT(C394,SEARCH("(",C394)-1),C394),Tipos!$A:$B,2,FALSE()),"outro"))</f>
        <v/>
      </c>
      <c r="K394" s="7" t="str">
        <f aca="false">IF(I394="","",IFERROR(INDEX('Campos Growths'!$L:$L,MATCH(H394,'Campos Growths'!$A:$A,0)),""))</f>
        <v/>
      </c>
      <c r="L394" s="7" t="str">
        <f aca="false">IF(A394="","",IF(G394="não","Sem tabela no Growths",IF(I394="","Sem campo no Growths",IF(J394=K394,"Importa direto","Ajustar tipo"))))</f>
        <v/>
      </c>
      <c r="M394" s="9"/>
    </row>
    <row r="395" customFormat="false" ht="15" hidden="false" customHeight="false" outlineLevel="0" collapsed="false">
      <c r="A395" s="7" t="str">
        <f aca="false">IF('Outro banco'!A395="","",IF(LEFT('Outro banco'!A395,1)="(","",'Outro banco'!A395))</f>
        <v/>
      </c>
      <c r="B395" s="7" t="str">
        <f aca="false">IF(A395="","",'Outro banco'!B395)</f>
        <v/>
      </c>
      <c r="C395" s="7" t="str">
        <f aca="false">IF(A395="","",'Outro banco'!C395)</f>
        <v/>
      </c>
      <c r="D395" s="7" t="str">
        <f aca="false">IF(A395="","",'Outro banco'!D395)</f>
        <v/>
      </c>
      <c r="E395" s="9"/>
      <c r="F395" s="9"/>
      <c r="G395" s="7" t="str">
        <f aca="false">IF(A395="","",IF(COUNTIF(Tabelas!$A:$A,IF(E395="",A395,E395))&gt;0,"sim","não"))</f>
        <v/>
      </c>
      <c r="H395" s="7" t="str">
        <f aca="false">IF(A395="","",IF(E395="",A395,E395)&amp;"."&amp;IF(F395="",B395,F395))</f>
        <v/>
      </c>
      <c r="I395" s="7" t="str">
        <f aca="false">IF(A395="","",IFERROR(INDEX('Campos Growths'!$F:$F,MATCH(H395,'Campos Growths'!$A:$A,0)),""))</f>
        <v/>
      </c>
      <c r="J395" s="7" t="str">
        <f aca="false">IF(A395="","",IFERROR(VLOOKUP(IF(ISNUMBER(SEARCH("(",C395)),LEFT(C395,SEARCH("(",C395)-1),C395),Tipos!$A:$B,2,FALSE()),"outro"))</f>
        <v/>
      </c>
      <c r="K395" s="7" t="str">
        <f aca="false">IF(I395="","",IFERROR(INDEX('Campos Growths'!$L:$L,MATCH(H395,'Campos Growths'!$A:$A,0)),""))</f>
        <v/>
      </c>
      <c r="L395" s="7" t="str">
        <f aca="false">IF(A395="","",IF(G395="não","Sem tabela no Growths",IF(I395="","Sem campo no Growths",IF(J395=K395,"Importa direto","Ajustar tipo"))))</f>
        <v/>
      </c>
      <c r="M395" s="9"/>
    </row>
    <row r="396" customFormat="false" ht="15" hidden="false" customHeight="false" outlineLevel="0" collapsed="false">
      <c r="A396" s="7" t="str">
        <f aca="false">IF('Outro banco'!A396="","",IF(LEFT('Outro banco'!A396,1)="(","",'Outro banco'!A396))</f>
        <v/>
      </c>
      <c r="B396" s="7" t="str">
        <f aca="false">IF(A396="","",'Outro banco'!B396)</f>
        <v/>
      </c>
      <c r="C396" s="7" t="str">
        <f aca="false">IF(A396="","",'Outro banco'!C396)</f>
        <v/>
      </c>
      <c r="D396" s="7" t="str">
        <f aca="false">IF(A396="","",'Outro banco'!D396)</f>
        <v/>
      </c>
      <c r="E396" s="9"/>
      <c r="F396" s="9"/>
      <c r="G396" s="7" t="str">
        <f aca="false">IF(A396="","",IF(COUNTIF(Tabelas!$A:$A,IF(E396="",A396,E396))&gt;0,"sim","não"))</f>
        <v/>
      </c>
      <c r="H396" s="7" t="str">
        <f aca="false">IF(A396="","",IF(E396="",A396,E396)&amp;"."&amp;IF(F396="",B396,F396))</f>
        <v/>
      </c>
      <c r="I396" s="7" t="str">
        <f aca="false">IF(A396="","",IFERROR(INDEX('Campos Growths'!$F:$F,MATCH(H396,'Campos Growths'!$A:$A,0)),""))</f>
        <v/>
      </c>
      <c r="J396" s="7" t="str">
        <f aca="false">IF(A396="","",IFERROR(VLOOKUP(IF(ISNUMBER(SEARCH("(",C396)),LEFT(C396,SEARCH("(",C396)-1),C396),Tipos!$A:$B,2,FALSE()),"outro"))</f>
        <v/>
      </c>
      <c r="K396" s="7" t="str">
        <f aca="false">IF(I396="","",IFERROR(INDEX('Campos Growths'!$L:$L,MATCH(H396,'Campos Growths'!$A:$A,0)),""))</f>
        <v/>
      </c>
      <c r="L396" s="7" t="str">
        <f aca="false">IF(A396="","",IF(G396="não","Sem tabela no Growths",IF(I396="","Sem campo no Growths",IF(J396=K396,"Importa direto","Ajustar tipo"))))</f>
        <v/>
      </c>
      <c r="M396" s="9"/>
    </row>
    <row r="397" customFormat="false" ht="15" hidden="false" customHeight="false" outlineLevel="0" collapsed="false">
      <c r="A397" s="7" t="str">
        <f aca="false">IF('Outro banco'!A397="","",IF(LEFT('Outro banco'!A397,1)="(","",'Outro banco'!A397))</f>
        <v/>
      </c>
      <c r="B397" s="7" t="str">
        <f aca="false">IF(A397="","",'Outro banco'!B397)</f>
        <v/>
      </c>
      <c r="C397" s="7" t="str">
        <f aca="false">IF(A397="","",'Outro banco'!C397)</f>
        <v/>
      </c>
      <c r="D397" s="7" t="str">
        <f aca="false">IF(A397="","",'Outro banco'!D397)</f>
        <v/>
      </c>
      <c r="E397" s="9"/>
      <c r="F397" s="9"/>
      <c r="G397" s="7" t="str">
        <f aca="false">IF(A397="","",IF(COUNTIF(Tabelas!$A:$A,IF(E397="",A397,E397))&gt;0,"sim","não"))</f>
        <v/>
      </c>
      <c r="H397" s="7" t="str">
        <f aca="false">IF(A397="","",IF(E397="",A397,E397)&amp;"."&amp;IF(F397="",B397,F397))</f>
        <v/>
      </c>
      <c r="I397" s="7" t="str">
        <f aca="false">IF(A397="","",IFERROR(INDEX('Campos Growths'!$F:$F,MATCH(H397,'Campos Growths'!$A:$A,0)),""))</f>
        <v/>
      </c>
      <c r="J397" s="7" t="str">
        <f aca="false">IF(A397="","",IFERROR(VLOOKUP(IF(ISNUMBER(SEARCH("(",C397)),LEFT(C397,SEARCH("(",C397)-1),C397),Tipos!$A:$B,2,FALSE()),"outro"))</f>
        <v/>
      </c>
      <c r="K397" s="7" t="str">
        <f aca="false">IF(I397="","",IFERROR(INDEX('Campos Growths'!$L:$L,MATCH(H397,'Campos Growths'!$A:$A,0)),""))</f>
        <v/>
      </c>
      <c r="L397" s="7" t="str">
        <f aca="false">IF(A397="","",IF(G397="não","Sem tabela no Growths",IF(I397="","Sem campo no Growths",IF(J397=K397,"Importa direto","Ajustar tipo"))))</f>
        <v/>
      </c>
      <c r="M397" s="9"/>
    </row>
    <row r="398" customFormat="false" ht="15" hidden="false" customHeight="false" outlineLevel="0" collapsed="false">
      <c r="A398" s="7" t="str">
        <f aca="false">IF('Outro banco'!A398="","",IF(LEFT('Outro banco'!A398,1)="(","",'Outro banco'!A398))</f>
        <v/>
      </c>
      <c r="B398" s="7" t="str">
        <f aca="false">IF(A398="","",'Outro banco'!B398)</f>
        <v/>
      </c>
      <c r="C398" s="7" t="str">
        <f aca="false">IF(A398="","",'Outro banco'!C398)</f>
        <v/>
      </c>
      <c r="D398" s="7" t="str">
        <f aca="false">IF(A398="","",'Outro banco'!D398)</f>
        <v/>
      </c>
      <c r="E398" s="9"/>
      <c r="F398" s="9"/>
      <c r="G398" s="7" t="str">
        <f aca="false">IF(A398="","",IF(COUNTIF(Tabelas!$A:$A,IF(E398="",A398,E398))&gt;0,"sim","não"))</f>
        <v/>
      </c>
      <c r="H398" s="7" t="str">
        <f aca="false">IF(A398="","",IF(E398="",A398,E398)&amp;"."&amp;IF(F398="",B398,F398))</f>
        <v/>
      </c>
      <c r="I398" s="7" t="str">
        <f aca="false">IF(A398="","",IFERROR(INDEX('Campos Growths'!$F:$F,MATCH(H398,'Campos Growths'!$A:$A,0)),""))</f>
        <v/>
      </c>
      <c r="J398" s="7" t="str">
        <f aca="false">IF(A398="","",IFERROR(VLOOKUP(IF(ISNUMBER(SEARCH("(",C398)),LEFT(C398,SEARCH("(",C398)-1),C398),Tipos!$A:$B,2,FALSE()),"outro"))</f>
        <v/>
      </c>
      <c r="K398" s="7" t="str">
        <f aca="false">IF(I398="","",IFERROR(INDEX('Campos Growths'!$L:$L,MATCH(H398,'Campos Growths'!$A:$A,0)),""))</f>
        <v/>
      </c>
      <c r="L398" s="7" t="str">
        <f aca="false">IF(A398="","",IF(G398="não","Sem tabela no Growths",IF(I398="","Sem campo no Growths",IF(J398=K398,"Importa direto","Ajustar tipo"))))</f>
        <v/>
      </c>
      <c r="M398" s="9"/>
    </row>
    <row r="399" customFormat="false" ht="15" hidden="false" customHeight="false" outlineLevel="0" collapsed="false">
      <c r="A399" s="7" t="str">
        <f aca="false">IF('Outro banco'!A399="","",IF(LEFT('Outro banco'!A399,1)="(","",'Outro banco'!A399))</f>
        <v/>
      </c>
      <c r="B399" s="7" t="str">
        <f aca="false">IF(A399="","",'Outro banco'!B399)</f>
        <v/>
      </c>
      <c r="C399" s="7" t="str">
        <f aca="false">IF(A399="","",'Outro banco'!C399)</f>
        <v/>
      </c>
      <c r="D399" s="7" t="str">
        <f aca="false">IF(A399="","",'Outro banco'!D399)</f>
        <v/>
      </c>
      <c r="E399" s="9"/>
      <c r="F399" s="9"/>
      <c r="G399" s="7" t="str">
        <f aca="false">IF(A399="","",IF(COUNTIF(Tabelas!$A:$A,IF(E399="",A399,E399))&gt;0,"sim","não"))</f>
        <v/>
      </c>
      <c r="H399" s="7" t="str">
        <f aca="false">IF(A399="","",IF(E399="",A399,E399)&amp;"."&amp;IF(F399="",B399,F399))</f>
        <v/>
      </c>
      <c r="I399" s="7" t="str">
        <f aca="false">IF(A399="","",IFERROR(INDEX('Campos Growths'!$F:$F,MATCH(H399,'Campos Growths'!$A:$A,0)),""))</f>
        <v/>
      </c>
      <c r="J399" s="7" t="str">
        <f aca="false">IF(A399="","",IFERROR(VLOOKUP(IF(ISNUMBER(SEARCH("(",C399)),LEFT(C399,SEARCH("(",C399)-1),C399),Tipos!$A:$B,2,FALSE()),"outro"))</f>
        <v/>
      </c>
      <c r="K399" s="7" t="str">
        <f aca="false">IF(I399="","",IFERROR(INDEX('Campos Growths'!$L:$L,MATCH(H399,'Campos Growths'!$A:$A,0)),""))</f>
        <v/>
      </c>
      <c r="L399" s="7" t="str">
        <f aca="false">IF(A399="","",IF(G399="não","Sem tabela no Growths",IF(I399="","Sem campo no Growths",IF(J399=K399,"Importa direto","Ajustar tipo"))))</f>
        <v/>
      </c>
      <c r="M399" s="9"/>
    </row>
    <row r="400" customFormat="false" ht="15" hidden="false" customHeight="false" outlineLevel="0" collapsed="false">
      <c r="A400" s="7" t="str">
        <f aca="false">IF('Outro banco'!A400="","",IF(LEFT('Outro banco'!A400,1)="(","",'Outro banco'!A400))</f>
        <v/>
      </c>
      <c r="B400" s="7" t="str">
        <f aca="false">IF(A400="","",'Outro banco'!B400)</f>
        <v/>
      </c>
      <c r="C400" s="7" t="str">
        <f aca="false">IF(A400="","",'Outro banco'!C400)</f>
        <v/>
      </c>
      <c r="D400" s="7" t="str">
        <f aca="false">IF(A400="","",'Outro banco'!D400)</f>
        <v/>
      </c>
      <c r="E400" s="9"/>
      <c r="F400" s="9"/>
      <c r="G400" s="7" t="str">
        <f aca="false">IF(A400="","",IF(COUNTIF(Tabelas!$A:$A,IF(E400="",A400,E400))&gt;0,"sim","não"))</f>
        <v/>
      </c>
      <c r="H400" s="7" t="str">
        <f aca="false">IF(A400="","",IF(E400="",A400,E400)&amp;"."&amp;IF(F400="",B400,F400))</f>
        <v/>
      </c>
      <c r="I400" s="7" t="str">
        <f aca="false">IF(A400="","",IFERROR(INDEX('Campos Growths'!$F:$F,MATCH(H400,'Campos Growths'!$A:$A,0)),""))</f>
        <v/>
      </c>
      <c r="J400" s="7" t="str">
        <f aca="false">IF(A400="","",IFERROR(VLOOKUP(IF(ISNUMBER(SEARCH("(",C400)),LEFT(C400,SEARCH("(",C400)-1),C400),Tipos!$A:$B,2,FALSE()),"outro"))</f>
        <v/>
      </c>
      <c r="K400" s="7" t="str">
        <f aca="false">IF(I400="","",IFERROR(INDEX('Campos Growths'!$L:$L,MATCH(H400,'Campos Growths'!$A:$A,0)),""))</f>
        <v/>
      </c>
      <c r="L400" s="7" t="str">
        <f aca="false">IF(A400="","",IF(G400="não","Sem tabela no Growths",IF(I400="","Sem campo no Growths",IF(J400=K400,"Importa direto","Ajustar tipo"))))</f>
        <v/>
      </c>
      <c r="M400" s="9"/>
    </row>
    <row r="401" customFormat="false" ht="15" hidden="false" customHeight="false" outlineLevel="0" collapsed="false">
      <c r="A401" s="7" t="str">
        <f aca="false">IF('Outro banco'!A401="","",IF(LEFT('Outro banco'!A401,1)="(","",'Outro banco'!A401))</f>
        <v/>
      </c>
      <c r="B401" s="7" t="str">
        <f aca="false">IF(A401="","",'Outro banco'!B401)</f>
        <v/>
      </c>
      <c r="C401" s="7" t="str">
        <f aca="false">IF(A401="","",'Outro banco'!C401)</f>
        <v/>
      </c>
      <c r="D401" s="7" t="str">
        <f aca="false">IF(A401="","",'Outro banco'!D401)</f>
        <v/>
      </c>
      <c r="E401" s="9"/>
      <c r="F401" s="9"/>
      <c r="G401" s="7" t="str">
        <f aca="false">IF(A401="","",IF(COUNTIF(Tabelas!$A:$A,IF(E401="",A401,E401))&gt;0,"sim","não"))</f>
        <v/>
      </c>
      <c r="H401" s="7" t="str">
        <f aca="false">IF(A401="","",IF(E401="",A401,E401)&amp;"."&amp;IF(F401="",B401,F401))</f>
        <v/>
      </c>
      <c r="I401" s="7" t="str">
        <f aca="false">IF(A401="","",IFERROR(INDEX('Campos Growths'!$F:$F,MATCH(H401,'Campos Growths'!$A:$A,0)),""))</f>
        <v/>
      </c>
      <c r="J401" s="7" t="str">
        <f aca="false">IF(A401="","",IFERROR(VLOOKUP(IF(ISNUMBER(SEARCH("(",C401)),LEFT(C401,SEARCH("(",C401)-1),C401),Tipos!$A:$B,2,FALSE()),"outro"))</f>
        <v/>
      </c>
      <c r="K401" s="7" t="str">
        <f aca="false">IF(I401="","",IFERROR(INDEX('Campos Growths'!$L:$L,MATCH(H401,'Campos Growths'!$A:$A,0)),""))</f>
        <v/>
      </c>
      <c r="L401" s="7" t="str">
        <f aca="false">IF(A401="","",IF(G401="não","Sem tabela no Growths",IF(I401="","Sem campo no Growths",IF(J401=K401,"Importa direto","Ajustar tipo"))))</f>
        <v/>
      </c>
      <c r="M401" s="9"/>
    </row>
    <row r="402" customFormat="false" ht="15" hidden="false" customHeight="false" outlineLevel="0" collapsed="false">
      <c r="A402" s="7" t="str">
        <f aca="false">IF('Outro banco'!A402="","",IF(LEFT('Outro banco'!A402,1)="(","",'Outro banco'!A402))</f>
        <v/>
      </c>
      <c r="B402" s="7" t="str">
        <f aca="false">IF(A402="","",'Outro banco'!B402)</f>
        <v/>
      </c>
      <c r="C402" s="7" t="str">
        <f aca="false">IF(A402="","",'Outro banco'!C402)</f>
        <v/>
      </c>
      <c r="D402" s="7" t="str">
        <f aca="false">IF(A402="","",'Outro banco'!D402)</f>
        <v/>
      </c>
      <c r="E402" s="9"/>
      <c r="F402" s="9"/>
      <c r="G402" s="7" t="str">
        <f aca="false">IF(A402="","",IF(COUNTIF(Tabelas!$A:$A,IF(E402="",A402,E402))&gt;0,"sim","não"))</f>
        <v/>
      </c>
      <c r="H402" s="7" t="str">
        <f aca="false">IF(A402="","",IF(E402="",A402,E402)&amp;"."&amp;IF(F402="",B402,F402))</f>
        <v/>
      </c>
      <c r="I402" s="7" t="str">
        <f aca="false">IF(A402="","",IFERROR(INDEX('Campos Growths'!$F:$F,MATCH(H402,'Campos Growths'!$A:$A,0)),""))</f>
        <v/>
      </c>
      <c r="J402" s="7" t="str">
        <f aca="false">IF(A402="","",IFERROR(VLOOKUP(IF(ISNUMBER(SEARCH("(",C402)),LEFT(C402,SEARCH("(",C402)-1),C402),Tipos!$A:$B,2,FALSE()),"outro"))</f>
        <v/>
      </c>
      <c r="K402" s="7" t="str">
        <f aca="false">IF(I402="","",IFERROR(INDEX('Campos Growths'!$L:$L,MATCH(H402,'Campos Growths'!$A:$A,0)),""))</f>
        <v/>
      </c>
      <c r="L402" s="7" t="str">
        <f aca="false">IF(A402="","",IF(G402="não","Sem tabela no Growths",IF(I402="","Sem campo no Growths",IF(J402=K402,"Importa direto","Ajustar tipo"))))</f>
        <v/>
      </c>
      <c r="M402" s="9"/>
    </row>
    <row r="403" customFormat="false" ht="15" hidden="false" customHeight="false" outlineLevel="0" collapsed="false">
      <c r="A403" s="7" t="str">
        <f aca="false">IF('Outro banco'!A403="","",IF(LEFT('Outro banco'!A403,1)="(","",'Outro banco'!A403))</f>
        <v/>
      </c>
      <c r="B403" s="7" t="str">
        <f aca="false">IF(A403="","",'Outro banco'!B403)</f>
        <v/>
      </c>
      <c r="C403" s="7" t="str">
        <f aca="false">IF(A403="","",'Outro banco'!C403)</f>
        <v/>
      </c>
      <c r="D403" s="7" t="str">
        <f aca="false">IF(A403="","",'Outro banco'!D403)</f>
        <v/>
      </c>
      <c r="E403" s="9"/>
      <c r="F403" s="9"/>
      <c r="G403" s="7" t="str">
        <f aca="false">IF(A403="","",IF(COUNTIF(Tabelas!$A:$A,IF(E403="",A403,E403))&gt;0,"sim","não"))</f>
        <v/>
      </c>
      <c r="H403" s="7" t="str">
        <f aca="false">IF(A403="","",IF(E403="",A403,E403)&amp;"."&amp;IF(F403="",B403,F403))</f>
        <v/>
      </c>
      <c r="I403" s="7" t="str">
        <f aca="false">IF(A403="","",IFERROR(INDEX('Campos Growths'!$F:$F,MATCH(H403,'Campos Growths'!$A:$A,0)),""))</f>
        <v/>
      </c>
      <c r="J403" s="7" t="str">
        <f aca="false">IF(A403="","",IFERROR(VLOOKUP(IF(ISNUMBER(SEARCH("(",C403)),LEFT(C403,SEARCH("(",C403)-1),C403),Tipos!$A:$B,2,FALSE()),"outro"))</f>
        <v/>
      </c>
      <c r="K403" s="7" t="str">
        <f aca="false">IF(I403="","",IFERROR(INDEX('Campos Growths'!$L:$L,MATCH(H403,'Campos Growths'!$A:$A,0)),""))</f>
        <v/>
      </c>
      <c r="L403" s="7" t="str">
        <f aca="false">IF(A403="","",IF(G403="não","Sem tabela no Growths",IF(I403="","Sem campo no Growths",IF(J403=K403,"Importa direto","Ajustar tipo"))))</f>
        <v/>
      </c>
      <c r="M403" s="9"/>
    </row>
    <row r="404" customFormat="false" ht="15" hidden="false" customHeight="false" outlineLevel="0" collapsed="false">
      <c r="A404" s="7" t="str">
        <f aca="false">IF('Outro banco'!A404="","",IF(LEFT('Outro banco'!A404,1)="(","",'Outro banco'!A404))</f>
        <v/>
      </c>
      <c r="B404" s="7" t="str">
        <f aca="false">IF(A404="","",'Outro banco'!B404)</f>
        <v/>
      </c>
      <c r="C404" s="7" t="str">
        <f aca="false">IF(A404="","",'Outro banco'!C404)</f>
        <v/>
      </c>
      <c r="D404" s="7" t="str">
        <f aca="false">IF(A404="","",'Outro banco'!D404)</f>
        <v/>
      </c>
      <c r="E404" s="9"/>
      <c r="F404" s="9"/>
      <c r="G404" s="7" t="str">
        <f aca="false">IF(A404="","",IF(COUNTIF(Tabelas!$A:$A,IF(E404="",A404,E404))&gt;0,"sim","não"))</f>
        <v/>
      </c>
      <c r="H404" s="7" t="str">
        <f aca="false">IF(A404="","",IF(E404="",A404,E404)&amp;"."&amp;IF(F404="",B404,F404))</f>
        <v/>
      </c>
      <c r="I404" s="7" t="str">
        <f aca="false">IF(A404="","",IFERROR(INDEX('Campos Growths'!$F:$F,MATCH(H404,'Campos Growths'!$A:$A,0)),""))</f>
        <v/>
      </c>
      <c r="J404" s="7" t="str">
        <f aca="false">IF(A404="","",IFERROR(VLOOKUP(IF(ISNUMBER(SEARCH("(",C404)),LEFT(C404,SEARCH("(",C404)-1),C404),Tipos!$A:$B,2,FALSE()),"outro"))</f>
        <v/>
      </c>
      <c r="K404" s="7" t="str">
        <f aca="false">IF(I404="","",IFERROR(INDEX('Campos Growths'!$L:$L,MATCH(H404,'Campos Growths'!$A:$A,0)),""))</f>
        <v/>
      </c>
      <c r="L404" s="7" t="str">
        <f aca="false">IF(A404="","",IF(G404="não","Sem tabela no Growths",IF(I404="","Sem campo no Growths",IF(J404=K404,"Importa direto","Ajustar tipo"))))</f>
        <v/>
      </c>
      <c r="M404" s="9"/>
    </row>
    <row r="405" customFormat="false" ht="15" hidden="false" customHeight="false" outlineLevel="0" collapsed="false">
      <c r="A405" s="7" t="str">
        <f aca="false">IF('Outro banco'!A405="","",IF(LEFT('Outro banco'!A405,1)="(","",'Outro banco'!A405))</f>
        <v/>
      </c>
      <c r="B405" s="7" t="str">
        <f aca="false">IF(A405="","",'Outro banco'!B405)</f>
        <v/>
      </c>
      <c r="C405" s="7" t="str">
        <f aca="false">IF(A405="","",'Outro banco'!C405)</f>
        <v/>
      </c>
      <c r="D405" s="7" t="str">
        <f aca="false">IF(A405="","",'Outro banco'!D405)</f>
        <v/>
      </c>
      <c r="E405" s="9"/>
      <c r="F405" s="9"/>
      <c r="G405" s="7" t="str">
        <f aca="false">IF(A405="","",IF(COUNTIF(Tabelas!$A:$A,IF(E405="",A405,E405))&gt;0,"sim","não"))</f>
        <v/>
      </c>
      <c r="H405" s="7" t="str">
        <f aca="false">IF(A405="","",IF(E405="",A405,E405)&amp;"."&amp;IF(F405="",B405,F405))</f>
        <v/>
      </c>
      <c r="I405" s="7" t="str">
        <f aca="false">IF(A405="","",IFERROR(INDEX('Campos Growths'!$F:$F,MATCH(H405,'Campos Growths'!$A:$A,0)),""))</f>
        <v/>
      </c>
      <c r="J405" s="7" t="str">
        <f aca="false">IF(A405="","",IFERROR(VLOOKUP(IF(ISNUMBER(SEARCH("(",C405)),LEFT(C405,SEARCH("(",C405)-1),C405),Tipos!$A:$B,2,FALSE()),"outro"))</f>
        <v/>
      </c>
      <c r="K405" s="7" t="str">
        <f aca="false">IF(I405="","",IFERROR(INDEX('Campos Growths'!$L:$L,MATCH(H405,'Campos Growths'!$A:$A,0)),""))</f>
        <v/>
      </c>
      <c r="L405" s="7" t="str">
        <f aca="false">IF(A405="","",IF(G405="não","Sem tabela no Growths",IF(I405="","Sem campo no Growths",IF(J405=K405,"Importa direto","Ajustar tipo"))))</f>
        <v/>
      </c>
      <c r="M405" s="9"/>
    </row>
    <row r="406" customFormat="false" ht="15" hidden="false" customHeight="false" outlineLevel="0" collapsed="false">
      <c r="A406" s="7" t="str">
        <f aca="false">IF('Outro banco'!A406="","",IF(LEFT('Outro banco'!A406,1)="(","",'Outro banco'!A406))</f>
        <v/>
      </c>
      <c r="B406" s="7" t="str">
        <f aca="false">IF(A406="","",'Outro banco'!B406)</f>
        <v/>
      </c>
      <c r="C406" s="7" t="str">
        <f aca="false">IF(A406="","",'Outro banco'!C406)</f>
        <v/>
      </c>
      <c r="D406" s="7" t="str">
        <f aca="false">IF(A406="","",'Outro banco'!D406)</f>
        <v/>
      </c>
      <c r="E406" s="9"/>
      <c r="F406" s="9"/>
      <c r="G406" s="7" t="str">
        <f aca="false">IF(A406="","",IF(COUNTIF(Tabelas!$A:$A,IF(E406="",A406,E406))&gt;0,"sim","não"))</f>
        <v/>
      </c>
      <c r="H406" s="7" t="str">
        <f aca="false">IF(A406="","",IF(E406="",A406,E406)&amp;"."&amp;IF(F406="",B406,F406))</f>
        <v/>
      </c>
      <c r="I406" s="7" t="str">
        <f aca="false">IF(A406="","",IFERROR(INDEX('Campos Growths'!$F:$F,MATCH(H406,'Campos Growths'!$A:$A,0)),""))</f>
        <v/>
      </c>
      <c r="J406" s="7" t="str">
        <f aca="false">IF(A406="","",IFERROR(VLOOKUP(IF(ISNUMBER(SEARCH("(",C406)),LEFT(C406,SEARCH("(",C406)-1),C406),Tipos!$A:$B,2,FALSE()),"outro"))</f>
        <v/>
      </c>
      <c r="K406" s="7" t="str">
        <f aca="false">IF(I406="","",IFERROR(INDEX('Campos Growths'!$L:$L,MATCH(H406,'Campos Growths'!$A:$A,0)),""))</f>
        <v/>
      </c>
      <c r="L406" s="7" t="str">
        <f aca="false">IF(A406="","",IF(G406="não","Sem tabela no Growths",IF(I406="","Sem campo no Growths",IF(J406=K406,"Importa direto","Ajustar tipo"))))</f>
        <v/>
      </c>
      <c r="M406" s="9"/>
    </row>
    <row r="407" customFormat="false" ht="15" hidden="false" customHeight="false" outlineLevel="0" collapsed="false">
      <c r="A407" s="7" t="str">
        <f aca="false">IF('Outro banco'!A407="","",IF(LEFT('Outro banco'!A407,1)="(","",'Outro banco'!A407))</f>
        <v/>
      </c>
      <c r="B407" s="7" t="str">
        <f aca="false">IF(A407="","",'Outro banco'!B407)</f>
        <v/>
      </c>
      <c r="C407" s="7" t="str">
        <f aca="false">IF(A407="","",'Outro banco'!C407)</f>
        <v/>
      </c>
      <c r="D407" s="7" t="str">
        <f aca="false">IF(A407="","",'Outro banco'!D407)</f>
        <v/>
      </c>
      <c r="E407" s="9"/>
      <c r="F407" s="9"/>
      <c r="G407" s="7" t="str">
        <f aca="false">IF(A407="","",IF(COUNTIF(Tabelas!$A:$A,IF(E407="",A407,E407))&gt;0,"sim","não"))</f>
        <v/>
      </c>
      <c r="H407" s="7" t="str">
        <f aca="false">IF(A407="","",IF(E407="",A407,E407)&amp;"."&amp;IF(F407="",B407,F407))</f>
        <v/>
      </c>
      <c r="I407" s="7" t="str">
        <f aca="false">IF(A407="","",IFERROR(INDEX('Campos Growths'!$F:$F,MATCH(H407,'Campos Growths'!$A:$A,0)),""))</f>
        <v/>
      </c>
      <c r="J407" s="7" t="str">
        <f aca="false">IF(A407="","",IFERROR(VLOOKUP(IF(ISNUMBER(SEARCH("(",C407)),LEFT(C407,SEARCH("(",C407)-1),C407),Tipos!$A:$B,2,FALSE()),"outro"))</f>
        <v/>
      </c>
      <c r="K407" s="7" t="str">
        <f aca="false">IF(I407="","",IFERROR(INDEX('Campos Growths'!$L:$L,MATCH(H407,'Campos Growths'!$A:$A,0)),""))</f>
        <v/>
      </c>
      <c r="L407" s="7" t="str">
        <f aca="false">IF(A407="","",IF(G407="não","Sem tabela no Growths",IF(I407="","Sem campo no Growths",IF(J407=K407,"Importa direto","Ajustar tipo"))))</f>
        <v/>
      </c>
      <c r="M407" s="9"/>
    </row>
    <row r="408" customFormat="false" ht="15" hidden="false" customHeight="false" outlineLevel="0" collapsed="false">
      <c r="A408" s="7" t="str">
        <f aca="false">IF('Outro banco'!A408="","",IF(LEFT('Outro banco'!A408,1)="(","",'Outro banco'!A408))</f>
        <v/>
      </c>
      <c r="B408" s="7" t="str">
        <f aca="false">IF(A408="","",'Outro banco'!B408)</f>
        <v/>
      </c>
      <c r="C408" s="7" t="str">
        <f aca="false">IF(A408="","",'Outro banco'!C408)</f>
        <v/>
      </c>
      <c r="D408" s="7" t="str">
        <f aca="false">IF(A408="","",'Outro banco'!D408)</f>
        <v/>
      </c>
      <c r="E408" s="9"/>
      <c r="F408" s="9"/>
      <c r="G408" s="7" t="str">
        <f aca="false">IF(A408="","",IF(COUNTIF(Tabelas!$A:$A,IF(E408="",A408,E408))&gt;0,"sim","não"))</f>
        <v/>
      </c>
      <c r="H408" s="7" t="str">
        <f aca="false">IF(A408="","",IF(E408="",A408,E408)&amp;"."&amp;IF(F408="",B408,F408))</f>
        <v/>
      </c>
      <c r="I408" s="7" t="str">
        <f aca="false">IF(A408="","",IFERROR(INDEX('Campos Growths'!$F:$F,MATCH(H408,'Campos Growths'!$A:$A,0)),""))</f>
        <v/>
      </c>
      <c r="J408" s="7" t="str">
        <f aca="false">IF(A408="","",IFERROR(VLOOKUP(IF(ISNUMBER(SEARCH("(",C408)),LEFT(C408,SEARCH("(",C408)-1),C408),Tipos!$A:$B,2,FALSE()),"outro"))</f>
        <v/>
      </c>
      <c r="K408" s="7" t="str">
        <f aca="false">IF(I408="","",IFERROR(INDEX('Campos Growths'!$L:$L,MATCH(H408,'Campos Growths'!$A:$A,0)),""))</f>
        <v/>
      </c>
      <c r="L408" s="7" t="str">
        <f aca="false">IF(A408="","",IF(G408="não","Sem tabela no Growths",IF(I408="","Sem campo no Growths",IF(J408=K408,"Importa direto","Ajustar tipo"))))</f>
        <v/>
      </c>
      <c r="M408" s="9"/>
    </row>
    <row r="409" customFormat="false" ht="15" hidden="false" customHeight="false" outlineLevel="0" collapsed="false">
      <c r="A409" s="7" t="str">
        <f aca="false">IF('Outro banco'!A409="","",IF(LEFT('Outro banco'!A409,1)="(","",'Outro banco'!A409))</f>
        <v/>
      </c>
      <c r="B409" s="7" t="str">
        <f aca="false">IF(A409="","",'Outro banco'!B409)</f>
        <v/>
      </c>
      <c r="C409" s="7" t="str">
        <f aca="false">IF(A409="","",'Outro banco'!C409)</f>
        <v/>
      </c>
      <c r="D409" s="7" t="str">
        <f aca="false">IF(A409="","",'Outro banco'!D409)</f>
        <v/>
      </c>
      <c r="E409" s="9"/>
      <c r="F409" s="9"/>
      <c r="G409" s="7" t="str">
        <f aca="false">IF(A409="","",IF(COUNTIF(Tabelas!$A:$A,IF(E409="",A409,E409))&gt;0,"sim","não"))</f>
        <v/>
      </c>
      <c r="H409" s="7" t="str">
        <f aca="false">IF(A409="","",IF(E409="",A409,E409)&amp;"."&amp;IF(F409="",B409,F409))</f>
        <v/>
      </c>
      <c r="I409" s="7" t="str">
        <f aca="false">IF(A409="","",IFERROR(INDEX('Campos Growths'!$F:$F,MATCH(H409,'Campos Growths'!$A:$A,0)),""))</f>
        <v/>
      </c>
      <c r="J409" s="7" t="str">
        <f aca="false">IF(A409="","",IFERROR(VLOOKUP(IF(ISNUMBER(SEARCH("(",C409)),LEFT(C409,SEARCH("(",C409)-1),C409),Tipos!$A:$B,2,FALSE()),"outro"))</f>
        <v/>
      </c>
      <c r="K409" s="7" t="str">
        <f aca="false">IF(I409="","",IFERROR(INDEX('Campos Growths'!$L:$L,MATCH(H409,'Campos Growths'!$A:$A,0)),""))</f>
        <v/>
      </c>
      <c r="L409" s="7" t="str">
        <f aca="false">IF(A409="","",IF(G409="não","Sem tabela no Growths",IF(I409="","Sem campo no Growths",IF(J409=K409,"Importa direto","Ajustar tipo"))))</f>
        <v/>
      </c>
      <c r="M409" s="9"/>
    </row>
    <row r="410" customFormat="false" ht="15" hidden="false" customHeight="false" outlineLevel="0" collapsed="false">
      <c r="A410" s="7" t="str">
        <f aca="false">IF('Outro banco'!A410="","",IF(LEFT('Outro banco'!A410,1)="(","",'Outro banco'!A410))</f>
        <v/>
      </c>
      <c r="B410" s="7" t="str">
        <f aca="false">IF(A410="","",'Outro banco'!B410)</f>
        <v/>
      </c>
      <c r="C410" s="7" t="str">
        <f aca="false">IF(A410="","",'Outro banco'!C410)</f>
        <v/>
      </c>
      <c r="D410" s="7" t="str">
        <f aca="false">IF(A410="","",'Outro banco'!D410)</f>
        <v/>
      </c>
      <c r="E410" s="9"/>
      <c r="F410" s="9"/>
      <c r="G410" s="7" t="str">
        <f aca="false">IF(A410="","",IF(COUNTIF(Tabelas!$A:$A,IF(E410="",A410,E410))&gt;0,"sim","não"))</f>
        <v/>
      </c>
      <c r="H410" s="7" t="str">
        <f aca="false">IF(A410="","",IF(E410="",A410,E410)&amp;"."&amp;IF(F410="",B410,F410))</f>
        <v/>
      </c>
      <c r="I410" s="7" t="str">
        <f aca="false">IF(A410="","",IFERROR(INDEX('Campos Growths'!$F:$F,MATCH(H410,'Campos Growths'!$A:$A,0)),""))</f>
        <v/>
      </c>
      <c r="J410" s="7" t="str">
        <f aca="false">IF(A410="","",IFERROR(VLOOKUP(IF(ISNUMBER(SEARCH("(",C410)),LEFT(C410,SEARCH("(",C410)-1),C410),Tipos!$A:$B,2,FALSE()),"outro"))</f>
        <v/>
      </c>
      <c r="K410" s="7" t="str">
        <f aca="false">IF(I410="","",IFERROR(INDEX('Campos Growths'!$L:$L,MATCH(H410,'Campos Growths'!$A:$A,0)),""))</f>
        <v/>
      </c>
      <c r="L410" s="7" t="str">
        <f aca="false">IF(A410="","",IF(G410="não","Sem tabela no Growths",IF(I410="","Sem campo no Growths",IF(J410=K410,"Importa direto","Ajustar tipo"))))</f>
        <v/>
      </c>
      <c r="M410" s="9"/>
    </row>
    <row r="411" customFormat="false" ht="15" hidden="false" customHeight="false" outlineLevel="0" collapsed="false">
      <c r="A411" s="7" t="str">
        <f aca="false">IF('Outro banco'!A411="","",IF(LEFT('Outro banco'!A411,1)="(","",'Outro banco'!A411))</f>
        <v/>
      </c>
      <c r="B411" s="7" t="str">
        <f aca="false">IF(A411="","",'Outro banco'!B411)</f>
        <v/>
      </c>
      <c r="C411" s="7" t="str">
        <f aca="false">IF(A411="","",'Outro banco'!C411)</f>
        <v/>
      </c>
      <c r="D411" s="7" t="str">
        <f aca="false">IF(A411="","",'Outro banco'!D411)</f>
        <v/>
      </c>
      <c r="E411" s="9"/>
      <c r="F411" s="9"/>
      <c r="G411" s="7" t="str">
        <f aca="false">IF(A411="","",IF(COUNTIF(Tabelas!$A:$A,IF(E411="",A411,E411))&gt;0,"sim","não"))</f>
        <v/>
      </c>
      <c r="H411" s="7" t="str">
        <f aca="false">IF(A411="","",IF(E411="",A411,E411)&amp;"."&amp;IF(F411="",B411,F411))</f>
        <v/>
      </c>
      <c r="I411" s="7" t="str">
        <f aca="false">IF(A411="","",IFERROR(INDEX('Campos Growths'!$F:$F,MATCH(H411,'Campos Growths'!$A:$A,0)),""))</f>
        <v/>
      </c>
      <c r="J411" s="7" t="str">
        <f aca="false">IF(A411="","",IFERROR(VLOOKUP(IF(ISNUMBER(SEARCH("(",C411)),LEFT(C411,SEARCH("(",C411)-1),C411),Tipos!$A:$B,2,FALSE()),"outro"))</f>
        <v/>
      </c>
      <c r="K411" s="7" t="str">
        <f aca="false">IF(I411="","",IFERROR(INDEX('Campos Growths'!$L:$L,MATCH(H411,'Campos Growths'!$A:$A,0)),""))</f>
        <v/>
      </c>
      <c r="L411" s="7" t="str">
        <f aca="false">IF(A411="","",IF(G411="não","Sem tabela no Growths",IF(I411="","Sem campo no Growths",IF(J411=K411,"Importa direto","Ajustar tipo"))))</f>
        <v/>
      </c>
      <c r="M411" s="9"/>
    </row>
    <row r="412" customFormat="false" ht="15" hidden="false" customHeight="false" outlineLevel="0" collapsed="false">
      <c r="A412" s="7" t="str">
        <f aca="false">IF('Outro banco'!A412="","",IF(LEFT('Outro banco'!A412,1)="(","",'Outro banco'!A412))</f>
        <v/>
      </c>
      <c r="B412" s="7" t="str">
        <f aca="false">IF(A412="","",'Outro banco'!B412)</f>
        <v/>
      </c>
      <c r="C412" s="7" t="str">
        <f aca="false">IF(A412="","",'Outro banco'!C412)</f>
        <v/>
      </c>
      <c r="D412" s="7" t="str">
        <f aca="false">IF(A412="","",'Outro banco'!D412)</f>
        <v/>
      </c>
      <c r="E412" s="9"/>
      <c r="F412" s="9"/>
      <c r="G412" s="7" t="str">
        <f aca="false">IF(A412="","",IF(COUNTIF(Tabelas!$A:$A,IF(E412="",A412,E412))&gt;0,"sim","não"))</f>
        <v/>
      </c>
      <c r="H412" s="7" t="str">
        <f aca="false">IF(A412="","",IF(E412="",A412,E412)&amp;"."&amp;IF(F412="",B412,F412))</f>
        <v/>
      </c>
      <c r="I412" s="7" t="str">
        <f aca="false">IF(A412="","",IFERROR(INDEX('Campos Growths'!$F:$F,MATCH(H412,'Campos Growths'!$A:$A,0)),""))</f>
        <v/>
      </c>
      <c r="J412" s="7" t="str">
        <f aca="false">IF(A412="","",IFERROR(VLOOKUP(IF(ISNUMBER(SEARCH("(",C412)),LEFT(C412,SEARCH("(",C412)-1),C412),Tipos!$A:$B,2,FALSE()),"outro"))</f>
        <v/>
      </c>
      <c r="K412" s="7" t="str">
        <f aca="false">IF(I412="","",IFERROR(INDEX('Campos Growths'!$L:$L,MATCH(H412,'Campos Growths'!$A:$A,0)),""))</f>
        <v/>
      </c>
      <c r="L412" s="7" t="str">
        <f aca="false">IF(A412="","",IF(G412="não","Sem tabela no Growths",IF(I412="","Sem campo no Growths",IF(J412=K412,"Importa direto","Ajustar tipo"))))</f>
        <v/>
      </c>
      <c r="M412" s="9"/>
    </row>
    <row r="413" customFormat="false" ht="15" hidden="false" customHeight="false" outlineLevel="0" collapsed="false">
      <c r="A413" s="7" t="str">
        <f aca="false">IF('Outro banco'!A413="","",IF(LEFT('Outro banco'!A413,1)="(","",'Outro banco'!A413))</f>
        <v/>
      </c>
      <c r="B413" s="7" t="str">
        <f aca="false">IF(A413="","",'Outro banco'!B413)</f>
        <v/>
      </c>
      <c r="C413" s="7" t="str">
        <f aca="false">IF(A413="","",'Outro banco'!C413)</f>
        <v/>
      </c>
      <c r="D413" s="7" t="str">
        <f aca="false">IF(A413="","",'Outro banco'!D413)</f>
        <v/>
      </c>
      <c r="E413" s="9"/>
      <c r="F413" s="9"/>
      <c r="G413" s="7" t="str">
        <f aca="false">IF(A413="","",IF(COUNTIF(Tabelas!$A:$A,IF(E413="",A413,E413))&gt;0,"sim","não"))</f>
        <v/>
      </c>
      <c r="H413" s="7" t="str">
        <f aca="false">IF(A413="","",IF(E413="",A413,E413)&amp;"."&amp;IF(F413="",B413,F413))</f>
        <v/>
      </c>
      <c r="I413" s="7" t="str">
        <f aca="false">IF(A413="","",IFERROR(INDEX('Campos Growths'!$F:$F,MATCH(H413,'Campos Growths'!$A:$A,0)),""))</f>
        <v/>
      </c>
      <c r="J413" s="7" t="str">
        <f aca="false">IF(A413="","",IFERROR(VLOOKUP(IF(ISNUMBER(SEARCH("(",C413)),LEFT(C413,SEARCH("(",C413)-1),C413),Tipos!$A:$B,2,FALSE()),"outro"))</f>
        <v/>
      </c>
      <c r="K413" s="7" t="str">
        <f aca="false">IF(I413="","",IFERROR(INDEX('Campos Growths'!$L:$L,MATCH(H413,'Campos Growths'!$A:$A,0)),""))</f>
        <v/>
      </c>
      <c r="L413" s="7" t="str">
        <f aca="false">IF(A413="","",IF(G413="não","Sem tabela no Growths",IF(I413="","Sem campo no Growths",IF(J413=K413,"Importa direto","Ajustar tipo"))))</f>
        <v/>
      </c>
      <c r="M413" s="9"/>
    </row>
    <row r="414" customFormat="false" ht="15" hidden="false" customHeight="false" outlineLevel="0" collapsed="false">
      <c r="A414" s="7" t="str">
        <f aca="false">IF('Outro banco'!A414="","",IF(LEFT('Outro banco'!A414,1)="(","",'Outro banco'!A414))</f>
        <v/>
      </c>
      <c r="B414" s="7" t="str">
        <f aca="false">IF(A414="","",'Outro banco'!B414)</f>
        <v/>
      </c>
      <c r="C414" s="7" t="str">
        <f aca="false">IF(A414="","",'Outro banco'!C414)</f>
        <v/>
      </c>
      <c r="D414" s="7" t="str">
        <f aca="false">IF(A414="","",'Outro banco'!D414)</f>
        <v/>
      </c>
      <c r="E414" s="9"/>
      <c r="F414" s="9"/>
      <c r="G414" s="7" t="str">
        <f aca="false">IF(A414="","",IF(COUNTIF(Tabelas!$A:$A,IF(E414="",A414,E414))&gt;0,"sim","não"))</f>
        <v/>
      </c>
      <c r="H414" s="7" t="str">
        <f aca="false">IF(A414="","",IF(E414="",A414,E414)&amp;"."&amp;IF(F414="",B414,F414))</f>
        <v/>
      </c>
      <c r="I414" s="7" t="str">
        <f aca="false">IF(A414="","",IFERROR(INDEX('Campos Growths'!$F:$F,MATCH(H414,'Campos Growths'!$A:$A,0)),""))</f>
        <v/>
      </c>
      <c r="J414" s="7" t="str">
        <f aca="false">IF(A414="","",IFERROR(VLOOKUP(IF(ISNUMBER(SEARCH("(",C414)),LEFT(C414,SEARCH("(",C414)-1),C414),Tipos!$A:$B,2,FALSE()),"outro"))</f>
        <v/>
      </c>
      <c r="K414" s="7" t="str">
        <f aca="false">IF(I414="","",IFERROR(INDEX('Campos Growths'!$L:$L,MATCH(H414,'Campos Growths'!$A:$A,0)),""))</f>
        <v/>
      </c>
      <c r="L414" s="7" t="str">
        <f aca="false">IF(A414="","",IF(G414="não","Sem tabela no Growths",IF(I414="","Sem campo no Growths",IF(J414=K414,"Importa direto","Ajustar tipo"))))</f>
        <v/>
      </c>
      <c r="M414" s="9"/>
    </row>
    <row r="415" customFormat="false" ht="15" hidden="false" customHeight="false" outlineLevel="0" collapsed="false">
      <c r="A415" s="7" t="str">
        <f aca="false">IF('Outro banco'!A415="","",IF(LEFT('Outro banco'!A415,1)="(","",'Outro banco'!A415))</f>
        <v/>
      </c>
      <c r="B415" s="7" t="str">
        <f aca="false">IF(A415="","",'Outro banco'!B415)</f>
        <v/>
      </c>
      <c r="C415" s="7" t="str">
        <f aca="false">IF(A415="","",'Outro banco'!C415)</f>
        <v/>
      </c>
      <c r="D415" s="7" t="str">
        <f aca="false">IF(A415="","",'Outro banco'!D415)</f>
        <v/>
      </c>
      <c r="E415" s="9"/>
      <c r="F415" s="9"/>
      <c r="G415" s="7" t="str">
        <f aca="false">IF(A415="","",IF(COUNTIF(Tabelas!$A:$A,IF(E415="",A415,E415))&gt;0,"sim","não"))</f>
        <v/>
      </c>
      <c r="H415" s="7" t="str">
        <f aca="false">IF(A415="","",IF(E415="",A415,E415)&amp;"."&amp;IF(F415="",B415,F415))</f>
        <v/>
      </c>
      <c r="I415" s="7" t="str">
        <f aca="false">IF(A415="","",IFERROR(INDEX('Campos Growths'!$F:$F,MATCH(H415,'Campos Growths'!$A:$A,0)),""))</f>
        <v/>
      </c>
      <c r="J415" s="7" t="str">
        <f aca="false">IF(A415="","",IFERROR(VLOOKUP(IF(ISNUMBER(SEARCH("(",C415)),LEFT(C415,SEARCH("(",C415)-1),C415),Tipos!$A:$B,2,FALSE()),"outro"))</f>
        <v/>
      </c>
      <c r="K415" s="7" t="str">
        <f aca="false">IF(I415="","",IFERROR(INDEX('Campos Growths'!$L:$L,MATCH(H415,'Campos Growths'!$A:$A,0)),""))</f>
        <v/>
      </c>
      <c r="L415" s="7" t="str">
        <f aca="false">IF(A415="","",IF(G415="não","Sem tabela no Growths",IF(I415="","Sem campo no Growths",IF(J415=K415,"Importa direto","Ajustar tipo"))))</f>
        <v/>
      </c>
      <c r="M415" s="9"/>
    </row>
    <row r="416" customFormat="false" ht="15" hidden="false" customHeight="false" outlineLevel="0" collapsed="false">
      <c r="A416" s="7" t="str">
        <f aca="false">IF('Outro banco'!A416="","",IF(LEFT('Outro banco'!A416,1)="(","",'Outro banco'!A416))</f>
        <v/>
      </c>
      <c r="B416" s="7" t="str">
        <f aca="false">IF(A416="","",'Outro banco'!B416)</f>
        <v/>
      </c>
      <c r="C416" s="7" t="str">
        <f aca="false">IF(A416="","",'Outro banco'!C416)</f>
        <v/>
      </c>
      <c r="D416" s="7" t="str">
        <f aca="false">IF(A416="","",'Outro banco'!D416)</f>
        <v/>
      </c>
      <c r="E416" s="9"/>
      <c r="F416" s="9"/>
      <c r="G416" s="7" t="str">
        <f aca="false">IF(A416="","",IF(COUNTIF(Tabelas!$A:$A,IF(E416="",A416,E416))&gt;0,"sim","não"))</f>
        <v/>
      </c>
      <c r="H416" s="7" t="str">
        <f aca="false">IF(A416="","",IF(E416="",A416,E416)&amp;"."&amp;IF(F416="",B416,F416))</f>
        <v/>
      </c>
      <c r="I416" s="7" t="str">
        <f aca="false">IF(A416="","",IFERROR(INDEX('Campos Growths'!$F:$F,MATCH(H416,'Campos Growths'!$A:$A,0)),""))</f>
        <v/>
      </c>
      <c r="J416" s="7" t="str">
        <f aca="false">IF(A416="","",IFERROR(VLOOKUP(IF(ISNUMBER(SEARCH("(",C416)),LEFT(C416,SEARCH("(",C416)-1),C416),Tipos!$A:$B,2,FALSE()),"outro"))</f>
        <v/>
      </c>
      <c r="K416" s="7" t="str">
        <f aca="false">IF(I416="","",IFERROR(INDEX('Campos Growths'!$L:$L,MATCH(H416,'Campos Growths'!$A:$A,0)),""))</f>
        <v/>
      </c>
      <c r="L416" s="7" t="str">
        <f aca="false">IF(A416="","",IF(G416="não","Sem tabela no Growths",IF(I416="","Sem campo no Growths",IF(J416=K416,"Importa direto","Ajustar tipo"))))</f>
        <v/>
      </c>
      <c r="M416" s="9"/>
    </row>
    <row r="417" customFormat="false" ht="15" hidden="false" customHeight="false" outlineLevel="0" collapsed="false">
      <c r="A417" s="7" t="str">
        <f aca="false">IF('Outro banco'!A417="","",IF(LEFT('Outro banco'!A417,1)="(","",'Outro banco'!A417))</f>
        <v/>
      </c>
      <c r="B417" s="7" t="str">
        <f aca="false">IF(A417="","",'Outro banco'!B417)</f>
        <v/>
      </c>
      <c r="C417" s="7" t="str">
        <f aca="false">IF(A417="","",'Outro banco'!C417)</f>
        <v/>
      </c>
      <c r="D417" s="7" t="str">
        <f aca="false">IF(A417="","",'Outro banco'!D417)</f>
        <v/>
      </c>
      <c r="E417" s="9"/>
      <c r="F417" s="9"/>
      <c r="G417" s="7" t="str">
        <f aca="false">IF(A417="","",IF(COUNTIF(Tabelas!$A:$A,IF(E417="",A417,E417))&gt;0,"sim","não"))</f>
        <v/>
      </c>
      <c r="H417" s="7" t="str">
        <f aca="false">IF(A417="","",IF(E417="",A417,E417)&amp;"."&amp;IF(F417="",B417,F417))</f>
        <v/>
      </c>
      <c r="I417" s="7" t="str">
        <f aca="false">IF(A417="","",IFERROR(INDEX('Campos Growths'!$F:$F,MATCH(H417,'Campos Growths'!$A:$A,0)),""))</f>
        <v/>
      </c>
      <c r="J417" s="7" t="str">
        <f aca="false">IF(A417="","",IFERROR(VLOOKUP(IF(ISNUMBER(SEARCH("(",C417)),LEFT(C417,SEARCH("(",C417)-1),C417),Tipos!$A:$B,2,FALSE()),"outro"))</f>
        <v/>
      </c>
      <c r="K417" s="7" t="str">
        <f aca="false">IF(I417="","",IFERROR(INDEX('Campos Growths'!$L:$L,MATCH(H417,'Campos Growths'!$A:$A,0)),""))</f>
        <v/>
      </c>
      <c r="L417" s="7" t="str">
        <f aca="false">IF(A417="","",IF(G417="não","Sem tabela no Growths",IF(I417="","Sem campo no Growths",IF(J417=K417,"Importa direto","Ajustar tipo"))))</f>
        <v/>
      </c>
      <c r="M417" s="9"/>
    </row>
    <row r="418" customFormat="false" ht="15" hidden="false" customHeight="false" outlineLevel="0" collapsed="false">
      <c r="A418" s="7" t="str">
        <f aca="false">IF('Outro banco'!A418="","",IF(LEFT('Outro banco'!A418,1)="(","",'Outro banco'!A418))</f>
        <v/>
      </c>
      <c r="B418" s="7" t="str">
        <f aca="false">IF(A418="","",'Outro banco'!B418)</f>
        <v/>
      </c>
      <c r="C418" s="7" t="str">
        <f aca="false">IF(A418="","",'Outro banco'!C418)</f>
        <v/>
      </c>
      <c r="D418" s="7" t="str">
        <f aca="false">IF(A418="","",'Outro banco'!D418)</f>
        <v/>
      </c>
      <c r="E418" s="9"/>
      <c r="F418" s="9"/>
      <c r="G418" s="7" t="str">
        <f aca="false">IF(A418="","",IF(COUNTIF(Tabelas!$A:$A,IF(E418="",A418,E418))&gt;0,"sim","não"))</f>
        <v/>
      </c>
      <c r="H418" s="7" t="str">
        <f aca="false">IF(A418="","",IF(E418="",A418,E418)&amp;"."&amp;IF(F418="",B418,F418))</f>
        <v/>
      </c>
      <c r="I418" s="7" t="str">
        <f aca="false">IF(A418="","",IFERROR(INDEX('Campos Growths'!$F:$F,MATCH(H418,'Campos Growths'!$A:$A,0)),""))</f>
        <v/>
      </c>
      <c r="J418" s="7" t="str">
        <f aca="false">IF(A418="","",IFERROR(VLOOKUP(IF(ISNUMBER(SEARCH("(",C418)),LEFT(C418,SEARCH("(",C418)-1),C418),Tipos!$A:$B,2,FALSE()),"outro"))</f>
        <v/>
      </c>
      <c r="K418" s="7" t="str">
        <f aca="false">IF(I418="","",IFERROR(INDEX('Campos Growths'!$L:$L,MATCH(H418,'Campos Growths'!$A:$A,0)),""))</f>
        <v/>
      </c>
      <c r="L418" s="7" t="str">
        <f aca="false">IF(A418="","",IF(G418="não","Sem tabela no Growths",IF(I418="","Sem campo no Growths",IF(J418=K418,"Importa direto","Ajustar tipo"))))</f>
        <v/>
      </c>
      <c r="M418" s="9"/>
    </row>
    <row r="419" customFormat="false" ht="15" hidden="false" customHeight="false" outlineLevel="0" collapsed="false">
      <c r="A419" s="7" t="str">
        <f aca="false">IF('Outro banco'!A419="","",IF(LEFT('Outro banco'!A419,1)="(","",'Outro banco'!A419))</f>
        <v/>
      </c>
      <c r="B419" s="7" t="str">
        <f aca="false">IF(A419="","",'Outro banco'!B419)</f>
        <v/>
      </c>
      <c r="C419" s="7" t="str">
        <f aca="false">IF(A419="","",'Outro banco'!C419)</f>
        <v/>
      </c>
      <c r="D419" s="7" t="str">
        <f aca="false">IF(A419="","",'Outro banco'!D419)</f>
        <v/>
      </c>
      <c r="E419" s="9"/>
      <c r="F419" s="9"/>
      <c r="G419" s="7" t="str">
        <f aca="false">IF(A419="","",IF(COUNTIF(Tabelas!$A:$A,IF(E419="",A419,E419))&gt;0,"sim","não"))</f>
        <v/>
      </c>
      <c r="H419" s="7" t="str">
        <f aca="false">IF(A419="","",IF(E419="",A419,E419)&amp;"."&amp;IF(F419="",B419,F419))</f>
        <v/>
      </c>
      <c r="I419" s="7" t="str">
        <f aca="false">IF(A419="","",IFERROR(INDEX('Campos Growths'!$F:$F,MATCH(H419,'Campos Growths'!$A:$A,0)),""))</f>
        <v/>
      </c>
      <c r="J419" s="7" t="str">
        <f aca="false">IF(A419="","",IFERROR(VLOOKUP(IF(ISNUMBER(SEARCH("(",C419)),LEFT(C419,SEARCH("(",C419)-1),C419),Tipos!$A:$B,2,FALSE()),"outro"))</f>
        <v/>
      </c>
      <c r="K419" s="7" t="str">
        <f aca="false">IF(I419="","",IFERROR(INDEX('Campos Growths'!$L:$L,MATCH(H419,'Campos Growths'!$A:$A,0)),""))</f>
        <v/>
      </c>
      <c r="L419" s="7" t="str">
        <f aca="false">IF(A419="","",IF(G419="não","Sem tabela no Growths",IF(I419="","Sem campo no Growths",IF(J419=K419,"Importa direto","Ajustar tipo"))))</f>
        <v/>
      </c>
      <c r="M419" s="9"/>
    </row>
    <row r="420" customFormat="false" ht="15" hidden="false" customHeight="false" outlineLevel="0" collapsed="false">
      <c r="A420" s="7" t="str">
        <f aca="false">IF('Outro banco'!A420="","",IF(LEFT('Outro banco'!A420,1)="(","",'Outro banco'!A420))</f>
        <v/>
      </c>
      <c r="B420" s="7" t="str">
        <f aca="false">IF(A420="","",'Outro banco'!B420)</f>
        <v/>
      </c>
      <c r="C420" s="7" t="str">
        <f aca="false">IF(A420="","",'Outro banco'!C420)</f>
        <v/>
      </c>
      <c r="D420" s="7" t="str">
        <f aca="false">IF(A420="","",'Outro banco'!D420)</f>
        <v/>
      </c>
      <c r="E420" s="9"/>
      <c r="F420" s="9"/>
      <c r="G420" s="7" t="str">
        <f aca="false">IF(A420="","",IF(COUNTIF(Tabelas!$A:$A,IF(E420="",A420,E420))&gt;0,"sim","não"))</f>
        <v/>
      </c>
      <c r="H420" s="7" t="str">
        <f aca="false">IF(A420="","",IF(E420="",A420,E420)&amp;"."&amp;IF(F420="",B420,F420))</f>
        <v/>
      </c>
      <c r="I420" s="7" t="str">
        <f aca="false">IF(A420="","",IFERROR(INDEX('Campos Growths'!$F:$F,MATCH(H420,'Campos Growths'!$A:$A,0)),""))</f>
        <v/>
      </c>
      <c r="J420" s="7" t="str">
        <f aca="false">IF(A420="","",IFERROR(VLOOKUP(IF(ISNUMBER(SEARCH("(",C420)),LEFT(C420,SEARCH("(",C420)-1),C420),Tipos!$A:$B,2,FALSE()),"outro"))</f>
        <v/>
      </c>
      <c r="K420" s="7" t="str">
        <f aca="false">IF(I420="","",IFERROR(INDEX('Campos Growths'!$L:$L,MATCH(H420,'Campos Growths'!$A:$A,0)),""))</f>
        <v/>
      </c>
      <c r="L420" s="7" t="str">
        <f aca="false">IF(A420="","",IF(G420="não","Sem tabela no Growths",IF(I420="","Sem campo no Growths",IF(J420=K420,"Importa direto","Ajustar tipo"))))</f>
        <v/>
      </c>
      <c r="M420" s="9"/>
    </row>
    <row r="421" customFormat="false" ht="15" hidden="false" customHeight="false" outlineLevel="0" collapsed="false">
      <c r="A421" s="7" t="str">
        <f aca="false">IF('Outro banco'!A421="","",IF(LEFT('Outro banco'!A421,1)="(","",'Outro banco'!A421))</f>
        <v/>
      </c>
      <c r="B421" s="7" t="str">
        <f aca="false">IF(A421="","",'Outro banco'!B421)</f>
        <v/>
      </c>
      <c r="C421" s="7" t="str">
        <f aca="false">IF(A421="","",'Outro banco'!C421)</f>
        <v/>
      </c>
      <c r="D421" s="7" t="str">
        <f aca="false">IF(A421="","",'Outro banco'!D421)</f>
        <v/>
      </c>
      <c r="E421" s="9"/>
      <c r="F421" s="9"/>
      <c r="G421" s="7" t="str">
        <f aca="false">IF(A421="","",IF(COUNTIF(Tabelas!$A:$A,IF(E421="",A421,E421))&gt;0,"sim","não"))</f>
        <v/>
      </c>
      <c r="H421" s="7" t="str">
        <f aca="false">IF(A421="","",IF(E421="",A421,E421)&amp;"."&amp;IF(F421="",B421,F421))</f>
        <v/>
      </c>
      <c r="I421" s="7" t="str">
        <f aca="false">IF(A421="","",IFERROR(INDEX('Campos Growths'!$F:$F,MATCH(H421,'Campos Growths'!$A:$A,0)),""))</f>
        <v/>
      </c>
      <c r="J421" s="7" t="str">
        <f aca="false">IF(A421="","",IFERROR(VLOOKUP(IF(ISNUMBER(SEARCH("(",C421)),LEFT(C421,SEARCH("(",C421)-1),C421),Tipos!$A:$B,2,FALSE()),"outro"))</f>
        <v/>
      </c>
      <c r="K421" s="7" t="str">
        <f aca="false">IF(I421="","",IFERROR(INDEX('Campos Growths'!$L:$L,MATCH(H421,'Campos Growths'!$A:$A,0)),""))</f>
        <v/>
      </c>
      <c r="L421" s="7" t="str">
        <f aca="false">IF(A421="","",IF(G421="não","Sem tabela no Growths",IF(I421="","Sem campo no Growths",IF(J421=K421,"Importa direto","Ajustar tipo"))))</f>
        <v/>
      </c>
      <c r="M421" s="9"/>
    </row>
    <row r="422" customFormat="false" ht="15" hidden="false" customHeight="false" outlineLevel="0" collapsed="false">
      <c r="A422" s="7" t="str">
        <f aca="false">IF('Outro banco'!A422="","",IF(LEFT('Outro banco'!A422,1)="(","",'Outro banco'!A422))</f>
        <v/>
      </c>
      <c r="B422" s="7" t="str">
        <f aca="false">IF(A422="","",'Outro banco'!B422)</f>
        <v/>
      </c>
      <c r="C422" s="7" t="str">
        <f aca="false">IF(A422="","",'Outro banco'!C422)</f>
        <v/>
      </c>
      <c r="D422" s="7" t="str">
        <f aca="false">IF(A422="","",'Outro banco'!D422)</f>
        <v/>
      </c>
      <c r="E422" s="9"/>
      <c r="F422" s="9"/>
      <c r="G422" s="7" t="str">
        <f aca="false">IF(A422="","",IF(COUNTIF(Tabelas!$A:$A,IF(E422="",A422,E422))&gt;0,"sim","não"))</f>
        <v/>
      </c>
      <c r="H422" s="7" t="str">
        <f aca="false">IF(A422="","",IF(E422="",A422,E422)&amp;"."&amp;IF(F422="",B422,F422))</f>
        <v/>
      </c>
      <c r="I422" s="7" t="str">
        <f aca="false">IF(A422="","",IFERROR(INDEX('Campos Growths'!$F:$F,MATCH(H422,'Campos Growths'!$A:$A,0)),""))</f>
        <v/>
      </c>
      <c r="J422" s="7" t="str">
        <f aca="false">IF(A422="","",IFERROR(VLOOKUP(IF(ISNUMBER(SEARCH("(",C422)),LEFT(C422,SEARCH("(",C422)-1),C422),Tipos!$A:$B,2,FALSE()),"outro"))</f>
        <v/>
      </c>
      <c r="K422" s="7" t="str">
        <f aca="false">IF(I422="","",IFERROR(INDEX('Campos Growths'!$L:$L,MATCH(H422,'Campos Growths'!$A:$A,0)),""))</f>
        <v/>
      </c>
      <c r="L422" s="7" t="str">
        <f aca="false">IF(A422="","",IF(G422="não","Sem tabela no Growths",IF(I422="","Sem campo no Growths",IF(J422=K422,"Importa direto","Ajustar tipo"))))</f>
        <v/>
      </c>
      <c r="M422" s="9"/>
    </row>
    <row r="423" customFormat="false" ht="15" hidden="false" customHeight="false" outlineLevel="0" collapsed="false">
      <c r="A423" s="7" t="str">
        <f aca="false">IF('Outro banco'!A423="","",IF(LEFT('Outro banco'!A423,1)="(","",'Outro banco'!A423))</f>
        <v/>
      </c>
      <c r="B423" s="7" t="str">
        <f aca="false">IF(A423="","",'Outro banco'!B423)</f>
        <v/>
      </c>
      <c r="C423" s="7" t="str">
        <f aca="false">IF(A423="","",'Outro banco'!C423)</f>
        <v/>
      </c>
      <c r="D423" s="7" t="str">
        <f aca="false">IF(A423="","",'Outro banco'!D423)</f>
        <v/>
      </c>
      <c r="E423" s="9"/>
      <c r="F423" s="9"/>
      <c r="G423" s="7" t="str">
        <f aca="false">IF(A423="","",IF(COUNTIF(Tabelas!$A:$A,IF(E423="",A423,E423))&gt;0,"sim","não"))</f>
        <v/>
      </c>
      <c r="H423" s="7" t="str">
        <f aca="false">IF(A423="","",IF(E423="",A423,E423)&amp;"."&amp;IF(F423="",B423,F423))</f>
        <v/>
      </c>
      <c r="I423" s="7" t="str">
        <f aca="false">IF(A423="","",IFERROR(INDEX('Campos Growths'!$F:$F,MATCH(H423,'Campos Growths'!$A:$A,0)),""))</f>
        <v/>
      </c>
      <c r="J423" s="7" t="str">
        <f aca="false">IF(A423="","",IFERROR(VLOOKUP(IF(ISNUMBER(SEARCH("(",C423)),LEFT(C423,SEARCH("(",C423)-1),C423),Tipos!$A:$B,2,FALSE()),"outro"))</f>
        <v/>
      </c>
      <c r="K423" s="7" t="str">
        <f aca="false">IF(I423="","",IFERROR(INDEX('Campos Growths'!$L:$L,MATCH(H423,'Campos Growths'!$A:$A,0)),""))</f>
        <v/>
      </c>
      <c r="L423" s="7" t="str">
        <f aca="false">IF(A423="","",IF(G423="não","Sem tabela no Growths",IF(I423="","Sem campo no Growths",IF(J423=K423,"Importa direto","Ajustar tipo"))))</f>
        <v/>
      </c>
      <c r="M423" s="9"/>
    </row>
    <row r="424" customFormat="false" ht="15" hidden="false" customHeight="false" outlineLevel="0" collapsed="false">
      <c r="A424" s="7" t="str">
        <f aca="false">IF('Outro banco'!A424="","",IF(LEFT('Outro banco'!A424,1)="(","",'Outro banco'!A424))</f>
        <v/>
      </c>
      <c r="B424" s="7" t="str">
        <f aca="false">IF(A424="","",'Outro banco'!B424)</f>
        <v/>
      </c>
      <c r="C424" s="7" t="str">
        <f aca="false">IF(A424="","",'Outro banco'!C424)</f>
        <v/>
      </c>
      <c r="D424" s="7" t="str">
        <f aca="false">IF(A424="","",'Outro banco'!D424)</f>
        <v/>
      </c>
      <c r="E424" s="9"/>
      <c r="F424" s="9"/>
      <c r="G424" s="7" t="str">
        <f aca="false">IF(A424="","",IF(COUNTIF(Tabelas!$A:$A,IF(E424="",A424,E424))&gt;0,"sim","não"))</f>
        <v/>
      </c>
      <c r="H424" s="7" t="str">
        <f aca="false">IF(A424="","",IF(E424="",A424,E424)&amp;"."&amp;IF(F424="",B424,F424))</f>
        <v/>
      </c>
      <c r="I424" s="7" t="str">
        <f aca="false">IF(A424="","",IFERROR(INDEX('Campos Growths'!$F:$F,MATCH(H424,'Campos Growths'!$A:$A,0)),""))</f>
        <v/>
      </c>
      <c r="J424" s="7" t="str">
        <f aca="false">IF(A424="","",IFERROR(VLOOKUP(IF(ISNUMBER(SEARCH("(",C424)),LEFT(C424,SEARCH("(",C424)-1),C424),Tipos!$A:$B,2,FALSE()),"outro"))</f>
        <v/>
      </c>
      <c r="K424" s="7" t="str">
        <f aca="false">IF(I424="","",IFERROR(INDEX('Campos Growths'!$L:$L,MATCH(H424,'Campos Growths'!$A:$A,0)),""))</f>
        <v/>
      </c>
      <c r="L424" s="7" t="str">
        <f aca="false">IF(A424="","",IF(G424="não","Sem tabela no Growths",IF(I424="","Sem campo no Growths",IF(J424=K424,"Importa direto","Ajustar tipo"))))</f>
        <v/>
      </c>
      <c r="M424" s="9"/>
    </row>
    <row r="425" customFormat="false" ht="15" hidden="false" customHeight="false" outlineLevel="0" collapsed="false">
      <c r="A425" s="7" t="str">
        <f aca="false">IF('Outro banco'!A425="","",IF(LEFT('Outro banco'!A425,1)="(","",'Outro banco'!A425))</f>
        <v/>
      </c>
      <c r="B425" s="7" t="str">
        <f aca="false">IF(A425="","",'Outro banco'!B425)</f>
        <v/>
      </c>
      <c r="C425" s="7" t="str">
        <f aca="false">IF(A425="","",'Outro banco'!C425)</f>
        <v/>
      </c>
      <c r="D425" s="7" t="str">
        <f aca="false">IF(A425="","",'Outro banco'!D425)</f>
        <v/>
      </c>
      <c r="E425" s="9"/>
      <c r="F425" s="9"/>
      <c r="G425" s="7" t="str">
        <f aca="false">IF(A425="","",IF(COUNTIF(Tabelas!$A:$A,IF(E425="",A425,E425))&gt;0,"sim","não"))</f>
        <v/>
      </c>
      <c r="H425" s="7" t="str">
        <f aca="false">IF(A425="","",IF(E425="",A425,E425)&amp;"."&amp;IF(F425="",B425,F425))</f>
        <v/>
      </c>
      <c r="I425" s="7" t="str">
        <f aca="false">IF(A425="","",IFERROR(INDEX('Campos Growths'!$F:$F,MATCH(H425,'Campos Growths'!$A:$A,0)),""))</f>
        <v/>
      </c>
      <c r="J425" s="7" t="str">
        <f aca="false">IF(A425="","",IFERROR(VLOOKUP(IF(ISNUMBER(SEARCH("(",C425)),LEFT(C425,SEARCH("(",C425)-1),C425),Tipos!$A:$B,2,FALSE()),"outro"))</f>
        <v/>
      </c>
      <c r="K425" s="7" t="str">
        <f aca="false">IF(I425="","",IFERROR(INDEX('Campos Growths'!$L:$L,MATCH(H425,'Campos Growths'!$A:$A,0)),""))</f>
        <v/>
      </c>
      <c r="L425" s="7" t="str">
        <f aca="false">IF(A425="","",IF(G425="não","Sem tabela no Growths",IF(I425="","Sem campo no Growths",IF(J425=K425,"Importa direto","Ajustar tipo"))))</f>
        <v/>
      </c>
      <c r="M425" s="9"/>
    </row>
    <row r="426" customFormat="false" ht="15" hidden="false" customHeight="false" outlineLevel="0" collapsed="false">
      <c r="A426" s="7" t="str">
        <f aca="false">IF('Outro banco'!A426="","",IF(LEFT('Outro banco'!A426,1)="(","",'Outro banco'!A426))</f>
        <v/>
      </c>
      <c r="B426" s="7" t="str">
        <f aca="false">IF(A426="","",'Outro banco'!B426)</f>
        <v/>
      </c>
      <c r="C426" s="7" t="str">
        <f aca="false">IF(A426="","",'Outro banco'!C426)</f>
        <v/>
      </c>
      <c r="D426" s="7" t="str">
        <f aca="false">IF(A426="","",'Outro banco'!D426)</f>
        <v/>
      </c>
      <c r="E426" s="9"/>
      <c r="F426" s="9"/>
      <c r="G426" s="7" t="str">
        <f aca="false">IF(A426="","",IF(COUNTIF(Tabelas!$A:$A,IF(E426="",A426,E426))&gt;0,"sim","não"))</f>
        <v/>
      </c>
      <c r="H426" s="7" t="str">
        <f aca="false">IF(A426="","",IF(E426="",A426,E426)&amp;"."&amp;IF(F426="",B426,F426))</f>
        <v/>
      </c>
      <c r="I426" s="7" t="str">
        <f aca="false">IF(A426="","",IFERROR(INDEX('Campos Growths'!$F:$F,MATCH(H426,'Campos Growths'!$A:$A,0)),""))</f>
        <v/>
      </c>
      <c r="J426" s="7" t="str">
        <f aca="false">IF(A426="","",IFERROR(VLOOKUP(IF(ISNUMBER(SEARCH("(",C426)),LEFT(C426,SEARCH("(",C426)-1),C426),Tipos!$A:$B,2,FALSE()),"outro"))</f>
        <v/>
      </c>
      <c r="K426" s="7" t="str">
        <f aca="false">IF(I426="","",IFERROR(INDEX('Campos Growths'!$L:$L,MATCH(H426,'Campos Growths'!$A:$A,0)),""))</f>
        <v/>
      </c>
      <c r="L426" s="7" t="str">
        <f aca="false">IF(A426="","",IF(G426="não","Sem tabela no Growths",IF(I426="","Sem campo no Growths",IF(J426=K426,"Importa direto","Ajustar tipo"))))</f>
        <v/>
      </c>
      <c r="M426" s="9"/>
    </row>
    <row r="427" customFormat="false" ht="15" hidden="false" customHeight="false" outlineLevel="0" collapsed="false">
      <c r="A427" s="7" t="str">
        <f aca="false">IF('Outro banco'!A427="","",IF(LEFT('Outro banco'!A427,1)="(","",'Outro banco'!A427))</f>
        <v/>
      </c>
      <c r="B427" s="7" t="str">
        <f aca="false">IF(A427="","",'Outro banco'!B427)</f>
        <v/>
      </c>
      <c r="C427" s="7" t="str">
        <f aca="false">IF(A427="","",'Outro banco'!C427)</f>
        <v/>
      </c>
      <c r="D427" s="7" t="str">
        <f aca="false">IF(A427="","",'Outro banco'!D427)</f>
        <v/>
      </c>
      <c r="E427" s="9"/>
      <c r="F427" s="9"/>
      <c r="G427" s="7" t="str">
        <f aca="false">IF(A427="","",IF(COUNTIF(Tabelas!$A:$A,IF(E427="",A427,E427))&gt;0,"sim","não"))</f>
        <v/>
      </c>
      <c r="H427" s="7" t="str">
        <f aca="false">IF(A427="","",IF(E427="",A427,E427)&amp;"."&amp;IF(F427="",B427,F427))</f>
        <v/>
      </c>
      <c r="I427" s="7" t="str">
        <f aca="false">IF(A427="","",IFERROR(INDEX('Campos Growths'!$F:$F,MATCH(H427,'Campos Growths'!$A:$A,0)),""))</f>
        <v/>
      </c>
      <c r="J427" s="7" t="str">
        <f aca="false">IF(A427="","",IFERROR(VLOOKUP(IF(ISNUMBER(SEARCH("(",C427)),LEFT(C427,SEARCH("(",C427)-1),C427),Tipos!$A:$B,2,FALSE()),"outro"))</f>
        <v/>
      </c>
      <c r="K427" s="7" t="str">
        <f aca="false">IF(I427="","",IFERROR(INDEX('Campos Growths'!$L:$L,MATCH(H427,'Campos Growths'!$A:$A,0)),""))</f>
        <v/>
      </c>
      <c r="L427" s="7" t="str">
        <f aca="false">IF(A427="","",IF(G427="não","Sem tabela no Growths",IF(I427="","Sem campo no Growths",IF(J427=K427,"Importa direto","Ajustar tipo"))))</f>
        <v/>
      </c>
      <c r="M427" s="9"/>
    </row>
    <row r="428" customFormat="false" ht="15" hidden="false" customHeight="false" outlineLevel="0" collapsed="false">
      <c r="A428" s="7" t="str">
        <f aca="false">IF('Outro banco'!A428="","",IF(LEFT('Outro banco'!A428,1)="(","",'Outro banco'!A428))</f>
        <v/>
      </c>
      <c r="B428" s="7" t="str">
        <f aca="false">IF(A428="","",'Outro banco'!B428)</f>
        <v/>
      </c>
      <c r="C428" s="7" t="str">
        <f aca="false">IF(A428="","",'Outro banco'!C428)</f>
        <v/>
      </c>
      <c r="D428" s="7" t="str">
        <f aca="false">IF(A428="","",'Outro banco'!D428)</f>
        <v/>
      </c>
      <c r="E428" s="9"/>
      <c r="F428" s="9"/>
      <c r="G428" s="7" t="str">
        <f aca="false">IF(A428="","",IF(COUNTIF(Tabelas!$A:$A,IF(E428="",A428,E428))&gt;0,"sim","não"))</f>
        <v/>
      </c>
      <c r="H428" s="7" t="str">
        <f aca="false">IF(A428="","",IF(E428="",A428,E428)&amp;"."&amp;IF(F428="",B428,F428))</f>
        <v/>
      </c>
      <c r="I428" s="7" t="str">
        <f aca="false">IF(A428="","",IFERROR(INDEX('Campos Growths'!$F:$F,MATCH(H428,'Campos Growths'!$A:$A,0)),""))</f>
        <v/>
      </c>
      <c r="J428" s="7" t="str">
        <f aca="false">IF(A428="","",IFERROR(VLOOKUP(IF(ISNUMBER(SEARCH("(",C428)),LEFT(C428,SEARCH("(",C428)-1),C428),Tipos!$A:$B,2,FALSE()),"outro"))</f>
        <v/>
      </c>
      <c r="K428" s="7" t="str">
        <f aca="false">IF(I428="","",IFERROR(INDEX('Campos Growths'!$L:$L,MATCH(H428,'Campos Growths'!$A:$A,0)),""))</f>
        <v/>
      </c>
      <c r="L428" s="7" t="str">
        <f aca="false">IF(A428="","",IF(G428="não","Sem tabela no Growths",IF(I428="","Sem campo no Growths",IF(J428=K428,"Importa direto","Ajustar tipo"))))</f>
        <v/>
      </c>
      <c r="M428" s="9"/>
    </row>
    <row r="429" customFormat="false" ht="15" hidden="false" customHeight="false" outlineLevel="0" collapsed="false">
      <c r="A429" s="7" t="str">
        <f aca="false">IF('Outro banco'!A429="","",IF(LEFT('Outro banco'!A429,1)="(","",'Outro banco'!A429))</f>
        <v/>
      </c>
      <c r="B429" s="7" t="str">
        <f aca="false">IF(A429="","",'Outro banco'!B429)</f>
        <v/>
      </c>
      <c r="C429" s="7" t="str">
        <f aca="false">IF(A429="","",'Outro banco'!C429)</f>
        <v/>
      </c>
      <c r="D429" s="7" t="str">
        <f aca="false">IF(A429="","",'Outro banco'!D429)</f>
        <v/>
      </c>
      <c r="E429" s="9"/>
      <c r="F429" s="9"/>
      <c r="G429" s="7" t="str">
        <f aca="false">IF(A429="","",IF(COUNTIF(Tabelas!$A:$A,IF(E429="",A429,E429))&gt;0,"sim","não"))</f>
        <v/>
      </c>
      <c r="H429" s="7" t="str">
        <f aca="false">IF(A429="","",IF(E429="",A429,E429)&amp;"."&amp;IF(F429="",B429,F429))</f>
        <v/>
      </c>
      <c r="I429" s="7" t="str">
        <f aca="false">IF(A429="","",IFERROR(INDEX('Campos Growths'!$F:$F,MATCH(H429,'Campos Growths'!$A:$A,0)),""))</f>
        <v/>
      </c>
      <c r="J429" s="7" t="str">
        <f aca="false">IF(A429="","",IFERROR(VLOOKUP(IF(ISNUMBER(SEARCH("(",C429)),LEFT(C429,SEARCH("(",C429)-1),C429),Tipos!$A:$B,2,FALSE()),"outro"))</f>
        <v/>
      </c>
      <c r="K429" s="7" t="str">
        <f aca="false">IF(I429="","",IFERROR(INDEX('Campos Growths'!$L:$L,MATCH(H429,'Campos Growths'!$A:$A,0)),""))</f>
        <v/>
      </c>
      <c r="L429" s="7" t="str">
        <f aca="false">IF(A429="","",IF(G429="não","Sem tabela no Growths",IF(I429="","Sem campo no Growths",IF(J429=K429,"Importa direto","Ajustar tipo"))))</f>
        <v/>
      </c>
      <c r="M429" s="9"/>
    </row>
    <row r="430" customFormat="false" ht="15" hidden="false" customHeight="false" outlineLevel="0" collapsed="false">
      <c r="A430" s="7" t="str">
        <f aca="false">IF('Outro banco'!A430="","",IF(LEFT('Outro banco'!A430,1)="(","",'Outro banco'!A430))</f>
        <v/>
      </c>
      <c r="B430" s="7" t="str">
        <f aca="false">IF(A430="","",'Outro banco'!B430)</f>
        <v/>
      </c>
      <c r="C430" s="7" t="str">
        <f aca="false">IF(A430="","",'Outro banco'!C430)</f>
        <v/>
      </c>
      <c r="D430" s="7" t="str">
        <f aca="false">IF(A430="","",'Outro banco'!D430)</f>
        <v/>
      </c>
      <c r="E430" s="9"/>
      <c r="F430" s="9"/>
      <c r="G430" s="7" t="str">
        <f aca="false">IF(A430="","",IF(COUNTIF(Tabelas!$A:$A,IF(E430="",A430,E430))&gt;0,"sim","não"))</f>
        <v/>
      </c>
      <c r="H430" s="7" t="str">
        <f aca="false">IF(A430="","",IF(E430="",A430,E430)&amp;"."&amp;IF(F430="",B430,F430))</f>
        <v/>
      </c>
      <c r="I430" s="7" t="str">
        <f aca="false">IF(A430="","",IFERROR(INDEX('Campos Growths'!$F:$F,MATCH(H430,'Campos Growths'!$A:$A,0)),""))</f>
        <v/>
      </c>
      <c r="J430" s="7" t="str">
        <f aca="false">IF(A430="","",IFERROR(VLOOKUP(IF(ISNUMBER(SEARCH("(",C430)),LEFT(C430,SEARCH("(",C430)-1),C430),Tipos!$A:$B,2,FALSE()),"outro"))</f>
        <v/>
      </c>
      <c r="K430" s="7" t="str">
        <f aca="false">IF(I430="","",IFERROR(INDEX('Campos Growths'!$L:$L,MATCH(H430,'Campos Growths'!$A:$A,0)),""))</f>
        <v/>
      </c>
      <c r="L430" s="7" t="str">
        <f aca="false">IF(A430="","",IF(G430="não","Sem tabela no Growths",IF(I430="","Sem campo no Growths",IF(J430=K430,"Importa direto","Ajustar tipo"))))</f>
        <v/>
      </c>
      <c r="M430" s="9"/>
    </row>
    <row r="431" customFormat="false" ht="15" hidden="false" customHeight="false" outlineLevel="0" collapsed="false">
      <c r="A431" s="7" t="str">
        <f aca="false">IF('Outro banco'!A431="","",IF(LEFT('Outro banco'!A431,1)="(","",'Outro banco'!A431))</f>
        <v/>
      </c>
      <c r="B431" s="7" t="str">
        <f aca="false">IF(A431="","",'Outro banco'!B431)</f>
        <v/>
      </c>
      <c r="C431" s="7" t="str">
        <f aca="false">IF(A431="","",'Outro banco'!C431)</f>
        <v/>
      </c>
      <c r="D431" s="7" t="str">
        <f aca="false">IF(A431="","",'Outro banco'!D431)</f>
        <v/>
      </c>
      <c r="E431" s="9"/>
      <c r="F431" s="9"/>
      <c r="G431" s="7" t="str">
        <f aca="false">IF(A431="","",IF(COUNTIF(Tabelas!$A:$A,IF(E431="",A431,E431))&gt;0,"sim","não"))</f>
        <v/>
      </c>
      <c r="H431" s="7" t="str">
        <f aca="false">IF(A431="","",IF(E431="",A431,E431)&amp;"."&amp;IF(F431="",B431,F431))</f>
        <v/>
      </c>
      <c r="I431" s="7" t="str">
        <f aca="false">IF(A431="","",IFERROR(INDEX('Campos Growths'!$F:$F,MATCH(H431,'Campos Growths'!$A:$A,0)),""))</f>
        <v/>
      </c>
      <c r="J431" s="7" t="str">
        <f aca="false">IF(A431="","",IFERROR(VLOOKUP(IF(ISNUMBER(SEARCH("(",C431)),LEFT(C431,SEARCH("(",C431)-1),C431),Tipos!$A:$B,2,FALSE()),"outro"))</f>
        <v/>
      </c>
      <c r="K431" s="7" t="str">
        <f aca="false">IF(I431="","",IFERROR(INDEX('Campos Growths'!$L:$L,MATCH(H431,'Campos Growths'!$A:$A,0)),""))</f>
        <v/>
      </c>
      <c r="L431" s="7" t="str">
        <f aca="false">IF(A431="","",IF(G431="não","Sem tabela no Growths",IF(I431="","Sem campo no Growths",IF(J431=K431,"Importa direto","Ajustar tipo"))))</f>
        <v/>
      </c>
      <c r="M431" s="9"/>
    </row>
    <row r="432" customFormat="false" ht="15" hidden="false" customHeight="false" outlineLevel="0" collapsed="false">
      <c r="A432" s="7" t="str">
        <f aca="false">IF('Outro banco'!A432="","",IF(LEFT('Outro banco'!A432,1)="(","",'Outro banco'!A432))</f>
        <v/>
      </c>
      <c r="B432" s="7" t="str">
        <f aca="false">IF(A432="","",'Outro banco'!B432)</f>
        <v/>
      </c>
      <c r="C432" s="7" t="str">
        <f aca="false">IF(A432="","",'Outro banco'!C432)</f>
        <v/>
      </c>
      <c r="D432" s="7" t="str">
        <f aca="false">IF(A432="","",'Outro banco'!D432)</f>
        <v/>
      </c>
      <c r="E432" s="9"/>
      <c r="F432" s="9"/>
      <c r="G432" s="7" t="str">
        <f aca="false">IF(A432="","",IF(COUNTIF(Tabelas!$A:$A,IF(E432="",A432,E432))&gt;0,"sim","não"))</f>
        <v/>
      </c>
      <c r="H432" s="7" t="str">
        <f aca="false">IF(A432="","",IF(E432="",A432,E432)&amp;"."&amp;IF(F432="",B432,F432))</f>
        <v/>
      </c>
      <c r="I432" s="7" t="str">
        <f aca="false">IF(A432="","",IFERROR(INDEX('Campos Growths'!$F:$F,MATCH(H432,'Campos Growths'!$A:$A,0)),""))</f>
        <v/>
      </c>
      <c r="J432" s="7" t="str">
        <f aca="false">IF(A432="","",IFERROR(VLOOKUP(IF(ISNUMBER(SEARCH("(",C432)),LEFT(C432,SEARCH("(",C432)-1),C432),Tipos!$A:$B,2,FALSE()),"outro"))</f>
        <v/>
      </c>
      <c r="K432" s="7" t="str">
        <f aca="false">IF(I432="","",IFERROR(INDEX('Campos Growths'!$L:$L,MATCH(H432,'Campos Growths'!$A:$A,0)),""))</f>
        <v/>
      </c>
      <c r="L432" s="7" t="str">
        <f aca="false">IF(A432="","",IF(G432="não","Sem tabela no Growths",IF(I432="","Sem campo no Growths",IF(J432=K432,"Importa direto","Ajustar tipo"))))</f>
        <v/>
      </c>
      <c r="M432" s="9"/>
    </row>
    <row r="433" customFormat="false" ht="15" hidden="false" customHeight="false" outlineLevel="0" collapsed="false">
      <c r="A433" s="7" t="str">
        <f aca="false">IF('Outro banco'!A433="","",IF(LEFT('Outro banco'!A433,1)="(","",'Outro banco'!A433))</f>
        <v/>
      </c>
      <c r="B433" s="7" t="str">
        <f aca="false">IF(A433="","",'Outro banco'!B433)</f>
        <v/>
      </c>
      <c r="C433" s="7" t="str">
        <f aca="false">IF(A433="","",'Outro banco'!C433)</f>
        <v/>
      </c>
      <c r="D433" s="7" t="str">
        <f aca="false">IF(A433="","",'Outro banco'!D433)</f>
        <v/>
      </c>
      <c r="E433" s="9"/>
      <c r="F433" s="9"/>
      <c r="G433" s="7" t="str">
        <f aca="false">IF(A433="","",IF(COUNTIF(Tabelas!$A:$A,IF(E433="",A433,E433))&gt;0,"sim","não"))</f>
        <v/>
      </c>
      <c r="H433" s="7" t="str">
        <f aca="false">IF(A433="","",IF(E433="",A433,E433)&amp;"."&amp;IF(F433="",B433,F433))</f>
        <v/>
      </c>
      <c r="I433" s="7" t="str">
        <f aca="false">IF(A433="","",IFERROR(INDEX('Campos Growths'!$F:$F,MATCH(H433,'Campos Growths'!$A:$A,0)),""))</f>
        <v/>
      </c>
      <c r="J433" s="7" t="str">
        <f aca="false">IF(A433="","",IFERROR(VLOOKUP(IF(ISNUMBER(SEARCH("(",C433)),LEFT(C433,SEARCH("(",C433)-1),C433),Tipos!$A:$B,2,FALSE()),"outro"))</f>
        <v/>
      </c>
      <c r="K433" s="7" t="str">
        <f aca="false">IF(I433="","",IFERROR(INDEX('Campos Growths'!$L:$L,MATCH(H433,'Campos Growths'!$A:$A,0)),""))</f>
        <v/>
      </c>
      <c r="L433" s="7" t="str">
        <f aca="false">IF(A433="","",IF(G433="não","Sem tabela no Growths",IF(I433="","Sem campo no Growths",IF(J433=K433,"Importa direto","Ajustar tipo"))))</f>
        <v/>
      </c>
      <c r="M433" s="9"/>
    </row>
    <row r="434" customFormat="false" ht="15" hidden="false" customHeight="false" outlineLevel="0" collapsed="false">
      <c r="A434" s="7" t="str">
        <f aca="false">IF('Outro banco'!A434="","",IF(LEFT('Outro banco'!A434,1)="(","",'Outro banco'!A434))</f>
        <v/>
      </c>
      <c r="B434" s="7" t="str">
        <f aca="false">IF(A434="","",'Outro banco'!B434)</f>
        <v/>
      </c>
      <c r="C434" s="7" t="str">
        <f aca="false">IF(A434="","",'Outro banco'!C434)</f>
        <v/>
      </c>
      <c r="D434" s="7" t="str">
        <f aca="false">IF(A434="","",'Outro banco'!D434)</f>
        <v/>
      </c>
      <c r="E434" s="9"/>
      <c r="F434" s="9"/>
      <c r="G434" s="7" t="str">
        <f aca="false">IF(A434="","",IF(COUNTIF(Tabelas!$A:$A,IF(E434="",A434,E434))&gt;0,"sim","não"))</f>
        <v/>
      </c>
      <c r="H434" s="7" t="str">
        <f aca="false">IF(A434="","",IF(E434="",A434,E434)&amp;"."&amp;IF(F434="",B434,F434))</f>
        <v/>
      </c>
      <c r="I434" s="7" t="str">
        <f aca="false">IF(A434="","",IFERROR(INDEX('Campos Growths'!$F:$F,MATCH(H434,'Campos Growths'!$A:$A,0)),""))</f>
        <v/>
      </c>
      <c r="J434" s="7" t="str">
        <f aca="false">IF(A434="","",IFERROR(VLOOKUP(IF(ISNUMBER(SEARCH("(",C434)),LEFT(C434,SEARCH("(",C434)-1),C434),Tipos!$A:$B,2,FALSE()),"outro"))</f>
        <v/>
      </c>
      <c r="K434" s="7" t="str">
        <f aca="false">IF(I434="","",IFERROR(INDEX('Campos Growths'!$L:$L,MATCH(H434,'Campos Growths'!$A:$A,0)),""))</f>
        <v/>
      </c>
      <c r="L434" s="7" t="str">
        <f aca="false">IF(A434="","",IF(G434="não","Sem tabela no Growths",IF(I434="","Sem campo no Growths",IF(J434=K434,"Importa direto","Ajustar tipo"))))</f>
        <v/>
      </c>
      <c r="M434" s="9"/>
    </row>
    <row r="435" customFormat="false" ht="15" hidden="false" customHeight="false" outlineLevel="0" collapsed="false">
      <c r="A435" s="7" t="str">
        <f aca="false">IF('Outro banco'!A435="","",IF(LEFT('Outro banco'!A435,1)="(","",'Outro banco'!A435))</f>
        <v/>
      </c>
      <c r="B435" s="7" t="str">
        <f aca="false">IF(A435="","",'Outro banco'!B435)</f>
        <v/>
      </c>
      <c r="C435" s="7" t="str">
        <f aca="false">IF(A435="","",'Outro banco'!C435)</f>
        <v/>
      </c>
      <c r="D435" s="7" t="str">
        <f aca="false">IF(A435="","",'Outro banco'!D435)</f>
        <v/>
      </c>
      <c r="E435" s="9"/>
      <c r="F435" s="9"/>
      <c r="G435" s="7" t="str">
        <f aca="false">IF(A435="","",IF(COUNTIF(Tabelas!$A:$A,IF(E435="",A435,E435))&gt;0,"sim","não"))</f>
        <v/>
      </c>
      <c r="H435" s="7" t="str">
        <f aca="false">IF(A435="","",IF(E435="",A435,E435)&amp;"."&amp;IF(F435="",B435,F435))</f>
        <v/>
      </c>
      <c r="I435" s="7" t="str">
        <f aca="false">IF(A435="","",IFERROR(INDEX('Campos Growths'!$F:$F,MATCH(H435,'Campos Growths'!$A:$A,0)),""))</f>
        <v/>
      </c>
      <c r="J435" s="7" t="str">
        <f aca="false">IF(A435="","",IFERROR(VLOOKUP(IF(ISNUMBER(SEARCH("(",C435)),LEFT(C435,SEARCH("(",C435)-1),C435),Tipos!$A:$B,2,FALSE()),"outro"))</f>
        <v/>
      </c>
      <c r="K435" s="7" t="str">
        <f aca="false">IF(I435="","",IFERROR(INDEX('Campos Growths'!$L:$L,MATCH(H435,'Campos Growths'!$A:$A,0)),""))</f>
        <v/>
      </c>
      <c r="L435" s="7" t="str">
        <f aca="false">IF(A435="","",IF(G435="não","Sem tabela no Growths",IF(I435="","Sem campo no Growths",IF(J435=K435,"Importa direto","Ajustar tipo"))))</f>
        <v/>
      </c>
      <c r="M435" s="9"/>
    </row>
    <row r="436" customFormat="false" ht="15" hidden="false" customHeight="false" outlineLevel="0" collapsed="false">
      <c r="A436" s="7" t="str">
        <f aca="false">IF('Outro banco'!A436="","",IF(LEFT('Outro banco'!A436,1)="(","",'Outro banco'!A436))</f>
        <v/>
      </c>
      <c r="B436" s="7" t="str">
        <f aca="false">IF(A436="","",'Outro banco'!B436)</f>
        <v/>
      </c>
      <c r="C436" s="7" t="str">
        <f aca="false">IF(A436="","",'Outro banco'!C436)</f>
        <v/>
      </c>
      <c r="D436" s="7" t="str">
        <f aca="false">IF(A436="","",'Outro banco'!D436)</f>
        <v/>
      </c>
      <c r="E436" s="9"/>
      <c r="F436" s="9"/>
      <c r="G436" s="7" t="str">
        <f aca="false">IF(A436="","",IF(COUNTIF(Tabelas!$A:$A,IF(E436="",A436,E436))&gt;0,"sim","não"))</f>
        <v/>
      </c>
      <c r="H436" s="7" t="str">
        <f aca="false">IF(A436="","",IF(E436="",A436,E436)&amp;"."&amp;IF(F436="",B436,F436))</f>
        <v/>
      </c>
      <c r="I436" s="7" t="str">
        <f aca="false">IF(A436="","",IFERROR(INDEX('Campos Growths'!$F:$F,MATCH(H436,'Campos Growths'!$A:$A,0)),""))</f>
        <v/>
      </c>
      <c r="J436" s="7" t="str">
        <f aca="false">IF(A436="","",IFERROR(VLOOKUP(IF(ISNUMBER(SEARCH("(",C436)),LEFT(C436,SEARCH("(",C436)-1),C436),Tipos!$A:$B,2,FALSE()),"outro"))</f>
        <v/>
      </c>
      <c r="K436" s="7" t="str">
        <f aca="false">IF(I436="","",IFERROR(INDEX('Campos Growths'!$L:$L,MATCH(H436,'Campos Growths'!$A:$A,0)),""))</f>
        <v/>
      </c>
      <c r="L436" s="7" t="str">
        <f aca="false">IF(A436="","",IF(G436="não","Sem tabela no Growths",IF(I436="","Sem campo no Growths",IF(J436=K436,"Importa direto","Ajustar tipo"))))</f>
        <v/>
      </c>
      <c r="M436" s="9"/>
    </row>
    <row r="437" customFormat="false" ht="15" hidden="false" customHeight="false" outlineLevel="0" collapsed="false">
      <c r="A437" s="7" t="str">
        <f aca="false">IF('Outro banco'!A437="","",IF(LEFT('Outro banco'!A437,1)="(","",'Outro banco'!A437))</f>
        <v/>
      </c>
      <c r="B437" s="7" t="str">
        <f aca="false">IF(A437="","",'Outro banco'!B437)</f>
        <v/>
      </c>
      <c r="C437" s="7" t="str">
        <f aca="false">IF(A437="","",'Outro banco'!C437)</f>
        <v/>
      </c>
      <c r="D437" s="7" t="str">
        <f aca="false">IF(A437="","",'Outro banco'!D437)</f>
        <v/>
      </c>
      <c r="E437" s="9"/>
      <c r="F437" s="9"/>
      <c r="G437" s="7" t="str">
        <f aca="false">IF(A437="","",IF(COUNTIF(Tabelas!$A:$A,IF(E437="",A437,E437))&gt;0,"sim","não"))</f>
        <v/>
      </c>
      <c r="H437" s="7" t="str">
        <f aca="false">IF(A437="","",IF(E437="",A437,E437)&amp;"."&amp;IF(F437="",B437,F437))</f>
        <v/>
      </c>
      <c r="I437" s="7" t="str">
        <f aca="false">IF(A437="","",IFERROR(INDEX('Campos Growths'!$F:$F,MATCH(H437,'Campos Growths'!$A:$A,0)),""))</f>
        <v/>
      </c>
      <c r="J437" s="7" t="str">
        <f aca="false">IF(A437="","",IFERROR(VLOOKUP(IF(ISNUMBER(SEARCH("(",C437)),LEFT(C437,SEARCH("(",C437)-1),C437),Tipos!$A:$B,2,FALSE()),"outro"))</f>
        <v/>
      </c>
      <c r="K437" s="7" t="str">
        <f aca="false">IF(I437="","",IFERROR(INDEX('Campos Growths'!$L:$L,MATCH(H437,'Campos Growths'!$A:$A,0)),""))</f>
        <v/>
      </c>
      <c r="L437" s="7" t="str">
        <f aca="false">IF(A437="","",IF(G437="não","Sem tabela no Growths",IF(I437="","Sem campo no Growths",IF(J437=K437,"Importa direto","Ajustar tipo"))))</f>
        <v/>
      </c>
      <c r="M437" s="9"/>
    </row>
    <row r="438" customFormat="false" ht="15" hidden="false" customHeight="false" outlineLevel="0" collapsed="false">
      <c r="A438" s="7" t="str">
        <f aca="false">IF('Outro banco'!A438="","",IF(LEFT('Outro banco'!A438,1)="(","",'Outro banco'!A438))</f>
        <v/>
      </c>
      <c r="B438" s="7" t="str">
        <f aca="false">IF(A438="","",'Outro banco'!B438)</f>
        <v/>
      </c>
      <c r="C438" s="7" t="str">
        <f aca="false">IF(A438="","",'Outro banco'!C438)</f>
        <v/>
      </c>
      <c r="D438" s="7" t="str">
        <f aca="false">IF(A438="","",'Outro banco'!D438)</f>
        <v/>
      </c>
      <c r="E438" s="9"/>
      <c r="F438" s="9"/>
      <c r="G438" s="7" t="str">
        <f aca="false">IF(A438="","",IF(COUNTIF(Tabelas!$A:$A,IF(E438="",A438,E438))&gt;0,"sim","não"))</f>
        <v/>
      </c>
      <c r="H438" s="7" t="str">
        <f aca="false">IF(A438="","",IF(E438="",A438,E438)&amp;"."&amp;IF(F438="",B438,F438))</f>
        <v/>
      </c>
      <c r="I438" s="7" t="str">
        <f aca="false">IF(A438="","",IFERROR(INDEX('Campos Growths'!$F:$F,MATCH(H438,'Campos Growths'!$A:$A,0)),""))</f>
        <v/>
      </c>
      <c r="J438" s="7" t="str">
        <f aca="false">IF(A438="","",IFERROR(VLOOKUP(IF(ISNUMBER(SEARCH("(",C438)),LEFT(C438,SEARCH("(",C438)-1),C438),Tipos!$A:$B,2,FALSE()),"outro"))</f>
        <v/>
      </c>
      <c r="K438" s="7" t="str">
        <f aca="false">IF(I438="","",IFERROR(INDEX('Campos Growths'!$L:$L,MATCH(H438,'Campos Growths'!$A:$A,0)),""))</f>
        <v/>
      </c>
      <c r="L438" s="7" t="str">
        <f aca="false">IF(A438="","",IF(G438="não","Sem tabela no Growths",IF(I438="","Sem campo no Growths",IF(J438=K438,"Importa direto","Ajustar tipo"))))</f>
        <v/>
      </c>
      <c r="M438" s="9"/>
    </row>
    <row r="439" customFormat="false" ht="15" hidden="false" customHeight="false" outlineLevel="0" collapsed="false">
      <c r="A439" s="7" t="str">
        <f aca="false">IF('Outro banco'!A439="","",IF(LEFT('Outro banco'!A439,1)="(","",'Outro banco'!A439))</f>
        <v/>
      </c>
      <c r="B439" s="7" t="str">
        <f aca="false">IF(A439="","",'Outro banco'!B439)</f>
        <v/>
      </c>
      <c r="C439" s="7" t="str">
        <f aca="false">IF(A439="","",'Outro banco'!C439)</f>
        <v/>
      </c>
      <c r="D439" s="7" t="str">
        <f aca="false">IF(A439="","",'Outro banco'!D439)</f>
        <v/>
      </c>
      <c r="E439" s="9"/>
      <c r="F439" s="9"/>
      <c r="G439" s="7" t="str">
        <f aca="false">IF(A439="","",IF(COUNTIF(Tabelas!$A:$A,IF(E439="",A439,E439))&gt;0,"sim","não"))</f>
        <v/>
      </c>
      <c r="H439" s="7" t="str">
        <f aca="false">IF(A439="","",IF(E439="",A439,E439)&amp;"."&amp;IF(F439="",B439,F439))</f>
        <v/>
      </c>
      <c r="I439" s="7" t="str">
        <f aca="false">IF(A439="","",IFERROR(INDEX('Campos Growths'!$F:$F,MATCH(H439,'Campos Growths'!$A:$A,0)),""))</f>
        <v/>
      </c>
      <c r="J439" s="7" t="str">
        <f aca="false">IF(A439="","",IFERROR(VLOOKUP(IF(ISNUMBER(SEARCH("(",C439)),LEFT(C439,SEARCH("(",C439)-1),C439),Tipos!$A:$B,2,FALSE()),"outro"))</f>
        <v/>
      </c>
      <c r="K439" s="7" t="str">
        <f aca="false">IF(I439="","",IFERROR(INDEX('Campos Growths'!$L:$L,MATCH(H439,'Campos Growths'!$A:$A,0)),""))</f>
        <v/>
      </c>
      <c r="L439" s="7" t="str">
        <f aca="false">IF(A439="","",IF(G439="não","Sem tabela no Growths",IF(I439="","Sem campo no Growths",IF(J439=K439,"Importa direto","Ajustar tipo"))))</f>
        <v/>
      </c>
      <c r="M439" s="9"/>
    </row>
    <row r="440" customFormat="false" ht="15" hidden="false" customHeight="false" outlineLevel="0" collapsed="false">
      <c r="A440" s="7" t="str">
        <f aca="false">IF('Outro banco'!A440="","",IF(LEFT('Outro banco'!A440,1)="(","",'Outro banco'!A440))</f>
        <v/>
      </c>
      <c r="B440" s="7" t="str">
        <f aca="false">IF(A440="","",'Outro banco'!B440)</f>
        <v/>
      </c>
      <c r="C440" s="7" t="str">
        <f aca="false">IF(A440="","",'Outro banco'!C440)</f>
        <v/>
      </c>
      <c r="D440" s="7" t="str">
        <f aca="false">IF(A440="","",'Outro banco'!D440)</f>
        <v/>
      </c>
      <c r="E440" s="9"/>
      <c r="F440" s="9"/>
      <c r="G440" s="7" t="str">
        <f aca="false">IF(A440="","",IF(COUNTIF(Tabelas!$A:$A,IF(E440="",A440,E440))&gt;0,"sim","não"))</f>
        <v/>
      </c>
      <c r="H440" s="7" t="str">
        <f aca="false">IF(A440="","",IF(E440="",A440,E440)&amp;"."&amp;IF(F440="",B440,F440))</f>
        <v/>
      </c>
      <c r="I440" s="7" t="str">
        <f aca="false">IF(A440="","",IFERROR(INDEX('Campos Growths'!$F:$F,MATCH(H440,'Campos Growths'!$A:$A,0)),""))</f>
        <v/>
      </c>
      <c r="J440" s="7" t="str">
        <f aca="false">IF(A440="","",IFERROR(VLOOKUP(IF(ISNUMBER(SEARCH("(",C440)),LEFT(C440,SEARCH("(",C440)-1),C440),Tipos!$A:$B,2,FALSE()),"outro"))</f>
        <v/>
      </c>
      <c r="K440" s="7" t="str">
        <f aca="false">IF(I440="","",IFERROR(INDEX('Campos Growths'!$L:$L,MATCH(H440,'Campos Growths'!$A:$A,0)),""))</f>
        <v/>
      </c>
      <c r="L440" s="7" t="str">
        <f aca="false">IF(A440="","",IF(G440="não","Sem tabela no Growths",IF(I440="","Sem campo no Growths",IF(J440=K440,"Importa direto","Ajustar tipo"))))</f>
        <v/>
      </c>
      <c r="M440" s="9"/>
    </row>
    <row r="441" customFormat="false" ht="15" hidden="false" customHeight="false" outlineLevel="0" collapsed="false">
      <c r="A441" s="7" t="str">
        <f aca="false">IF('Outro banco'!A441="","",IF(LEFT('Outro banco'!A441,1)="(","",'Outro banco'!A441))</f>
        <v/>
      </c>
      <c r="B441" s="7" t="str">
        <f aca="false">IF(A441="","",'Outro banco'!B441)</f>
        <v/>
      </c>
      <c r="C441" s="7" t="str">
        <f aca="false">IF(A441="","",'Outro banco'!C441)</f>
        <v/>
      </c>
      <c r="D441" s="7" t="str">
        <f aca="false">IF(A441="","",'Outro banco'!D441)</f>
        <v/>
      </c>
      <c r="E441" s="9"/>
      <c r="F441" s="9"/>
      <c r="G441" s="7" t="str">
        <f aca="false">IF(A441="","",IF(COUNTIF(Tabelas!$A:$A,IF(E441="",A441,E441))&gt;0,"sim","não"))</f>
        <v/>
      </c>
      <c r="H441" s="7" t="str">
        <f aca="false">IF(A441="","",IF(E441="",A441,E441)&amp;"."&amp;IF(F441="",B441,F441))</f>
        <v/>
      </c>
      <c r="I441" s="7" t="str">
        <f aca="false">IF(A441="","",IFERROR(INDEX('Campos Growths'!$F:$F,MATCH(H441,'Campos Growths'!$A:$A,0)),""))</f>
        <v/>
      </c>
      <c r="J441" s="7" t="str">
        <f aca="false">IF(A441="","",IFERROR(VLOOKUP(IF(ISNUMBER(SEARCH("(",C441)),LEFT(C441,SEARCH("(",C441)-1),C441),Tipos!$A:$B,2,FALSE()),"outro"))</f>
        <v/>
      </c>
      <c r="K441" s="7" t="str">
        <f aca="false">IF(I441="","",IFERROR(INDEX('Campos Growths'!$L:$L,MATCH(H441,'Campos Growths'!$A:$A,0)),""))</f>
        <v/>
      </c>
      <c r="L441" s="7" t="str">
        <f aca="false">IF(A441="","",IF(G441="não","Sem tabela no Growths",IF(I441="","Sem campo no Growths",IF(J441=K441,"Importa direto","Ajustar tipo"))))</f>
        <v/>
      </c>
      <c r="M441" s="9"/>
    </row>
    <row r="442" customFormat="false" ht="15" hidden="false" customHeight="false" outlineLevel="0" collapsed="false">
      <c r="A442" s="7" t="str">
        <f aca="false">IF('Outro banco'!A442="","",IF(LEFT('Outro banco'!A442,1)="(","",'Outro banco'!A442))</f>
        <v/>
      </c>
      <c r="B442" s="7" t="str">
        <f aca="false">IF(A442="","",'Outro banco'!B442)</f>
        <v/>
      </c>
      <c r="C442" s="7" t="str">
        <f aca="false">IF(A442="","",'Outro banco'!C442)</f>
        <v/>
      </c>
      <c r="D442" s="7" t="str">
        <f aca="false">IF(A442="","",'Outro banco'!D442)</f>
        <v/>
      </c>
      <c r="E442" s="9"/>
      <c r="F442" s="9"/>
      <c r="G442" s="7" t="str">
        <f aca="false">IF(A442="","",IF(COUNTIF(Tabelas!$A:$A,IF(E442="",A442,E442))&gt;0,"sim","não"))</f>
        <v/>
      </c>
      <c r="H442" s="7" t="str">
        <f aca="false">IF(A442="","",IF(E442="",A442,E442)&amp;"."&amp;IF(F442="",B442,F442))</f>
        <v/>
      </c>
      <c r="I442" s="7" t="str">
        <f aca="false">IF(A442="","",IFERROR(INDEX('Campos Growths'!$F:$F,MATCH(H442,'Campos Growths'!$A:$A,0)),""))</f>
        <v/>
      </c>
      <c r="J442" s="7" t="str">
        <f aca="false">IF(A442="","",IFERROR(VLOOKUP(IF(ISNUMBER(SEARCH("(",C442)),LEFT(C442,SEARCH("(",C442)-1),C442),Tipos!$A:$B,2,FALSE()),"outro"))</f>
        <v/>
      </c>
      <c r="K442" s="7" t="str">
        <f aca="false">IF(I442="","",IFERROR(INDEX('Campos Growths'!$L:$L,MATCH(H442,'Campos Growths'!$A:$A,0)),""))</f>
        <v/>
      </c>
      <c r="L442" s="7" t="str">
        <f aca="false">IF(A442="","",IF(G442="não","Sem tabela no Growths",IF(I442="","Sem campo no Growths",IF(J442=K442,"Importa direto","Ajustar tipo"))))</f>
        <v/>
      </c>
      <c r="M442" s="9"/>
    </row>
    <row r="443" customFormat="false" ht="15" hidden="false" customHeight="false" outlineLevel="0" collapsed="false">
      <c r="A443" s="7" t="str">
        <f aca="false">IF('Outro banco'!A443="","",IF(LEFT('Outro banco'!A443,1)="(","",'Outro banco'!A443))</f>
        <v/>
      </c>
      <c r="B443" s="7" t="str">
        <f aca="false">IF(A443="","",'Outro banco'!B443)</f>
        <v/>
      </c>
      <c r="C443" s="7" t="str">
        <f aca="false">IF(A443="","",'Outro banco'!C443)</f>
        <v/>
      </c>
      <c r="D443" s="7" t="str">
        <f aca="false">IF(A443="","",'Outro banco'!D443)</f>
        <v/>
      </c>
      <c r="E443" s="9"/>
      <c r="F443" s="9"/>
      <c r="G443" s="7" t="str">
        <f aca="false">IF(A443="","",IF(COUNTIF(Tabelas!$A:$A,IF(E443="",A443,E443))&gt;0,"sim","não"))</f>
        <v/>
      </c>
      <c r="H443" s="7" t="str">
        <f aca="false">IF(A443="","",IF(E443="",A443,E443)&amp;"."&amp;IF(F443="",B443,F443))</f>
        <v/>
      </c>
      <c r="I443" s="7" t="str">
        <f aca="false">IF(A443="","",IFERROR(INDEX('Campos Growths'!$F:$F,MATCH(H443,'Campos Growths'!$A:$A,0)),""))</f>
        <v/>
      </c>
      <c r="J443" s="7" t="str">
        <f aca="false">IF(A443="","",IFERROR(VLOOKUP(IF(ISNUMBER(SEARCH("(",C443)),LEFT(C443,SEARCH("(",C443)-1),C443),Tipos!$A:$B,2,FALSE()),"outro"))</f>
        <v/>
      </c>
      <c r="K443" s="7" t="str">
        <f aca="false">IF(I443="","",IFERROR(INDEX('Campos Growths'!$L:$L,MATCH(H443,'Campos Growths'!$A:$A,0)),""))</f>
        <v/>
      </c>
      <c r="L443" s="7" t="str">
        <f aca="false">IF(A443="","",IF(G443="não","Sem tabela no Growths",IF(I443="","Sem campo no Growths",IF(J443=K443,"Importa direto","Ajustar tipo"))))</f>
        <v/>
      </c>
      <c r="M443" s="9"/>
    </row>
    <row r="444" customFormat="false" ht="15" hidden="false" customHeight="false" outlineLevel="0" collapsed="false">
      <c r="A444" s="7" t="str">
        <f aca="false">IF('Outro banco'!A444="","",IF(LEFT('Outro banco'!A444,1)="(","",'Outro banco'!A444))</f>
        <v/>
      </c>
      <c r="B444" s="7" t="str">
        <f aca="false">IF(A444="","",'Outro banco'!B444)</f>
        <v/>
      </c>
      <c r="C444" s="7" t="str">
        <f aca="false">IF(A444="","",'Outro banco'!C444)</f>
        <v/>
      </c>
      <c r="D444" s="7" t="str">
        <f aca="false">IF(A444="","",'Outro banco'!D444)</f>
        <v/>
      </c>
      <c r="E444" s="9"/>
      <c r="F444" s="9"/>
      <c r="G444" s="7" t="str">
        <f aca="false">IF(A444="","",IF(COUNTIF(Tabelas!$A:$A,IF(E444="",A444,E444))&gt;0,"sim","não"))</f>
        <v/>
      </c>
      <c r="H444" s="7" t="str">
        <f aca="false">IF(A444="","",IF(E444="",A444,E444)&amp;"."&amp;IF(F444="",B444,F444))</f>
        <v/>
      </c>
      <c r="I444" s="7" t="str">
        <f aca="false">IF(A444="","",IFERROR(INDEX('Campos Growths'!$F:$F,MATCH(H444,'Campos Growths'!$A:$A,0)),""))</f>
        <v/>
      </c>
      <c r="J444" s="7" t="str">
        <f aca="false">IF(A444="","",IFERROR(VLOOKUP(IF(ISNUMBER(SEARCH("(",C444)),LEFT(C444,SEARCH("(",C444)-1),C444),Tipos!$A:$B,2,FALSE()),"outro"))</f>
        <v/>
      </c>
      <c r="K444" s="7" t="str">
        <f aca="false">IF(I444="","",IFERROR(INDEX('Campos Growths'!$L:$L,MATCH(H444,'Campos Growths'!$A:$A,0)),""))</f>
        <v/>
      </c>
      <c r="L444" s="7" t="str">
        <f aca="false">IF(A444="","",IF(G444="não","Sem tabela no Growths",IF(I444="","Sem campo no Growths",IF(J444=K444,"Importa direto","Ajustar tipo"))))</f>
        <v/>
      </c>
      <c r="M444" s="9"/>
    </row>
    <row r="445" customFormat="false" ht="15" hidden="false" customHeight="false" outlineLevel="0" collapsed="false">
      <c r="A445" s="7" t="str">
        <f aca="false">IF('Outro banco'!A445="","",IF(LEFT('Outro banco'!A445,1)="(","",'Outro banco'!A445))</f>
        <v/>
      </c>
      <c r="B445" s="7" t="str">
        <f aca="false">IF(A445="","",'Outro banco'!B445)</f>
        <v/>
      </c>
      <c r="C445" s="7" t="str">
        <f aca="false">IF(A445="","",'Outro banco'!C445)</f>
        <v/>
      </c>
      <c r="D445" s="7" t="str">
        <f aca="false">IF(A445="","",'Outro banco'!D445)</f>
        <v/>
      </c>
      <c r="E445" s="9"/>
      <c r="F445" s="9"/>
      <c r="G445" s="7" t="str">
        <f aca="false">IF(A445="","",IF(COUNTIF(Tabelas!$A:$A,IF(E445="",A445,E445))&gt;0,"sim","não"))</f>
        <v/>
      </c>
      <c r="H445" s="7" t="str">
        <f aca="false">IF(A445="","",IF(E445="",A445,E445)&amp;"."&amp;IF(F445="",B445,F445))</f>
        <v/>
      </c>
      <c r="I445" s="7" t="str">
        <f aca="false">IF(A445="","",IFERROR(INDEX('Campos Growths'!$F:$F,MATCH(H445,'Campos Growths'!$A:$A,0)),""))</f>
        <v/>
      </c>
      <c r="J445" s="7" t="str">
        <f aca="false">IF(A445="","",IFERROR(VLOOKUP(IF(ISNUMBER(SEARCH("(",C445)),LEFT(C445,SEARCH("(",C445)-1),C445),Tipos!$A:$B,2,FALSE()),"outro"))</f>
        <v/>
      </c>
      <c r="K445" s="7" t="str">
        <f aca="false">IF(I445="","",IFERROR(INDEX('Campos Growths'!$L:$L,MATCH(H445,'Campos Growths'!$A:$A,0)),""))</f>
        <v/>
      </c>
      <c r="L445" s="7" t="str">
        <f aca="false">IF(A445="","",IF(G445="não","Sem tabela no Growths",IF(I445="","Sem campo no Growths",IF(J445=K445,"Importa direto","Ajustar tipo"))))</f>
        <v/>
      </c>
      <c r="M445" s="9"/>
    </row>
    <row r="446" customFormat="false" ht="15" hidden="false" customHeight="false" outlineLevel="0" collapsed="false">
      <c r="A446" s="7" t="str">
        <f aca="false">IF('Outro banco'!A446="","",IF(LEFT('Outro banco'!A446,1)="(","",'Outro banco'!A446))</f>
        <v/>
      </c>
      <c r="B446" s="7" t="str">
        <f aca="false">IF(A446="","",'Outro banco'!B446)</f>
        <v/>
      </c>
      <c r="C446" s="7" t="str">
        <f aca="false">IF(A446="","",'Outro banco'!C446)</f>
        <v/>
      </c>
      <c r="D446" s="7" t="str">
        <f aca="false">IF(A446="","",'Outro banco'!D446)</f>
        <v/>
      </c>
      <c r="E446" s="9"/>
      <c r="F446" s="9"/>
      <c r="G446" s="7" t="str">
        <f aca="false">IF(A446="","",IF(COUNTIF(Tabelas!$A:$A,IF(E446="",A446,E446))&gt;0,"sim","não"))</f>
        <v/>
      </c>
      <c r="H446" s="7" t="str">
        <f aca="false">IF(A446="","",IF(E446="",A446,E446)&amp;"."&amp;IF(F446="",B446,F446))</f>
        <v/>
      </c>
      <c r="I446" s="7" t="str">
        <f aca="false">IF(A446="","",IFERROR(INDEX('Campos Growths'!$F:$F,MATCH(H446,'Campos Growths'!$A:$A,0)),""))</f>
        <v/>
      </c>
      <c r="J446" s="7" t="str">
        <f aca="false">IF(A446="","",IFERROR(VLOOKUP(IF(ISNUMBER(SEARCH("(",C446)),LEFT(C446,SEARCH("(",C446)-1),C446),Tipos!$A:$B,2,FALSE()),"outro"))</f>
        <v/>
      </c>
      <c r="K446" s="7" t="str">
        <f aca="false">IF(I446="","",IFERROR(INDEX('Campos Growths'!$L:$L,MATCH(H446,'Campos Growths'!$A:$A,0)),""))</f>
        <v/>
      </c>
      <c r="L446" s="7" t="str">
        <f aca="false">IF(A446="","",IF(G446="não","Sem tabela no Growths",IF(I446="","Sem campo no Growths",IF(J446=K446,"Importa direto","Ajustar tipo"))))</f>
        <v/>
      </c>
      <c r="M446" s="9"/>
    </row>
    <row r="447" customFormat="false" ht="15" hidden="false" customHeight="false" outlineLevel="0" collapsed="false">
      <c r="A447" s="7" t="str">
        <f aca="false">IF('Outro banco'!A447="","",IF(LEFT('Outro banco'!A447,1)="(","",'Outro banco'!A447))</f>
        <v/>
      </c>
      <c r="B447" s="7" t="str">
        <f aca="false">IF(A447="","",'Outro banco'!B447)</f>
        <v/>
      </c>
      <c r="C447" s="7" t="str">
        <f aca="false">IF(A447="","",'Outro banco'!C447)</f>
        <v/>
      </c>
      <c r="D447" s="7" t="str">
        <f aca="false">IF(A447="","",'Outro banco'!D447)</f>
        <v/>
      </c>
      <c r="E447" s="9"/>
      <c r="F447" s="9"/>
      <c r="G447" s="7" t="str">
        <f aca="false">IF(A447="","",IF(COUNTIF(Tabelas!$A:$A,IF(E447="",A447,E447))&gt;0,"sim","não"))</f>
        <v/>
      </c>
      <c r="H447" s="7" t="str">
        <f aca="false">IF(A447="","",IF(E447="",A447,E447)&amp;"."&amp;IF(F447="",B447,F447))</f>
        <v/>
      </c>
      <c r="I447" s="7" t="str">
        <f aca="false">IF(A447="","",IFERROR(INDEX('Campos Growths'!$F:$F,MATCH(H447,'Campos Growths'!$A:$A,0)),""))</f>
        <v/>
      </c>
      <c r="J447" s="7" t="str">
        <f aca="false">IF(A447="","",IFERROR(VLOOKUP(IF(ISNUMBER(SEARCH("(",C447)),LEFT(C447,SEARCH("(",C447)-1),C447),Tipos!$A:$B,2,FALSE()),"outro"))</f>
        <v/>
      </c>
      <c r="K447" s="7" t="str">
        <f aca="false">IF(I447="","",IFERROR(INDEX('Campos Growths'!$L:$L,MATCH(H447,'Campos Growths'!$A:$A,0)),""))</f>
        <v/>
      </c>
      <c r="L447" s="7" t="str">
        <f aca="false">IF(A447="","",IF(G447="não","Sem tabela no Growths",IF(I447="","Sem campo no Growths",IF(J447=K447,"Importa direto","Ajustar tipo"))))</f>
        <v/>
      </c>
      <c r="M447" s="9"/>
    </row>
    <row r="448" customFormat="false" ht="15" hidden="false" customHeight="false" outlineLevel="0" collapsed="false">
      <c r="A448" s="7" t="str">
        <f aca="false">IF('Outro banco'!A448="","",IF(LEFT('Outro banco'!A448,1)="(","",'Outro banco'!A448))</f>
        <v/>
      </c>
      <c r="B448" s="7" t="str">
        <f aca="false">IF(A448="","",'Outro banco'!B448)</f>
        <v/>
      </c>
      <c r="C448" s="7" t="str">
        <f aca="false">IF(A448="","",'Outro banco'!C448)</f>
        <v/>
      </c>
      <c r="D448" s="7" t="str">
        <f aca="false">IF(A448="","",'Outro banco'!D448)</f>
        <v/>
      </c>
      <c r="E448" s="9"/>
      <c r="F448" s="9"/>
      <c r="G448" s="7" t="str">
        <f aca="false">IF(A448="","",IF(COUNTIF(Tabelas!$A:$A,IF(E448="",A448,E448))&gt;0,"sim","não"))</f>
        <v/>
      </c>
      <c r="H448" s="7" t="str">
        <f aca="false">IF(A448="","",IF(E448="",A448,E448)&amp;"."&amp;IF(F448="",B448,F448))</f>
        <v/>
      </c>
      <c r="I448" s="7" t="str">
        <f aca="false">IF(A448="","",IFERROR(INDEX('Campos Growths'!$F:$F,MATCH(H448,'Campos Growths'!$A:$A,0)),""))</f>
        <v/>
      </c>
      <c r="J448" s="7" t="str">
        <f aca="false">IF(A448="","",IFERROR(VLOOKUP(IF(ISNUMBER(SEARCH("(",C448)),LEFT(C448,SEARCH("(",C448)-1),C448),Tipos!$A:$B,2,FALSE()),"outro"))</f>
        <v/>
      </c>
      <c r="K448" s="7" t="str">
        <f aca="false">IF(I448="","",IFERROR(INDEX('Campos Growths'!$L:$L,MATCH(H448,'Campos Growths'!$A:$A,0)),""))</f>
        <v/>
      </c>
      <c r="L448" s="7" t="str">
        <f aca="false">IF(A448="","",IF(G448="não","Sem tabela no Growths",IF(I448="","Sem campo no Growths",IF(J448=K448,"Importa direto","Ajustar tipo"))))</f>
        <v/>
      </c>
      <c r="M448" s="9"/>
    </row>
    <row r="449" customFormat="false" ht="15" hidden="false" customHeight="false" outlineLevel="0" collapsed="false">
      <c r="A449" s="7" t="str">
        <f aca="false">IF('Outro banco'!A449="","",IF(LEFT('Outro banco'!A449,1)="(","",'Outro banco'!A449))</f>
        <v/>
      </c>
      <c r="B449" s="7" t="str">
        <f aca="false">IF(A449="","",'Outro banco'!B449)</f>
        <v/>
      </c>
      <c r="C449" s="7" t="str">
        <f aca="false">IF(A449="","",'Outro banco'!C449)</f>
        <v/>
      </c>
      <c r="D449" s="7" t="str">
        <f aca="false">IF(A449="","",'Outro banco'!D449)</f>
        <v/>
      </c>
      <c r="E449" s="9"/>
      <c r="F449" s="9"/>
      <c r="G449" s="7" t="str">
        <f aca="false">IF(A449="","",IF(COUNTIF(Tabelas!$A:$A,IF(E449="",A449,E449))&gt;0,"sim","não"))</f>
        <v/>
      </c>
      <c r="H449" s="7" t="str">
        <f aca="false">IF(A449="","",IF(E449="",A449,E449)&amp;"."&amp;IF(F449="",B449,F449))</f>
        <v/>
      </c>
      <c r="I449" s="7" t="str">
        <f aca="false">IF(A449="","",IFERROR(INDEX('Campos Growths'!$F:$F,MATCH(H449,'Campos Growths'!$A:$A,0)),""))</f>
        <v/>
      </c>
      <c r="J449" s="7" t="str">
        <f aca="false">IF(A449="","",IFERROR(VLOOKUP(IF(ISNUMBER(SEARCH("(",C449)),LEFT(C449,SEARCH("(",C449)-1),C449),Tipos!$A:$B,2,FALSE()),"outro"))</f>
        <v/>
      </c>
      <c r="K449" s="7" t="str">
        <f aca="false">IF(I449="","",IFERROR(INDEX('Campos Growths'!$L:$L,MATCH(H449,'Campos Growths'!$A:$A,0)),""))</f>
        <v/>
      </c>
      <c r="L449" s="7" t="str">
        <f aca="false">IF(A449="","",IF(G449="não","Sem tabela no Growths",IF(I449="","Sem campo no Growths",IF(J449=K449,"Importa direto","Ajustar tipo"))))</f>
        <v/>
      </c>
      <c r="M449" s="9"/>
    </row>
    <row r="450" customFormat="false" ht="15" hidden="false" customHeight="false" outlineLevel="0" collapsed="false">
      <c r="A450" s="7" t="str">
        <f aca="false">IF('Outro banco'!A450="","",IF(LEFT('Outro banco'!A450,1)="(","",'Outro banco'!A450))</f>
        <v/>
      </c>
      <c r="B450" s="7" t="str">
        <f aca="false">IF(A450="","",'Outro banco'!B450)</f>
        <v/>
      </c>
      <c r="C450" s="7" t="str">
        <f aca="false">IF(A450="","",'Outro banco'!C450)</f>
        <v/>
      </c>
      <c r="D450" s="7" t="str">
        <f aca="false">IF(A450="","",'Outro banco'!D450)</f>
        <v/>
      </c>
      <c r="E450" s="9"/>
      <c r="F450" s="9"/>
      <c r="G450" s="7" t="str">
        <f aca="false">IF(A450="","",IF(COUNTIF(Tabelas!$A:$A,IF(E450="",A450,E450))&gt;0,"sim","não"))</f>
        <v/>
      </c>
      <c r="H450" s="7" t="str">
        <f aca="false">IF(A450="","",IF(E450="",A450,E450)&amp;"."&amp;IF(F450="",B450,F450))</f>
        <v/>
      </c>
      <c r="I450" s="7" t="str">
        <f aca="false">IF(A450="","",IFERROR(INDEX('Campos Growths'!$F:$F,MATCH(H450,'Campos Growths'!$A:$A,0)),""))</f>
        <v/>
      </c>
      <c r="J450" s="7" t="str">
        <f aca="false">IF(A450="","",IFERROR(VLOOKUP(IF(ISNUMBER(SEARCH("(",C450)),LEFT(C450,SEARCH("(",C450)-1),C450),Tipos!$A:$B,2,FALSE()),"outro"))</f>
        <v/>
      </c>
      <c r="K450" s="7" t="str">
        <f aca="false">IF(I450="","",IFERROR(INDEX('Campos Growths'!$L:$L,MATCH(H450,'Campos Growths'!$A:$A,0)),""))</f>
        <v/>
      </c>
      <c r="L450" s="7" t="str">
        <f aca="false">IF(A450="","",IF(G450="não","Sem tabela no Growths",IF(I450="","Sem campo no Growths",IF(J450=K450,"Importa direto","Ajustar tipo"))))</f>
        <v/>
      </c>
      <c r="M450" s="9"/>
    </row>
    <row r="451" customFormat="false" ht="15" hidden="false" customHeight="false" outlineLevel="0" collapsed="false">
      <c r="A451" s="7" t="str">
        <f aca="false">IF('Outro banco'!A451="","",IF(LEFT('Outro banco'!A451,1)="(","",'Outro banco'!A451))</f>
        <v/>
      </c>
      <c r="B451" s="7" t="str">
        <f aca="false">IF(A451="","",'Outro banco'!B451)</f>
        <v/>
      </c>
      <c r="C451" s="7" t="str">
        <f aca="false">IF(A451="","",'Outro banco'!C451)</f>
        <v/>
      </c>
      <c r="D451" s="7" t="str">
        <f aca="false">IF(A451="","",'Outro banco'!D451)</f>
        <v/>
      </c>
      <c r="E451" s="9"/>
      <c r="F451" s="9"/>
      <c r="G451" s="7" t="str">
        <f aca="false">IF(A451="","",IF(COUNTIF(Tabelas!$A:$A,IF(E451="",A451,E451))&gt;0,"sim","não"))</f>
        <v/>
      </c>
      <c r="H451" s="7" t="str">
        <f aca="false">IF(A451="","",IF(E451="",A451,E451)&amp;"."&amp;IF(F451="",B451,F451))</f>
        <v/>
      </c>
      <c r="I451" s="7" t="str">
        <f aca="false">IF(A451="","",IFERROR(INDEX('Campos Growths'!$F:$F,MATCH(H451,'Campos Growths'!$A:$A,0)),""))</f>
        <v/>
      </c>
      <c r="J451" s="7" t="str">
        <f aca="false">IF(A451="","",IFERROR(VLOOKUP(IF(ISNUMBER(SEARCH("(",C451)),LEFT(C451,SEARCH("(",C451)-1),C451),Tipos!$A:$B,2,FALSE()),"outro"))</f>
        <v/>
      </c>
      <c r="K451" s="7" t="str">
        <f aca="false">IF(I451="","",IFERROR(INDEX('Campos Growths'!$L:$L,MATCH(H451,'Campos Growths'!$A:$A,0)),""))</f>
        <v/>
      </c>
      <c r="L451" s="7" t="str">
        <f aca="false">IF(A451="","",IF(G451="não","Sem tabela no Growths",IF(I451="","Sem campo no Growths",IF(J451=K451,"Importa direto","Ajustar tipo"))))</f>
        <v/>
      </c>
      <c r="M451" s="9"/>
    </row>
    <row r="452" customFormat="false" ht="15" hidden="false" customHeight="false" outlineLevel="0" collapsed="false">
      <c r="A452" s="7" t="str">
        <f aca="false">IF('Outro banco'!A452="","",IF(LEFT('Outro banco'!A452,1)="(","",'Outro banco'!A452))</f>
        <v/>
      </c>
      <c r="B452" s="7" t="str">
        <f aca="false">IF(A452="","",'Outro banco'!B452)</f>
        <v/>
      </c>
      <c r="C452" s="7" t="str">
        <f aca="false">IF(A452="","",'Outro banco'!C452)</f>
        <v/>
      </c>
      <c r="D452" s="7" t="str">
        <f aca="false">IF(A452="","",'Outro banco'!D452)</f>
        <v/>
      </c>
      <c r="E452" s="9"/>
      <c r="F452" s="9"/>
      <c r="G452" s="7" t="str">
        <f aca="false">IF(A452="","",IF(COUNTIF(Tabelas!$A:$A,IF(E452="",A452,E452))&gt;0,"sim","não"))</f>
        <v/>
      </c>
      <c r="H452" s="7" t="str">
        <f aca="false">IF(A452="","",IF(E452="",A452,E452)&amp;"."&amp;IF(F452="",B452,F452))</f>
        <v/>
      </c>
      <c r="I452" s="7" t="str">
        <f aca="false">IF(A452="","",IFERROR(INDEX('Campos Growths'!$F:$F,MATCH(H452,'Campos Growths'!$A:$A,0)),""))</f>
        <v/>
      </c>
      <c r="J452" s="7" t="str">
        <f aca="false">IF(A452="","",IFERROR(VLOOKUP(IF(ISNUMBER(SEARCH("(",C452)),LEFT(C452,SEARCH("(",C452)-1),C452),Tipos!$A:$B,2,FALSE()),"outro"))</f>
        <v/>
      </c>
      <c r="K452" s="7" t="str">
        <f aca="false">IF(I452="","",IFERROR(INDEX('Campos Growths'!$L:$L,MATCH(H452,'Campos Growths'!$A:$A,0)),""))</f>
        <v/>
      </c>
      <c r="L452" s="7" t="str">
        <f aca="false">IF(A452="","",IF(G452="não","Sem tabela no Growths",IF(I452="","Sem campo no Growths",IF(J452=K452,"Importa direto","Ajustar tipo"))))</f>
        <v/>
      </c>
      <c r="M452" s="9"/>
    </row>
    <row r="453" customFormat="false" ht="15" hidden="false" customHeight="false" outlineLevel="0" collapsed="false">
      <c r="A453" s="7" t="str">
        <f aca="false">IF('Outro banco'!A453="","",IF(LEFT('Outro banco'!A453,1)="(","",'Outro banco'!A453))</f>
        <v/>
      </c>
      <c r="B453" s="7" t="str">
        <f aca="false">IF(A453="","",'Outro banco'!B453)</f>
        <v/>
      </c>
      <c r="C453" s="7" t="str">
        <f aca="false">IF(A453="","",'Outro banco'!C453)</f>
        <v/>
      </c>
      <c r="D453" s="7" t="str">
        <f aca="false">IF(A453="","",'Outro banco'!D453)</f>
        <v/>
      </c>
      <c r="E453" s="9"/>
      <c r="F453" s="9"/>
      <c r="G453" s="7" t="str">
        <f aca="false">IF(A453="","",IF(COUNTIF(Tabelas!$A:$A,IF(E453="",A453,E453))&gt;0,"sim","não"))</f>
        <v/>
      </c>
      <c r="H453" s="7" t="str">
        <f aca="false">IF(A453="","",IF(E453="",A453,E453)&amp;"."&amp;IF(F453="",B453,F453))</f>
        <v/>
      </c>
      <c r="I453" s="7" t="str">
        <f aca="false">IF(A453="","",IFERROR(INDEX('Campos Growths'!$F:$F,MATCH(H453,'Campos Growths'!$A:$A,0)),""))</f>
        <v/>
      </c>
      <c r="J453" s="7" t="str">
        <f aca="false">IF(A453="","",IFERROR(VLOOKUP(IF(ISNUMBER(SEARCH("(",C453)),LEFT(C453,SEARCH("(",C453)-1),C453),Tipos!$A:$B,2,FALSE()),"outro"))</f>
        <v/>
      </c>
      <c r="K453" s="7" t="str">
        <f aca="false">IF(I453="","",IFERROR(INDEX('Campos Growths'!$L:$L,MATCH(H453,'Campos Growths'!$A:$A,0)),""))</f>
        <v/>
      </c>
      <c r="L453" s="7" t="str">
        <f aca="false">IF(A453="","",IF(G453="não","Sem tabela no Growths",IF(I453="","Sem campo no Growths",IF(J453=K453,"Importa direto","Ajustar tipo"))))</f>
        <v/>
      </c>
      <c r="M453" s="9"/>
    </row>
    <row r="454" customFormat="false" ht="15" hidden="false" customHeight="false" outlineLevel="0" collapsed="false">
      <c r="A454" s="7" t="str">
        <f aca="false">IF('Outro banco'!A454="","",IF(LEFT('Outro banco'!A454,1)="(","",'Outro banco'!A454))</f>
        <v/>
      </c>
      <c r="B454" s="7" t="str">
        <f aca="false">IF(A454="","",'Outro banco'!B454)</f>
        <v/>
      </c>
      <c r="C454" s="7" t="str">
        <f aca="false">IF(A454="","",'Outro banco'!C454)</f>
        <v/>
      </c>
      <c r="D454" s="7" t="str">
        <f aca="false">IF(A454="","",'Outro banco'!D454)</f>
        <v/>
      </c>
      <c r="E454" s="9"/>
      <c r="F454" s="9"/>
      <c r="G454" s="7" t="str">
        <f aca="false">IF(A454="","",IF(COUNTIF(Tabelas!$A:$A,IF(E454="",A454,E454))&gt;0,"sim","não"))</f>
        <v/>
      </c>
      <c r="H454" s="7" t="str">
        <f aca="false">IF(A454="","",IF(E454="",A454,E454)&amp;"."&amp;IF(F454="",B454,F454))</f>
        <v/>
      </c>
      <c r="I454" s="7" t="str">
        <f aca="false">IF(A454="","",IFERROR(INDEX('Campos Growths'!$F:$F,MATCH(H454,'Campos Growths'!$A:$A,0)),""))</f>
        <v/>
      </c>
      <c r="J454" s="7" t="str">
        <f aca="false">IF(A454="","",IFERROR(VLOOKUP(IF(ISNUMBER(SEARCH("(",C454)),LEFT(C454,SEARCH("(",C454)-1),C454),Tipos!$A:$B,2,FALSE()),"outro"))</f>
        <v/>
      </c>
      <c r="K454" s="7" t="str">
        <f aca="false">IF(I454="","",IFERROR(INDEX('Campos Growths'!$L:$L,MATCH(H454,'Campos Growths'!$A:$A,0)),""))</f>
        <v/>
      </c>
      <c r="L454" s="7" t="str">
        <f aca="false">IF(A454="","",IF(G454="não","Sem tabela no Growths",IF(I454="","Sem campo no Growths",IF(J454=K454,"Importa direto","Ajustar tipo"))))</f>
        <v/>
      </c>
      <c r="M454" s="9"/>
    </row>
    <row r="455" customFormat="false" ht="15" hidden="false" customHeight="false" outlineLevel="0" collapsed="false">
      <c r="A455" s="7" t="str">
        <f aca="false">IF('Outro banco'!A455="","",IF(LEFT('Outro banco'!A455,1)="(","",'Outro banco'!A455))</f>
        <v/>
      </c>
      <c r="B455" s="7" t="str">
        <f aca="false">IF(A455="","",'Outro banco'!B455)</f>
        <v/>
      </c>
      <c r="C455" s="7" t="str">
        <f aca="false">IF(A455="","",'Outro banco'!C455)</f>
        <v/>
      </c>
      <c r="D455" s="7" t="str">
        <f aca="false">IF(A455="","",'Outro banco'!D455)</f>
        <v/>
      </c>
      <c r="E455" s="9"/>
      <c r="F455" s="9"/>
      <c r="G455" s="7" t="str">
        <f aca="false">IF(A455="","",IF(COUNTIF(Tabelas!$A:$A,IF(E455="",A455,E455))&gt;0,"sim","não"))</f>
        <v/>
      </c>
      <c r="H455" s="7" t="str">
        <f aca="false">IF(A455="","",IF(E455="",A455,E455)&amp;"."&amp;IF(F455="",B455,F455))</f>
        <v/>
      </c>
      <c r="I455" s="7" t="str">
        <f aca="false">IF(A455="","",IFERROR(INDEX('Campos Growths'!$F:$F,MATCH(H455,'Campos Growths'!$A:$A,0)),""))</f>
        <v/>
      </c>
      <c r="J455" s="7" t="str">
        <f aca="false">IF(A455="","",IFERROR(VLOOKUP(IF(ISNUMBER(SEARCH("(",C455)),LEFT(C455,SEARCH("(",C455)-1),C455),Tipos!$A:$B,2,FALSE()),"outro"))</f>
        <v/>
      </c>
      <c r="K455" s="7" t="str">
        <f aca="false">IF(I455="","",IFERROR(INDEX('Campos Growths'!$L:$L,MATCH(H455,'Campos Growths'!$A:$A,0)),""))</f>
        <v/>
      </c>
      <c r="L455" s="7" t="str">
        <f aca="false">IF(A455="","",IF(G455="não","Sem tabela no Growths",IF(I455="","Sem campo no Growths",IF(J455=K455,"Importa direto","Ajustar tipo"))))</f>
        <v/>
      </c>
      <c r="M455" s="9"/>
    </row>
    <row r="456" customFormat="false" ht="15" hidden="false" customHeight="false" outlineLevel="0" collapsed="false">
      <c r="A456" s="7" t="str">
        <f aca="false">IF('Outro banco'!A456="","",IF(LEFT('Outro banco'!A456,1)="(","",'Outro banco'!A456))</f>
        <v/>
      </c>
      <c r="B456" s="7" t="str">
        <f aca="false">IF(A456="","",'Outro banco'!B456)</f>
        <v/>
      </c>
      <c r="C456" s="7" t="str">
        <f aca="false">IF(A456="","",'Outro banco'!C456)</f>
        <v/>
      </c>
      <c r="D456" s="7" t="str">
        <f aca="false">IF(A456="","",'Outro banco'!D456)</f>
        <v/>
      </c>
      <c r="E456" s="9"/>
      <c r="F456" s="9"/>
      <c r="G456" s="7" t="str">
        <f aca="false">IF(A456="","",IF(COUNTIF(Tabelas!$A:$A,IF(E456="",A456,E456))&gt;0,"sim","não"))</f>
        <v/>
      </c>
      <c r="H456" s="7" t="str">
        <f aca="false">IF(A456="","",IF(E456="",A456,E456)&amp;"."&amp;IF(F456="",B456,F456))</f>
        <v/>
      </c>
      <c r="I456" s="7" t="str">
        <f aca="false">IF(A456="","",IFERROR(INDEX('Campos Growths'!$F:$F,MATCH(H456,'Campos Growths'!$A:$A,0)),""))</f>
        <v/>
      </c>
      <c r="J456" s="7" t="str">
        <f aca="false">IF(A456="","",IFERROR(VLOOKUP(IF(ISNUMBER(SEARCH("(",C456)),LEFT(C456,SEARCH("(",C456)-1),C456),Tipos!$A:$B,2,FALSE()),"outro"))</f>
        <v/>
      </c>
      <c r="K456" s="7" t="str">
        <f aca="false">IF(I456="","",IFERROR(INDEX('Campos Growths'!$L:$L,MATCH(H456,'Campos Growths'!$A:$A,0)),""))</f>
        <v/>
      </c>
      <c r="L456" s="7" t="str">
        <f aca="false">IF(A456="","",IF(G456="não","Sem tabela no Growths",IF(I456="","Sem campo no Growths",IF(J456=K456,"Importa direto","Ajustar tipo"))))</f>
        <v/>
      </c>
      <c r="M456" s="9"/>
    </row>
    <row r="457" customFormat="false" ht="15" hidden="false" customHeight="false" outlineLevel="0" collapsed="false">
      <c r="A457" s="7" t="str">
        <f aca="false">IF('Outro banco'!A457="","",IF(LEFT('Outro banco'!A457,1)="(","",'Outro banco'!A457))</f>
        <v/>
      </c>
      <c r="B457" s="7" t="str">
        <f aca="false">IF(A457="","",'Outro banco'!B457)</f>
        <v/>
      </c>
      <c r="C457" s="7" t="str">
        <f aca="false">IF(A457="","",'Outro banco'!C457)</f>
        <v/>
      </c>
      <c r="D457" s="7" t="str">
        <f aca="false">IF(A457="","",'Outro banco'!D457)</f>
        <v/>
      </c>
      <c r="E457" s="9"/>
      <c r="F457" s="9"/>
      <c r="G457" s="7" t="str">
        <f aca="false">IF(A457="","",IF(COUNTIF(Tabelas!$A:$A,IF(E457="",A457,E457))&gt;0,"sim","não"))</f>
        <v/>
      </c>
      <c r="H457" s="7" t="str">
        <f aca="false">IF(A457="","",IF(E457="",A457,E457)&amp;"."&amp;IF(F457="",B457,F457))</f>
        <v/>
      </c>
      <c r="I457" s="7" t="str">
        <f aca="false">IF(A457="","",IFERROR(INDEX('Campos Growths'!$F:$F,MATCH(H457,'Campos Growths'!$A:$A,0)),""))</f>
        <v/>
      </c>
      <c r="J457" s="7" t="str">
        <f aca="false">IF(A457="","",IFERROR(VLOOKUP(IF(ISNUMBER(SEARCH("(",C457)),LEFT(C457,SEARCH("(",C457)-1),C457),Tipos!$A:$B,2,FALSE()),"outro"))</f>
        <v/>
      </c>
      <c r="K457" s="7" t="str">
        <f aca="false">IF(I457="","",IFERROR(INDEX('Campos Growths'!$L:$L,MATCH(H457,'Campos Growths'!$A:$A,0)),""))</f>
        <v/>
      </c>
      <c r="L457" s="7" t="str">
        <f aca="false">IF(A457="","",IF(G457="não","Sem tabela no Growths",IF(I457="","Sem campo no Growths",IF(J457=K457,"Importa direto","Ajustar tipo"))))</f>
        <v/>
      </c>
      <c r="M457" s="9"/>
    </row>
    <row r="458" customFormat="false" ht="15" hidden="false" customHeight="false" outlineLevel="0" collapsed="false">
      <c r="A458" s="7" t="str">
        <f aca="false">IF('Outro banco'!A458="","",IF(LEFT('Outro banco'!A458,1)="(","",'Outro banco'!A458))</f>
        <v/>
      </c>
      <c r="B458" s="7" t="str">
        <f aca="false">IF(A458="","",'Outro banco'!B458)</f>
        <v/>
      </c>
      <c r="C458" s="7" t="str">
        <f aca="false">IF(A458="","",'Outro banco'!C458)</f>
        <v/>
      </c>
      <c r="D458" s="7" t="str">
        <f aca="false">IF(A458="","",'Outro banco'!D458)</f>
        <v/>
      </c>
      <c r="E458" s="9"/>
      <c r="F458" s="9"/>
      <c r="G458" s="7" t="str">
        <f aca="false">IF(A458="","",IF(COUNTIF(Tabelas!$A:$A,IF(E458="",A458,E458))&gt;0,"sim","não"))</f>
        <v/>
      </c>
      <c r="H458" s="7" t="str">
        <f aca="false">IF(A458="","",IF(E458="",A458,E458)&amp;"."&amp;IF(F458="",B458,F458))</f>
        <v/>
      </c>
      <c r="I458" s="7" t="str">
        <f aca="false">IF(A458="","",IFERROR(INDEX('Campos Growths'!$F:$F,MATCH(H458,'Campos Growths'!$A:$A,0)),""))</f>
        <v/>
      </c>
      <c r="J458" s="7" t="str">
        <f aca="false">IF(A458="","",IFERROR(VLOOKUP(IF(ISNUMBER(SEARCH("(",C458)),LEFT(C458,SEARCH("(",C458)-1),C458),Tipos!$A:$B,2,FALSE()),"outro"))</f>
        <v/>
      </c>
      <c r="K458" s="7" t="str">
        <f aca="false">IF(I458="","",IFERROR(INDEX('Campos Growths'!$L:$L,MATCH(H458,'Campos Growths'!$A:$A,0)),""))</f>
        <v/>
      </c>
      <c r="L458" s="7" t="str">
        <f aca="false">IF(A458="","",IF(G458="não","Sem tabela no Growths",IF(I458="","Sem campo no Growths",IF(J458=K458,"Importa direto","Ajustar tipo"))))</f>
        <v/>
      </c>
      <c r="M458" s="9"/>
    </row>
    <row r="459" customFormat="false" ht="15" hidden="false" customHeight="false" outlineLevel="0" collapsed="false">
      <c r="A459" s="7" t="str">
        <f aca="false">IF('Outro banco'!A459="","",IF(LEFT('Outro banco'!A459,1)="(","",'Outro banco'!A459))</f>
        <v/>
      </c>
      <c r="B459" s="7" t="str">
        <f aca="false">IF(A459="","",'Outro banco'!B459)</f>
        <v/>
      </c>
      <c r="C459" s="7" t="str">
        <f aca="false">IF(A459="","",'Outro banco'!C459)</f>
        <v/>
      </c>
      <c r="D459" s="7" t="str">
        <f aca="false">IF(A459="","",'Outro banco'!D459)</f>
        <v/>
      </c>
      <c r="E459" s="9"/>
      <c r="F459" s="9"/>
      <c r="G459" s="7" t="str">
        <f aca="false">IF(A459="","",IF(COUNTIF(Tabelas!$A:$A,IF(E459="",A459,E459))&gt;0,"sim","não"))</f>
        <v/>
      </c>
      <c r="H459" s="7" t="str">
        <f aca="false">IF(A459="","",IF(E459="",A459,E459)&amp;"."&amp;IF(F459="",B459,F459))</f>
        <v/>
      </c>
      <c r="I459" s="7" t="str">
        <f aca="false">IF(A459="","",IFERROR(INDEX('Campos Growths'!$F:$F,MATCH(H459,'Campos Growths'!$A:$A,0)),""))</f>
        <v/>
      </c>
      <c r="J459" s="7" t="str">
        <f aca="false">IF(A459="","",IFERROR(VLOOKUP(IF(ISNUMBER(SEARCH("(",C459)),LEFT(C459,SEARCH("(",C459)-1),C459),Tipos!$A:$B,2,FALSE()),"outro"))</f>
        <v/>
      </c>
      <c r="K459" s="7" t="str">
        <f aca="false">IF(I459="","",IFERROR(INDEX('Campos Growths'!$L:$L,MATCH(H459,'Campos Growths'!$A:$A,0)),""))</f>
        <v/>
      </c>
      <c r="L459" s="7" t="str">
        <f aca="false">IF(A459="","",IF(G459="não","Sem tabela no Growths",IF(I459="","Sem campo no Growths",IF(J459=K459,"Importa direto","Ajustar tipo"))))</f>
        <v/>
      </c>
      <c r="M459" s="9"/>
    </row>
    <row r="460" customFormat="false" ht="15" hidden="false" customHeight="false" outlineLevel="0" collapsed="false">
      <c r="A460" s="7" t="str">
        <f aca="false">IF('Outro banco'!A460="","",IF(LEFT('Outro banco'!A460,1)="(","",'Outro banco'!A460))</f>
        <v/>
      </c>
      <c r="B460" s="7" t="str">
        <f aca="false">IF(A460="","",'Outro banco'!B460)</f>
        <v/>
      </c>
      <c r="C460" s="7" t="str">
        <f aca="false">IF(A460="","",'Outro banco'!C460)</f>
        <v/>
      </c>
      <c r="D460" s="7" t="str">
        <f aca="false">IF(A460="","",'Outro banco'!D460)</f>
        <v/>
      </c>
      <c r="E460" s="9"/>
      <c r="F460" s="9"/>
      <c r="G460" s="7" t="str">
        <f aca="false">IF(A460="","",IF(COUNTIF(Tabelas!$A:$A,IF(E460="",A460,E460))&gt;0,"sim","não"))</f>
        <v/>
      </c>
      <c r="H460" s="7" t="str">
        <f aca="false">IF(A460="","",IF(E460="",A460,E460)&amp;"."&amp;IF(F460="",B460,F460))</f>
        <v/>
      </c>
      <c r="I460" s="7" t="str">
        <f aca="false">IF(A460="","",IFERROR(INDEX('Campos Growths'!$F:$F,MATCH(H460,'Campos Growths'!$A:$A,0)),""))</f>
        <v/>
      </c>
      <c r="J460" s="7" t="str">
        <f aca="false">IF(A460="","",IFERROR(VLOOKUP(IF(ISNUMBER(SEARCH("(",C460)),LEFT(C460,SEARCH("(",C460)-1),C460),Tipos!$A:$B,2,FALSE()),"outro"))</f>
        <v/>
      </c>
      <c r="K460" s="7" t="str">
        <f aca="false">IF(I460="","",IFERROR(INDEX('Campos Growths'!$L:$L,MATCH(H460,'Campos Growths'!$A:$A,0)),""))</f>
        <v/>
      </c>
      <c r="L460" s="7" t="str">
        <f aca="false">IF(A460="","",IF(G460="não","Sem tabela no Growths",IF(I460="","Sem campo no Growths",IF(J460=K460,"Importa direto","Ajustar tipo"))))</f>
        <v/>
      </c>
      <c r="M460" s="9"/>
    </row>
    <row r="461" customFormat="false" ht="15" hidden="false" customHeight="false" outlineLevel="0" collapsed="false">
      <c r="A461" s="7" t="str">
        <f aca="false">IF('Outro banco'!A461="","",IF(LEFT('Outro banco'!A461,1)="(","",'Outro banco'!A461))</f>
        <v/>
      </c>
      <c r="B461" s="7" t="str">
        <f aca="false">IF(A461="","",'Outro banco'!B461)</f>
        <v/>
      </c>
      <c r="C461" s="7" t="str">
        <f aca="false">IF(A461="","",'Outro banco'!C461)</f>
        <v/>
      </c>
      <c r="D461" s="7" t="str">
        <f aca="false">IF(A461="","",'Outro banco'!D461)</f>
        <v/>
      </c>
      <c r="E461" s="9"/>
      <c r="F461" s="9"/>
      <c r="G461" s="7" t="str">
        <f aca="false">IF(A461="","",IF(COUNTIF(Tabelas!$A:$A,IF(E461="",A461,E461))&gt;0,"sim","não"))</f>
        <v/>
      </c>
      <c r="H461" s="7" t="str">
        <f aca="false">IF(A461="","",IF(E461="",A461,E461)&amp;"."&amp;IF(F461="",B461,F461))</f>
        <v/>
      </c>
      <c r="I461" s="7" t="str">
        <f aca="false">IF(A461="","",IFERROR(INDEX('Campos Growths'!$F:$F,MATCH(H461,'Campos Growths'!$A:$A,0)),""))</f>
        <v/>
      </c>
      <c r="J461" s="7" t="str">
        <f aca="false">IF(A461="","",IFERROR(VLOOKUP(IF(ISNUMBER(SEARCH("(",C461)),LEFT(C461,SEARCH("(",C461)-1),C461),Tipos!$A:$B,2,FALSE()),"outro"))</f>
        <v/>
      </c>
      <c r="K461" s="7" t="str">
        <f aca="false">IF(I461="","",IFERROR(INDEX('Campos Growths'!$L:$L,MATCH(H461,'Campos Growths'!$A:$A,0)),""))</f>
        <v/>
      </c>
      <c r="L461" s="7" t="str">
        <f aca="false">IF(A461="","",IF(G461="não","Sem tabela no Growths",IF(I461="","Sem campo no Growths",IF(J461=K461,"Importa direto","Ajustar tipo"))))</f>
        <v/>
      </c>
      <c r="M461" s="9"/>
    </row>
    <row r="462" customFormat="false" ht="15" hidden="false" customHeight="false" outlineLevel="0" collapsed="false">
      <c r="A462" s="7" t="str">
        <f aca="false">IF('Outro banco'!A462="","",IF(LEFT('Outro banco'!A462,1)="(","",'Outro banco'!A462))</f>
        <v/>
      </c>
      <c r="B462" s="7" t="str">
        <f aca="false">IF(A462="","",'Outro banco'!B462)</f>
        <v/>
      </c>
      <c r="C462" s="7" t="str">
        <f aca="false">IF(A462="","",'Outro banco'!C462)</f>
        <v/>
      </c>
      <c r="D462" s="7" t="str">
        <f aca="false">IF(A462="","",'Outro banco'!D462)</f>
        <v/>
      </c>
      <c r="E462" s="9"/>
      <c r="F462" s="9"/>
      <c r="G462" s="7" t="str">
        <f aca="false">IF(A462="","",IF(COUNTIF(Tabelas!$A:$A,IF(E462="",A462,E462))&gt;0,"sim","não"))</f>
        <v/>
      </c>
      <c r="H462" s="7" t="str">
        <f aca="false">IF(A462="","",IF(E462="",A462,E462)&amp;"."&amp;IF(F462="",B462,F462))</f>
        <v/>
      </c>
      <c r="I462" s="7" t="str">
        <f aca="false">IF(A462="","",IFERROR(INDEX('Campos Growths'!$F:$F,MATCH(H462,'Campos Growths'!$A:$A,0)),""))</f>
        <v/>
      </c>
      <c r="J462" s="7" t="str">
        <f aca="false">IF(A462="","",IFERROR(VLOOKUP(IF(ISNUMBER(SEARCH("(",C462)),LEFT(C462,SEARCH("(",C462)-1),C462),Tipos!$A:$B,2,FALSE()),"outro"))</f>
        <v/>
      </c>
      <c r="K462" s="7" t="str">
        <f aca="false">IF(I462="","",IFERROR(INDEX('Campos Growths'!$L:$L,MATCH(H462,'Campos Growths'!$A:$A,0)),""))</f>
        <v/>
      </c>
      <c r="L462" s="7" t="str">
        <f aca="false">IF(A462="","",IF(G462="não","Sem tabela no Growths",IF(I462="","Sem campo no Growths",IF(J462=K462,"Importa direto","Ajustar tipo"))))</f>
        <v/>
      </c>
      <c r="M462" s="9"/>
    </row>
    <row r="463" customFormat="false" ht="15" hidden="false" customHeight="false" outlineLevel="0" collapsed="false">
      <c r="A463" s="7" t="str">
        <f aca="false">IF('Outro banco'!A463="","",IF(LEFT('Outro banco'!A463,1)="(","",'Outro banco'!A463))</f>
        <v/>
      </c>
      <c r="B463" s="7" t="str">
        <f aca="false">IF(A463="","",'Outro banco'!B463)</f>
        <v/>
      </c>
      <c r="C463" s="7" t="str">
        <f aca="false">IF(A463="","",'Outro banco'!C463)</f>
        <v/>
      </c>
      <c r="D463" s="7" t="str">
        <f aca="false">IF(A463="","",'Outro banco'!D463)</f>
        <v/>
      </c>
      <c r="E463" s="9"/>
      <c r="F463" s="9"/>
      <c r="G463" s="7" t="str">
        <f aca="false">IF(A463="","",IF(COUNTIF(Tabelas!$A:$A,IF(E463="",A463,E463))&gt;0,"sim","não"))</f>
        <v/>
      </c>
      <c r="H463" s="7" t="str">
        <f aca="false">IF(A463="","",IF(E463="",A463,E463)&amp;"."&amp;IF(F463="",B463,F463))</f>
        <v/>
      </c>
      <c r="I463" s="7" t="str">
        <f aca="false">IF(A463="","",IFERROR(INDEX('Campos Growths'!$F:$F,MATCH(H463,'Campos Growths'!$A:$A,0)),""))</f>
        <v/>
      </c>
      <c r="J463" s="7" t="str">
        <f aca="false">IF(A463="","",IFERROR(VLOOKUP(IF(ISNUMBER(SEARCH("(",C463)),LEFT(C463,SEARCH("(",C463)-1),C463),Tipos!$A:$B,2,FALSE()),"outro"))</f>
        <v/>
      </c>
      <c r="K463" s="7" t="str">
        <f aca="false">IF(I463="","",IFERROR(INDEX('Campos Growths'!$L:$L,MATCH(H463,'Campos Growths'!$A:$A,0)),""))</f>
        <v/>
      </c>
      <c r="L463" s="7" t="str">
        <f aca="false">IF(A463="","",IF(G463="não","Sem tabela no Growths",IF(I463="","Sem campo no Growths",IF(J463=K463,"Importa direto","Ajustar tipo"))))</f>
        <v/>
      </c>
      <c r="M463" s="9"/>
    </row>
    <row r="464" customFormat="false" ht="15" hidden="false" customHeight="false" outlineLevel="0" collapsed="false">
      <c r="A464" s="7" t="str">
        <f aca="false">IF('Outro banco'!A464="","",IF(LEFT('Outro banco'!A464,1)="(","",'Outro banco'!A464))</f>
        <v/>
      </c>
      <c r="B464" s="7" t="str">
        <f aca="false">IF(A464="","",'Outro banco'!B464)</f>
        <v/>
      </c>
      <c r="C464" s="7" t="str">
        <f aca="false">IF(A464="","",'Outro banco'!C464)</f>
        <v/>
      </c>
      <c r="D464" s="7" t="str">
        <f aca="false">IF(A464="","",'Outro banco'!D464)</f>
        <v/>
      </c>
      <c r="E464" s="9"/>
      <c r="F464" s="9"/>
      <c r="G464" s="7" t="str">
        <f aca="false">IF(A464="","",IF(COUNTIF(Tabelas!$A:$A,IF(E464="",A464,E464))&gt;0,"sim","não"))</f>
        <v/>
      </c>
      <c r="H464" s="7" t="str">
        <f aca="false">IF(A464="","",IF(E464="",A464,E464)&amp;"."&amp;IF(F464="",B464,F464))</f>
        <v/>
      </c>
      <c r="I464" s="7" t="str">
        <f aca="false">IF(A464="","",IFERROR(INDEX('Campos Growths'!$F:$F,MATCH(H464,'Campos Growths'!$A:$A,0)),""))</f>
        <v/>
      </c>
      <c r="J464" s="7" t="str">
        <f aca="false">IF(A464="","",IFERROR(VLOOKUP(IF(ISNUMBER(SEARCH("(",C464)),LEFT(C464,SEARCH("(",C464)-1),C464),Tipos!$A:$B,2,FALSE()),"outro"))</f>
        <v/>
      </c>
      <c r="K464" s="7" t="str">
        <f aca="false">IF(I464="","",IFERROR(INDEX('Campos Growths'!$L:$L,MATCH(H464,'Campos Growths'!$A:$A,0)),""))</f>
        <v/>
      </c>
      <c r="L464" s="7" t="str">
        <f aca="false">IF(A464="","",IF(G464="não","Sem tabela no Growths",IF(I464="","Sem campo no Growths",IF(J464=K464,"Importa direto","Ajustar tipo"))))</f>
        <v/>
      </c>
      <c r="M464" s="9"/>
    </row>
    <row r="465" customFormat="false" ht="15" hidden="false" customHeight="false" outlineLevel="0" collapsed="false">
      <c r="A465" s="7" t="str">
        <f aca="false">IF('Outro banco'!A465="","",IF(LEFT('Outro banco'!A465,1)="(","",'Outro banco'!A465))</f>
        <v/>
      </c>
      <c r="B465" s="7" t="str">
        <f aca="false">IF(A465="","",'Outro banco'!B465)</f>
        <v/>
      </c>
      <c r="C465" s="7" t="str">
        <f aca="false">IF(A465="","",'Outro banco'!C465)</f>
        <v/>
      </c>
      <c r="D465" s="7" t="str">
        <f aca="false">IF(A465="","",'Outro banco'!D465)</f>
        <v/>
      </c>
      <c r="E465" s="9"/>
      <c r="F465" s="9"/>
      <c r="G465" s="7" t="str">
        <f aca="false">IF(A465="","",IF(COUNTIF(Tabelas!$A:$A,IF(E465="",A465,E465))&gt;0,"sim","não"))</f>
        <v/>
      </c>
      <c r="H465" s="7" t="str">
        <f aca="false">IF(A465="","",IF(E465="",A465,E465)&amp;"."&amp;IF(F465="",B465,F465))</f>
        <v/>
      </c>
      <c r="I465" s="7" t="str">
        <f aca="false">IF(A465="","",IFERROR(INDEX('Campos Growths'!$F:$F,MATCH(H465,'Campos Growths'!$A:$A,0)),""))</f>
        <v/>
      </c>
      <c r="J465" s="7" t="str">
        <f aca="false">IF(A465="","",IFERROR(VLOOKUP(IF(ISNUMBER(SEARCH("(",C465)),LEFT(C465,SEARCH("(",C465)-1),C465),Tipos!$A:$B,2,FALSE()),"outro"))</f>
        <v/>
      </c>
      <c r="K465" s="7" t="str">
        <f aca="false">IF(I465="","",IFERROR(INDEX('Campos Growths'!$L:$L,MATCH(H465,'Campos Growths'!$A:$A,0)),""))</f>
        <v/>
      </c>
      <c r="L465" s="7" t="str">
        <f aca="false">IF(A465="","",IF(G465="não","Sem tabela no Growths",IF(I465="","Sem campo no Growths",IF(J465=K465,"Importa direto","Ajustar tipo"))))</f>
        <v/>
      </c>
      <c r="M465" s="9"/>
    </row>
    <row r="466" customFormat="false" ht="15" hidden="false" customHeight="false" outlineLevel="0" collapsed="false">
      <c r="A466" s="7" t="str">
        <f aca="false">IF('Outro banco'!A466="","",IF(LEFT('Outro banco'!A466,1)="(","",'Outro banco'!A466))</f>
        <v/>
      </c>
      <c r="B466" s="7" t="str">
        <f aca="false">IF(A466="","",'Outro banco'!B466)</f>
        <v/>
      </c>
      <c r="C466" s="7" t="str">
        <f aca="false">IF(A466="","",'Outro banco'!C466)</f>
        <v/>
      </c>
      <c r="D466" s="7" t="str">
        <f aca="false">IF(A466="","",'Outro banco'!D466)</f>
        <v/>
      </c>
      <c r="E466" s="9"/>
      <c r="F466" s="9"/>
      <c r="G466" s="7" t="str">
        <f aca="false">IF(A466="","",IF(COUNTIF(Tabelas!$A:$A,IF(E466="",A466,E466))&gt;0,"sim","não"))</f>
        <v/>
      </c>
      <c r="H466" s="7" t="str">
        <f aca="false">IF(A466="","",IF(E466="",A466,E466)&amp;"."&amp;IF(F466="",B466,F466))</f>
        <v/>
      </c>
      <c r="I466" s="7" t="str">
        <f aca="false">IF(A466="","",IFERROR(INDEX('Campos Growths'!$F:$F,MATCH(H466,'Campos Growths'!$A:$A,0)),""))</f>
        <v/>
      </c>
      <c r="J466" s="7" t="str">
        <f aca="false">IF(A466="","",IFERROR(VLOOKUP(IF(ISNUMBER(SEARCH("(",C466)),LEFT(C466,SEARCH("(",C466)-1),C466),Tipos!$A:$B,2,FALSE()),"outro"))</f>
        <v/>
      </c>
      <c r="K466" s="7" t="str">
        <f aca="false">IF(I466="","",IFERROR(INDEX('Campos Growths'!$L:$L,MATCH(H466,'Campos Growths'!$A:$A,0)),""))</f>
        <v/>
      </c>
      <c r="L466" s="7" t="str">
        <f aca="false">IF(A466="","",IF(G466="não","Sem tabela no Growths",IF(I466="","Sem campo no Growths",IF(J466=K466,"Importa direto","Ajustar tipo"))))</f>
        <v/>
      </c>
      <c r="M466" s="9"/>
    </row>
    <row r="467" customFormat="false" ht="15" hidden="false" customHeight="false" outlineLevel="0" collapsed="false">
      <c r="A467" s="7" t="str">
        <f aca="false">IF('Outro banco'!A467="","",IF(LEFT('Outro banco'!A467,1)="(","",'Outro banco'!A467))</f>
        <v/>
      </c>
      <c r="B467" s="7" t="str">
        <f aca="false">IF(A467="","",'Outro banco'!B467)</f>
        <v/>
      </c>
      <c r="C467" s="7" t="str">
        <f aca="false">IF(A467="","",'Outro banco'!C467)</f>
        <v/>
      </c>
      <c r="D467" s="7" t="str">
        <f aca="false">IF(A467="","",'Outro banco'!D467)</f>
        <v/>
      </c>
      <c r="E467" s="9"/>
      <c r="F467" s="9"/>
      <c r="G467" s="7" t="str">
        <f aca="false">IF(A467="","",IF(COUNTIF(Tabelas!$A:$A,IF(E467="",A467,E467))&gt;0,"sim","não"))</f>
        <v/>
      </c>
      <c r="H467" s="7" t="str">
        <f aca="false">IF(A467="","",IF(E467="",A467,E467)&amp;"."&amp;IF(F467="",B467,F467))</f>
        <v/>
      </c>
      <c r="I467" s="7" t="str">
        <f aca="false">IF(A467="","",IFERROR(INDEX('Campos Growths'!$F:$F,MATCH(H467,'Campos Growths'!$A:$A,0)),""))</f>
        <v/>
      </c>
      <c r="J467" s="7" t="str">
        <f aca="false">IF(A467="","",IFERROR(VLOOKUP(IF(ISNUMBER(SEARCH("(",C467)),LEFT(C467,SEARCH("(",C467)-1),C467),Tipos!$A:$B,2,FALSE()),"outro"))</f>
        <v/>
      </c>
      <c r="K467" s="7" t="str">
        <f aca="false">IF(I467="","",IFERROR(INDEX('Campos Growths'!$L:$L,MATCH(H467,'Campos Growths'!$A:$A,0)),""))</f>
        <v/>
      </c>
      <c r="L467" s="7" t="str">
        <f aca="false">IF(A467="","",IF(G467="não","Sem tabela no Growths",IF(I467="","Sem campo no Growths",IF(J467=K467,"Importa direto","Ajustar tipo"))))</f>
        <v/>
      </c>
      <c r="M467" s="9"/>
    </row>
    <row r="468" customFormat="false" ht="15" hidden="false" customHeight="false" outlineLevel="0" collapsed="false">
      <c r="A468" s="7" t="str">
        <f aca="false">IF('Outro banco'!A468="","",IF(LEFT('Outro banco'!A468,1)="(","",'Outro banco'!A468))</f>
        <v/>
      </c>
      <c r="B468" s="7" t="str">
        <f aca="false">IF(A468="","",'Outro banco'!B468)</f>
        <v/>
      </c>
      <c r="C468" s="7" t="str">
        <f aca="false">IF(A468="","",'Outro banco'!C468)</f>
        <v/>
      </c>
      <c r="D468" s="7" t="str">
        <f aca="false">IF(A468="","",'Outro banco'!D468)</f>
        <v/>
      </c>
      <c r="E468" s="9"/>
      <c r="F468" s="9"/>
      <c r="G468" s="7" t="str">
        <f aca="false">IF(A468="","",IF(COUNTIF(Tabelas!$A:$A,IF(E468="",A468,E468))&gt;0,"sim","não"))</f>
        <v/>
      </c>
      <c r="H468" s="7" t="str">
        <f aca="false">IF(A468="","",IF(E468="",A468,E468)&amp;"."&amp;IF(F468="",B468,F468))</f>
        <v/>
      </c>
      <c r="I468" s="7" t="str">
        <f aca="false">IF(A468="","",IFERROR(INDEX('Campos Growths'!$F:$F,MATCH(H468,'Campos Growths'!$A:$A,0)),""))</f>
        <v/>
      </c>
      <c r="J468" s="7" t="str">
        <f aca="false">IF(A468="","",IFERROR(VLOOKUP(IF(ISNUMBER(SEARCH("(",C468)),LEFT(C468,SEARCH("(",C468)-1),C468),Tipos!$A:$B,2,FALSE()),"outro"))</f>
        <v/>
      </c>
      <c r="K468" s="7" t="str">
        <f aca="false">IF(I468="","",IFERROR(INDEX('Campos Growths'!$L:$L,MATCH(H468,'Campos Growths'!$A:$A,0)),""))</f>
        <v/>
      </c>
      <c r="L468" s="7" t="str">
        <f aca="false">IF(A468="","",IF(G468="não","Sem tabela no Growths",IF(I468="","Sem campo no Growths",IF(J468=K468,"Importa direto","Ajustar tipo"))))</f>
        <v/>
      </c>
      <c r="M468" s="9"/>
    </row>
    <row r="469" customFormat="false" ht="15" hidden="false" customHeight="false" outlineLevel="0" collapsed="false">
      <c r="A469" s="7" t="str">
        <f aca="false">IF('Outro banco'!A469="","",IF(LEFT('Outro banco'!A469,1)="(","",'Outro banco'!A469))</f>
        <v/>
      </c>
      <c r="B469" s="7" t="str">
        <f aca="false">IF(A469="","",'Outro banco'!B469)</f>
        <v/>
      </c>
      <c r="C469" s="7" t="str">
        <f aca="false">IF(A469="","",'Outro banco'!C469)</f>
        <v/>
      </c>
      <c r="D469" s="7" t="str">
        <f aca="false">IF(A469="","",'Outro banco'!D469)</f>
        <v/>
      </c>
      <c r="E469" s="9"/>
      <c r="F469" s="9"/>
      <c r="G469" s="7" t="str">
        <f aca="false">IF(A469="","",IF(COUNTIF(Tabelas!$A:$A,IF(E469="",A469,E469))&gt;0,"sim","não"))</f>
        <v/>
      </c>
      <c r="H469" s="7" t="str">
        <f aca="false">IF(A469="","",IF(E469="",A469,E469)&amp;"."&amp;IF(F469="",B469,F469))</f>
        <v/>
      </c>
      <c r="I469" s="7" t="str">
        <f aca="false">IF(A469="","",IFERROR(INDEX('Campos Growths'!$F:$F,MATCH(H469,'Campos Growths'!$A:$A,0)),""))</f>
        <v/>
      </c>
      <c r="J469" s="7" t="str">
        <f aca="false">IF(A469="","",IFERROR(VLOOKUP(IF(ISNUMBER(SEARCH("(",C469)),LEFT(C469,SEARCH("(",C469)-1),C469),Tipos!$A:$B,2,FALSE()),"outro"))</f>
        <v/>
      </c>
      <c r="K469" s="7" t="str">
        <f aca="false">IF(I469="","",IFERROR(INDEX('Campos Growths'!$L:$L,MATCH(H469,'Campos Growths'!$A:$A,0)),""))</f>
        <v/>
      </c>
      <c r="L469" s="7" t="str">
        <f aca="false">IF(A469="","",IF(G469="não","Sem tabela no Growths",IF(I469="","Sem campo no Growths",IF(J469=K469,"Importa direto","Ajustar tipo"))))</f>
        <v/>
      </c>
      <c r="M469" s="9"/>
    </row>
    <row r="470" customFormat="false" ht="15" hidden="false" customHeight="false" outlineLevel="0" collapsed="false">
      <c r="A470" s="7" t="str">
        <f aca="false">IF('Outro banco'!A470="","",IF(LEFT('Outro banco'!A470,1)="(","",'Outro banco'!A470))</f>
        <v/>
      </c>
      <c r="B470" s="7" t="str">
        <f aca="false">IF(A470="","",'Outro banco'!B470)</f>
        <v/>
      </c>
      <c r="C470" s="7" t="str">
        <f aca="false">IF(A470="","",'Outro banco'!C470)</f>
        <v/>
      </c>
      <c r="D470" s="7" t="str">
        <f aca="false">IF(A470="","",'Outro banco'!D470)</f>
        <v/>
      </c>
      <c r="E470" s="9"/>
      <c r="F470" s="9"/>
      <c r="G470" s="7" t="str">
        <f aca="false">IF(A470="","",IF(COUNTIF(Tabelas!$A:$A,IF(E470="",A470,E470))&gt;0,"sim","não"))</f>
        <v/>
      </c>
      <c r="H470" s="7" t="str">
        <f aca="false">IF(A470="","",IF(E470="",A470,E470)&amp;"."&amp;IF(F470="",B470,F470))</f>
        <v/>
      </c>
      <c r="I470" s="7" t="str">
        <f aca="false">IF(A470="","",IFERROR(INDEX('Campos Growths'!$F:$F,MATCH(H470,'Campos Growths'!$A:$A,0)),""))</f>
        <v/>
      </c>
      <c r="J470" s="7" t="str">
        <f aca="false">IF(A470="","",IFERROR(VLOOKUP(IF(ISNUMBER(SEARCH("(",C470)),LEFT(C470,SEARCH("(",C470)-1),C470),Tipos!$A:$B,2,FALSE()),"outro"))</f>
        <v/>
      </c>
      <c r="K470" s="7" t="str">
        <f aca="false">IF(I470="","",IFERROR(INDEX('Campos Growths'!$L:$L,MATCH(H470,'Campos Growths'!$A:$A,0)),""))</f>
        <v/>
      </c>
      <c r="L470" s="7" t="str">
        <f aca="false">IF(A470="","",IF(G470="não","Sem tabela no Growths",IF(I470="","Sem campo no Growths",IF(J470=K470,"Importa direto","Ajustar tipo"))))</f>
        <v/>
      </c>
      <c r="M470" s="9"/>
    </row>
    <row r="471" customFormat="false" ht="15" hidden="false" customHeight="false" outlineLevel="0" collapsed="false">
      <c r="A471" s="7" t="str">
        <f aca="false">IF('Outro banco'!A471="","",IF(LEFT('Outro banco'!A471,1)="(","",'Outro banco'!A471))</f>
        <v/>
      </c>
      <c r="B471" s="7" t="str">
        <f aca="false">IF(A471="","",'Outro banco'!B471)</f>
        <v/>
      </c>
      <c r="C471" s="7" t="str">
        <f aca="false">IF(A471="","",'Outro banco'!C471)</f>
        <v/>
      </c>
      <c r="D471" s="7" t="str">
        <f aca="false">IF(A471="","",'Outro banco'!D471)</f>
        <v/>
      </c>
      <c r="E471" s="9"/>
      <c r="F471" s="9"/>
      <c r="G471" s="7" t="str">
        <f aca="false">IF(A471="","",IF(COUNTIF(Tabelas!$A:$A,IF(E471="",A471,E471))&gt;0,"sim","não"))</f>
        <v/>
      </c>
      <c r="H471" s="7" t="str">
        <f aca="false">IF(A471="","",IF(E471="",A471,E471)&amp;"."&amp;IF(F471="",B471,F471))</f>
        <v/>
      </c>
      <c r="I471" s="7" t="str">
        <f aca="false">IF(A471="","",IFERROR(INDEX('Campos Growths'!$F:$F,MATCH(H471,'Campos Growths'!$A:$A,0)),""))</f>
        <v/>
      </c>
      <c r="J471" s="7" t="str">
        <f aca="false">IF(A471="","",IFERROR(VLOOKUP(IF(ISNUMBER(SEARCH("(",C471)),LEFT(C471,SEARCH("(",C471)-1),C471),Tipos!$A:$B,2,FALSE()),"outro"))</f>
        <v/>
      </c>
      <c r="K471" s="7" t="str">
        <f aca="false">IF(I471="","",IFERROR(INDEX('Campos Growths'!$L:$L,MATCH(H471,'Campos Growths'!$A:$A,0)),""))</f>
        <v/>
      </c>
      <c r="L471" s="7" t="str">
        <f aca="false">IF(A471="","",IF(G471="não","Sem tabela no Growths",IF(I471="","Sem campo no Growths",IF(J471=K471,"Importa direto","Ajustar tipo"))))</f>
        <v/>
      </c>
      <c r="M471" s="9"/>
    </row>
    <row r="472" customFormat="false" ht="15" hidden="false" customHeight="false" outlineLevel="0" collapsed="false">
      <c r="A472" s="7" t="str">
        <f aca="false">IF('Outro banco'!A472="","",IF(LEFT('Outro banco'!A472,1)="(","",'Outro banco'!A472))</f>
        <v/>
      </c>
      <c r="B472" s="7" t="str">
        <f aca="false">IF(A472="","",'Outro banco'!B472)</f>
        <v/>
      </c>
      <c r="C472" s="7" t="str">
        <f aca="false">IF(A472="","",'Outro banco'!C472)</f>
        <v/>
      </c>
      <c r="D472" s="7" t="str">
        <f aca="false">IF(A472="","",'Outro banco'!D472)</f>
        <v/>
      </c>
      <c r="E472" s="9"/>
      <c r="F472" s="9"/>
      <c r="G472" s="7" t="str">
        <f aca="false">IF(A472="","",IF(COUNTIF(Tabelas!$A:$A,IF(E472="",A472,E472))&gt;0,"sim","não"))</f>
        <v/>
      </c>
      <c r="H472" s="7" t="str">
        <f aca="false">IF(A472="","",IF(E472="",A472,E472)&amp;"."&amp;IF(F472="",B472,F472))</f>
        <v/>
      </c>
      <c r="I472" s="7" t="str">
        <f aca="false">IF(A472="","",IFERROR(INDEX('Campos Growths'!$F:$F,MATCH(H472,'Campos Growths'!$A:$A,0)),""))</f>
        <v/>
      </c>
      <c r="J472" s="7" t="str">
        <f aca="false">IF(A472="","",IFERROR(VLOOKUP(IF(ISNUMBER(SEARCH("(",C472)),LEFT(C472,SEARCH("(",C472)-1),C472),Tipos!$A:$B,2,FALSE()),"outro"))</f>
        <v/>
      </c>
      <c r="K472" s="7" t="str">
        <f aca="false">IF(I472="","",IFERROR(INDEX('Campos Growths'!$L:$L,MATCH(H472,'Campos Growths'!$A:$A,0)),""))</f>
        <v/>
      </c>
      <c r="L472" s="7" t="str">
        <f aca="false">IF(A472="","",IF(G472="não","Sem tabela no Growths",IF(I472="","Sem campo no Growths",IF(J472=K472,"Importa direto","Ajustar tipo"))))</f>
        <v/>
      </c>
      <c r="M472" s="9"/>
    </row>
    <row r="473" customFormat="false" ht="15" hidden="false" customHeight="false" outlineLevel="0" collapsed="false">
      <c r="A473" s="7" t="str">
        <f aca="false">IF('Outro banco'!A473="","",IF(LEFT('Outro banco'!A473,1)="(","",'Outro banco'!A473))</f>
        <v/>
      </c>
      <c r="B473" s="7" t="str">
        <f aca="false">IF(A473="","",'Outro banco'!B473)</f>
        <v/>
      </c>
      <c r="C473" s="7" t="str">
        <f aca="false">IF(A473="","",'Outro banco'!C473)</f>
        <v/>
      </c>
      <c r="D473" s="7" t="str">
        <f aca="false">IF(A473="","",'Outro banco'!D473)</f>
        <v/>
      </c>
      <c r="E473" s="9"/>
      <c r="F473" s="9"/>
      <c r="G473" s="7" t="str">
        <f aca="false">IF(A473="","",IF(COUNTIF(Tabelas!$A:$A,IF(E473="",A473,E473))&gt;0,"sim","não"))</f>
        <v/>
      </c>
      <c r="H473" s="7" t="str">
        <f aca="false">IF(A473="","",IF(E473="",A473,E473)&amp;"."&amp;IF(F473="",B473,F473))</f>
        <v/>
      </c>
      <c r="I473" s="7" t="str">
        <f aca="false">IF(A473="","",IFERROR(INDEX('Campos Growths'!$F:$F,MATCH(H473,'Campos Growths'!$A:$A,0)),""))</f>
        <v/>
      </c>
      <c r="J473" s="7" t="str">
        <f aca="false">IF(A473="","",IFERROR(VLOOKUP(IF(ISNUMBER(SEARCH("(",C473)),LEFT(C473,SEARCH("(",C473)-1),C473),Tipos!$A:$B,2,FALSE()),"outro"))</f>
        <v/>
      </c>
      <c r="K473" s="7" t="str">
        <f aca="false">IF(I473="","",IFERROR(INDEX('Campos Growths'!$L:$L,MATCH(H473,'Campos Growths'!$A:$A,0)),""))</f>
        <v/>
      </c>
      <c r="L473" s="7" t="str">
        <f aca="false">IF(A473="","",IF(G473="não","Sem tabela no Growths",IF(I473="","Sem campo no Growths",IF(J473=K473,"Importa direto","Ajustar tipo"))))</f>
        <v/>
      </c>
      <c r="M473" s="9"/>
    </row>
    <row r="474" customFormat="false" ht="15" hidden="false" customHeight="false" outlineLevel="0" collapsed="false">
      <c r="A474" s="7" t="str">
        <f aca="false">IF('Outro banco'!A474="","",IF(LEFT('Outro banco'!A474,1)="(","",'Outro banco'!A474))</f>
        <v/>
      </c>
      <c r="B474" s="7" t="str">
        <f aca="false">IF(A474="","",'Outro banco'!B474)</f>
        <v/>
      </c>
      <c r="C474" s="7" t="str">
        <f aca="false">IF(A474="","",'Outro banco'!C474)</f>
        <v/>
      </c>
      <c r="D474" s="7" t="str">
        <f aca="false">IF(A474="","",'Outro banco'!D474)</f>
        <v/>
      </c>
      <c r="E474" s="9"/>
      <c r="F474" s="9"/>
      <c r="G474" s="7" t="str">
        <f aca="false">IF(A474="","",IF(COUNTIF(Tabelas!$A:$A,IF(E474="",A474,E474))&gt;0,"sim","não"))</f>
        <v/>
      </c>
      <c r="H474" s="7" t="str">
        <f aca="false">IF(A474="","",IF(E474="",A474,E474)&amp;"."&amp;IF(F474="",B474,F474))</f>
        <v/>
      </c>
      <c r="I474" s="7" t="str">
        <f aca="false">IF(A474="","",IFERROR(INDEX('Campos Growths'!$F:$F,MATCH(H474,'Campos Growths'!$A:$A,0)),""))</f>
        <v/>
      </c>
      <c r="J474" s="7" t="str">
        <f aca="false">IF(A474="","",IFERROR(VLOOKUP(IF(ISNUMBER(SEARCH("(",C474)),LEFT(C474,SEARCH("(",C474)-1),C474),Tipos!$A:$B,2,FALSE()),"outro"))</f>
        <v/>
      </c>
      <c r="K474" s="7" t="str">
        <f aca="false">IF(I474="","",IFERROR(INDEX('Campos Growths'!$L:$L,MATCH(H474,'Campos Growths'!$A:$A,0)),""))</f>
        <v/>
      </c>
      <c r="L474" s="7" t="str">
        <f aca="false">IF(A474="","",IF(G474="não","Sem tabela no Growths",IF(I474="","Sem campo no Growths",IF(J474=K474,"Importa direto","Ajustar tipo"))))</f>
        <v/>
      </c>
      <c r="M474" s="9"/>
    </row>
    <row r="475" customFormat="false" ht="15" hidden="false" customHeight="false" outlineLevel="0" collapsed="false">
      <c r="A475" s="7" t="str">
        <f aca="false">IF('Outro banco'!A475="","",IF(LEFT('Outro banco'!A475,1)="(","",'Outro banco'!A475))</f>
        <v/>
      </c>
      <c r="B475" s="7" t="str">
        <f aca="false">IF(A475="","",'Outro banco'!B475)</f>
        <v/>
      </c>
      <c r="C475" s="7" t="str">
        <f aca="false">IF(A475="","",'Outro banco'!C475)</f>
        <v/>
      </c>
      <c r="D475" s="7" t="str">
        <f aca="false">IF(A475="","",'Outro banco'!D475)</f>
        <v/>
      </c>
      <c r="E475" s="9"/>
      <c r="F475" s="9"/>
      <c r="G475" s="7" t="str">
        <f aca="false">IF(A475="","",IF(COUNTIF(Tabelas!$A:$A,IF(E475="",A475,E475))&gt;0,"sim","não"))</f>
        <v/>
      </c>
      <c r="H475" s="7" t="str">
        <f aca="false">IF(A475="","",IF(E475="",A475,E475)&amp;"."&amp;IF(F475="",B475,F475))</f>
        <v/>
      </c>
      <c r="I475" s="7" t="str">
        <f aca="false">IF(A475="","",IFERROR(INDEX('Campos Growths'!$F:$F,MATCH(H475,'Campos Growths'!$A:$A,0)),""))</f>
        <v/>
      </c>
      <c r="J475" s="7" t="str">
        <f aca="false">IF(A475="","",IFERROR(VLOOKUP(IF(ISNUMBER(SEARCH("(",C475)),LEFT(C475,SEARCH("(",C475)-1),C475),Tipos!$A:$B,2,FALSE()),"outro"))</f>
        <v/>
      </c>
      <c r="K475" s="7" t="str">
        <f aca="false">IF(I475="","",IFERROR(INDEX('Campos Growths'!$L:$L,MATCH(H475,'Campos Growths'!$A:$A,0)),""))</f>
        <v/>
      </c>
      <c r="L475" s="7" t="str">
        <f aca="false">IF(A475="","",IF(G475="não","Sem tabela no Growths",IF(I475="","Sem campo no Growths",IF(J475=K475,"Importa direto","Ajustar tipo"))))</f>
        <v/>
      </c>
      <c r="M475" s="9"/>
    </row>
    <row r="476" customFormat="false" ht="15" hidden="false" customHeight="false" outlineLevel="0" collapsed="false">
      <c r="A476" s="7" t="str">
        <f aca="false">IF('Outro banco'!A476="","",IF(LEFT('Outro banco'!A476,1)="(","",'Outro banco'!A476))</f>
        <v/>
      </c>
      <c r="B476" s="7" t="str">
        <f aca="false">IF(A476="","",'Outro banco'!B476)</f>
        <v/>
      </c>
      <c r="C476" s="7" t="str">
        <f aca="false">IF(A476="","",'Outro banco'!C476)</f>
        <v/>
      </c>
      <c r="D476" s="7" t="str">
        <f aca="false">IF(A476="","",'Outro banco'!D476)</f>
        <v/>
      </c>
      <c r="E476" s="9"/>
      <c r="F476" s="9"/>
      <c r="G476" s="7" t="str">
        <f aca="false">IF(A476="","",IF(COUNTIF(Tabelas!$A:$A,IF(E476="",A476,E476))&gt;0,"sim","não"))</f>
        <v/>
      </c>
      <c r="H476" s="7" t="str">
        <f aca="false">IF(A476="","",IF(E476="",A476,E476)&amp;"."&amp;IF(F476="",B476,F476))</f>
        <v/>
      </c>
      <c r="I476" s="7" t="str">
        <f aca="false">IF(A476="","",IFERROR(INDEX('Campos Growths'!$F:$F,MATCH(H476,'Campos Growths'!$A:$A,0)),""))</f>
        <v/>
      </c>
      <c r="J476" s="7" t="str">
        <f aca="false">IF(A476="","",IFERROR(VLOOKUP(IF(ISNUMBER(SEARCH("(",C476)),LEFT(C476,SEARCH("(",C476)-1),C476),Tipos!$A:$B,2,FALSE()),"outro"))</f>
        <v/>
      </c>
      <c r="K476" s="7" t="str">
        <f aca="false">IF(I476="","",IFERROR(INDEX('Campos Growths'!$L:$L,MATCH(H476,'Campos Growths'!$A:$A,0)),""))</f>
        <v/>
      </c>
      <c r="L476" s="7" t="str">
        <f aca="false">IF(A476="","",IF(G476="não","Sem tabela no Growths",IF(I476="","Sem campo no Growths",IF(J476=K476,"Importa direto","Ajustar tipo"))))</f>
        <v/>
      </c>
      <c r="M476" s="9"/>
    </row>
    <row r="477" customFormat="false" ht="15" hidden="false" customHeight="false" outlineLevel="0" collapsed="false">
      <c r="A477" s="7" t="str">
        <f aca="false">IF('Outro banco'!A477="","",IF(LEFT('Outro banco'!A477,1)="(","",'Outro banco'!A477))</f>
        <v/>
      </c>
      <c r="B477" s="7" t="str">
        <f aca="false">IF(A477="","",'Outro banco'!B477)</f>
        <v/>
      </c>
      <c r="C477" s="7" t="str">
        <f aca="false">IF(A477="","",'Outro banco'!C477)</f>
        <v/>
      </c>
      <c r="D477" s="7" t="str">
        <f aca="false">IF(A477="","",'Outro banco'!D477)</f>
        <v/>
      </c>
      <c r="E477" s="9"/>
      <c r="F477" s="9"/>
      <c r="G477" s="7" t="str">
        <f aca="false">IF(A477="","",IF(COUNTIF(Tabelas!$A:$A,IF(E477="",A477,E477))&gt;0,"sim","não"))</f>
        <v/>
      </c>
      <c r="H477" s="7" t="str">
        <f aca="false">IF(A477="","",IF(E477="",A477,E477)&amp;"."&amp;IF(F477="",B477,F477))</f>
        <v/>
      </c>
      <c r="I477" s="7" t="str">
        <f aca="false">IF(A477="","",IFERROR(INDEX('Campos Growths'!$F:$F,MATCH(H477,'Campos Growths'!$A:$A,0)),""))</f>
        <v/>
      </c>
      <c r="J477" s="7" t="str">
        <f aca="false">IF(A477="","",IFERROR(VLOOKUP(IF(ISNUMBER(SEARCH("(",C477)),LEFT(C477,SEARCH("(",C477)-1),C477),Tipos!$A:$B,2,FALSE()),"outro"))</f>
        <v/>
      </c>
      <c r="K477" s="7" t="str">
        <f aca="false">IF(I477="","",IFERROR(INDEX('Campos Growths'!$L:$L,MATCH(H477,'Campos Growths'!$A:$A,0)),""))</f>
        <v/>
      </c>
      <c r="L477" s="7" t="str">
        <f aca="false">IF(A477="","",IF(G477="não","Sem tabela no Growths",IF(I477="","Sem campo no Growths",IF(J477=K477,"Importa direto","Ajustar tipo"))))</f>
        <v/>
      </c>
      <c r="M477" s="9"/>
    </row>
    <row r="478" customFormat="false" ht="15" hidden="false" customHeight="false" outlineLevel="0" collapsed="false">
      <c r="A478" s="7" t="str">
        <f aca="false">IF('Outro banco'!A478="","",IF(LEFT('Outro banco'!A478,1)="(","",'Outro banco'!A478))</f>
        <v/>
      </c>
      <c r="B478" s="7" t="str">
        <f aca="false">IF(A478="","",'Outro banco'!B478)</f>
        <v/>
      </c>
      <c r="C478" s="7" t="str">
        <f aca="false">IF(A478="","",'Outro banco'!C478)</f>
        <v/>
      </c>
      <c r="D478" s="7" t="str">
        <f aca="false">IF(A478="","",'Outro banco'!D478)</f>
        <v/>
      </c>
      <c r="E478" s="9"/>
      <c r="F478" s="9"/>
      <c r="G478" s="7" t="str">
        <f aca="false">IF(A478="","",IF(COUNTIF(Tabelas!$A:$A,IF(E478="",A478,E478))&gt;0,"sim","não"))</f>
        <v/>
      </c>
      <c r="H478" s="7" t="str">
        <f aca="false">IF(A478="","",IF(E478="",A478,E478)&amp;"."&amp;IF(F478="",B478,F478))</f>
        <v/>
      </c>
      <c r="I478" s="7" t="str">
        <f aca="false">IF(A478="","",IFERROR(INDEX('Campos Growths'!$F:$F,MATCH(H478,'Campos Growths'!$A:$A,0)),""))</f>
        <v/>
      </c>
      <c r="J478" s="7" t="str">
        <f aca="false">IF(A478="","",IFERROR(VLOOKUP(IF(ISNUMBER(SEARCH("(",C478)),LEFT(C478,SEARCH("(",C478)-1),C478),Tipos!$A:$B,2,FALSE()),"outro"))</f>
        <v/>
      </c>
      <c r="K478" s="7" t="str">
        <f aca="false">IF(I478="","",IFERROR(INDEX('Campos Growths'!$L:$L,MATCH(H478,'Campos Growths'!$A:$A,0)),""))</f>
        <v/>
      </c>
      <c r="L478" s="7" t="str">
        <f aca="false">IF(A478="","",IF(G478="não","Sem tabela no Growths",IF(I478="","Sem campo no Growths",IF(J478=K478,"Importa direto","Ajustar tipo"))))</f>
        <v/>
      </c>
      <c r="M478" s="9"/>
    </row>
    <row r="479" customFormat="false" ht="15" hidden="false" customHeight="false" outlineLevel="0" collapsed="false">
      <c r="A479" s="7" t="str">
        <f aca="false">IF('Outro banco'!A479="","",IF(LEFT('Outro banco'!A479,1)="(","",'Outro banco'!A479))</f>
        <v/>
      </c>
      <c r="B479" s="7" t="str">
        <f aca="false">IF(A479="","",'Outro banco'!B479)</f>
        <v/>
      </c>
      <c r="C479" s="7" t="str">
        <f aca="false">IF(A479="","",'Outro banco'!C479)</f>
        <v/>
      </c>
      <c r="D479" s="7" t="str">
        <f aca="false">IF(A479="","",'Outro banco'!D479)</f>
        <v/>
      </c>
      <c r="E479" s="9"/>
      <c r="F479" s="9"/>
      <c r="G479" s="7" t="str">
        <f aca="false">IF(A479="","",IF(COUNTIF(Tabelas!$A:$A,IF(E479="",A479,E479))&gt;0,"sim","não"))</f>
        <v/>
      </c>
      <c r="H479" s="7" t="str">
        <f aca="false">IF(A479="","",IF(E479="",A479,E479)&amp;"."&amp;IF(F479="",B479,F479))</f>
        <v/>
      </c>
      <c r="I479" s="7" t="str">
        <f aca="false">IF(A479="","",IFERROR(INDEX('Campos Growths'!$F:$F,MATCH(H479,'Campos Growths'!$A:$A,0)),""))</f>
        <v/>
      </c>
      <c r="J479" s="7" t="str">
        <f aca="false">IF(A479="","",IFERROR(VLOOKUP(IF(ISNUMBER(SEARCH("(",C479)),LEFT(C479,SEARCH("(",C479)-1),C479),Tipos!$A:$B,2,FALSE()),"outro"))</f>
        <v/>
      </c>
      <c r="K479" s="7" t="str">
        <f aca="false">IF(I479="","",IFERROR(INDEX('Campos Growths'!$L:$L,MATCH(H479,'Campos Growths'!$A:$A,0)),""))</f>
        <v/>
      </c>
      <c r="L479" s="7" t="str">
        <f aca="false">IF(A479="","",IF(G479="não","Sem tabela no Growths",IF(I479="","Sem campo no Growths",IF(J479=K479,"Importa direto","Ajustar tipo"))))</f>
        <v/>
      </c>
      <c r="M479" s="9"/>
    </row>
    <row r="480" customFormat="false" ht="15" hidden="false" customHeight="false" outlineLevel="0" collapsed="false">
      <c r="A480" s="7" t="str">
        <f aca="false">IF('Outro banco'!A480="","",IF(LEFT('Outro banco'!A480,1)="(","",'Outro banco'!A480))</f>
        <v/>
      </c>
      <c r="B480" s="7" t="str">
        <f aca="false">IF(A480="","",'Outro banco'!B480)</f>
        <v/>
      </c>
      <c r="C480" s="7" t="str">
        <f aca="false">IF(A480="","",'Outro banco'!C480)</f>
        <v/>
      </c>
      <c r="D480" s="7" t="str">
        <f aca="false">IF(A480="","",'Outro banco'!D480)</f>
        <v/>
      </c>
      <c r="E480" s="9"/>
      <c r="F480" s="9"/>
      <c r="G480" s="7" t="str">
        <f aca="false">IF(A480="","",IF(COUNTIF(Tabelas!$A:$A,IF(E480="",A480,E480))&gt;0,"sim","não"))</f>
        <v/>
      </c>
      <c r="H480" s="7" t="str">
        <f aca="false">IF(A480="","",IF(E480="",A480,E480)&amp;"."&amp;IF(F480="",B480,F480))</f>
        <v/>
      </c>
      <c r="I480" s="7" t="str">
        <f aca="false">IF(A480="","",IFERROR(INDEX('Campos Growths'!$F:$F,MATCH(H480,'Campos Growths'!$A:$A,0)),""))</f>
        <v/>
      </c>
      <c r="J480" s="7" t="str">
        <f aca="false">IF(A480="","",IFERROR(VLOOKUP(IF(ISNUMBER(SEARCH("(",C480)),LEFT(C480,SEARCH("(",C480)-1),C480),Tipos!$A:$B,2,FALSE()),"outro"))</f>
        <v/>
      </c>
      <c r="K480" s="7" t="str">
        <f aca="false">IF(I480="","",IFERROR(INDEX('Campos Growths'!$L:$L,MATCH(H480,'Campos Growths'!$A:$A,0)),""))</f>
        <v/>
      </c>
      <c r="L480" s="7" t="str">
        <f aca="false">IF(A480="","",IF(G480="não","Sem tabela no Growths",IF(I480="","Sem campo no Growths",IF(J480=K480,"Importa direto","Ajustar tipo"))))</f>
        <v/>
      </c>
      <c r="M480" s="9"/>
    </row>
    <row r="481" customFormat="false" ht="15" hidden="false" customHeight="false" outlineLevel="0" collapsed="false">
      <c r="A481" s="7" t="str">
        <f aca="false">IF('Outro banco'!A481="","",IF(LEFT('Outro banco'!A481,1)="(","",'Outro banco'!A481))</f>
        <v/>
      </c>
      <c r="B481" s="7" t="str">
        <f aca="false">IF(A481="","",'Outro banco'!B481)</f>
        <v/>
      </c>
      <c r="C481" s="7" t="str">
        <f aca="false">IF(A481="","",'Outro banco'!C481)</f>
        <v/>
      </c>
      <c r="D481" s="7" t="str">
        <f aca="false">IF(A481="","",'Outro banco'!D481)</f>
        <v/>
      </c>
      <c r="E481" s="9"/>
      <c r="F481" s="9"/>
      <c r="G481" s="7" t="str">
        <f aca="false">IF(A481="","",IF(COUNTIF(Tabelas!$A:$A,IF(E481="",A481,E481))&gt;0,"sim","não"))</f>
        <v/>
      </c>
      <c r="H481" s="7" t="str">
        <f aca="false">IF(A481="","",IF(E481="",A481,E481)&amp;"."&amp;IF(F481="",B481,F481))</f>
        <v/>
      </c>
      <c r="I481" s="7" t="str">
        <f aca="false">IF(A481="","",IFERROR(INDEX('Campos Growths'!$F:$F,MATCH(H481,'Campos Growths'!$A:$A,0)),""))</f>
        <v/>
      </c>
      <c r="J481" s="7" t="str">
        <f aca="false">IF(A481="","",IFERROR(VLOOKUP(IF(ISNUMBER(SEARCH("(",C481)),LEFT(C481,SEARCH("(",C481)-1),C481),Tipos!$A:$B,2,FALSE()),"outro"))</f>
        <v/>
      </c>
      <c r="K481" s="7" t="str">
        <f aca="false">IF(I481="","",IFERROR(INDEX('Campos Growths'!$L:$L,MATCH(H481,'Campos Growths'!$A:$A,0)),""))</f>
        <v/>
      </c>
      <c r="L481" s="7" t="str">
        <f aca="false">IF(A481="","",IF(G481="não","Sem tabela no Growths",IF(I481="","Sem campo no Growths",IF(J481=K481,"Importa direto","Ajustar tipo"))))</f>
        <v/>
      </c>
      <c r="M481" s="9"/>
    </row>
    <row r="482" customFormat="false" ht="15" hidden="false" customHeight="false" outlineLevel="0" collapsed="false">
      <c r="A482" s="7" t="str">
        <f aca="false">IF('Outro banco'!A482="","",IF(LEFT('Outro banco'!A482,1)="(","",'Outro banco'!A482))</f>
        <v/>
      </c>
      <c r="B482" s="7" t="str">
        <f aca="false">IF(A482="","",'Outro banco'!B482)</f>
        <v/>
      </c>
      <c r="C482" s="7" t="str">
        <f aca="false">IF(A482="","",'Outro banco'!C482)</f>
        <v/>
      </c>
      <c r="D482" s="7" t="str">
        <f aca="false">IF(A482="","",'Outro banco'!D482)</f>
        <v/>
      </c>
      <c r="E482" s="9"/>
      <c r="F482" s="9"/>
      <c r="G482" s="7" t="str">
        <f aca="false">IF(A482="","",IF(COUNTIF(Tabelas!$A:$A,IF(E482="",A482,E482))&gt;0,"sim","não"))</f>
        <v/>
      </c>
      <c r="H482" s="7" t="str">
        <f aca="false">IF(A482="","",IF(E482="",A482,E482)&amp;"."&amp;IF(F482="",B482,F482))</f>
        <v/>
      </c>
      <c r="I482" s="7" t="str">
        <f aca="false">IF(A482="","",IFERROR(INDEX('Campos Growths'!$F:$F,MATCH(H482,'Campos Growths'!$A:$A,0)),""))</f>
        <v/>
      </c>
      <c r="J482" s="7" t="str">
        <f aca="false">IF(A482="","",IFERROR(VLOOKUP(IF(ISNUMBER(SEARCH("(",C482)),LEFT(C482,SEARCH("(",C482)-1),C482),Tipos!$A:$B,2,FALSE()),"outro"))</f>
        <v/>
      </c>
      <c r="K482" s="7" t="str">
        <f aca="false">IF(I482="","",IFERROR(INDEX('Campos Growths'!$L:$L,MATCH(H482,'Campos Growths'!$A:$A,0)),""))</f>
        <v/>
      </c>
      <c r="L482" s="7" t="str">
        <f aca="false">IF(A482="","",IF(G482="não","Sem tabela no Growths",IF(I482="","Sem campo no Growths",IF(J482=K482,"Importa direto","Ajustar tipo"))))</f>
        <v/>
      </c>
      <c r="M482" s="9"/>
    </row>
    <row r="483" customFormat="false" ht="15" hidden="false" customHeight="false" outlineLevel="0" collapsed="false">
      <c r="A483" s="7" t="str">
        <f aca="false">IF('Outro banco'!A483="","",IF(LEFT('Outro banco'!A483,1)="(","",'Outro banco'!A483))</f>
        <v/>
      </c>
      <c r="B483" s="7" t="str">
        <f aca="false">IF(A483="","",'Outro banco'!B483)</f>
        <v/>
      </c>
      <c r="C483" s="7" t="str">
        <f aca="false">IF(A483="","",'Outro banco'!C483)</f>
        <v/>
      </c>
      <c r="D483" s="7" t="str">
        <f aca="false">IF(A483="","",'Outro banco'!D483)</f>
        <v/>
      </c>
      <c r="E483" s="9"/>
      <c r="F483" s="9"/>
      <c r="G483" s="7" t="str">
        <f aca="false">IF(A483="","",IF(COUNTIF(Tabelas!$A:$A,IF(E483="",A483,E483))&gt;0,"sim","não"))</f>
        <v/>
      </c>
      <c r="H483" s="7" t="str">
        <f aca="false">IF(A483="","",IF(E483="",A483,E483)&amp;"."&amp;IF(F483="",B483,F483))</f>
        <v/>
      </c>
      <c r="I483" s="7" t="str">
        <f aca="false">IF(A483="","",IFERROR(INDEX('Campos Growths'!$F:$F,MATCH(H483,'Campos Growths'!$A:$A,0)),""))</f>
        <v/>
      </c>
      <c r="J483" s="7" t="str">
        <f aca="false">IF(A483="","",IFERROR(VLOOKUP(IF(ISNUMBER(SEARCH("(",C483)),LEFT(C483,SEARCH("(",C483)-1),C483),Tipos!$A:$B,2,FALSE()),"outro"))</f>
        <v/>
      </c>
      <c r="K483" s="7" t="str">
        <f aca="false">IF(I483="","",IFERROR(INDEX('Campos Growths'!$L:$L,MATCH(H483,'Campos Growths'!$A:$A,0)),""))</f>
        <v/>
      </c>
      <c r="L483" s="7" t="str">
        <f aca="false">IF(A483="","",IF(G483="não","Sem tabela no Growths",IF(I483="","Sem campo no Growths",IF(J483=K483,"Importa direto","Ajustar tipo"))))</f>
        <v/>
      </c>
      <c r="M483" s="9"/>
    </row>
    <row r="484" customFormat="false" ht="15" hidden="false" customHeight="false" outlineLevel="0" collapsed="false">
      <c r="A484" s="7" t="str">
        <f aca="false">IF('Outro banco'!A484="","",IF(LEFT('Outro banco'!A484,1)="(","",'Outro banco'!A484))</f>
        <v/>
      </c>
      <c r="B484" s="7" t="str">
        <f aca="false">IF(A484="","",'Outro banco'!B484)</f>
        <v/>
      </c>
      <c r="C484" s="7" t="str">
        <f aca="false">IF(A484="","",'Outro banco'!C484)</f>
        <v/>
      </c>
      <c r="D484" s="7" t="str">
        <f aca="false">IF(A484="","",'Outro banco'!D484)</f>
        <v/>
      </c>
      <c r="E484" s="9"/>
      <c r="F484" s="9"/>
      <c r="G484" s="7" t="str">
        <f aca="false">IF(A484="","",IF(COUNTIF(Tabelas!$A:$A,IF(E484="",A484,E484))&gt;0,"sim","não"))</f>
        <v/>
      </c>
      <c r="H484" s="7" t="str">
        <f aca="false">IF(A484="","",IF(E484="",A484,E484)&amp;"."&amp;IF(F484="",B484,F484))</f>
        <v/>
      </c>
      <c r="I484" s="7" t="str">
        <f aca="false">IF(A484="","",IFERROR(INDEX('Campos Growths'!$F:$F,MATCH(H484,'Campos Growths'!$A:$A,0)),""))</f>
        <v/>
      </c>
      <c r="J484" s="7" t="str">
        <f aca="false">IF(A484="","",IFERROR(VLOOKUP(IF(ISNUMBER(SEARCH("(",C484)),LEFT(C484,SEARCH("(",C484)-1),C484),Tipos!$A:$B,2,FALSE()),"outro"))</f>
        <v/>
      </c>
      <c r="K484" s="7" t="str">
        <f aca="false">IF(I484="","",IFERROR(INDEX('Campos Growths'!$L:$L,MATCH(H484,'Campos Growths'!$A:$A,0)),""))</f>
        <v/>
      </c>
      <c r="L484" s="7" t="str">
        <f aca="false">IF(A484="","",IF(G484="não","Sem tabela no Growths",IF(I484="","Sem campo no Growths",IF(J484=K484,"Importa direto","Ajustar tipo"))))</f>
        <v/>
      </c>
      <c r="M484" s="9"/>
    </row>
    <row r="485" customFormat="false" ht="15" hidden="false" customHeight="false" outlineLevel="0" collapsed="false">
      <c r="A485" s="7" t="str">
        <f aca="false">IF('Outro banco'!A485="","",IF(LEFT('Outro banco'!A485,1)="(","",'Outro banco'!A485))</f>
        <v/>
      </c>
      <c r="B485" s="7" t="str">
        <f aca="false">IF(A485="","",'Outro banco'!B485)</f>
        <v/>
      </c>
      <c r="C485" s="7" t="str">
        <f aca="false">IF(A485="","",'Outro banco'!C485)</f>
        <v/>
      </c>
      <c r="D485" s="7" t="str">
        <f aca="false">IF(A485="","",'Outro banco'!D485)</f>
        <v/>
      </c>
      <c r="E485" s="9"/>
      <c r="F485" s="9"/>
      <c r="G485" s="7" t="str">
        <f aca="false">IF(A485="","",IF(COUNTIF(Tabelas!$A:$A,IF(E485="",A485,E485))&gt;0,"sim","não"))</f>
        <v/>
      </c>
      <c r="H485" s="7" t="str">
        <f aca="false">IF(A485="","",IF(E485="",A485,E485)&amp;"."&amp;IF(F485="",B485,F485))</f>
        <v/>
      </c>
      <c r="I485" s="7" t="str">
        <f aca="false">IF(A485="","",IFERROR(INDEX('Campos Growths'!$F:$F,MATCH(H485,'Campos Growths'!$A:$A,0)),""))</f>
        <v/>
      </c>
      <c r="J485" s="7" t="str">
        <f aca="false">IF(A485="","",IFERROR(VLOOKUP(IF(ISNUMBER(SEARCH("(",C485)),LEFT(C485,SEARCH("(",C485)-1),C485),Tipos!$A:$B,2,FALSE()),"outro"))</f>
        <v/>
      </c>
      <c r="K485" s="7" t="str">
        <f aca="false">IF(I485="","",IFERROR(INDEX('Campos Growths'!$L:$L,MATCH(H485,'Campos Growths'!$A:$A,0)),""))</f>
        <v/>
      </c>
      <c r="L485" s="7" t="str">
        <f aca="false">IF(A485="","",IF(G485="não","Sem tabela no Growths",IF(I485="","Sem campo no Growths",IF(J485=K485,"Importa direto","Ajustar tipo"))))</f>
        <v/>
      </c>
      <c r="M485" s="9"/>
    </row>
    <row r="486" customFormat="false" ht="15" hidden="false" customHeight="false" outlineLevel="0" collapsed="false">
      <c r="A486" s="7" t="str">
        <f aca="false">IF('Outro banco'!A486="","",IF(LEFT('Outro banco'!A486,1)="(","",'Outro banco'!A486))</f>
        <v/>
      </c>
      <c r="B486" s="7" t="str">
        <f aca="false">IF(A486="","",'Outro banco'!B486)</f>
        <v/>
      </c>
      <c r="C486" s="7" t="str">
        <f aca="false">IF(A486="","",'Outro banco'!C486)</f>
        <v/>
      </c>
      <c r="D486" s="7" t="str">
        <f aca="false">IF(A486="","",'Outro banco'!D486)</f>
        <v/>
      </c>
      <c r="E486" s="9"/>
      <c r="F486" s="9"/>
      <c r="G486" s="7" t="str">
        <f aca="false">IF(A486="","",IF(COUNTIF(Tabelas!$A:$A,IF(E486="",A486,E486))&gt;0,"sim","não"))</f>
        <v/>
      </c>
      <c r="H486" s="7" t="str">
        <f aca="false">IF(A486="","",IF(E486="",A486,E486)&amp;"."&amp;IF(F486="",B486,F486))</f>
        <v/>
      </c>
      <c r="I486" s="7" t="str">
        <f aca="false">IF(A486="","",IFERROR(INDEX('Campos Growths'!$F:$F,MATCH(H486,'Campos Growths'!$A:$A,0)),""))</f>
        <v/>
      </c>
      <c r="J486" s="7" t="str">
        <f aca="false">IF(A486="","",IFERROR(VLOOKUP(IF(ISNUMBER(SEARCH("(",C486)),LEFT(C486,SEARCH("(",C486)-1),C486),Tipos!$A:$B,2,FALSE()),"outro"))</f>
        <v/>
      </c>
      <c r="K486" s="7" t="str">
        <f aca="false">IF(I486="","",IFERROR(INDEX('Campos Growths'!$L:$L,MATCH(H486,'Campos Growths'!$A:$A,0)),""))</f>
        <v/>
      </c>
      <c r="L486" s="7" t="str">
        <f aca="false">IF(A486="","",IF(G486="não","Sem tabela no Growths",IF(I486="","Sem campo no Growths",IF(J486=K486,"Importa direto","Ajustar tipo"))))</f>
        <v/>
      </c>
      <c r="M486" s="9"/>
    </row>
    <row r="487" customFormat="false" ht="15" hidden="false" customHeight="false" outlineLevel="0" collapsed="false">
      <c r="A487" s="7" t="str">
        <f aca="false">IF('Outro banco'!A487="","",IF(LEFT('Outro banco'!A487,1)="(","",'Outro banco'!A487))</f>
        <v/>
      </c>
      <c r="B487" s="7" t="str">
        <f aca="false">IF(A487="","",'Outro banco'!B487)</f>
        <v/>
      </c>
      <c r="C487" s="7" t="str">
        <f aca="false">IF(A487="","",'Outro banco'!C487)</f>
        <v/>
      </c>
      <c r="D487" s="7" t="str">
        <f aca="false">IF(A487="","",'Outro banco'!D487)</f>
        <v/>
      </c>
      <c r="E487" s="9"/>
      <c r="F487" s="9"/>
      <c r="G487" s="7" t="str">
        <f aca="false">IF(A487="","",IF(COUNTIF(Tabelas!$A:$A,IF(E487="",A487,E487))&gt;0,"sim","não"))</f>
        <v/>
      </c>
      <c r="H487" s="7" t="str">
        <f aca="false">IF(A487="","",IF(E487="",A487,E487)&amp;"."&amp;IF(F487="",B487,F487))</f>
        <v/>
      </c>
      <c r="I487" s="7" t="str">
        <f aca="false">IF(A487="","",IFERROR(INDEX('Campos Growths'!$F:$F,MATCH(H487,'Campos Growths'!$A:$A,0)),""))</f>
        <v/>
      </c>
      <c r="J487" s="7" t="str">
        <f aca="false">IF(A487="","",IFERROR(VLOOKUP(IF(ISNUMBER(SEARCH("(",C487)),LEFT(C487,SEARCH("(",C487)-1),C487),Tipos!$A:$B,2,FALSE()),"outro"))</f>
        <v/>
      </c>
      <c r="K487" s="7" t="str">
        <f aca="false">IF(I487="","",IFERROR(INDEX('Campos Growths'!$L:$L,MATCH(H487,'Campos Growths'!$A:$A,0)),""))</f>
        <v/>
      </c>
      <c r="L487" s="7" t="str">
        <f aca="false">IF(A487="","",IF(G487="não","Sem tabela no Growths",IF(I487="","Sem campo no Growths",IF(J487=K487,"Importa direto","Ajustar tipo"))))</f>
        <v/>
      </c>
      <c r="M487" s="9"/>
    </row>
    <row r="488" customFormat="false" ht="15" hidden="false" customHeight="false" outlineLevel="0" collapsed="false">
      <c r="A488" s="7" t="str">
        <f aca="false">IF('Outro banco'!A488="","",IF(LEFT('Outro banco'!A488,1)="(","",'Outro banco'!A488))</f>
        <v/>
      </c>
      <c r="B488" s="7" t="str">
        <f aca="false">IF(A488="","",'Outro banco'!B488)</f>
        <v/>
      </c>
      <c r="C488" s="7" t="str">
        <f aca="false">IF(A488="","",'Outro banco'!C488)</f>
        <v/>
      </c>
      <c r="D488" s="7" t="str">
        <f aca="false">IF(A488="","",'Outro banco'!D488)</f>
        <v/>
      </c>
      <c r="E488" s="9"/>
      <c r="F488" s="9"/>
      <c r="G488" s="7" t="str">
        <f aca="false">IF(A488="","",IF(COUNTIF(Tabelas!$A:$A,IF(E488="",A488,E488))&gt;0,"sim","não"))</f>
        <v/>
      </c>
      <c r="H488" s="7" t="str">
        <f aca="false">IF(A488="","",IF(E488="",A488,E488)&amp;"."&amp;IF(F488="",B488,F488))</f>
        <v/>
      </c>
      <c r="I488" s="7" t="str">
        <f aca="false">IF(A488="","",IFERROR(INDEX('Campos Growths'!$F:$F,MATCH(H488,'Campos Growths'!$A:$A,0)),""))</f>
        <v/>
      </c>
      <c r="J488" s="7" t="str">
        <f aca="false">IF(A488="","",IFERROR(VLOOKUP(IF(ISNUMBER(SEARCH("(",C488)),LEFT(C488,SEARCH("(",C488)-1),C488),Tipos!$A:$B,2,FALSE()),"outro"))</f>
        <v/>
      </c>
      <c r="K488" s="7" t="str">
        <f aca="false">IF(I488="","",IFERROR(INDEX('Campos Growths'!$L:$L,MATCH(H488,'Campos Growths'!$A:$A,0)),""))</f>
        <v/>
      </c>
      <c r="L488" s="7" t="str">
        <f aca="false">IF(A488="","",IF(G488="não","Sem tabela no Growths",IF(I488="","Sem campo no Growths",IF(J488=K488,"Importa direto","Ajustar tipo"))))</f>
        <v/>
      </c>
      <c r="M488" s="9"/>
    </row>
    <row r="489" customFormat="false" ht="15" hidden="false" customHeight="false" outlineLevel="0" collapsed="false">
      <c r="A489" s="7" t="str">
        <f aca="false">IF('Outro banco'!A489="","",IF(LEFT('Outro banco'!A489,1)="(","",'Outro banco'!A489))</f>
        <v/>
      </c>
      <c r="B489" s="7" t="str">
        <f aca="false">IF(A489="","",'Outro banco'!B489)</f>
        <v/>
      </c>
      <c r="C489" s="7" t="str">
        <f aca="false">IF(A489="","",'Outro banco'!C489)</f>
        <v/>
      </c>
      <c r="D489" s="7" t="str">
        <f aca="false">IF(A489="","",'Outro banco'!D489)</f>
        <v/>
      </c>
      <c r="E489" s="9"/>
      <c r="F489" s="9"/>
      <c r="G489" s="7" t="str">
        <f aca="false">IF(A489="","",IF(COUNTIF(Tabelas!$A:$A,IF(E489="",A489,E489))&gt;0,"sim","não"))</f>
        <v/>
      </c>
      <c r="H489" s="7" t="str">
        <f aca="false">IF(A489="","",IF(E489="",A489,E489)&amp;"."&amp;IF(F489="",B489,F489))</f>
        <v/>
      </c>
      <c r="I489" s="7" t="str">
        <f aca="false">IF(A489="","",IFERROR(INDEX('Campos Growths'!$F:$F,MATCH(H489,'Campos Growths'!$A:$A,0)),""))</f>
        <v/>
      </c>
      <c r="J489" s="7" t="str">
        <f aca="false">IF(A489="","",IFERROR(VLOOKUP(IF(ISNUMBER(SEARCH("(",C489)),LEFT(C489,SEARCH("(",C489)-1),C489),Tipos!$A:$B,2,FALSE()),"outro"))</f>
        <v/>
      </c>
      <c r="K489" s="7" t="str">
        <f aca="false">IF(I489="","",IFERROR(INDEX('Campos Growths'!$L:$L,MATCH(H489,'Campos Growths'!$A:$A,0)),""))</f>
        <v/>
      </c>
      <c r="L489" s="7" t="str">
        <f aca="false">IF(A489="","",IF(G489="não","Sem tabela no Growths",IF(I489="","Sem campo no Growths",IF(J489=K489,"Importa direto","Ajustar tipo"))))</f>
        <v/>
      </c>
      <c r="M489" s="9"/>
    </row>
    <row r="490" customFormat="false" ht="15" hidden="false" customHeight="false" outlineLevel="0" collapsed="false">
      <c r="A490" s="7" t="str">
        <f aca="false">IF('Outro banco'!A490="","",IF(LEFT('Outro banco'!A490,1)="(","",'Outro banco'!A490))</f>
        <v/>
      </c>
      <c r="B490" s="7" t="str">
        <f aca="false">IF(A490="","",'Outro banco'!B490)</f>
        <v/>
      </c>
      <c r="C490" s="7" t="str">
        <f aca="false">IF(A490="","",'Outro banco'!C490)</f>
        <v/>
      </c>
      <c r="D490" s="7" t="str">
        <f aca="false">IF(A490="","",'Outro banco'!D490)</f>
        <v/>
      </c>
      <c r="E490" s="9"/>
      <c r="F490" s="9"/>
      <c r="G490" s="7" t="str">
        <f aca="false">IF(A490="","",IF(COUNTIF(Tabelas!$A:$A,IF(E490="",A490,E490))&gt;0,"sim","não"))</f>
        <v/>
      </c>
      <c r="H490" s="7" t="str">
        <f aca="false">IF(A490="","",IF(E490="",A490,E490)&amp;"."&amp;IF(F490="",B490,F490))</f>
        <v/>
      </c>
      <c r="I490" s="7" t="str">
        <f aca="false">IF(A490="","",IFERROR(INDEX('Campos Growths'!$F:$F,MATCH(H490,'Campos Growths'!$A:$A,0)),""))</f>
        <v/>
      </c>
      <c r="J490" s="7" t="str">
        <f aca="false">IF(A490="","",IFERROR(VLOOKUP(IF(ISNUMBER(SEARCH("(",C490)),LEFT(C490,SEARCH("(",C490)-1),C490),Tipos!$A:$B,2,FALSE()),"outro"))</f>
        <v/>
      </c>
      <c r="K490" s="7" t="str">
        <f aca="false">IF(I490="","",IFERROR(INDEX('Campos Growths'!$L:$L,MATCH(H490,'Campos Growths'!$A:$A,0)),""))</f>
        <v/>
      </c>
      <c r="L490" s="7" t="str">
        <f aca="false">IF(A490="","",IF(G490="não","Sem tabela no Growths",IF(I490="","Sem campo no Growths",IF(J490=K490,"Importa direto","Ajustar tipo"))))</f>
        <v/>
      </c>
      <c r="M490" s="9"/>
    </row>
    <row r="491" customFormat="false" ht="15" hidden="false" customHeight="false" outlineLevel="0" collapsed="false">
      <c r="A491" s="7" t="str">
        <f aca="false">IF('Outro banco'!A491="","",IF(LEFT('Outro banco'!A491,1)="(","",'Outro banco'!A491))</f>
        <v/>
      </c>
      <c r="B491" s="7" t="str">
        <f aca="false">IF(A491="","",'Outro banco'!B491)</f>
        <v/>
      </c>
      <c r="C491" s="7" t="str">
        <f aca="false">IF(A491="","",'Outro banco'!C491)</f>
        <v/>
      </c>
      <c r="D491" s="7" t="str">
        <f aca="false">IF(A491="","",'Outro banco'!D491)</f>
        <v/>
      </c>
      <c r="E491" s="9"/>
      <c r="F491" s="9"/>
      <c r="G491" s="7" t="str">
        <f aca="false">IF(A491="","",IF(COUNTIF(Tabelas!$A:$A,IF(E491="",A491,E491))&gt;0,"sim","não"))</f>
        <v/>
      </c>
      <c r="H491" s="7" t="str">
        <f aca="false">IF(A491="","",IF(E491="",A491,E491)&amp;"."&amp;IF(F491="",B491,F491))</f>
        <v/>
      </c>
      <c r="I491" s="7" t="str">
        <f aca="false">IF(A491="","",IFERROR(INDEX('Campos Growths'!$F:$F,MATCH(H491,'Campos Growths'!$A:$A,0)),""))</f>
        <v/>
      </c>
      <c r="J491" s="7" t="str">
        <f aca="false">IF(A491="","",IFERROR(VLOOKUP(IF(ISNUMBER(SEARCH("(",C491)),LEFT(C491,SEARCH("(",C491)-1),C491),Tipos!$A:$B,2,FALSE()),"outro"))</f>
        <v/>
      </c>
      <c r="K491" s="7" t="str">
        <f aca="false">IF(I491="","",IFERROR(INDEX('Campos Growths'!$L:$L,MATCH(H491,'Campos Growths'!$A:$A,0)),""))</f>
        <v/>
      </c>
      <c r="L491" s="7" t="str">
        <f aca="false">IF(A491="","",IF(G491="não","Sem tabela no Growths",IF(I491="","Sem campo no Growths",IF(J491=K491,"Importa direto","Ajustar tipo"))))</f>
        <v/>
      </c>
      <c r="M491" s="9"/>
    </row>
    <row r="492" customFormat="false" ht="15" hidden="false" customHeight="false" outlineLevel="0" collapsed="false">
      <c r="A492" s="7" t="str">
        <f aca="false">IF('Outro banco'!A492="","",IF(LEFT('Outro banco'!A492,1)="(","",'Outro banco'!A492))</f>
        <v/>
      </c>
      <c r="B492" s="7" t="str">
        <f aca="false">IF(A492="","",'Outro banco'!B492)</f>
        <v/>
      </c>
      <c r="C492" s="7" t="str">
        <f aca="false">IF(A492="","",'Outro banco'!C492)</f>
        <v/>
      </c>
      <c r="D492" s="7" t="str">
        <f aca="false">IF(A492="","",'Outro banco'!D492)</f>
        <v/>
      </c>
      <c r="E492" s="9"/>
      <c r="F492" s="9"/>
      <c r="G492" s="7" t="str">
        <f aca="false">IF(A492="","",IF(COUNTIF(Tabelas!$A:$A,IF(E492="",A492,E492))&gt;0,"sim","não"))</f>
        <v/>
      </c>
      <c r="H492" s="7" t="str">
        <f aca="false">IF(A492="","",IF(E492="",A492,E492)&amp;"."&amp;IF(F492="",B492,F492))</f>
        <v/>
      </c>
      <c r="I492" s="7" t="str">
        <f aca="false">IF(A492="","",IFERROR(INDEX('Campos Growths'!$F:$F,MATCH(H492,'Campos Growths'!$A:$A,0)),""))</f>
        <v/>
      </c>
      <c r="J492" s="7" t="str">
        <f aca="false">IF(A492="","",IFERROR(VLOOKUP(IF(ISNUMBER(SEARCH("(",C492)),LEFT(C492,SEARCH("(",C492)-1),C492),Tipos!$A:$B,2,FALSE()),"outro"))</f>
        <v/>
      </c>
      <c r="K492" s="7" t="str">
        <f aca="false">IF(I492="","",IFERROR(INDEX('Campos Growths'!$L:$L,MATCH(H492,'Campos Growths'!$A:$A,0)),""))</f>
        <v/>
      </c>
      <c r="L492" s="7" t="str">
        <f aca="false">IF(A492="","",IF(G492="não","Sem tabela no Growths",IF(I492="","Sem campo no Growths",IF(J492=K492,"Importa direto","Ajustar tipo"))))</f>
        <v/>
      </c>
      <c r="M492" s="9"/>
    </row>
    <row r="493" customFormat="false" ht="15" hidden="false" customHeight="false" outlineLevel="0" collapsed="false">
      <c r="A493" s="7" t="str">
        <f aca="false">IF('Outro banco'!A493="","",IF(LEFT('Outro banco'!A493,1)="(","",'Outro banco'!A493))</f>
        <v/>
      </c>
      <c r="B493" s="7" t="str">
        <f aca="false">IF(A493="","",'Outro banco'!B493)</f>
        <v/>
      </c>
      <c r="C493" s="7" t="str">
        <f aca="false">IF(A493="","",'Outro banco'!C493)</f>
        <v/>
      </c>
      <c r="D493" s="7" t="str">
        <f aca="false">IF(A493="","",'Outro banco'!D493)</f>
        <v/>
      </c>
      <c r="E493" s="9"/>
      <c r="F493" s="9"/>
      <c r="G493" s="7" t="str">
        <f aca="false">IF(A493="","",IF(COUNTIF(Tabelas!$A:$A,IF(E493="",A493,E493))&gt;0,"sim","não"))</f>
        <v/>
      </c>
      <c r="H493" s="7" t="str">
        <f aca="false">IF(A493="","",IF(E493="",A493,E493)&amp;"."&amp;IF(F493="",B493,F493))</f>
        <v/>
      </c>
      <c r="I493" s="7" t="str">
        <f aca="false">IF(A493="","",IFERROR(INDEX('Campos Growths'!$F:$F,MATCH(H493,'Campos Growths'!$A:$A,0)),""))</f>
        <v/>
      </c>
      <c r="J493" s="7" t="str">
        <f aca="false">IF(A493="","",IFERROR(VLOOKUP(IF(ISNUMBER(SEARCH("(",C493)),LEFT(C493,SEARCH("(",C493)-1),C493),Tipos!$A:$B,2,FALSE()),"outro"))</f>
        <v/>
      </c>
      <c r="K493" s="7" t="str">
        <f aca="false">IF(I493="","",IFERROR(INDEX('Campos Growths'!$L:$L,MATCH(H493,'Campos Growths'!$A:$A,0)),""))</f>
        <v/>
      </c>
      <c r="L493" s="7" t="str">
        <f aca="false">IF(A493="","",IF(G493="não","Sem tabela no Growths",IF(I493="","Sem campo no Growths",IF(J493=K493,"Importa direto","Ajustar tipo"))))</f>
        <v/>
      </c>
      <c r="M493" s="9"/>
    </row>
    <row r="494" customFormat="false" ht="15" hidden="false" customHeight="false" outlineLevel="0" collapsed="false">
      <c r="A494" s="7" t="str">
        <f aca="false">IF('Outro banco'!A494="","",IF(LEFT('Outro banco'!A494,1)="(","",'Outro banco'!A494))</f>
        <v/>
      </c>
      <c r="B494" s="7" t="str">
        <f aca="false">IF(A494="","",'Outro banco'!B494)</f>
        <v/>
      </c>
      <c r="C494" s="7" t="str">
        <f aca="false">IF(A494="","",'Outro banco'!C494)</f>
        <v/>
      </c>
      <c r="D494" s="7" t="str">
        <f aca="false">IF(A494="","",'Outro banco'!D494)</f>
        <v/>
      </c>
      <c r="E494" s="9"/>
      <c r="F494" s="9"/>
      <c r="G494" s="7" t="str">
        <f aca="false">IF(A494="","",IF(COUNTIF(Tabelas!$A:$A,IF(E494="",A494,E494))&gt;0,"sim","não"))</f>
        <v/>
      </c>
      <c r="H494" s="7" t="str">
        <f aca="false">IF(A494="","",IF(E494="",A494,E494)&amp;"."&amp;IF(F494="",B494,F494))</f>
        <v/>
      </c>
      <c r="I494" s="7" t="str">
        <f aca="false">IF(A494="","",IFERROR(INDEX('Campos Growths'!$F:$F,MATCH(H494,'Campos Growths'!$A:$A,0)),""))</f>
        <v/>
      </c>
      <c r="J494" s="7" t="str">
        <f aca="false">IF(A494="","",IFERROR(VLOOKUP(IF(ISNUMBER(SEARCH("(",C494)),LEFT(C494,SEARCH("(",C494)-1),C494),Tipos!$A:$B,2,FALSE()),"outro"))</f>
        <v/>
      </c>
      <c r="K494" s="7" t="str">
        <f aca="false">IF(I494="","",IFERROR(INDEX('Campos Growths'!$L:$L,MATCH(H494,'Campos Growths'!$A:$A,0)),""))</f>
        <v/>
      </c>
      <c r="L494" s="7" t="str">
        <f aca="false">IF(A494="","",IF(G494="não","Sem tabela no Growths",IF(I494="","Sem campo no Growths",IF(J494=K494,"Importa direto","Ajustar tipo"))))</f>
        <v/>
      </c>
      <c r="M494" s="9"/>
    </row>
    <row r="495" customFormat="false" ht="15" hidden="false" customHeight="false" outlineLevel="0" collapsed="false">
      <c r="A495" s="7" t="str">
        <f aca="false">IF('Outro banco'!A495="","",IF(LEFT('Outro banco'!A495,1)="(","",'Outro banco'!A495))</f>
        <v/>
      </c>
      <c r="B495" s="7" t="str">
        <f aca="false">IF(A495="","",'Outro banco'!B495)</f>
        <v/>
      </c>
      <c r="C495" s="7" t="str">
        <f aca="false">IF(A495="","",'Outro banco'!C495)</f>
        <v/>
      </c>
      <c r="D495" s="7" t="str">
        <f aca="false">IF(A495="","",'Outro banco'!D495)</f>
        <v/>
      </c>
      <c r="E495" s="9"/>
      <c r="F495" s="9"/>
      <c r="G495" s="7" t="str">
        <f aca="false">IF(A495="","",IF(COUNTIF(Tabelas!$A:$A,IF(E495="",A495,E495))&gt;0,"sim","não"))</f>
        <v/>
      </c>
      <c r="H495" s="7" t="str">
        <f aca="false">IF(A495="","",IF(E495="",A495,E495)&amp;"."&amp;IF(F495="",B495,F495))</f>
        <v/>
      </c>
      <c r="I495" s="7" t="str">
        <f aca="false">IF(A495="","",IFERROR(INDEX('Campos Growths'!$F:$F,MATCH(H495,'Campos Growths'!$A:$A,0)),""))</f>
        <v/>
      </c>
      <c r="J495" s="7" t="str">
        <f aca="false">IF(A495="","",IFERROR(VLOOKUP(IF(ISNUMBER(SEARCH("(",C495)),LEFT(C495,SEARCH("(",C495)-1),C495),Tipos!$A:$B,2,FALSE()),"outro"))</f>
        <v/>
      </c>
      <c r="K495" s="7" t="str">
        <f aca="false">IF(I495="","",IFERROR(INDEX('Campos Growths'!$L:$L,MATCH(H495,'Campos Growths'!$A:$A,0)),""))</f>
        <v/>
      </c>
      <c r="L495" s="7" t="str">
        <f aca="false">IF(A495="","",IF(G495="não","Sem tabela no Growths",IF(I495="","Sem campo no Growths",IF(J495=K495,"Importa direto","Ajustar tipo"))))</f>
        <v/>
      </c>
      <c r="M495" s="9"/>
    </row>
    <row r="496" customFormat="false" ht="15" hidden="false" customHeight="false" outlineLevel="0" collapsed="false">
      <c r="A496" s="7" t="str">
        <f aca="false">IF('Outro banco'!A496="","",IF(LEFT('Outro banco'!A496,1)="(","",'Outro banco'!A496))</f>
        <v/>
      </c>
      <c r="B496" s="7" t="str">
        <f aca="false">IF(A496="","",'Outro banco'!B496)</f>
        <v/>
      </c>
      <c r="C496" s="7" t="str">
        <f aca="false">IF(A496="","",'Outro banco'!C496)</f>
        <v/>
      </c>
      <c r="D496" s="7" t="str">
        <f aca="false">IF(A496="","",'Outro banco'!D496)</f>
        <v/>
      </c>
      <c r="E496" s="9"/>
      <c r="F496" s="9"/>
      <c r="G496" s="7" t="str">
        <f aca="false">IF(A496="","",IF(COUNTIF(Tabelas!$A:$A,IF(E496="",A496,E496))&gt;0,"sim","não"))</f>
        <v/>
      </c>
      <c r="H496" s="7" t="str">
        <f aca="false">IF(A496="","",IF(E496="",A496,E496)&amp;"."&amp;IF(F496="",B496,F496))</f>
        <v/>
      </c>
      <c r="I496" s="7" t="str">
        <f aca="false">IF(A496="","",IFERROR(INDEX('Campos Growths'!$F:$F,MATCH(H496,'Campos Growths'!$A:$A,0)),""))</f>
        <v/>
      </c>
      <c r="J496" s="7" t="str">
        <f aca="false">IF(A496="","",IFERROR(VLOOKUP(IF(ISNUMBER(SEARCH("(",C496)),LEFT(C496,SEARCH("(",C496)-1),C496),Tipos!$A:$B,2,FALSE()),"outro"))</f>
        <v/>
      </c>
      <c r="K496" s="7" t="str">
        <f aca="false">IF(I496="","",IFERROR(INDEX('Campos Growths'!$L:$L,MATCH(H496,'Campos Growths'!$A:$A,0)),""))</f>
        <v/>
      </c>
      <c r="L496" s="7" t="str">
        <f aca="false">IF(A496="","",IF(G496="não","Sem tabela no Growths",IF(I496="","Sem campo no Growths",IF(J496=K496,"Importa direto","Ajustar tipo"))))</f>
        <v/>
      </c>
      <c r="M496" s="9"/>
    </row>
    <row r="497" customFormat="false" ht="15" hidden="false" customHeight="false" outlineLevel="0" collapsed="false">
      <c r="A497" s="7" t="str">
        <f aca="false">IF('Outro banco'!A497="","",IF(LEFT('Outro banco'!A497,1)="(","",'Outro banco'!A497))</f>
        <v/>
      </c>
      <c r="B497" s="7" t="str">
        <f aca="false">IF(A497="","",'Outro banco'!B497)</f>
        <v/>
      </c>
      <c r="C497" s="7" t="str">
        <f aca="false">IF(A497="","",'Outro banco'!C497)</f>
        <v/>
      </c>
      <c r="D497" s="7" t="str">
        <f aca="false">IF(A497="","",'Outro banco'!D497)</f>
        <v/>
      </c>
      <c r="E497" s="9"/>
      <c r="F497" s="9"/>
      <c r="G497" s="7" t="str">
        <f aca="false">IF(A497="","",IF(COUNTIF(Tabelas!$A:$A,IF(E497="",A497,E497))&gt;0,"sim","não"))</f>
        <v/>
      </c>
      <c r="H497" s="7" t="str">
        <f aca="false">IF(A497="","",IF(E497="",A497,E497)&amp;"."&amp;IF(F497="",B497,F497))</f>
        <v/>
      </c>
      <c r="I497" s="7" t="str">
        <f aca="false">IF(A497="","",IFERROR(INDEX('Campos Growths'!$F:$F,MATCH(H497,'Campos Growths'!$A:$A,0)),""))</f>
        <v/>
      </c>
      <c r="J497" s="7" t="str">
        <f aca="false">IF(A497="","",IFERROR(VLOOKUP(IF(ISNUMBER(SEARCH("(",C497)),LEFT(C497,SEARCH("(",C497)-1),C497),Tipos!$A:$B,2,FALSE()),"outro"))</f>
        <v/>
      </c>
      <c r="K497" s="7" t="str">
        <f aca="false">IF(I497="","",IFERROR(INDEX('Campos Growths'!$L:$L,MATCH(H497,'Campos Growths'!$A:$A,0)),""))</f>
        <v/>
      </c>
      <c r="L497" s="7" t="str">
        <f aca="false">IF(A497="","",IF(G497="não","Sem tabela no Growths",IF(I497="","Sem campo no Growths",IF(J497=K497,"Importa direto","Ajustar tipo"))))</f>
        <v/>
      </c>
      <c r="M497" s="9"/>
    </row>
    <row r="498" customFormat="false" ht="15" hidden="false" customHeight="false" outlineLevel="0" collapsed="false">
      <c r="A498" s="7" t="str">
        <f aca="false">IF('Outro banco'!A498="","",IF(LEFT('Outro banco'!A498,1)="(","",'Outro banco'!A498))</f>
        <v/>
      </c>
      <c r="B498" s="7" t="str">
        <f aca="false">IF(A498="","",'Outro banco'!B498)</f>
        <v/>
      </c>
      <c r="C498" s="7" t="str">
        <f aca="false">IF(A498="","",'Outro banco'!C498)</f>
        <v/>
      </c>
      <c r="D498" s="7" t="str">
        <f aca="false">IF(A498="","",'Outro banco'!D498)</f>
        <v/>
      </c>
      <c r="E498" s="9"/>
      <c r="F498" s="9"/>
      <c r="G498" s="7" t="str">
        <f aca="false">IF(A498="","",IF(COUNTIF(Tabelas!$A:$A,IF(E498="",A498,E498))&gt;0,"sim","não"))</f>
        <v/>
      </c>
      <c r="H498" s="7" t="str">
        <f aca="false">IF(A498="","",IF(E498="",A498,E498)&amp;"."&amp;IF(F498="",B498,F498))</f>
        <v/>
      </c>
      <c r="I498" s="7" t="str">
        <f aca="false">IF(A498="","",IFERROR(INDEX('Campos Growths'!$F:$F,MATCH(H498,'Campos Growths'!$A:$A,0)),""))</f>
        <v/>
      </c>
      <c r="J498" s="7" t="str">
        <f aca="false">IF(A498="","",IFERROR(VLOOKUP(IF(ISNUMBER(SEARCH("(",C498)),LEFT(C498,SEARCH("(",C498)-1),C498),Tipos!$A:$B,2,FALSE()),"outro"))</f>
        <v/>
      </c>
      <c r="K498" s="7" t="str">
        <f aca="false">IF(I498="","",IFERROR(INDEX('Campos Growths'!$L:$L,MATCH(H498,'Campos Growths'!$A:$A,0)),""))</f>
        <v/>
      </c>
      <c r="L498" s="7" t="str">
        <f aca="false">IF(A498="","",IF(G498="não","Sem tabela no Growths",IF(I498="","Sem campo no Growths",IF(J498=K498,"Importa direto","Ajustar tipo"))))</f>
        <v/>
      </c>
      <c r="M498" s="9"/>
    </row>
    <row r="499" customFormat="false" ht="15" hidden="false" customHeight="false" outlineLevel="0" collapsed="false">
      <c r="A499" s="7" t="str">
        <f aca="false">IF('Outro banco'!A499="","",IF(LEFT('Outro banco'!A499,1)="(","",'Outro banco'!A499))</f>
        <v/>
      </c>
      <c r="B499" s="7" t="str">
        <f aca="false">IF(A499="","",'Outro banco'!B499)</f>
        <v/>
      </c>
      <c r="C499" s="7" t="str">
        <f aca="false">IF(A499="","",'Outro banco'!C499)</f>
        <v/>
      </c>
      <c r="D499" s="7" t="str">
        <f aca="false">IF(A499="","",'Outro banco'!D499)</f>
        <v/>
      </c>
      <c r="E499" s="9"/>
      <c r="F499" s="9"/>
      <c r="G499" s="7" t="str">
        <f aca="false">IF(A499="","",IF(COUNTIF(Tabelas!$A:$A,IF(E499="",A499,E499))&gt;0,"sim","não"))</f>
        <v/>
      </c>
      <c r="H499" s="7" t="str">
        <f aca="false">IF(A499="","",IF(E499="",A499,E499)&amp;"."&amp;IF(F499="",B499,F499))</f>
        <v/>
      </c>
      <c r="I499" s="7" t="str">
        <f aca="false">IF(A499="","",IFERROR(INDEX('Campos Growths'!$F:$F,MATCH(H499,'Campos Growths'!$A:$A,0)),""))</f>
        <v/>
      </c>
      <c r="J499" s="7" t="str">
        <f aca="false">IF(A499="","",IFERROR(VLOOKUP(IF(ISNUMBER(SEARCH("(",C499)),LEFT(C499,SEARCH("(",C499)-1),C499),Tipos!$A:$B,2,FALSE()),"outro"))</f>
        <v/>
      </c>
      <c r="K499" s="7" t="str">
        <f aca="false">IF(I499="","",IFERROR(INDEX('Campos Growths'!$L:$L,MATCH(H499,'Campos Growths'!$A:$A,0)),""))</f>
        <v/>
      </c>
      <c r="L499" s="7" t="str">
        <f aca="false">IF(A499="","",IF(G499="não","Sem tabela no Growths",IF(I499="","Sem campo no Growths",IF(J499=K499,"Importa direto","Ajustar tipo"))))</f>
        <v/>
      </c>
      <c r="M499" s="9"/>
    </row>
    <row r="500" customFormat="false" ht="15" hidden="false" customHeight="false" outlineLevel="0" collapsed="false">
      <c r="A500" s="7" t="str">
        <f aca="false">IF('Outro banco'!A500="","",IF(LEFT('Outro banco'!A500,1)="(","",'Outro banco'!A500))</f>
        <v/>
      </c>
      <c r="B500" s="7" t="str">
        <f aca="false">IF(A500="","",'Outro banco'!B500)</f>
        <v/>
      </c>
      <c r="C500" s="7" t="str">
        <f aca="false">IF(A500="","",'Outro banco'!C500)</f>
        <v/>
      </c>
      <c r="D500" s="7" t="str">
        <f aca="false">IF(A500="","",'Outro banco'!D500)</f>
        <v/>
      </c>
      <c r="E500" s="9"/>
      <c r="F500" s="9"/>
      <c r="G500" s="7" t="str">
        <f aca="false">IF(A500="","",IF(COUNTIF(Tabelas!$A:$A,IF(E500="",A500,E500))&gt;0,"sim","não"))</f>
        <v/>
      </c>
      <c r="H500" s="7" t="str">
        <f aca="false">IF(A500="","",IF(E500="",A500,E500)&amp;"."&amp;IF(F500="",B500,F500))</f>
        <v/>
      </c>
      <c r="I500" s="7" t="str">
        <f aca="false">IF(A500="","",IFERROR(INDEX('Campos Growths'!$F:$F,MATCH(H500,'Campos Growths'!$A:$A,0)),""))</f>
        <v/>
      </c>
      <c r="J500" s="7" t="str">
        <f aca="false">IF(A500="","",IFERROR(VLOOKUP(IF(ISNUMBER(SEARCH("(",C500)),LEFT(C500,SEARCH("(",C500)-1),C500),Tipos!$A:$B,2,FALSE()),"outro"))</f>
        <v/>
      </c>
      <c r="K500" s="7" t="str">
        <f aca="false">IF(I500="","",IFERROR(INDEX('Campos Growths'!$L:$L,MATCH(H500,'Campos Growths'!$A:$A,0)),""))</f>
        <v/>
      </c>
      <c r="L500" s="7" t="str">
        <f aca="false">IF(A500="","",IF(G500="não","Sem tabela no Growths",IF(I500="","Sem campo no Growths",IF(J500=K500,"Importa direto","Ajustar tipo"))))</f>
        <v/>
      </c>
      <c r="M500" s="9"/>
    </row>
    <row r="501" customFormat="false" ht="15" hidden="false" customHeight="false" outlineLevel="0" collapsed="false">
      <c r="A501" s="7" t="str">
        <f aca="false">IF('Outro banco'!A501="","",IF(LEFT('Outro banco'!A501,1)="(","",'Outro banco'!A501))</f>
        <v/>
      </c>
      <c r="B501" s="7" t="str">
        <f aca="false">IF(A501="","",'Outro banco'!B501)</f>
        <v/>
      </c>
      <c r="C501" s="7" t="str">
        <f aca="false">IF(A501="","",'Outro banco'!C501)</f>
        <v/>
      </c>
      <c r="D501" s="7" t="str">
        <f aca="false">IF(A501="","",'Outro banco'!D501)</f>
        <v/>
      </c>
      <c r="E501" s="9"/>
      <c r="F501" s="9"/>
      <c r="G501" s="7" t="str">
        <f aca="false">IF(A501="","",IF(COUNTIF(Tabelas!$A:$A,IF(E501="",A501,E501))&gt;0,"sim","não"))</f>
        <v/>
      </c>
      <c r="H501" s="7" t="str">
        <f aca="false">IF(A501="","",IF(E501="",A501,E501)&amp;"."&amp;IF(F501="",B501,F501))</f>
        <v/>
      </c>
      <c r="I501" s="7" t="str">
        <f aca="false">IF(A501="","",IFERROR(INDEX('Campos Growths'!$F:$F,MATCH(H501,'Campos Growths'!$A:$A,0)),""))</f>
        <v/>
      </c>
      <c r="J501" s="7" t="str">
        <f aca="false">IF(A501="","",IFERROR(VLOOKUP(IF(ISNUMBER(SEARCH("(",C501)),LEFT(C501,SEARCH("(",C501)-1),C501),Tipos!$A:$B,2,FALSE()),"outro"))</f>
        <v/>
      </c>
      <c r="K501" s="7" t="str">
        <f aca="false">IF(I501="","",IFERROR(INDEX('Campos Growths'!$L:$L,MATCH(H501,'Campos Growths'!$A:$A,0)),""))</f>
        <v/>
      </c>
      <c r="L501" s="7" t="str">
        <f aca="false">IF(A501="","",IF(G501="não","Sem tabela no Growths",IF(I501="","Sem campo no Growths",IF(J501=K501,"Importa direto","Ajustar tipo"))))</f>
        <v/>
      </c>
      <c r="M501" s="9"/>
    </row>
    <row r="502" customFormat="false" ht="15" hidden="false" customHeight="false" outlineLevel="0" collapsed="false">
      <c r="A502" s="7" t="str">
        <f aca="false">IF('Outro banco'!A502="","",IF(LEFT('Outro banco'!A502,1)="(","",'Outro banco'!A502))</f>
        <v/>
      </c>
      <c r="B502" s="7" t="str">
        <f aca="false">IF(A502="","",'Outro banco'!B502)</f>
        <v/>
      </c>
      <c r="C502" s="7" t="str">
        <f aca="false">IF(A502="","",'Outro banco'!C502)</f>
        <v/>
      </c>
      <c r="D502" s="7" t="str">
        <f aca="false">IF(A502="","",'Outro banco'!D502)</f>
        <v/>
      </c>
      <c r="E502" s="9"/>
      <c r="F502" s="9"/>
      <c r="G502" s="7" t="str">
        <f aca="false">IF(A502="","",IF(COUNTIF(Tabelas!$A:$A,IF(E502="",A502,E502))&gt;0,"sim","não"))</f>
        <v/>
      </c>
      <c r="H502" s="7" t="str">
        <f aca="false">IF(A502="","",IF(E502="",A502,E502)&amp;"."&amp;IF(F502="",B502,F502))</f>
        <v/>
      </c>
      <c r="I502" s="7" t="str">
        <f aca="false">IF(A502="","",IFERROR(INDEX('Campos Growths'!$F:$F,MATCH(H502,'Campos Growths'!$A:$A,0)),""))</f>
        <v/>
      </c>
      <c r="J502" s="7" t="str">
        <f aca="false">IF(A502="","",IFERROR(VLOOKUP(IF(ISNUMBER(SEARCH("(",C502)),LEFT(C502,SEARCH("(",C502)-1),C502),Tipos!$A:$B,2,FALSE()),"outro"))</f>
        <v/>
      </c>
      <c r="K502" s="7" t="str">
        <f aca="false">IF(I502="","",IFERROR(INDEX('Campos Growths'!$L:$L,MATCH(H502,'Campos Growths'!$A:$A,0)),""))</f>
        <v/>
      </c>
      <c r="L502" s="7" t="str">
        <f aca="false">IF(A502="","",IF(G502="não","Sem tabela no Growths",IF(I502="","Sem campo no Growths",IF(J502=K502,"Importa direto","Ajustar tipo"))))</f>
        <v/>
      </c>
      <c r="M502" s="9"/>
    </row>
    <row r="503" customFormat="false" ht="15" hidden="false" customHeight="false" outlineLevel="0" collapsed="false">
      <c r="A503" s="7" t="str">
        <f aca="false">IF('Outro banco'!A503="","",IF(LEFT('Outro banco'!A503,1)="(","",'Outro banco'!A503))</f>
        <v/>
      </c>
      <c r="B503" s="7" t="str">
        <f aca="false">IF(A503="","",'Outro banco'!B503)</f>
        <v/>
      </c>
      <c r="C503" s="7" t="str">
        <f aca="false">IF(A503="","",'Outro banco'!C503)</f>
        <v/>
      </c>
      <c r="D503" s="7" t="str">
        <f aca="false">IF(A503="","",'Outro banco'!D503)</f>
        <v/>
      </c>
      <c r="E503" s="9"/>
      <c r="F503" s="9"/>
      <c r="G503" s="7" t="str">
        <f aca="false">IF(A503="","",IF(COUNTIF(Tabelas!$A:$A,IF(E503="",A503,E503))&gt;0,"sim","não"))</f>
        <v/>
      </c>
      <c r="H503" s="7" t="str">
        <f aca="false">IF(A503="","",IF(E503="",A503,E503)&amp;"."&amp;IF(F503="",B503,F503))</f>
        <v/>
      </c>
      <c r="I503" s="7" t="str">
        <f aca="false">IF(A503="","",IFERROR(INDEX('Campos Growths'!$F:$F,MATCH(H503,'Campos Growths'!$A:$A,0)),""))</f>
        <v/>
      </c>
      <c r="J503" s="7" t="str">
        <f aca="false">IF(A503="","",IFERROR(VLOOKUP(IF(ISNUMBER(SEARCH("(",C503)),LEFT(C503,SEARCH("(",C503)-1),C503),Tipos!$A:$B,2,FALSE()),"outro"))</f>
        <v/>
      </c>
      <c r="K503" s="7" t="str">
        <f aca="false">IF(I503="","",IFERROR(INDEX('Campos Growths'!$L:$L,MATCH(H503,'Campos Growths'!$A:$A,0)),""))</f>
        <v/>
      </c>
      <c r="L503" s="7" t="str">
        <f aca="false">IF(A503="","",IF(G503="não","Sem tabela no Growths",IF(I503="","Sem campo no Growths",IF(J503=K503,"Importa direto","Ajustar tipo"))))</f>
        <v/>
      </c>
      <c r="M503" s="9"/>
    </row>
    <row r="504" customFormat="false" ht="15" hidden="false" customHeight="false" outlineLevel="0" collapsed="false">
      <c r="A504" s="7" t="str">
        <f aca="false">IF('Outro banco'!A504="","",IF(LEFT('Outro banco'!A504,1)="(","",'Outro banco'!A504))</f>
        <v/>
      </c>
      <c r="B504" s="7" t="str">
        <f aca="false">IF(A504="","",'Outro banco'!B504)</f>
        <v/>
      </c>
      <c r="C504" s="7" t="str">
        <f aca="false">IF(A504="","",'Outro banco'!C504)</f>
        <v/>
      </c>
      <c r="D504" s="7" t="str">
        <f aca="false">IF(A504="","",'Outro banco'!D504)</f>
        <v/>
      </c>
      <c r="E504" s="9"/>
      <c r="F504" s="9"/>
      <c r="G504" s="7" t="str">
        <f aca="false">IF(A504="","",IF(COUNTIF(Tabelas!$A:$A,IF(E504="",A504,E504))&gt;0,"sim","não"))</f>
        <v/>
      </c>
      <c r="H504" s="7" t="str">
        <f aca="false">IF(A504="","",IF(E504="",A504,E504)&amp;"."&amp;IF(F504="",B504,F504))</f>
        <v/>
      </c>
      <c r="I504" s="7" t="str">
        <f aca="false">IF(A504="","",IFERROR(INDEX('Campos Growths'!$F:$F,MATCH(H504,'Campos Growths'!$A:$A,0)),""))</f>
        <v/>
      </c>
      <c r="J504" s="7" t="str">
        <f aca="false">IF(A504="","",IFERROR(VLOOKUP(IF(ISNUMBER(SEARCH("(",C504)),LEFT(C504,SEARCH("(",C504)-1),C504),Tipos!$A:$B,2,FALSE()),"outro"))</f>
        <v/>
      </c>
      <c r="K504" s="7" t="str">
        <f aca="false">IF(I504="","",IFERROR(INDEX('Campos Growths'!$L:$L,MATCH(H504,'Campos Growths'!$A:$A,0)),""))</f>
        <v/>
      </c>
      <c r="L504" s="7" t="str">
        <f aca="false">IF(A504="","",IF(G504="não","Sem tabela no Growths",IF(I504="","Sem campo no Growths",IF(J504=K504,"Importa direto","Ajustar tipo"))))</f>
        <v/>
      </c>
      <c r="M504" s="9"/>
    </row>
    <row r="505" customFormat="false" ht="15" hidden="false" customHeight="false" outlineLevel="0" collapsed="false">
      <c r="A505" s="7" t="str">
        <f aca="false">IF('Outro banco'!A505="","",IF(LEFT('Outro banco'!A505,1)="(","",'Outro banco'!A505))</f>
        <v/>
      </c>
      <c r="B505" s="7" t="str">
        <f aca="false">IF(A505="","",'Outro banco'!B505)</f>
        <v/>
      </c>
      <c r="C505" s="7" t="str">
        <f aca="false">IF(A505="","",'Outro banco'!C505)</f>
        <v/>
      </c>
      <c r="D505" s="7" t="str">
        <f aca="false">IF(A505="","",'Outro banco'!D505)</f>
        <v/>
      </c>
      <c r="E505" s="9"/>
      <c r="F505" s="9"/>
      <c r="G505" s="7" t="str">
        <f aca="false">IF(A505="","",IF(COUNTIF(Tabelas!$A:$A,IF(E505="",A505,E505))&gt;0,"sim","não"))</f>
        <v/>
      </c>
      <c r="H505" s="7" t="str">
        <f aca="false">IF(A505="","",IF(E505="",A505,E505)&amp;"."&amp;IF(F505="",B505,F505))</f>
        <v/>
      </c>
      <c r="I505" s="7" t="str">
        <f aca="false">IF(A505="","",IFERROR(INDEX('Campos Growths'!$F:$F,MATCH(H505,'Campos Growths'!$A:$A,0)),""))</f>
        <v/>
      </c>
      <c r="J505" s="7" t="str">
        <f aca="false">IF(A505="","",IFERROR(VLOOKUP(IF(ISNUMBER(SEARCH("(",C505)),LEFT(C505,SEARCH("(",C505)-1),C505),Tipos!$A:$B,2,FALSE()),"outro"))</f>
        <v/>
      </c>
      <c r="K505" s="7" t="str">
        <f aca="false">IF(I505="","",IFERROR(INDEX('Campos Growths'!$L:$L,MATCH(H505,'Campos Growths'!$A:$A,0)),""))</f>
        <v/>
      </c>
      <c r="L505" s="7" t="str">
        <f aca="false">IF(A505="","",IF(G505="não","Sem tabela no Growths",IF(I505="","Sem campo no Growths",IF(J505=K505,"Importa direto","Ajustar tipo"))))</f>
        <v/>
      </c>
      <c r="M505" s="9"/>
    </row>
    <row r="506" customFormat="false" ht="15" hidden="false" customHeight="false" outlineLevel="0" collapsed="false">
      <c r="A506" s="7" t="str">
        <f aca="false">IF('Outro banco'!A506="","",IF(LEFT('Outro banco'!A506,1)="(","",'Outro banco'!A506))</f>
        <v/>
      </c>
      <c r="B506" s="7" t="str">
        <f aca="false">IF(A506="","",'Outro banco'!B506)</f>
        <v/>
      </c>
      <c r="C506" s="7" t="str">
        <f aca="false">IF(A506="","",'Outro banco'!C506)</f>
        <v/>
      </c>
      <c r="D506" s="7" t="str">
        <f aca="false">IF(A506="","",'Outro banco'!D506)</f>
        <v/>
      </c>
      <c r="E506" s="9"/>
      <c r="F506" s="9"/>
      <c r="G506" s="7" t="str">
        <f aca="false">IF(A506="","",IF(COUNTIF(Tabelas!$A:$A,IF(E506="",A506,E506))&gt;0,"sim","não"))</f>
        <v/>
      </c>
      <c r="H506" s="7" t="str">
        <f aca="false">IF(A506="","",IF(E506="",A506,E506)&amp;"."&amp;IF(F506="",B506,F506))</f>
        <v/>
      </c>
      <c r="I506" s="7" t="str">
        <f aca="false">IF(A506="","",IFERROR(INDEX('Campos Growths'!$F:$F,MATCH(H506,'Campos Growths'!$A:$A,0)),""))</f>
        <v/>
      </c>
      <c r="J506" s="7" t="str">
        <f aca="false">IF(A506="","",IFERROR(VLOOKUP(IF(ISNUMBER(SEARCH("(",C506)),LEFT(C506,SEARCH("(",C506)-1),C506),Tipos!$A:$B,2,FALSE()),"outro"))</f>
        <v/>
      </c>
      <c r="K506" s="7" t="str">
        <f aca="false">IF(I506="","",IFERROR(INDEX('Campos Growths'!$L:$L,MATCH(H506,'Campos Growths'!$A:$A,0)),""))</f>
        <v/>
      </c>
      <c r="L506" s="7" t="str">
        <f aca="false">IF(A506="","",IF(G506="não","Sem tabela no Growths",IF(I506="","Sem campo no Growths",IF(J506=K506,"Importa direto","Ajustar tipo"))))</f>
        <v/>
      </c>
      <c r="M506" s="9"/>
    </row>
    <row r="507" customFormat="false" ht="15" hidden="false" customHeight="false" outlineLevel="0" collapsed="false">
      <c r="A507" s="7" t="str">
        <f aca="false">IF('Outro banco'!A507="","",IF(LEFT('Outro banco'!A507,1)="(","",'Outro banco'!A507))</f>
        <v/>
      </c>
      <c r="B507" s="7" t="str">
        <f aca="false">IF(A507="","",'Outro banco'!B507)</f>
        <v/>
      </c>
      <c r="C507" s="7" t="str">
        <f aca="false">IF(A507="","",'Outro banco'!C507)</f>
        <v/>
      </c>
      <c r="D507" s="7" t="str">
        <f aca="false">IF(A507="","",'Outro banco'!D507)</f>
        <v/>
      </c>
      <c r="E507" s="9"/>
      <c r="F507" s="9"/>
      <c r="G507" s="7" t="str">
        <f aca="false">IF(A507="","",IF(COUNTIF(Tabelas!$A:$A,IF(E507="",A507,E507))&gt;0,"sim","não"))</f>
        <v/>
      </c>
      <c r="H507" s="7" t="str">
        <f aca="false">IF(A507="","",IF(E507="",A507,E507)&amp;"."&amp;IF(F507="",B507,F507))</f>
        <v/>
      </c>
      <c r="I507" s="7" t="str">
        <f aca="false">IF(A507="","",IFERROR(INDEX('Campos Growths'!$F:$F,MATCH(H507,'Campos Growths'!$A:$A,0)),""))</f>
        <v/>
      </c>
      <c r="J507" s="7" t="str">
        <f aca="false">IF(A507="","",IFERROR(VLOOKUP(IF(ISNUMBER(SEARCH("(",C507)),LEFT(C507,SEARCH("(",C507)-1),C507),Tipos!$A:$B,2,FALSE()),"outro"))</f>
        <v/>
      </c>
      <c r="K507" s="7" t="str">
        <f aca="false">IF(I507="","",IFERROR(INDEX('Campos Growths'!$L:$L,MATCH(H507,'Campos Growths'!$A:$A,0)),""))</f>
        <v/>
      </c>
      <c r="L507" s="7" t="str">
        <f aca="false">IF(A507="","",IF(G507="não","Sem tabela no Growths",IF(I507="","Sem campo no Growths",IF(J507=K507,"Importa direto","Ajustar tipo"))))</f>
        <v/>
      </c>
      <c r="M507" s="9"/>
    </row>
    <row r="508" customFormat="false" ht="15" hidden="false" customHeight="false" outlineLevel="0" collapsed="false">
      <c r="A508" s="7" t="str">
        <f aca="false">IF('Outro banco'!A508="","",IF(LEFT('Outro banco'!A508,1)="(","",'Outro banco'!A508))</f>
        <v/>
      </c>
      <c r="B508" s="7" t="str">
        <f aca="false">IF(A508="","",'Outro banco'!B508)</f>
        <v/>
      </c>
      <c r="C508" s="7" t="str">
        <f aca="false">IF(A508="","",'Outro banco'!C508)</f>
        <v/>
      </c>
      <c r="D508" s="7" t="str">
        <f aca="false">IF(A508="","",'Outro banco'!D508)</f>
        <v/>
      </c>
      <c r="E508" s="9"/>
      <c r="F508" s="9"/>
      <c r="G508" s="7" t="str">
        <f aca="false">IF(A508="","",IF(COUNTIF(Tabelas!$A:$A,IF(E508="",A508,E508))&gt;0,"sim","não"))</f>
        <v/>
      </c>
      <c r="H508" s="7" t="str">
        <f aca="false">IF(A508="","",IF(E508="",A508,E508)&amp;"."&amp;IF(F508="",B508,F508))</f>
        <v/>
      </c>
      <c r="I508" s="7" t="str">
        <f aca="false">IF(A508="","",IFERROR(INDEX('Campos Growths'!$F:$F,MATCH(H508,'Campos Growths'!$A:$A,0)),""))</f>
        <v/>
      </c>
      <c r="J508" s="7" t="str">
        <f aca="false">IF(A508="","",IFERROR(VLOOKUP(IF(ISNUMBER(SEARCH("(",C508)),LEFT(C508,SEARCH("(",C508)-1),C508),Tipos!$A:$B,2,FALSE()),"outro"))</f>
        <v/>
      </c>
      <c r="K508" s="7" t="str">
        <f aca="false">IF(I508="","",IFERROR(INDEX('Campos Growths'!$L:$L,MATCH(H508,'Campos Growths'!$A:$A,0)),""))</f>
        <v/>
      </c>
      <c r="L508" s="7" t="str">
        <f aca="false">IF(A508="","",IF(G508="não","Sem tabela no Growths",IF(I508="","Sem campo no Growths",IF(J508=K508,"Importa direto","Ajustar tipo"))))</f>
        <v/>
      </c>
      <c r="M508" s="9"/>
    </row>
    <row r="509" customFormat="false" ht="15" hidden="false" customHeight="false" outlineLevel="0" collapsed="false">
      <c r="A509" s="7" t="str">
        <f aca="false">IF('Outro banco'!A509="","",IF(LEFT('Outro banco'!A509,1)="(","",'Outro banco'!A509))</f>
        <v/>
      </c>
      <c r="B509" s="7" t="str">
        <f aca="false">IF(A509="","",'Outro banco'!B509)</f>
        <v/>
      </c>
      <c r="C509" s="7" t="str">
        <f aca="false">IF(A509="","",'Outro banco'!C509)</f>
        <v/>
      </c>
      <c r="D509" s="7" t="str">
        <f aca="false">IF(A509="","",'Outro banco'!D509)</f>
        <v/>
      </c>
      <c r="E509" s="9"/>
      <c r="F509" s="9"/>
      <c r="G509" s="7" t="str">
        <f aca="false">IF(A509="","",IF(COUNTIF(Tabelas!$A:$A,IF(E509="",A509,E509))&gt;0,"sim","não"))</f>
        <v/>
      </c>
      <c r="H509" s="7" t="str">
        <f aca="false">IF(A509="","",IF(E509="",A509,E509)&amp;"."&amp;IF(F509="",B509,F509))</f>
        <v/>
      </c>
      <c r="I509" s="7" t="str">
        <f aca="false">IF(A509="","",IFERROR(INDEX('Campos Growths'!$F:$F,MATCH(H509,'Campos Growths'!$A:$A,0)),""))</f>
        <v/>
      </c>
      <c r="J509" s="7" t="str">
        <f aca="false">IF(A509="","",IFERROR(VLOOKUP(IF(ISNUMBER(SEARCH("(",C509)),LEFT(C509,SEARCH("(",C509)-1),C509),Tipos!$A:$B,2,FALSE()),"outro"))</f>
        <v/>
      </c>
      <c r="K509" s="7" t="str">
        <f aca="false">IF(I509="","",IFERROR(INDEX('Campos Growths'!$L:$L,MATCH(H509,'Campos Growths'!$A:$A,0)),""))</f>
        <v/>
      </c>
      <c r="L509" s="7" t="str">
        <f aca="false">IF(A509="","",IF(G509="não","Sem tabela no Growths",IF(I509="","Sem campo no Growths",IF(J509=K509,"Importa direto","Ajustar tipo"))))</f>
        <v/>
      </c>
      <c r="M509" s="9"/>
    </row>
    <row r="510" customFormat="false" ht="15" hidden="false" customHeight="false" outlineLevel="0" collapsed="false">
      <c r="A510" s="7" t="str">
        <f aca="false">IF('Outro banco'!A510="","",IF(LEFT('Outro banco'!A510,1)="(","",'Outro banco'!A510))</f>
        <v/>
      </c>
      <c r="B510" s="7" t="str">
        <f aca="false">IF(A510="","",'Outro banco'!B510)</f>
        <v/>
      </c>
      <c r="C510" s="7" t="str">
        <f aca="false">IF(A510="","",'Outro banco'!C510)</f>
        <v/>
      </c>
      <c r="D510" s="7" t="str">
        <f aca="false">IF(A510="","",'Outro banco'!D510)</f>
        <v/>
      </c>
      <c r="E510" s="9"/>
      <c r="F510" s="9"/>
      <c r="G510" s="7" t="str">
        <f aca="false">IF(A510="","",IF(COUNTIF(Tabelas!$A:$A,IF(E510="",A510,E510))&gt;0,"sim","não"))</f>
        <v/>
      </c>
      <c r="H510" s="7" t="str">
        <f aca="false">IF(A510="","",IF(E510="",A510,E510)&amp;"."&amp;IF(F510="",B510,F510))</f>
        <v/>
      </c>
      <c r="I510" s="7" t="str">
        <f aca="false">IF(A510="","",IFERROR(INDEX('Campos Growths'!$F:$F,MATCH(H510,'Campos Growths'!$A:$A,0)),""))</f>
        <v/>
      </c>
      <c r="J510" s="7" t="str">
        <f aca="false">IF(A510="","",IFERROR(VLOOKUP(IF(ISNUMBER(SEARCH("(",C510)),LEFT(C510,SEARCH("(",C510)-1),C510),Tipos!$A:$B,2,FALSE()),"outro"))</f>
        <v/>
      </c>
      <c r="K510" s="7" t="str">
        <f aca="false">IF(I510="","",IFERROR(INDEX('Campos Growths'!$L:$L,MATCH(H510,'Campos Growths'!$A:$A,0)),""))</f>
        <v/>
      </c>
      <c r="L510" s="7" t="str">
        <f aca="false">IF(A510="","",IF(G510="não","Sem tabela no Growths",IF(I510="","Sem campo no Growths",IF(J510=K510,"Importa direto","Ajustar tipo"))))</f>
        <v/>
      </c>
      <c r="M510" s="9"/>
    </row>
    <row r="511" customFormat="false" ht="15" hidden="false" customHeight="false" outlineLevel="0" collapsed="false">
      <c r="A511" s="7" t="str">
        <f aca="false">IF('Outro banco'!A511="","",IF(LEFT('Outro banco'!A511,1)="(","",'Outro banco'!A511))</f>
        <v/>
      </c>
      <c r="B511" s="7" t="str">
        <f aca="false">IF(A511="","",'Outro banco'!B511)</f>
        <v/>
      </c>
      <c r="C511" s="7" t="str">
        <f aca="false">IF(A511="","",'Outro banco'!C511)</f>
        <v/>
      </c>
      <c r="D511" s="7" t="str">
        <f aca="false">IF(A511="","",'Outro banco'!D511)</f>
        <v/>
      </c>
      <c r="E511" s="9"/>
      <c r="F511" s="9"/>
      <c r="G511" s="7" t="str">
        <f aca="false">IF(A511="","",IF(COUNTIF(Tabelas!$A:$A,IF(E511="",A511,E511))&gt;0,"sim","não"))</f>
        <v/>
      </c>
      <c r="H511" s="7" t="str">
        <f aca="false">IF(A511="","",IF(E511="",A511,E511)&amp;"."&amp;IF(F511="",B511,F511))</f>
        <v/>
      </c>
      <c r="I511" s="7" t="str">
        <f aca="false">IF(A511="","",IFERROR(INDEX('Campos Growths'!$F:$F,MATCH(H511,'Campos Growths'!$A:$A,0)),""))</f>
        <v/>
      </c>
      <c r="J511" s="7" t="str">
        <f aca="false">IF(A511="","",IFERROR(VLOOKUP(IF(ISNUMBER(SEARCH("(",C511)),LEFT(C511,SEARCH("(",C511)-1),C511),Tipos!$A:$B,2,FALSE()),"outro"))</f>
        <v/>
      </c>
      <c r="K511" s="7" t="str">
        <f aca="false">IF(I511="","",IFERROR(INDEX('Campos Growths'!$L:$L,MATCH(H511,'Campos Growths'!$A:$A,0)),""))</f>
        <v/>
      </c>
      <c r="L511" s="7" t="str">
        <f aca="false">IF(A511="","",IF(G511="não","Sem tabela no Growths",IF(I511="","Sem campo no Growths",IF(J511=K511,"Importa direto","Ajustar tipo"))))</f>
        <v/>
      </c>
      <c r="M511" s="9"/>
    </row>
    <row r="512" customFormat="false" ht="15" hidden="false" customHeight="false" outlineLevel="0" collapsed="false">
      <c r="A512" s="7" t="str">
        <f aca="false">IF('Outro banco'!A512="","",IF(LEFT('Outro banco'!A512,1)="(","",'Outro banco'!A512))</f>
        <v/>
      </c>
      <c r="B512" s="7" t="str">
        <f aca="false">IF(A512="","",'Outro banco'!B512)</f>
        <v/>
      </c>
      <c r="C512" s="7" t="str">
        <f aca="false">IF(A512="","",'Outro banco'!C512)</f>
        <v/>
      </c>
      <c r="D512" s="7" t="str">
        <f aca="false">IF(A512="","",'Outro banco'!D512)</f>
        <v/>
      </c>
      <c r="E512" s="9"/>
      <c r="F512" s="9"/>
      <c r="G512" s="7" t="str">
        <f aca="false">IF(A512="","",IF(COUNTIF(Tabelas!$A:$A,IF(E512="",A512,E512))&gt;0,"sim","não"))</f>
        <v/>
      </c>
      <c r="H512" s="7" t="str">
        <f aca="false">IF(A512="","",IF(E512="",A512,E512)&amp;"."&amp;IF(F512="",B512,F512))</f>
        <v/>
      </c>
      <c r="I512" s="7" t="str">
        <f aca="false">IF(A512="","",IFERROR(INDEX('Campos Growths'!$F:$F,MATCH(H512,'Campos Growths'!$A:$A,0)),""))</f>
        <v/>
      </c>
      <c r="J512" s="7" t="str">
        <f aca="false">IF(A512="","",IFERROR(VLOOKUP(IF(ISNUMBER(SEARCH("(",C512)),LEFT(C512,SEARCH("(",C512)-1),C512),Tipos!$A:$B,2,FALSE()),"outro"))</f>
        <v/>
      </c>
      <c r="K512" s="7" t="str">
        <f aca="false">IF(I512="","",IFERROR(INDEX('Campos Growths'!$L:$L,MATCH(H512,'Campos Growths'!$A:$A,0)),""))</f>
        <v/>
      </c>
      <c r="L512" s="7" t="str">
        <f aca="false">IF(A512="","",IF(G512="não","Sem tabela no Growths",IF(I512="","Sem campo no Growths",IF(J512=K512,"Importa direto","Ajustar tipo"))))</f>
        <v/>
      </c>
      <c r="M512" s="9"/>
    </row>
    <row r="513" customFormat="false" ht="15" hidden="false" customHeight="false" outlineLevel="0" collapsed="false">
      <c r="A513" s="7" t="str">
        <f aca="false">IF('Outro banco'!A513="","",IF(LEFT('Outro banco'!A513,1)="(","",'Outro banco'!A513))</f>
        <v/>
      </c>
      <c r="B513" s="7" t="str">
        <f aca="false">IF(A513="","",'Outro banco'!B513)</f>
        <v/>
      </c>
      <c r="C513" s="7" t="str">
        <f aca="false">IF(A513="","",'Outro banco'!C513)</f>
        <v/>
      </c>
      <c r="D513" s="7" t="str">
        <f aca="false">IF(A513="","",'Outro banco'!D513)</f>
        <v/>
      </c>
      <c r="E513" s="9"/>
      <c r="F513" s="9"/>
      <c r="G513" s="7" t="str">
        <f aca="false">IF(A513="","",IF(COUNTIF(Tabelas!$A:$A,IF(E513="",A513,E513))&gt;0,"sim","não"))</f>
        <v/>
      </c>
      <c r="H513" s="7" t="str">
        <f aca="false">IF(A513="","",IF(E513="",A513,E513)&amp;"."&amp;IF(F513="",B513,F513))</f>
        <v/>
      </c>
      <c r="I513" s="7" t="str">
        <f aca="false">IF(A513="","",IFERROR(INDEX('Campos Growths'!$F:$F,MATCH(H513,'Campos Growths'!$A:$A,0)),""))</f>
        <v/>
      </c>
      <c r="J513" s="7" t="str">
        <f aca="false">IF(A513="","",IFERROR(VLOOKUP(IF(ISNUMBER(SEARCH("(",C513)),LEFT(C513,SEARCH("(",C513)-1),C513),Tipos!$A:$B,2,FALSE()),"outro"))</f>
        <v/>
      </c>
      <c r="K513" s="7" t="str">
        <f aca="false">IF(I513="","",IFERROR(INDEX('Campos Growths'!$L:$L,MATCH(H513,'Campos Growths'!$A:$A,0)),""))</f>
        <v/>
      </c>
      <c r="L513" s="7" t="str">
        <f aca="false">IF(A513="","",IF(G513="não","Sem tabela no Growths",IF(I513="","Sem campo no Growths",IF(J513=K513,"Importa direto","Ajustar tipo"))))</f>
        <v/>
      </c>
      <c r="M513" s="9"/>
    </row>
    <row r="514" customFormat="false" ht="15" hidden="false" customHeight="false" outlineLevel="0" collapsed="false">
      <c r="A514" s="7" t="str">
        <f aca="false">IF('Outro banco'!A514="","",IF(LEFT('Outro banco'!A514,1)="(","",'Outro banco'!A514))</f>
        <v/>
      </c>
      <c r="B514" s="7" t="str">
        <f aca="false">IF(A514="","",'Outro banco'!B514)</f>
        <v/>
      </c>
      <c r="C514" s="7" t="str">
        <f aca="false">IF(A514="","",'Outro banco'!C514)</f>
        <v/>
      </c>
      <c r="D514" s="7" t="str">
        <f aca="false">IF(A514="","",'Outro banco'!D514)</f>
        <v/>
      </c>
      <c r="E514" s="9"/>
      <c r="F514" s="9"/>
      <c r="G514" s="7" t="str">
        <f aca="false">IF(A514="","",IF(COUNTIF(Tabelas!$A:$A,IF(E514="",A514,E514))&gt;0,"sim","não"))</f>
        <v/>
      </c>
      <c r="H514" s="7" t="str">
        <f aca="false">IF(A514="","",IF(E514="",A514,E514)&amp;"."&amp;IF(F514="",B514,F514))</f>
        <v/>
      </c>
      <c r="I514" s="7" t="str">
        <f aca="false">IF(A514="","",IFERROR(INDEX('Campos Growths'!$F:$F,MATCH(H514,'Campos Growths'!$A:$A,0)),""))</f>
        <v/>
      </c>
      <c r="J514" s="7" t="str">
        <f aca="false">IF(A514="","",IFERROR(VLOOKUP(IF(ISNUMBER(SEARCH("(",C514)),LEFT(C514,SEARCH("(",C514)-1),C514),Tipos!$A:$B,2,FALSE()),"outro"))</f>
        <v/>
      </c>
      <c r="K514" s="7" t="str">
        <f aca="false">IF(I514="","",IFERROR(INDEX('Campos Growths'!$L:$L,MATCH(H514,'Campos Growths'!$A:$A,0)),""))</f>
        <v/>
      </c>
      <c r="L514" s="7" t="str">
        <f aca="false">IF(A514="","",IF(G514="não","Sem tabela no Growths",IF(I514="","Sem campo no Growths",IF(J514=K514,"Importa direto","Ajustar tipo"))))</f>
        <v/>
      </c>
      <c r="M514" s="9"/>
    </row>
    <row r="515" customFormat="false" ht="15" hidden="false" customHeight="false" outlineLevel="0" collapsed="false">
      <c r="A515" s="7" t="str">
        <f aca="false">IF('Outro banco'!A515="","",IF(LEFT('Outro banco'!A515,1)="(","",'Outro banco'!A515))</f>
        <v/>
      </c>
      <c r="B515" s="7" t="str">
        <f aca="false">IF(A515="","",'Outro banco'!B515)</f>
        <v/>
      </c>
      <c r="C515" s="7" t="str">
        <f aca="false">IF(A515="","",'Outro banco'!C515)</f>
        <v/>
      </c>
      <c r="D515" s="7" t="str">
        <f aca="false">IF(A515="","",'Outro banco'!D515)</f>
        <v/>
      </c>
      <c r="E515" s="9"/>
      <c r="F515" s="9"/>
      <c r="G515" s="7" t="str">
        <f aca="false">IF(A515="","",IF(COUNTIF(Tabelas!$A:$A,IF(E515="",A515,E515))&gt;0,"sim","não"))</f>
        <v/>
      </c>
      <c r="H515" s="7" t="str">
        <f aca="false">IF(A515="","",IF(E515="",A515,E515)&amp;"."&amp;IF(F515="",B515,F515))</f>
        <v/>
      </c>
      <c r="I515" s="7" t="str">
        <f aca="false">IF(A515="","",IFERROR(INDEX('Campos Growths'!$F:$F,MATCH(H515,'Campos Growths'!$A:$A,0)),""))</f>
        <v/>
      </c>
      <c r="J515" s="7" t="str">
        <f aca="false">IF(A515="","",IFERROR(VLOOKUP(IF(ISNUMBER(SEARCH("(",C515)),LEFT(C515,SEARCH("(",C515)-1),C515),Tipos!$A:$B,2,FALSE()),"outro"))</f>
        <v/>
      </c>
      <c r="K515" s="7" t="str">
        <f aca="false">IF(I515="","",IFERROR(INDEX('Campos Growths'!$L:$L,MATCH(H515,'Campos Growths'!$A:$A,0)),""))</f>
        <v/>
      </c>
      <c r="L515" s="7" t="str">
        <f aca="false">IF(A515="","",IF(G515="não","Sem tabela no Growths",IF(I515="","Sem campo no Growths",IF(J515=K515,"Importa direto","Ajustar tipo"))))</f>
        <v/>
      </c>
      <c r="M515" s="9"/>
    </row>
    <row r="516" customFormat="false" ht="15" hidden="false" customHeight="false" outlineLevel="0" collapsed="false">
      <c r="A516" s="7" t="str">
        <f aca="false">IF('Outro banco'!A516="","",IF(LEFT('Outro banco'!A516,1)="(","",'Outro banco'!A516))</f>
        <v/>
      </c>
      <c r="B516" s="7" t="str">
        <f aca="false">IF(A516="","",'Outro banco'!B516)</f>
        <v/>
      </c>
      <c r="C516" s="7" t="str">
        <f aca="false">IF(A516="","",'Outro banco'!C516)</f>
        <v/>
      </c>
      <c r="D516" s="7" t="str">
        <f aca="false">IF(A516="","",'Outro banco'!D516)</f>
        <v/>
      </c>
      <c r="E516" s="9"/>
      <c r="F516" s="9"/>
      <c r="G516" s="7" t="str">
        <f aca="false">IF(A516="","",IF(COUNTIF(Tabelas!$A:$A,IF(E516="",A516,E516))&gt;0,"sim","não"))</f>
        <v/>
      </c>
      <c r="H516" s="7" t="str">
        <f aca="false">IF(A516="","",IF(E516="",A516,E516)&amp;"."&amp;IF(F516="",B516,F516))</f>
        <v/>
      </c>
      <c r="I516" s="7" t="str">
        <f aca="false">IF(A516="","",IFERROR(INDEX('Campos Growths'!$F:$F,MATCH(H516,'Campos Growths'!$A:$A,0)),""))</f>
        <v/>
      </c>
      <c r="J516" s="7" t="str">
        <f aca="false">IF(A516="","",IFERROR(VLOOKUP(IF(ISNUMBER(SEARCH("(",C516)),LEFT(C516,SEARCH("(",C516)-1),C516),Tipos!$A:$B,2,FALSE()),"outro"))</f>
        <v/>
      </c>
      <c r="K516" s="7" t="str">
        <f aca="false">IF(I516="","",IFERROR(INDEX('Campos Growths'!$L:$L,MATCH(H516,'Campos Growths'!$A:$A,0)),""))</f>
        <v/>
      </c>
      <c r="L516" s="7" t="str">
        <f aca="false">IF(A516="","",IF(G516="não","Sem tabela no Growths",IF(I516="","Sem campo no Growths",IF(J516=K516,"Importa direto","Ajustar tipo"))))</f>
        <v/>
      </c>
      <c r="M516" s="9"/>
    </row>
    <row r="517" customFormat="false" ht="15" hidden="false" customHeight="false" outlineLevel="0" collapsed="false">
      <c r="A517" s="7" t="str">
        <f aca="false">IF('Outro banco'!A517="","",IF(LEFT('Outro banco'!A517,1)="(","",'Outro banco'!A517))</f>
        <v/>
      </c>
      <c r="B517" s="7" t="str">
        <f aca="false">IF(A517="","",'Outro banco'!B517)</f>
        <v/>
      </c>
      <c r="C517" s="7" t="str">
        <f aca="false">IF(A517="","",'Outro banco'!C517)</f>
        <v/>
      </c>
      <c r="D517" s="7" t="str">
        <f aca="false">IF(A517="","",'Outro banco'!D517)</f>
        <v/>
      </c>
      <c r="E517" s="9"/>
      <c r="F517" s="9"/>
      <c r="G517" s="7" t="str">
        <f aca="false">IF(A517="","",IF(COUNTIF(Tabelas!$A:$A,IF(E517="",A517,E517))&gt;0,"sim","não"))</f>
        <v/>
      </c>
      <c r="H517" s="7" t="str">
        <f aca="false">IF(A517="","",IF(E517="",A517,E517)&amp;"."&amp;IF(F517="",B517,F517))</f>
        <v/>
      </c>
      <c r="I517" s="7" t="str">
        <f aca="false">IF(A517="","",IFERROR(INDEX('Campos Growths'!$F:$F,MATCH(H517,'Campos Growths'!$A:$A,0)),""))</f>
        <v/>
      </c>
      <c r="J517" s="7" t="str">
        <f aca="false">IF(A517="","",IFERROR(VLOOKUP(IF(ISNUMBER(SEARCH("(",C517)),LEFT(C517,SEARCH("(",C517)-1),C517),Tipos!$A:$B,2,FALSE()),"outro"))</f>
        <v/>
      </c>
      <c r="K517" s="7" t="str">
        <f aca="false">IF(I517="","",IFERROR(INDEX('Campos Growths'!$L:$L,MATCH(H517,'Campos Growths'!$A:$A,0)),""))</f>
        <v/>
      </c>
      <c r="L517" s="7" t="str">
        <f aca="false">IF(A517="","",IF(G517="não","Sem tabela no Growths",IF(I517="","Sem campo no Growths",IF(J517=K517,"Importa direto","Ajustar tipo"))))</f>
        <v/>
      </c>
      <c r="M517" s="9"/>
    </row>
    <row r="518" customFormat="false" ht="15" hidden="false" customHeight="false" outlineLevel="0" collapsed="false">
      <c r="A518" s="7" t="str">
        <f aca="false">IF('Outro banco'!A518="","",IF(LEFT('Outro banco'!A518,1)="(","",'Outro banco'!A518))</f>
        <v/>
      </c>
      <c r="B518" s="7" t="str">
        <f aca="false">IF(A518="","",'Outro banco'!B518)</f>
        <v/>
      </c>
      <c r="C518" s="7" t="str">
        <f aca="false">IF(A518="","",'Outro banco'!C518)</f>
        <v/>
      </c>
      <c r="D518" s="7" t="str">
        <f aca="false">IF(A518="","",'Outro banco'!D518)</f>
        <v/>
      </c>
      <c r="E518" s="9"/>
      <c r="F518" s="9"/>
      <c r="G518" s="7" t="str">
        <f aca="false">IF(A518="","",IF(COUNTIF(Tabelas!$A:$A,IF(E518="",A518,E518))&gt;0,"sim","não"))</f>
        <v/>
      </c>
      <c r="H518" s="7" t="str">
        <f aca="false">IF(A518="","",IF(E518="",A518,E518)&amp;"."&amp;IF(F518="",B518,F518))</f>
        <v/>
      </c>
      <c r="I518" s="7" t="str">
        <f aca="false">IF(A518="","",IFERROR(INDEX('Campos Growths'!$F:$F,MATCH(H518,'Campos Growths'!$A:$A,0)),""))</f>
        <v/>
      </c>
      <c r="J518" s="7" t="str">
        <f aca="false">IF(A518="","",IFERROR(VLOOKUP(IF(ISNUMBER(SEARCH("(",C518)),LEFT(C518,SEARCH("(",C518)-1),C518),Tipos!$A:$B,2,FALSE()),"outro"))</f>
        <v/>
      </c>
      <c r="K518" s="7" t="str">
        <f aca="false">IF(I518="","",IFERROR(INDEX('Campos Growths'!$L:$L,MATCH(H518,'Campos Growths'!$A:$A,0)),""))</f>
        <v/>
      </c>
      <c r="L518" s="7" t="str">
        <f aca="false">IF(A518="","",IF(G518="não","Sem tabela no Growths",IF(I518="","Sem campo no Growths",IF(J518=K518,"Importa direto","Ajustar tipo"))))</f>
        <v/>
      </c>
      <c r="M518" s="9"/>
    </row>
    <row r="519" customFormat="false" ht="15" hidden="false" customHeight="false" outlineLevel="0" collapsed="false">
      <c r="A519" s="7" t="str">
        <f aca="false">IF('Outro banco'!A519="","",IF(LEFT('Outro banco'!A519,1)="(","",'Outro banco'!A519))</f>
        <v/>
      </c>
      <c r="B519" s="7" t="str">
        <f aca="false">IF(A519="","",'Outro banco'!B519)</f>
        <v/>
      </c>
      <c r="C519" s="7" t="str">
        <f aca="false">IF(A519="","",'Outro banco'!C519)</f>
        <v/>
      </c>
      <c r="D519" s="7" t="str">
        <f aca="false">IF(A519="","",'Outro banco'!D519)</f>
        <v/>
      </c>
      <c r="E519" s="9"/>
      <c r="F519" s="9"/>
      <c r="G519" s="7" t="str">
        <f aca="false">IF(A519="","",IF(COUNTIF(Tabelas!$A:$A,IF(E519="",A519,E519))&gt;0,"sim","não"))</f>
        <v/>
      </c>
      <c r="H519" s="7" t="str">
        <f aca="false">IF(A519="","",IF(E519="",A519,E519)&amp;"."&amp;IF(F519="",B519,F519))</f>
        <v/>
      </c>
      <c r="I519" s="7" t="str">
        <f aca="false">IF(A519="","",IFERROR(INDEX('Campos Growths'!$F:$F,MATCH(H519,'Campos Growths'!$A:$A,0)),""))</f>
        <v/>
      </c>
      <c r="J519" s="7" t="str">
        <f aca="false">IF(A519="","",IFERROR(VLOOKUP(IF(ISNUMBER(SEARCH("(",C519)),LEFT(C519,SEARCH("(",C519)-1),C519),Tipos!$A:$B,2,FALSE()),"outro"))</f>
        <v/>
      </c>
      <c r="K519" s="7" t="str">
        <f aca="false">IF(I519="","",IFERROR(INDEX('Campos Growths'!$L:$L,MATCH(H519,'Campos Growths'!$A:$A,0)),""))</f>
        <v/>
      </c>
      <c r="L519" s="7" t="str">
        <f aca="false">IF(A519="","",IF(G519="não","Sem tabela no Growths",IF(I519="","Sem campo no Growths",IF(J519=K519,"Importa direto","Ajustar tipo"))))</f>
        <v/>
      </c>
      <c r="M519" s="9"/>
    </row>
    <row r="520" customFormat="false" ht="15" hidden="false" customHeight="false" outlineLevel="0" collapsed="false">
      <c r="A520" s="7" t="str">
        <f aca="false">IF('Outro banco'!A520="","",IF(LEFT('Outro banco'!A520,1)="(","",'Outro banco'!A520))</f>
        <v/>
      </c>
      <c r="B520" s="7" t="str">
        <f aca="false">IF(A520="","",'Outro banco'!B520)</f>
        <v/>
      </c>
      <c r="C520" s="7" t="str">
        <f aca="false">IF(A520="","",'Outro banco'!C520)</f>
        <v/>
      </c>
      <c r="D520" s="7" t="str">
        <f aca="false">IF(A520="","",'Outro banco'!D520)</f>
        <v/>
      </c>
      <c r="E520" s="9"/>
      <c r="F520" s="9"/>
      <c r="G520" s="7" t="str">
        <f aca="false">IF(A520="","",IF(COUNTIF(Tabelas!$A:$A,IF(E520="",A520,E520))&gt;0,"sim","não"))</f>
        <v/>
      </c>
      <c r="H520" s="7" t="str">
        <f aca="false">IF(A520="","",IF(E520="",A520,E520)&amp;"."&amp;IF(F520="",B520,F520))</f>
        <v/>
      </c>
      <c r="I520" s="7" t="str">
        <f aca="false">IF(A520="","",IFERROR(INDEX('Campos Growths'!$F:$F,MATCH(H520,'Campos Growths'!$A:$A,0)),""))</f>
        <v/>
      </c>
      <c r="J520" s="7" t="str">
        <f aca="false">IF(A520="","",IFERROR(VLOOKUP(IF(ISNUMBER(SEARCH("(",C520)),LEFT(C520,SEARCH("(",C520)-1),C520),Tipos!$A:$B,2,FALSE()),"outro"))</f>
        <v/>
      </c>
      <c r="K520" s="7" t="str">
        <f aca="false">IF(I520="","",IFERROR(INDEX('Campos Growths'!$L:$L,MATCH(H520,'Campos Growths'!$A:$A,0)),""))</f>
        <v/>
      </c>
      <c r="L520" s="7" t="str">
        <f aca="false">IF(A520="","",IF(G520="não","Sem tabela no Growths",IF(I520="","Sem campo no Growths",IF(J520=K520,"Importa direto","Ajustar tipo"))))</f>
        <v/>
      </c>
      <c r="M520" s="9"/>
    </row>
    <row r="521" customFormat="false" ht="15" hidden="false" customHeight="false" outlineLevel="0" collapsed="false">
      <c r="A521" s="7" t="str">
        <f aca="false">IF('Outro banco'!A521="","",IF(LEFT('Outro banco'!A521,1)="(","",'Outro banco'!A521))</f>
        <v/>
      </c>
      <c r="B521" s="7" t="str">
        <f aca="false">IF(A521="","",'Outro banco'!B521)</f>
        <v/>
      </c>
      <c r="C521" s="7" t="str">
        <f aca="false">IF(A521="","",'Outro banco'!C521)</f>
        <v/>
      </c>
      <c r="D521" s="7" t="str">
        <f aca="false">IF(A521="","",'Outro banco'!D521)</f>
        <v/>
      </c>
      <c r="E521" s="9"/>
      <c r="F521" s="9"/>
      <c r="G521" s="7" t="str">
        <f aca="false">IF(A521="","",IF(COUNTIF(Tabelas!$A:$A,IF(E521="",A521,E521))&gt;0,"sim","não"))</f>
        <v/>
      </c>
      <c r="H521" s="7" t="str">
        <f aca="false">IF(A521="","",IF(E521="",A521,E521)&amp;"."&amp;IF(F521="",B521,F521))</f>
        <v/>
      </c>
      <c r="I521" s="7" t="str">
        <f aca="false">IF(A521="","",IFERROR(INDEX('Campos Growths'!$F:$F,MATCH(H521,'Campos Growths'!$A:$A,0)),""))</f>
        <v/>
      </c>
      <c r="J521" s="7" t="str">
        <f aca="false">IF(A521="","",IFERROR(VLOOKUP(IF(ISNUMBER(SEARCH("(",C521)),LEFT(C521,SEARCH("(",C521)-1),C521),Tipos!$A:$B,2,FALSE()),"outro"))</f>
        <v/>
      </c>
      <c r="K521" s="7" t="str">
        <f aca="false">IF(I521="","",IFERROR(INDEX('Campos Growths'!$L:$L,MATCH(H521,'Campos Growths'!$A:$A,0)),""))</f>
        <v/>
      </c>
      <c r="L521" s="7" t="str">
        <f aca="false">IF(A521="","",IF(G521="não","Sem tabela no Growths",IF(I521="","Sem campo no Growths",IF(J521=K521,"Importa direto","Ajustar tipo"))))</f>
        <v/>
      </c>
      <c r="M521" s="9"/>
    </row>
    <row r="522" customFormat="false" ht="15" hidden="false" customHeight="false" outlineLevel="0" collapsed="false">
      <c r="A522" s="7" t="str">
        <f aca="false">IF('Outro banco'!A522="","",IF(LEFT('Outro banco'!A522,1)="(","",'Outro banco'!A522))</f>
        <v/>
      </c>
      <c r="B522" s="7" t="str">
        <f aca="false">IF(A522="","",'Outro banco'!B522)</f>
        <v/>
      </c>
      <c r="C522" s="7" t="str">
        <f aca="false">IF(A522="","",'Outro banco'!C522)</f>
        <v/>
      </c>
      <c r="D522" s="7" t="str">
        <f aca="false">IF(A522="","",'Outro banco'!D522)</f>
        <v/>
      </c>
      <c r="E522" s="9"/>
      <c r="F522" s="9"/>
      <c r="G522" s="7" t="str">
        <f aca="false">IF(A522="","",IF(COUNTIF(Tabelas!$A:$A,IF(E522="",A522,E522))&gt;0,"sim","não"))</f>
        <v/>
      </c>
      <c r="H522" s="7" t="str">
        <f aca="false">IF(A522="","",IF(E522="",A522,E522)&amp;"."&amp;IF(F522="",B522,F522))</f>
        <v/>
      </c>
      <c r="I522" s="7" t="str">
        <f aca="false">IF(A522="","",IFERROR(INDEX('Campos Growths'!$F:$F,MATCH(H522,'Campos Growths'!$A:$A,0)),""))</f>
        <v/>
      </c>
      <c r="J522" s="7" t="str">
        <f aca="false">IF(A522="","",IFERROR(VLOOKUP(IF(ISNUMBER(SEARCH("(",C522)),LEFT(C522,SEARCH("(",C522)-1),C522),Tipos!$A:$B,2,FALSE()),"outro"))</f>
        <v/>
      </c>
      <c r="K522" s="7" t="str">
        <f aca="false">IF(I522="","",IFERROR(INDEX('Campos Growths'!$L:$L,MATCH(H522,'Campos Growths'!$A:$A,0)),""))</f>
        <v/>
      </c>
      <c r="L522" s="7" t="str">
        <f aca="false">IF(A522="","",IF(G522="não","Sem tabela no Growths",IF(I522="","Sem campo no Growths",IF(J522=K522,"Importa direto","Ajustar tipo"))))</f>
        <v/>
      </c>
      <c r="M522" s="9"/>
    </row>
    <row r="523" customFormat="false" ht="15" hidden="false" customHeight="false" outlineLevel="0" collapsed="false">
      <c r="A523" s="7" t="str">
        <f aca="false">IF('Outro banco'!A523="","",IF(LEFT('Outro banco'!A523,1)="(","",'Outro banco'!A523))</f>
        <v/>
      </c>
      <c r="B523" s="7" t="str">
        <f aca="false">IF(A523="","",'Outro banco'!B523)</f>
        <v/>
      </c>
      <c r="C523" s="7" t="str">
        <f aca="false">IF(A523="","",'Outro banco'!C523)</f>
        <v/>
      </c>
      <c r="D523" s="7" t="str">
        <f aca="false">IF(A523="","",'Outro banco'!D523)</f>
        <v/>
      </c>
      <c r="E523" s="9"/>
      <c r="F523" s="9"/>
      <c r="G523" s="7" t="str">
        <f aca="false">IF(A523="","",IF(COUNTIF(Tabelas!$A:$A,IF(E523="",A523,E523))&gt;0,"sim","não"))</f>
        <v/>
      </c>
      <c r="H523" s="7" t="str">
        <f aca="false">IF(A523="","",IF(E523="",A523,E523)&amp;"."&amp;IF(F523="",B523,F523))</f>
        <v/>
      </c>
      <c r="I523" s="7" t="str">
        <f aca="false">IF(A523="","",IFERROR(INDEX('Campos Growths'!$F:$F,MATCH(H523,'Campos Growths'!$A:$A,0)),""))</f>
        <v/>
      </c>
      <c r="J523" s="7" t="str">
        <f aca="false">IF(A523="","",IFERROR(VLOOKUP(IF(ISNUMBER(SEARCH("(",C523)),LEFT(C523,SEARCH("(",C523)-1),C523),Tipos!$A:$B,2,FALSE()),"outro"))</f>
        <v/>
      </c>
      <c r="K523" s="7" t="str">
        <f aca="false">IF(I523="","",IFERROR(INDEX('Campos Growths'!$L:$L,MATCH(H523,'Campos Growths'!$A:$A,0)),""))</f>
        <v/>
      </c>
      <c r="L523" s="7" t="str">
        <f aca="false">IF(A523="","",IF(G523="não","Sem tabela no Growths",IF(I523="","Sem campo no Growths",IF(J523=K523,"Importa direto","Ajustar tipo"))))</f>
        <v/>
      </c>
      <c r="M523" s="9"/>
    </row>
    <row r="524" customFormat="false" ht="15" hidden="false" customHeight="false" outlineLevel="0" collapsed="false">
      <c r="A524" s="7" t="str">
        <f aca="false">IF('Outro banco'!A524="","",IF(LEFT('Outro banco'!A524,1)="(","",'Outro banco'!A524))</f>
        <v/>
      </c>
      <c r="B524" s="7" t="str">
        <f aca="false">IF(A524="","",'Outro banco'!B524)</f>
        <v/>
      </c>
      <c r="C524" s="7" t="str">
        <f aca="false">IF(A524="","",'Outro banco'!C524)</f>
        <v/>
      </c>
      <c r="D524" s="7" t="str">
        <f aca="false">IF(A524="","",'Outro banco'!D524)</f>
        <v/>
      </c>
      <c r="E524" s="9"/>
      <c r="F524" s="9"/>
      <c r="G524" s="7" t="str">
        <f aca="false">IF(A524="","",IF(COUNTIF(Tabelas!$A:$A,IF(E524="",A524,E524))&gt;0,"sim","não"))</f>
        <v/>
      </c>
      <c r="H524" s="7" t="str">
        <f aca="false">IF(A524="","",IF(E524="",A524,E524)&amp;"."&amp;IF(F524="",B524,F524))</f>
        <v/>
      </c>
      <c r="I524" s="7" t="str">
        <f aca="false">IF(A524="","",IFERROR(INDEX('Campos Growths'!$F:$F,MATCH(H524,'Campos Growths'!$A:$A,0)),""))</f>
        <v/>
      </c>
      <c r="J524" s="7" t="str">
        <f aca="false">IF(A524="","",IFERROR(VLOOKUP(IF(ISNUMBER(SEARCH("(",C524)),LEFT(C524,SEARCH("(",C524)-1),C524),Tipos!$A:$B,2,FALSE()),"outro"))</f>
        <v/>
      </c>
      <c r="K524" s="7" t="str">
        <f aca="false">IF(I524="","",IFERROR(INDEX('Campos Growths'!$L:$L,MATCH(H524,'Campos Growths'!$A:$A,0)),""))</f>
        <v/>
      </c>
      <c r="L524" s="7" t="str">
        <f aca="false">IF(A524="","",IF(G524="não","Sem tabela no Growths",IF(I524="","Sem campo no Growths",IF(J524=K524,"Importa direto","Ajustar tipo"))))</f>
        <v/>
      </c>
      <c r="M524" s="9"/>
    </row>
    <row r="525" customFormat="false" ht="15" hidden="false" customHeight="false" outlineLevel="0" collapsed="false">
      <c r="A525" s="7" t="str">
        <f aca="false">IF('Outro banco'!A525="","",IF(LEFT('Outro banco'!A525,1)="(","",'Outro banco'!A525))</f>
        <v/>
      </c>
      <c r="B525" s="7" t="str">
        <f aca="false">IF(A525="","",'Outro banco'!B525)</f>
        <v/>
      </c>
      <c r="C525" s="7" t="str">
        <f aca="false">IF(A525="","",'Outro banco'!C525)</f>
        <v/>
      </c>
      <c r="D525" s="7" t="str">
        <f aca="false">IF(A525="","",'Outro banco'!D525)</f>
        <v/>
      </c>
      <c r="E525" s="9"/>
      <c r="F525" s="9"/>
      <c r="G525" s="7" t="str">
        <f aca="false">IF(A525="","",IF(COUNTIF(Tabelas!$A:$A,IF(E525="",A525,E525))&gt;0,"sim","não"))</f>
        <v/>
      </c>
      <c r="H525" s="7" t="str">
        <f aca="false">IF(A525="","",IF(E525="",A525,E525)&amp;"."&amp;IF(F525="",B525,F525))</f>
        <v/>
      </c>
      <c r="I525" s="7" t="str">
        <f aca="false">IF(A525="","",IFERROR(INDEX('Campos Growths'!$F:$F,MATCH(H525,'Campos Growths'!$A:$A,0)),""))</f>
        <v/>
      </c>
      <c r="J525" s="7" t="str">
        <f aca="false">IF(A525="","",IFERROR(VLOOKUP(IF(ISNUMBER(SEARCH("(",C525)),LEFT(C525,SEARCH("(",C525)-1),C525),Tipos!$A:$B,2,FALSE()),"outro"))</f>
        <v/>
      </c>
      <c r="K525" s="7" t="str">
        <f aca="false">IF(I525="","",IFERROR(INDEX('Campos Growths'!$L:$L,MATCH(H525,'Campos Growths'!$A:$A,0)),""))</f>
        <v/>
      </c>
      <c r="L525" s="7" t="str">
        <f aca="false">IF(A525="","",IF(G525="não","Sem tabela no Growths",IF(I525="","Sem campo no Growths",IF(J525=K525,"Importa direto","Ajustar tipo"))))</f>
        <v/>
      </c>
      <c r="M525" s="9"/>
    </row>
    <row r="526" customFormat="false" ht="15" hidden="false" customHeight="false" outlineLevel="0" collapsed="false">
      <c r="A526" s="7" t="str">
        <f aca="false">IF('Outro banco'!A526="","",IF(LEFT('Outro banco'!A526,1)="(","",'Outro banco'!A526))</f>
        <v/>
      </c>
      <c r="B526" s="7" t="str">
        <f aca="false">IF(A526="","",'Outro banco'!B526)</f>
        <v/>
      </c>
      <c r="C526" s="7" t="str">
        <f aca="false">IF(A526="","",'Outro banco'!C526)</f>
        <v/>
      </c>
      <c r="D526" s="7" t="str">
        <f aca="false">IF(A526="","",'Outro banco'!D526)</f>
        <v/>
      </c>
      <c r="E526" s="9"/>
      <c r="F526" s="9"/>
      <c r="G526" s="7" t="str">
        <f aca="false">IF(A526="","",IF(COUNTIF(Tabelas!$A:$A,IF(E526="",A526,E526))&gt;0,"sim","não"))</f>
        <v/>
      </c>
      <c r="H526" s="7" t="str">
        <f aca="false">IF(A526="","",IF(E526="",A526,E526)&amp;"."&amp;IF(F526="",B526,F526))</f>
        <v/>
      </c>
      <c r="I526" s="7" t="str">
        <f aca="false">IF(A526="","",IFERROR(INDEX('Campos Growths'!$F:$F,MATCH(H526,'Campos Growths'!$A:$A,0)),""))</f>
        <v/>
      </c>
      <c r="J526" s="7" t="str">
        <f aca="false">IF(A526="","",IFERROR(VLOOKUP(IF(ISNUMBER(SEARCH("(",C526)),LEFT(C526,SEARCH("(",C526)-1),C526),Tipos!$A:$B,2,FALSE()),"outro"))</f>
        <v/>
      </c>
      <c r="K526" s="7" t="str">
        <f aca="false">IF(I526="","",IFERROR(INDEX('Campos Growths'!$L:$L,MATCH(H526,'Campos Growths'!$A:$A,0)),""))</f>
        <v/>
      </c>
      <c r="L526" s="7" t="str">
        <f aca="false">IF(A526="","",IF(G526="não","Sem tabela no Growths",IF(I526="","Sem campo no Growths",IF(J526=K526,"Importa direto","Ajustar tipo"))))</f>
        <v/>
      </c>
      <c r="M526" s="9"/>
    </row>
    <row r="527" customFormat="false" ht="15" hidden="false" customHeight="false" outlineLevel="0" collapsed="false">
      <c r="A527" s="7" t="str">
        <f aca="false">IF('Outro banco'!A527="","",IF(LEFT('Outro banco'!A527,1)="(","",'Outro banco'!A527))</f>
        <v/>
      </c>
      <c r="B527" s="7" t="str">
        <f aca="false">IF(A527="","",'Outro banco'!B527)</f>
        <v/>
      </c>
      <c r="C527" s="7" t="str">
        <f aca="false">IF(A527="","",'Outro banco'!C527)</f>
        <v/>
      </c>
      <c r="D527" s="7" t="str">
        <f aca="false">IF(A527="","",'Outro banco'!D527)</f>
        <v/>
      </c>
      <c r="E527" s="9"/>
      <c r="F527" s="9"/>
      <c r="G527" s="7" t="str">
        <f aca="false">IF(A527="","",IF(COUNTIF(Tabelas!$A:$A,IF(E527="",A527,E527))&gt;0,"sim","não"))</f>
        <v/>
      </c>
      <c r="H527" s="7" t="str">
        <f aca="false">IF(A527="","",IF(E527="",A527,E527)&amp;"."&amp;IF(F527="",B527,F527))</f>
        <v/>
      </c>
      <c r="I527" s="7" t="str">
        <f aca="false">IF(A527="","",IFERROR(INDEX('Campos Growths'!$F:$F,MATCH(H527,'Campos Growths'!$A:$A,0)),""))</f>
        <v/>
      </c>
      <c r="J527" s="7" t="str">
        <f aca="false">IF(A527="","",IFERROR(VLOOKUP(IF(ISNUMBER(SEARCH("(",C527)),LEFT(C527,SEARCH("(",C527)-1),C527),Tipos!$A:$B,2,FALSE()),"outro"))</f>
        <v/>
      </c>
      <c r="K527" s="7" t="str">
        <f aca="false">IF(I527="","",IFERROR(INDEX('Campos Growths'!$L:$L,MATCH(H527,'Campos Growths'!$A:$A,0)),""))</f>
        <v/>
      </c>
      <c r="L527" s="7" t="str">
        <f aca="false">IF(A527="","",IF(G527="não","Sem tabela no Growths",IF(I527="","Sem campo no Growths",IF(J527=K527,"Importa direto","Ajustar tipo"))))</f>
        <v/>
      </c>
      <c r="M527" s="9"/>
    </row>
    <row r="528" customFormat="false" ht="15" hidden="false" customHeight="false" outlineLevel="0" collapsed="false">
      <c r="A528" s="7" t="str">
        <f aca="false">IF('Outro banco'!A528="","",IF(LEFT('Outro banco'!A528,1)="(","",'Outro banco'!A528))</f>
        <v/>
      </c>
      <c r="B528" s="7" t="str">
        <f aca="false">IF(A528="","",'Outro banco'!B528)</f>
        <v/>
      </c>
      <c r="C528" s="7" t="str">
        <f aca="false">IF(A528="","",'Outro banco'!C528)</f>
        <v/>
      </c>
      <c r="D528" s="7" t="str">
        <f aca="false">IF(A528="","",'Outro banco'!D528)</f>
        <v/>
      </c>
      <c r="E528" s="9"/>
      <c r="F528" s="9"/>
      <c r="G528" s="7" t="str">
        <f aca="false">IF(A528="","",IF(COUNTIF(Tabelas!$A:$A,IF(E528="",A528,E528))&gt;0,"sim","não"))</f>
        <v/>
      </c>
      <c r="H528" s="7" t="str">
        <f aca="false">IF(A528="","",IF(E528="",A528,E528)&amp;"."&amp;IF(F528="",B528,F528))</f>
        <v/>
      </c>
      <c r="I528" s="7" t="str">
        <f aca="false">IF(A528="","",IFERROR(INDEX('Campos Growths'!$F:$F,MATCH(H528,'Campos Growths'!$A:$A,0)),""))</f>
        <v/>
      </c>
      <c r="J528" s="7" t="str">
        <f aca="false">IF(A528="","",IFERROR(VLOOKUP(IF(ISNUMBER(SEARCH("(",C528)),LEFT(C528,SEARCH("(",C528)-1),C528),Tipos!$A:$B,2,FALSE()),"outro"))</f>
        <v/>
      </c>
      <c r="K528" s="7" t="str">
        <f aca="false">IF(I528="","",IFERROR(INDEX('Campos Growths'!$L:$L,MATCH(H528,'Campos Growths'!$A:$A,0)),""))</f>
        <v/>
      </c>
      <c r="L528" s="7" t="str">
        <f aca="false">IF(A528="","",IF(G528="não","Sem tabela no Growths",IF(I528="","Sem campo no Growths",IF(J528=K528,"Importa direto","Ajustar tipo"))))</f>
        <v/>
      </c>
      <c r="M528" s="9"/>
    </row>
    <row r="529" customFormat="false" ht="15" hidden="false" customHeight="false" outlineLevel="0" collapsed="false">
      <c r="A529" s="7" t="str">
        <f aca="false">IF('Outro banco'!A529="","",IF(LEFT('Outro banco'!A529,1)="(","",'Outro banco'!A529))</f>
        <v/>
      </c>
      <c r="B529" s="7" t="str">
        <f aca="false">IF(A529="","",'Outro banco'!B529)</f>
        <v/>
      </c>
      <c r="C529" s="7" t="str">
        <f aca="false">IF(A529="","",'Outro banco'!C529)</f>
        <v/>
      </c>
      <c r="D529" s="7" t="str">
        <f aca="false">IF(A529="","",'Outro banco'!D529)</f>
        <v/>
      </c>
      <c r="E529" s="9"/>
      <c r="F529" s="9"/>
      <c r="G529" s="7" t="str">
        <f aca="false">IF(A529="","",IF(COUNTIF(Tabelas!$A:$A,IF(E529="",A529,E529))&gt;0,"sim","não"))</f>
        <v/>
      </c>
      <c r="H529" s="7" t="str">
        <f aca="false">IF(A529="","",IF(E529="",A529,E529)&amp;"."&amp;IF(F529="",B529,F529))</f>
        <v/>
      </c>
      <c r="I529" s="7" t="str">
        <f aca="false">IF(A529="","",IFERROR(INDEX('Campos Growths'!$F:$F,MATCH(H529,'Campos Growths'!$A:$A,0)),""))</f>
        <v/>
      </c>
      <c r="J529" s="7" t="str">
        <f aca="false">IF(A529="","",IFERROR(VLOOKUP(IF(ISNUMBER(SEARCH("(",C529)),LEFT(C529,SEARCH("(",C529)-1),C529),Tipos!$A:$B,2,FALSE()),"outro"))</f>
        <v/>
      </c>
      <c r="K529" s="7" t="str">
        <f aca="false">IF(I529="","",IFERROR(INDEX('Campos Growths'!$L:$L,MATCH(H529,'Campos Growths'!$A:$A,0)),""))</f>
        <v/>
      </c>
      <c r="L529" s="7" t="str">
        <f aca="false">IF(A529="","",IF(G529="não","Sem tabela no Growths",IF(I529="","Sem campo no Growths",IF(J529=K529,"Importa direto","Ajustar tipo"))))</f>
        <v/>
      </c>
      <c r="M529" s="9"/>
    </row>
    <row r="530" customFormat="false" ht="15" hidden="false" customHeight="false" outlineLevel="0" collapsed="false">
      <c r="A530" s="7" t="str">
        <f aca="false">IF('Outro banco'!A530="","",IF(LEFT('Outro banco'!A530,1)="(","",'Outro banco'!A530))</f>
        <v/>
      </c>
      <c r="B530" s="7" t="str">
        <f aca="false">IF(A530="","",'Outro banco'!B530)</f>
        <v/>
      </c>
      <c r="C530" s="7" t="str">
        <f aca="false">IF(A530="","",'Outro banco'!C530)</f>
        <v/>
      </c>
      <c r="D530" s="7" t="str">
        <f aca="false">IF(A530="","",'Outro banco'!D530)</f>
        <v/>
      </c>
      <c r="E530" s="9"/>
      <c r="F530" s="9"/>
      <c r="G530" s="7" t="str">
        <f aca="false">IF(A530="","",IF(COUNTIF(Tabelas!$A:$A,IF(E530="",A530,E530))&gt;0,"sim","não"))</f>
        <v/>
      </c>
      <c r="H530" s="7" t="str">
        <f aca="false">IF(A530="","",IF(E530="",A530,E530)&amp;"."&amp;IF(F530="",B530,F530))</f>
        <v/>
      </c>
      <c r="I530" s="7" t="str">
        <f aca="false">IF(A530="","",IFERROR(INDEX('Campos Growths'!$F:$F,MATCH(H530,'Campos Growths'!$A:$A,0)),""))</f>
        <v/>
      </c>
      <c r="J530" s="7" t="str">
        <f aca="false">IF(A530="","",IFERROR(VLOOKUP(IF(ISNUMBER(SEARCH("(",C530)),LEFT(C530,SEARCH("(",C530)-1),C530),Tipos!$A:$B,2,FALSE()),"outro"))</f>
        <v/>
      </c>
      <c r="K530" s="7" t="str">
        <f aca="false">IF(I530="","",IFERROR(INDEX('Campos Growths'!$L:$L,MATCH(H530,'Campos Growths'!$A:$A,0)),""))</f>
        <v/>
      </c>
      <c r="L530" s="7" t="str">
        <f aca="false">IF(A530="","",IF(G530="não","Sem tabela no Growths",IF(I530="","Sem campo no Growths",IF(J530=K530,"Importa direto","Ajustar tipo"))))</f>
        <v/>
      </c>
      <c r="M530" s="9"/>
    </row>
    <row r="531" customFormat="false" ht="15" hidden="false" customHeight="false" outlineLevel="0" collapsed="false">
      <c r="A531" s="7" t="str">
        <f aca="false">IF('Outro banco'!A531="","",IF(LEFT('Outro banco'!A531,1)="(","",'Outro banco'!A531))</f>
        <v/>
      </c>
      <c r="B531" s="7" t="str">
        <f aca="false">IF(A531="","",'Outro banco'!B531)</f>
        <v/>
      </c>
      <c r="C531" s="7" t="str">
        <f aca="false">IF(A531="","",'Outro banco'!C531)</f>
        <v/>
      </c>
      <c r="D531" s="7" t="str">
        <f aca="false">IF(A531="","",'Outro banco'!D531)</f>
        <v/>
      </c>
      <c r="E531" s="9"/>
      <c r="F531" s="9"/>
      <c r="G531" s="7" t="str">
        <f aca="false">IF(A531="","",IF(COUNTIF(Tabelas!$A:$A,IF(E531="",A531,E531))&gt;0,"sim","não"))</f>
        <v/>
      </c>
      <c r="H531" s="7" t="str">
        <f aca="false">IF(A531="","",IF(E531="",A531,E531)&amp;"."&amp;IF(F531="",B531,F531))</f>
        <v/>
      </c>
      <c r="I531" s="7" t="str">
        <f aca="false">IF(A531="","",IFERROR(INDEX('Campos Growths'!$F:$F,MATCH(H531,'Campos Growths'!$A:$A,0)),""))</f>
        <v/>
      </c>
      <c r="J531" s="7" t="str">
        <f aca="false">IF(A531="","",IFERROR(VLOOKUP(IF(ISNUMBER(SEARCH("(",C531)),LEFT(C531,SEARCH("(",C531)-1),C531),Tipos!$A:$B,2,FALSE()),"outro"))</f>
        <v/>
      </c>
      <c r="K531" s="7" t="str">
        <f aca="false">IF(I531="","",IFERROR(INDEX('Campos Growths'!$L:$L,MATCH(H531,'Campos Growths'!$A:$A,0)),""))</f>
        <v/>
      </c>
      <c r="L531" s="7" t="str">
        <f aca="false">IF(A531="","",IF(G531="não","Sem tabela no Growths",IF(I531="","Sem campo no Growths",IF(J531=K531,"Importa direto","Ajustar tipo"))))</f>
        <v/>
      </c>
      <c r="M531" s="9"/>
    </row>
    <row r="532" customFormat="false" ht="15" hidden="false" customHeight="false" outlineLevel="0" collapsed="false">
      <c r="A532" s="7" t="str">
        <f aca="false">IF('Outro banco'!A532="","",IF(LEFT('Outro banco'!A532,1)="(","",'Outro banco'!A532))</f>
        <v/>
      </c>
      <c r="B532" s="7" t="str">
        <f aca="false">IF(A532="","",'Outro banco'!B532)</f>
        <v/>
      </c>
      <c r="C532" s="7" t="str">
        <f aca="false">IF(A532="","",'Outro banco'!C532)</f>
        <v/>
      </c>
      <c r="D532" s="7" t="str">
        <f aca="false">IF(A532="","",'Outro banco'!D532)</f>
        <v/>
      </c>
      <c r="E532" s="9"/>
      <c r="F532" s="9"/>
      <c r="G532" s="7" t="str">
        <f aca="false">IF(A532="","",IF(COUNTIF(Tabelas!$A:$A,IF(E532="",A532,E532))&gt;0,"sim","não"))</f>
        <v/>
      </c>
      <c r="H532" s="7" t="str">
        <f aca="false">IF(A532="","",IF(E532="",A532,E532)&amp;"."&amp;IF(F532="",B532,F532))</f>
        <v/>
      </c>
      <c r="I532" s="7" t="str">
        <f aca="false">IF(A532="","",IFERROR(INDEX('Campos Growths'!$F:$F,MATCH(H532,'Campos Growths'!$A:$A,0)),""))</f>
        <v/>
      </c>
      <c r="J532" s="7" t="str">
        <f aca="false">IF(A532="","",IFERROR(VLOOKUP(IF(ISNUMBER(SEARCH("(",C532)),LEFT(C532,SEARCH("(",C532)-1),C532),Tipos!$A:$B,2,FALSE()),"outro"))</f>
        <v/>
      </c>
      <c r="K532" s="7" t="str">
        <f aca="false">IF(I532="","",IFERROR(INDEX('Campos Growths'!$L:$L,MATCH(H532,'Campos Growths'!$A:$A,0)),""))</f>
        <v/>
      </c>
      <c r="L532" s="7" t="str">
        <f aca="false">IF(A532="","",IF(G532="não","Sem tabela no Growths",IF(I532="","Sem campo no Growths",IF(J532=K532,"Importa direto","Ajustar tipo"))))</f>
        <v/>
      </c>
      <c r="M532" s="9"/>
    </row>
    <row r="533" customFormat="false" ht="15" hidden="false" customHeight="false" outlineLevel="0" collapsed="false">
      <c r="A533" s="7" t="str">
        <f aca="false">IF('Outro banco'!A533="","",IF(LEFT('Outro banco'!A533,1)="(","",'Outro banco'!A533))</f>
        <v/>
      </c>
      <c r="B533" s="7" t="str">
        <f aca="false">IF(A533="","",'Outro banco'!B533)</f>
        <v/>
      </c>
      <c r="C533" s="7" t="str">
        <f aca="false">IF(A533="","",'Outro banco'!C533)</f>
        <v/>
      </c>
      <c r="D533" s="7" t="str">
        <f aca="false">IF(A533="","",'Outro banco'!D533)</f>
        <v/>
      </c>
      <c r="E533" s="9"/>
      <c r="F533" s="9"/>
      <c r="G533" s="7" t="str">
        <f aca="false">IF(A533="","",IF(COUNTIF(Tabelas!$A:$A,IF(E533="",A533,E533))&gt;0,"sim","não"))</f>
        <v/>
      </c>
      <c r="H533" s="7" t="str">
        <f aca="false">IF(A533="","",IF(E533="",A533,E533)&amp;"."&amp;IF(F533="",B533,F533))</f>
        <v/>
      </c>
      <c r="I533" s="7" t="str">
        <f aca="false">IF(A533="","",IFERROR(INDEX('Campos Growths'!$F:$F,MATCH(H533,'Campos Growths'!$A:$A,0)),""))</f>
        <v/>
      </c>
      <c r="J533" s="7" t="str">
        <f aca="false">IF(A533="","",IFERROR(VLOOKUP(IF(ISNUMBER(SEARCH("(",C533)),LEFT(C533,SEARCH("(",C533)-1),C533),Tipos!$A:$B,2,FALSE()),"outro"))</f>
        <v/>
      </c>
      <c r="K533" s="7" t="str">
        <f aca="false">IF(I533="","",IFERROR(INDEX('Campos Growths'!$L:$L,MATCH(H533,'Campos Growths'!$A:$A,0)),""))</f>
        <v/>
      </c>
      <c r="L533" s="7" t="str">
        <f aca="false">IF(A533="","",IF(G533="não","Sem tabela no Growths",IF(I533="","Sem campo no Growths",IF(J533=K533,"Importa direto","Ajustar tipo"))))</f>
        <v/>
      </c>
      <c r="M533" s="9"/>
    </row>
    <row r="534" customFormat="false" ht="15" hidden="false" customHeight="false" outlineLevel="0" collapsed="false">
      <c r="A534" s="7" t="str">
        <f aca="false">IF('Outro banco'!A534="","",IF(LEFT('Outro banco'!A534,1)="(","",'Outro banco'!A534))</f>
        <v/>
      </c>
      <c r="B534" s="7" t="str">
        <f aca="false">IF(A534="","",'Outro banco'!B534)</f>
        <v/>
      </c>
      <c r="C534" s="7" t="str">
        <f aca="false">IF(A534="","",'Outro banco'!C534)</f>
        <v/>
      </c>
      <c r="D534" s="7" t="str">
        <f aca="false">IF(A534="","",'Outro banco'!D534)</f>
        <v/>
      </c>
      <c r="E534" s="9"/>
      <c r="F534" s="9"/>
      <c r="G534" s="7" t="str">
        <f aca="false">IF(A534="","",IF(COUNTIF(Tabelas!$A:$A,IF(E534="",A534,E534))&gt;0,"sim","não"))</f>
        <v/>
      </c>
      <c r="H534" s="7" t="str">
        <f aca="false">IF(A534="","",IF(E534="",A534,E534)&amp;"."&amp;IF(F534="",B534,F534))</f>
        <v/>
      </c>
      <c r="I534" s="7" t="str">
        <f aca="false">IF(A534="","",IFERROR(INDEX('Campos Growths'!$F:$F,MATCH(H534,'Campos Growths'!$A:$A,0)),""))</f>
        <v/>
      </c>
      <c r="J534" s="7" t="str">
        <f aca="false">IF(A534="","",IFERROR(VLOOKUP(IF(ISNUMBER(SEARCH("(",C534)),LEFT(C534,SEARCH("(",C534)-1),C534),Tipos!$A:$B,2,FALSE()),"outro"))</f>
        <v/>
      </c>
      <c r="K534" s="7" t="str">
        <f aca="false">IF(I534="","",IFERROR(INDEX('Campos Growths'!$L:$L,MATCH(H534,'Campos Growths'!$A:$A,0)),""))</f>
        <v/>
      </c>
      <c r="L534" s="7" t="str">
        <f aca="false">IF(A534="","",IF(G534="não","Sem tabela no Growths",IF(I534="","Sem campo no Growths",IF(J534=K534,"Importa direto","Ajustar tipo"))))</f>
        <v/>
      </c>
      <c r="M534" s="9"/>
    </row>
    <row r="535" customFormat="false" ht="15" hidden="false" customHeight="false" outlineLevel="0" collapsed="false">
      <c r="A535" s="7" t="str">
        <f aca="false">IF('Outro banco'!A535="","",IF(LEFT('Outro banco'!A535,1)="(","",'Outro banco'!A535))</f>
        <v/>
      </c>
      <c r="B535" s="7" t="str">
        <f aca="false">IF(A535="","",'Outro banco'!B535)</f>
        <v/>
      </c>
      <c r="C535" s="7" t="str">
        <f aca="false">IF(A535="","",'Outro banco'!C535)</f>
        <v/>
      </c>
      <c r="D535" s="7" t="str">
        <f aca="false">IF(A535="","",'Outro banco'!D535)</f>
        <v/>
      </c>
      <c r="E535" s="9"/>
      <c r="F535" s="9"/>
      <c r="G535" s="7" t="str">
        <f aca="false">IF(A535="","",IF(COUNTIF(Tabelas!$A:$A,IF(E535="",A535,E535))&gt;0,"sim","não"))</f>
        <v/>
      </c>
      <c r="H535" s="7" t="str">
        <f aca="false">IF(A535="","",IF(E535="",A535,E535)&amp;"."&amp;IF(F535="",B535,F535))</f>
        <v/>
      </c>
      <c r="I535" s="7" t="str">
        <f aca="false">IF(A535="","",IFERROR(INDEX('Campos Growths'!$F:$F,MATCH(H535,'Campos Growths'!$A:$A,0)),""))</f>
        <v/>
      </c>
      <c r="J535" s="7" t="str">
        <f aca="false">IF(A535="","",IFERROR(VLOOKUP(IF(ISNUMBER(SEARCH("(",C535)),LEFT(C535,SEARCH("(",C535)-1),C535),Tipos!$A:$B,2,FALSE()),"outro"))</f>
        <v/>
      </c>
      <c r="K535" s="7" t="str">
        <f aca="false">IF(I535="","",IFERROR(INDEX('Campos Growths'!$L:$L,MATCH(H535,'Campos Growths'!$A:$A,0)),""))</f>
        <v/>
      </c>
      <c r="L535" s="7" t="str">
        <f aca="false">IF(A535="","",IF(G535="não","Sem tabela no Growths",IF(I535="","Sem campo no Growths",IF(J535=K535,"Importa direto","Ajustar tipo"))))</f>
        <v/>
      </c>
      <c r="M535" s="9"/>
    </row>
    <row r="536" customFormat="false" ht="15" hidden="false" customHeight="false" outlineLevel="0" collapsed="false">
      <c r="A536" s="7" t="str">
        <f aca="false">IF('Outro banco'!A536="","",IF(LEFT('Outro banco'!A536,1)="(","",'Outro banco'!A536))</f>
        <v/>
      </c>
      <c r="B536" s="7" t="str">
        <f aca="false">IF(A536="","",'Outro banco'!B536)</f>
        <v/>
      </c>
      <c r="C536" s="7" t="str">
        <f aca="false">IF(A536="","",'Outro banco'!C536)</f>
        <v/>
      </c>
      <c r="D536" s="7" t="str">
        <f aca="false">IF(A536="","",'Outro banco'!D536)</f>
        <v/>
      </c>
      <c r="E536" s="9"/>
      <c r="F536" s="9"/>
      <c r="G536" s="7" t="str">
        <f aca="false">IF(A536="","",IF(COUNTIF(Tabelas!$A:$A,IF(E536="",A536,E536))&gt;0,"sim","não"))</f>
        <v/>
      </c>
      <c r="H536" s="7" t="str">
        <f aca="false">IF(A536="","",IF(E536="",A536,E536)&amp;"."&amp;IF(F536="",B536,F536))</f>
        <v/>
      </c>
      <c r="I536" s="7" t="str">
        <f aca="false">IF(A536="","",IFERROR(INDEX('Campos Growths'!$F:$F,MATCH(H536,'Campos Growths'!$A:$A,0)),""))</f>
        <v/>
      </c>
      <c r="J536" s="7" t="str">
        <f aca="false">IF(A536="","",IFERROR(VLOOKUP(IF(ISNUMBER(SEARCH("(",C536)),LEFT(C536,SEARCH("(",C536)-1),C536),Tipos!$A:$B,2,FALSE()),"outro"))</f>
        <v/>
      </c>
      <c r="K536" s="7" t="str">
        <f aca="false">IF(I536="","",IFERROR(INDEX('Campos Growths'!$L:$L,MATCH(H536,'Campos Growths'!$A:$A,0)),""))</f>
        <v/>
      </c>
      <c r="L536" s="7" t="str">
        <f aca="false">IF(A536="","",IF(G536="não","Sem tabela no Growths",IF(I536="","Sem campo no Growths",IF(J536=K536,"Importa direto","Ajustar tipo"))))</f>
        <v/>
      </c>
      <c r="M536" s="9"/>
    </row>
    <row r="537" customFormat="false" ht="15" hidden="false" customHeight="false" outlineLevel="0" collapsed="false">
      <c r="A537" s="7" t="str">
        <f aca="false">IF('Outro banco'!A537="","",IF(LEFT('Outro banco'!A537,1)="(","",'Outro banco'!A537))</f>
        <v/>
      </c>
      <c r="B537" s="7" t="str">
        <f aca="false">IF(A537="","",'Outro banco'!B537)</f>
        <v/>
      </c>
      <c r="C537" s="7" t="str">
        <f aca="false">IF(A537="","",'Outro banco'!C537)</f>
        <v/>
      </c>
      <c r="D537" s="7" t="str">
        <f aca="false">IF(A537="","",'Outro banco'!D537)</f>
        <v/>
      </c>
      <c r="E537" s="9"/>
      <c r="F537" s="9"/>
      <c r="G537" s="7" t="str">
        <f aca="false">IF(A537="","",IF(COUNTIF(Tabelas!$A:$A,IF(E537="",A537,E537))&gt;0,"sim","não"))</f>
        <v/>
      </c>
      <c r="H537" s="7" t="str">
        <f aca="false">IF(A537="","",IF(E537="",A537,E537)&amp;"."&amp;IF(F537="",B537,F537))</f>
        <v/>
      </c>
      <c r="I537" s="7" t="str">
        <f aca="false">IF(A537="","",IFERROR(INDEX('Campos Growths'!$F:$F,MATCH(H537,'Campos Growths'!$A:$A,0)),""))</f>
        <v/>
      </c>
      <c r="J537" s="7" t="str">
        <f aca="false">IF(A537="","",IFERROR(VLOOKUP(IF(ISNUMBER(SEARCH("(",C537)),LEFT(C537,SEARCH("(",C537)-1),C537),Tipos!$A:$B,2,FALSE()),"outro"))</f>
        <v/>
      </c>
      <c r="K537" s="7" t="str">
        <f aca="false">IF(I537="","",IFERROR(INDEX('Campos Growths'!$L:$L,MATCH(H537,'Campos Growths'!$A:$A,0)),""))</f>
        <v/>
      </c>
      <c r="L537" s="7" t="str">
        <f aca="false">IF(A537="","",IF(G537="não","Sem tabela no Growths",IF(I537="","Sem campo no Growths",IF(J537=K537,"Importa direto","Ajustar tipo"))))</f>
        <v/>
      </c>
      <c r="M537" s="9"/>
    </row>
    <row r="538" customFormat="false" ht="15" hidden="false" customHeight="false" outlineLevel="0" collapsed="false">
      <c r="A538" s="7" t="str">
        <f aca="false">IF('Outro banco'!A538="","",IF(LEFT('Outro banco'!A538,1)="(","",'Outro banco'!A538))</f>
        <v/>
      </c>
      <c r="B538" s="7" t="str">
        <f aca="false">IF(A538="","",'Outro banco'!B538)</f>
        <v/>
      </c>
      <c r="C538" s="7" t="str">
        <f aca="false">IF(A538="","",'Outro banco'!C538)</f>
        <v/>
      </c>
      <c r="D538" s="7" t="str">
        <f aca="false">IF(A538="","",'Outro banco'!D538)</f>
        <v/>
      </c>
      <c r="E538" s="9"/>
      <c r="F538" s="9"/>
      <c r="G538" s="7" t="str">
        <f aca="false">IF(A538="","",IF(COUNTIF(Tabelas!$A:$A,IF(E538="",A538,E538))&gt;0,"sim","não"))</f>
        <v/>
      </c>
      <c r="H538" s="7" t="str">
        <f aca="false">IF(A538="","",IF(E538="",A538,E538)&amp;"."&amp;IF(F538="",B538,F538))</f>
        <v/>
      </c>
      <c r="I538" s="7" t="str">
        <f aca="false">IF(A538="","",IFERROR(INDEX('Campos Growths'!$F:$F,MATCH(H538,'Campos Growths'!$A:$A,0)),""))</f>
        <v/>
      </c>
      <c r="J538" s="7" t="str">
        <f aca="false">IF(A538="","",IFERROR(VLOOKUP(IF(ISNUMBER(SEARCH("(",C538)),LEFT(C538,SEARCH("(",C538)-1),C538),Tipos!$A:$B,2,FALSE()),"outro"))</f>
        <v/>
      </c>
      <c r="K538" s="7" t="str">
        <f aca="false">IF(I538="","",IFERROR(INDEX('Campos Growths'!$L:$L,MATCH(H538,'Campos Growths'!$A:$A,0)),""))</f>
        <v/>
      </c>
      <c r="L538" s="7" t="str">
        <f aca="false">IF(A538="","",IF(G538="não","Sem tabela no Growths",IF(I538="","Sem campo no Growths",IF(J538=K538,"Importa direto","Ajustar tipo"))))</f>
        <v/>
      </c>
      <c r="M538" s="9"/>
    </row>
    <row r="539" customFormat="false" ht="15" hidden="false" customHeight="false" outlineLevel="0" collapsed="false">
      <c r="A539" s="7" t="str">
        <f aca="false">IF('Outro banco'!A539="","",IF(LEFT('Outro banco'!A539,1)="(","",'Outro banco'!A539))</f>
        <v/>
      </c>
      <c r="B539" s="7" t="str">
        <f aca="false">IF(A539="","",'Outro banco'!B539)</f>
        <v/>
      </c>
      <c r="C539" s="7" t="str">
        <f aca="false">IF(A539="","",'Outro banco'!C539)</f>
        <v/>
      </c>
      <c r="D539" s="7" t="str">
        <f aca="false">IF(A539="","",'Outro banco'!D539)</f>
        <v/>
      </c>
      <c r="E539" s="9"/>
      <c r="F539" s="9"/>
      <c r="G539" s="7" t="str">
        <f aca="false">IF(A539="","",IF(COUNTIF(Tabelas!$A:$A,IF(E539="",A539,E539))&gt;0,"sim","não"))</f>
        <v/>
      </c>
      <c r="H539" s="7" t="str">
        <f aca="false">IF(A539="","",IF(E539="",A539,E539)&amp;"."&amp;IF(F539="",B539,F539))</f>
        <v/>
      </c>
      <c r="I539" s="7" t="str">
        <f aca="false">IF(A539="","",IFERROR(INDEX('Campos Growths'!$F:$F,MATCH(H539,'Campos Growths'!$A:$A,0)),""))</f>
        <v/>
      </c>
      <c r="J539" s="7" t="str">
        <f aca="false">IF(A539="","",IFERROR(VLOOKUP(IF(ISNUMBER(SEARCH("(",C539)),LEFT(C539,SEARCH("(",C539)-1),C539),Tipos!$A:$B,2,FALSE()),"outro"))</f>
        <v/>
      </c>
      <c r="K539" s="7" t="str">
        <f aca="false">IF(I539="","",IFERROR(INDEX('Campos Growths'!$L:$L,MATCH(H539,'Campos Growths'!$A:$A,0)),""))</f>
        <v/>
      </c>
      <c r="L539" s="7" t="str">
        <f aca="false">IF(A539="","",IF(G539="não","Sem tabela no Growths",IF(I539="","Sem campo no Growths",IF(J539=K539,"Importa direto","Ajustar tipo"))))</f>
        <v/>
      </c>
      <c r="M539" s="9"/>
    </row>
    <row r="540" customFormat="false" ht="15" hidden="false" customHeight="false" outlineLevel="0" collapsed="false">
      <c r="A540" s="7" t="str">
        <f aca="false">IF('Outro banco'!A540="","",IF(LEFT('Outro banco'!A540,1)="(","",'Outro banco'!A540))</f>
        <v/>
      </c>
      <c r="B540" s="7" t="str">
        <f aca="false">IF(A540="","",'Outro banco'!B540)</f>
        <v/>
      </c>
      <c r="C540" s="7" t="str">
        <f aca="false">IF(A540="","",'Outro banco'!C540)</f>
        <v/>
      </c>
      <c r="D540" s="7" t="str">
        <f aca="false">IF(A540="","",'Outro banco'!D540)</f>
        <v/>
      </c>
      <c r="E540" s="9"/>
      <c r="F540" s="9"/>
      <c r="G540" s="7" t="str">
        <f aca="false">IF(A540="","",IF(COUNTIF(Tabelas!$A:$A,IF(E540="",A540,E540))&gt;0,"sim","não"))</f>
        <v/>
      </c>
      <c r="H540" s="7" t="str">
        <f aca="false">IF(A540="","",IF(E540="",A540,E540)&amp;"."&amp;IF(F540="",B540,F540))</f>
        <v/>
      </c>
      <c r="I540" s="7" t="str">
        <f aca="false">IF(A540="","",IFERROR(INDEX('Campos Growths'!$F:$F,MATCH(H540,'Campos Growths'!$A:$A,0)),""))</f>
        <v/>
      </c>
      <c r="J540" s="7" t="str">
        <f aca="false">IF(A540="","",IFERROR(VLOOKUP(IF(ISNUMBER(SEARCH("(",C540)),LEFT(C540,SEARCH("(",C540)-1),C540),Tipos!$A:$B,2,FALSE()),"outro"))</f>
        <v/>
      </c>
      <c r="K540" s="7" t="str">
        <f aca="false">IF(I540="","",IFERROR(INDEX('Campos Growths'!$L:$L,MATCH(H540,'Campos Growths'!$A:$A,0)),""))</f>
        <v/>
      </c>
      <c r="L540" s="7" t="str">
        <f aca="false">IF(A540="","",IF(G540="não","Sem tabela no Growths",IF(I540="","Sem campo no Growths",IF(J540=K540,"Importa direto","Ajustar tipo"))))</f>
        <v/>
      </c>
      <c r="M540" s="9"/>
    </row>
    <row r="541" customFormat="false" ht="15" hidden="false" customHeight="false" outlineLevel="0" collapsed="false">
      <c r="A541" s="7" t="str">
        <f aca="false">IF('Outro banco'!A541="","",IF(LEFT('Outro banco'!A541,1)="(","",'Outro banco'!A541))</f>
        <v/>
      </c>
      <c r="B541" s="7" t="str">
        <f aca="false">IF(A541="","",'Outro banco'!B541)</f>
        <v/>
      </c>
      <c r="C541" s="7" t="str">
        <f aca="false">IF(A541="","",'Outro banco'!C541)</f>
        <v/>
      </c>
      <c r="D541" s="7" t="str">
        <f aca="false">IF(A541="","",'Outro banco'!D541)</f>
        <v/>
      </c>
      <c r="E541" s="9"/>
      <c r="F541" s="9"/>
      <c r="G541" s="7" t="str">
        <f aca="false">IF(A541="","",IF(COUNTIF(Tabelas!$A:$A,IF(E541="",A541,E541))&gt;0,"sim","não"))</f>
        <v/>
      </c>
      <c r="H541" s="7" t="str">
        <f aca="false">IF(A541="","",IF(E541="",A541,E541)&amp;"."&amp;IF(F541="",B541,F541))</f>
        <v/>
      </c>
      <c r="I541" s="7" t="str">
        <f aca="false">IF(A541="","",IFERROR(INDEX('Campos Growths'!$F:$F,MATCH(H541,'Campos Growths'!$A:$A,0)),""))</f>
        <v/>
      </c>
      <c r="J541" s="7" t="str">
        <f aca="false">IF(A541="","",IFERROR(VLOOKUP(IF(ISNUMBER(SEARCH("(",C541)),LEFT(C541,SEARCH("(",C541)-1),C541),Tipos!$A:$B,2,FALSE()),"outro"))</f>
        <v/>
      </c>
      <c r="K541" s="7" t="str">
        <f aca="false">IF(I541="","",IFERROR(INDEX('Campos Growths'!$L:$L,MATCH(H541,'Campos Growths'!$A:$A,0)),""))</f>
        <v/>
      </c>
      <c r="L541" s="7" t="str">
        <f aca="false">IF(A541="","",IF(G541="não","Sem tabela no Growths",IF(I541="","Sem campo no Growths",IF(J541=K541,"Importa direto","Ajustar tipo"))))</f>
        <v/>
      </c>
      <c r="M541" s="9"/>
    </row>
    <row r="542" customFormat="false" ht="15" hidden="false" customHeight="false" outlineLevel="0" collapsed="false">
      <c r="A542" s="7" t="str">
        <f aca="false">IF('Outro banco'!A542="","",IF(LEFT('Outro banco'!A542,1)="(","",'Outro banco'!A542))</f>
        <v/>
      </c>
      <c r="B542" s="7" t="str">
        <f aca="false">IF(A542="","",'Outro banco'!B542)</f>
        <v/>
      </c>
      <c r="C542" s="7" t="str">
        <f aca="false">IF(A542="","",'Outro banco'!C542)</f>
        <v/>
      </c>
      <c r="D542" s="7" t="str">
        <f aca="false">IF(A542="","",'Outro banco'!D542)</f>
        <v/>
      </c>
      <c r="E542" s="9"/>
      <c r="F542" s="9"/>
      <c r="G542" s="7" t="str">
        <f aca="false">IF(A542="","",IF(COUNTIF(Tabelas!$A:$A,IF(E542="",A542,E542))&gt;0,"sim","não"))</f>
        <v/>
      </c>
      <c r="H542" s="7" t="str">
        <f aca="false">IF(A542="","",IF(E542="",A542,E542)&amp;"."&amp;IF(F542="",B542,F542))</f>
        <v/>
      </c>
      <c r="I542" s="7" t="str">
        <f aca="false">IF(A542="","",IFERROR(INDEX('Campos Growths'!$F:$F,MATCH(H542,'Campos Growths'!$A:$A,0)),""))</f>
        <v/>
      </c>
      <c r="J542" s="7" t="str">
        <f aca="false">IF(A542="","",IFERROR(VLOOKUP(IF(ISNUMBER(SEARCH("(",C542)),LEFT(C542,SEARCH("(",C542)-1),C542),Tipos!$A:$B,2,FALSE()),"outro"))</f>
        <v/>
      </c>
      <c r="K542" s="7" t="str">
        <f aca="false">IF(I542="","",IFERROR(INDEX('Campos Growths'!$L:$L,MATCH(H542,'Campos Growths'!$A:$A,0)),""))</f>
        <v/>
      </c>
      <c r="L542" s="7" t="str">
        <f aca="false">IF(A542="","",IF(G542="não","Sem tabela no Growths",IF(I542="","Sem campo no Growths",IF(J542=K542,"Importa direto","Ajustar tipo"))))</f>
        <v/>
      </c>
      <c r="M542" s="9"/>
    </row>
    <row r="543" customFormat="false" ht="15" hidden="false" customHeight="false" outlineLevel="0" collapsed="false">
      <c r="A543" s="7" t="str">
        <f aca="false">IF('Outro banco'!A543="","",IF(LEFT('Outro banco'!A543,1)="(","",'Outro banco'!A543))</f>
        <v/>
      </c>
      <c r="B543" s="7" t="str">
        <f aca="false">IF(A543="","",'Outro banco'!B543)</f>
        <v/>
      </c>
      <c r="C543" s="7" t="str">
        <f aca="false">IF(A543="","",'Outro banco'!C543)</f>
        <v/>
      </c>
      <c r="D543" s="7" t="str">
        <f aca="false">IF(A543="","",'Outro banco'!D543)</f>
        <v/>
      </c>
      <c r="E543" s="9"/>
      <c r="F543" s="9"/>
      <c r="G543" s="7" t="str">
        <f aca="false">IF(A543="","",IF(COUNTIF(Tabelas!$A:$A,IF(E543="",A543,E543))&gt;0,"sim","não"))</f>
        <v/>
      </c>
      <c r="H543" s="7" t="str">
        <f aca="false">IF(A543="","",IF(E543="",A543,E543)&amp;"."&amp;IF(F543="",B543,F543))</f>
        <v/>
      </c>
      <c r="I543" s="7" t="str">
        <f aca="false">IF(A543="","",IFERROR(INDEX('Campos Growths'!$F:$F,MATCH(H543,'Campos Growths'!$A:$A,0)),""))</f>
        <v/>
      </c>
      <c r="J543" s="7" t="str">
        <f aca="false">IF(A543="","",IFERROR(VLOOKUP(IF(ISNUMBER(SEARCH("(",C543)),LEFT(C543,SEARCH("(",C543)-1),C543),Tipos!$A:$B,2,FALSE()),"outro"))</f>
        <v/>
      </c>
      <c r="K543" s="7" t="str">
        <f aca="false">IF(I543="","",IFERROR(INDEX('Campos Growths'!$L:$L,MATCH(H543,'Campos Growths'!$A:$A,0)),""))</f>
        <v/>
      </c>
      <c r="L543" s="7" t="str">
        <f aca="false">IF(A543="","",IF(G543="não","Sem tabela no Growths",IF(I543="","Sem campo no Growths",IF(J543=K543,"Importa direto","Ajustar tipo"))))</f>
        <v/>
      </c>
      <c r="M543" s="9"/>
    </row>
    <row r="544" customFormat="false" ht="15" hidden="false" customHeight="false" outlineLevel="0" collapsed="false">
      <c r="A544" s="7" t="str">
        <f aca="false">IF('Outro banco'!A544="","",IF(LEFT('Outro banco'!A544,1)="(","",'Outro banco'!A544))</f>
        <v/>
      </c>
      <c r="B544" s="7" t="str">
        <f aca="false">IF(A544="","",'Outro banco'!B544)</f>
        <v/>
      </c>
      <c r="C544" s="7" t="str">
        <f aca="false">IF(A544="","",'Outro banco'!C544)</f>
        <v/>
      </c>
      <c r="D544" s="7" t="str">
        <f aca="false">IF(A544="","",'Outro banco'!D544)</f>
        <v/>
      </c>
      <c r="E544" s="9"/>
      <c r="F544" s="9"/>
      <c r="G544" s="7" t="str">
        <f aca="false">IF(A544="","",IF(COUNTIF(Tabelas!$A:$A,IF(E544="",A544,E544))&gt;0,"sim","não"))</f>
        <v/>
      </c>
      <c r="H544" s="7" t="str">
        <f aca="false">IF(A544="","",IF(E544="",A544,E544)&amp;"."&amp;IF(F544="",B544,F544))</f>
        <v/>
      </c>
      <c r="I544" s="7" t="str">
        <f aca="false">IF(A544="","",IFERROR(INDEX('Campos Growths'!$F:$F,MATCH(H544,'Campos Growths'!$A:$A,0)),""))</f>
        <v/>
      </c>
      <c r="J544" s="7" t="str">
        <f aca="false">IF(A544="","",IFERROR(VLOOKUP(IF(ISNUMBER(SEARCH("(",C544)),LEFT(C544,SEARCH("(",C544)-1),C544),Tipos!$A:$B,2,FALSE()),"outro"))</f>
        <v/>
      </c>
      <c r="K544" s="7" t="str">
        <f aca="false">IF(I544="","",IFERROR(INDEX('Campos Growths'!$L:$L,MATCH(H544,'Campos Growths'!$A:$A,0)),""))</f>
        <v/>
      </c>
      <c r="L544" s="7" t="str">
        <f aca="false">IF(A544="","",IF(G544="não","Sem tabela no Growths",IF(I544="","Sem campo no Growths",IF(J544=K544,"Importa direto","Ajustar tipo"))))</f>
        <v/>
      </c>
      <c r="M544" s="9"/>
    </row>
    <row r="545" customFormat="false" ht="15" hidden="false" customHeight="false" outlineLevel="0" collapsed="false">
      <c r="A545" s="7" t="str">
        <f aca="false">IF('Outro banco'!A545="","",IF(LEFT('Outro banco'!A545,1)="(","",'Outro banco'!A545))</f>
        <v/>
      </c>
      <c r="B545" s="7" t="str">
        <f aca="false">IF(A545="","",'Outro banco'!B545)</f>
        <v/>
      </c>
      <c r="C545" s="7" t="str">
        <f aca="false">IF(A545="","",'Outro banco'!C545)</f>
        <v/>
      </c>
      <c r="D545" s="7" t="str">
        <f aca="false">IF(A545="","",'Outro banco'!D545)</f>
        <v/>
      </c>
      <c r="E545" s="9"/>
      <c r="F545" s="9"/>
      <c r="G545" s="7" t="str">
        <f aca="false">IF(A545="","",IF(COUNTIF(Tabelas!$A:$A,IF(E545="",A545,E545))&gt;0,"sim","não"))</f>
        <v/>
      </c>
      <c r="H545" s="7" t="str">
        <f aca="false">IF(A545="","",IF(E545="",A545,E545)&amp;"."&amp;IF(F545="",B545,F545))</f>
        <v/>
      </c>
      <c r="I545" s="7" t="str">
        <f aca="false">IF(A545="","",IFERROR(INDEX('Campos Growths'!$F:$F,MATCH(H545,'Campos Growths'!$A:$A,0)),""))</f>
        <v/>
      </c>
      <c r="J545" s="7" t="str">
        <f aca="false">IF(A545="","",IFERROR(VLOOKUP(IF(ISNUMBER(SEARCH("(",C545)),LEFT(C545,SEARCH("(",C545)-1),C545),Tipos!$A:$B,2,FALSE()),"outro"))</f>
        <v/>
      </c>
      <c r="K545" s="7" t="str">
        <f aca="false">IF(I545="","",IFERROR(INDEX('Campos Growths'!$L:$L,MATCH(H545,'Campos Growths'!$A:$A,0)),""))</f>
        <v/>
      </c>
      <c r="L545" s="7" t="str">
        <f aca="false">IF(A545="","",IF(G545="não","Sem tabela no Growths",IF(I545="","Sem campo no Growths",IF(J545=K545,"Importa direto","Ajustar tipo"))))</f>
        <v/>
      </c>
      <c r="M545" s="9"/>
    </row>
    <row r="546" customFormat="false" ht="15" hidden="false" customHeight="false" outlineLevel="0" collapsed="false">
      <c r="A546" s="7" t="str">
        <f aca="false">IF('Outro banco'!A546="","",IF(LEFT('Outro banco'!A546,1)="(","",'Outro banco'!A546))</f>
        <v/>
      </c>
      <c r="B546" s="7" t="str">
        <f aca="false">IF(A546="","",'Outro banco'!B546)</f>
        <v/>
      </c>
      <c r="C546" s="7" t="str">
        <f aca="false">IF(A546="","",'Outro banco'!C546)</f>
        <v/>
      </c>
      <c r="D546" s="7" t="str">
        <f aca="false">IF(A546="","",'Outro banco'!D546)</f>
        <v/>
      </c>
      <c r="E546" s="9"/>
      <c r="F546" s="9"/>
      <c r="G546" s="7" t="str">
        <f aca="false">IF(A546="","",IF(COUNTIF(Tabelas!$A:$A,IF(E546="",A546,E546))&gt;0,"sim","não"))</f>
        <v/>
      </c>
      <c r="H546" s="7" t="str">
        <f aca="false">IF(A546="","",IF(E546="",A546,E546)&amp;"."&amp;IF(F546="",B546,F546))</f>
        <v/>
      </c>
      <c r="I546" s="7" t="str">
        <f aca="false">IF(A546="","",IFERROR(INDEX('Campos Growths'!$F:$F,MATCH(H546,'Campos Growths'!$A:$A,0)),""))</f>
        <v/>
      </c>
      <c r="J546" s="7" t="str">
        <f aca="false">IF(A546="","",IFERROR(VLOOKUP(IF(ISNUMBER(SEARCH("(",C546)),LEFT(C546,SEARCH("(",C546)-1),C546),Tipos!$A:$B,2,FALSE()),"outro"))</f>
        <v/>
      </c>
      <c r="K546" s="7" t="str">
        <f aca="false">IF(I546="","",IFERROR(INDEX('Campos Growths'!$L:$L,MATCH(H546,'Campos Growths'!$A:$A,0)),""))</f>
        <v/>
      </c>
      <c r="L546" s="7" t="str">
        <f aca="false">IF(A546="","",IF(G546="não","Sem tabela no Growths",IF(I546="","Sem campo no Growths",IF(J546=K546,"Importa direto","Ajustar tipo"))))</f>
        <v/>
      </c>
      <c r="M546" s="9"/>
    </row>
    <row r="547" customFormat="false" ht="15" hidden="false" customHeight="false" outlineLevel="0" collapsed="false">
      <c r="A547" s="7" t="str">
        <f aca="false">IF('Outro banco'!A547="","",IF(LEFT('Outro banco'!A547,1)="(","",'Outro banco'!A547))</f>
        <v/>
      </c>
      <c r="B547" s="7" t="str">
        <f aca="false">IF(A547="","",'Outro banco'!B547)</f>
        <v/>
      </c>
      <c r="C547" s="7" t="str">
        <f aca="false">IF(A547="","",'Outro banco'!C547)</f>
        <v/>
      </c>
      <c r="D547" s="7" t="str">
        <f aca="false">IF(A547="","",'Outro banco'!D547)</f>
        <v/>
      </c>
      <c r="E547" s="9"/>
      <c r="F547" s="9"/>
      <c r="G547" s="7" t="str">
        <f aca="false">IF(A547="","",IF(COUNTIF(Tabelas!$A:$A,IF(E547="",A547,E547))&gt;0,"sim","não"))</f>
        <v/>
      </c>
      <c r="H547" s="7" t="str">
        <f aca="false">IF(A547="","",IF(E547="",A547,E547)&amp;"."&amp;IF(F547="",B547,F547))</f>
        <v/>
      </c>
      <c r="I547" s="7" t="str">
        <f aca="false">IF(A547="","",IFERROR(INDEX('Campos Growths'!$F:$F,MATCH(H547,'Campos Growths'!$A:$A,0)),""))</f>
        <v/>
      </c>
      <c r="J547" s="7" t="str">
        <f aca="false">IF(A547="","",IFERROR(VLOOKUP(IF(ISNUMBER(SEARCH("(",C547)),LEFT(C547,SEARCH("(",C547)-1),C547),Tipos!$A:$B,2,FALSE()),"outro"))</f>
        <v/>
      </c>
      <c r="K547" s="7" t="str">
        <f aca="false">IF(I547="","",IFERROR(INDEX('Campos Growths'!$L:$L,MATCH(H547,'Campos Growths'!$A:$A,0)),""))</f>
        <v/>
      </c>
      <c r="L547" s="7" t="str">
        <f aca="false">IF(A547="","",IF(G547="não","Sem tabela no Growths",IF(I547="","Sem campo no Growths",IF(J547=K547,"Importa direto","Ajustar tipo"))))</f>
        <v/>
      </c>
      <c r="M547" s="9"/>
    </row>
    <row r="548" customFormat="false" ht="15" hidden="false" customHeight="false" outlineLevel="0" collapsed="false">
      <c r="A548" s="7" t="str">
        <f aca="false">IF('Outro banco'!A548="","",IF(LEFT('Outro banco'!A548,1)="(","",'Outro banco'!A548))</f>
        <v/>
      </c>
      <c r="B548" s="7" t="str">
        <f aca="false">IF(A548="","",'Outro banco'!B548)</f>
        <v/>
      </c>
      <c r="C548" s="7" t="str">
        <f aca="false">IF(A548="","",'Outro banco'!C548)</f>
        <v/>
      </c>
      <c r="D548" s="7" t="str">
        <f aca="false">IF(A548="","",'Outro banco'!D548)</f>
        <v/>
      </c>
      <c r="E548" s="9"/>
      <c r="F548" s="9"/>
      <c r="G548" s="7" t="str">
        <f aca="false">IF(A548="","",IF(COUNTIF(Tabelas!$A:$A,IF(E548="",A548,E548))&gt;0,"sim","não"))</f>
        <v/>
      </c>
      <c r="H548" s="7" t="str">
        <f aca="false">IF(A548="","",IF(E548="",A548,E548)&amp;"."&amp;IF(F548="",B548,F548))</f>
        <v/>
      </c>
      <c r="I548" s="7" t="str">
        <f aca="false">IF(A548="","",IFERROR(INDEX('Campos Growths'!$F:$F,MATCH(H548,'Campos Growths'!$A:$A,0)),""))</f>
        <v/>
      </c>
      <c r="J548" s="7" t="str">
        <f aca="false">IF(A548="","",IFERROR(VLOOKUP(IF(ISNUMBER(SEARCH("(",C548)),LEFT(C548,SEARCH("(",C548)-1),C548),Tipos!$A:$B,2,FALSE()),"outro"))</f>
        <v/>
      </c>
      <c r="K548" s="7" t="str">
        <f aca="false">IF(I548="","",IFERROR(INDEX('Campos Growths'!$L:$L,MATCH(H548,'Campos Growths'!$A:$A,0)),""))</f>
        <v/>
      </c>
      <c r="L548" s="7" t="str">
        <f aca="false">IF(A548="","",IF(G548="não","Sem tabela no Growths",IF(I548="","Sem campo no Growths",IF(J548=K548,"Importa direto","Ajustar tipo"))))</f>
        <v/>
      </c>
      <c r="M548" s="9"/>
    </row>
    <row r="549" customFormat="false" ht="15" hidden="false" customHeight="false" outlineLevel="0" collapsed="false">
      <c r="A549" s="7" t="str">
        <f aca="false">IF('Outro banco'!A549="","",IF(LEFT('Outro banco'!A549,1)="(","",'Outro banco'!A549))</f>
        <v/>
      </c>
      <c r="B549" s="7" t="str">
        <f aca="false">IF(A549="","",'Outro banco'!B549)</f>
        <v/>
      </c>
      <c r="C549" s="7" t="str">
        <f aca="false">IF(A549="","",'Outro banco'!C549)</f>
        <v/>
      </c>
      <c r="D549" s="7" t="str">
        <f aca="false">IF(A549="","",'Outro banco'!D549)</f>
        <v/>
      </c>
      <c r="E549" s="9"/>
      <c r="F549" s="9"/>
      <c r="G549" s="7" t="str">
        <f aca="false">IF(A549="","",IF(COUNTIF(Tabelas!$A:$A,IF(E549="",A549,E549))&gt;0,"sim","não"))</f>
        <v/>
      </c>
      <c r="H549" s="7" t="str">
        <f aca="false">IF(A549="","",IF(E549="",A549,E549)&amp;"."&amp;IF(F549="",B549,F549))</f>
        <v/>
      </c>
      <c r="I549" s="7" t="str">
        <f aca="false">IF(A549="","",IFERROR(INDEX('Campos Growths'!$F:$F,MATCH(H549,'Campos Growths'!$A:$A,0)),""))</f>
        <v/>
      </c>
      <c r="J549" s="7" t="str">
        <f aca="false">IF(A549="","",IFERROR(VLOOKUP(IF(ISNUMBER(SEARCH("(",C549)),LEFT(C549,SEARCH("(",C549)-1),C549),Tipos!$A:$B,2,FALSE()),"outro"))</f>
        <v/>
      </c>
      <c r="K549" s="7" t="str">
        <f aca="false">IF(I549="","",IFERROR(INDEX('Campos Growths'!$L:$L,MATCH(H549,'Campos Growths'!$A:$A,0)),""))</f>
        <v/>
      </c>
      <c r="L549" s="7" t="str">
        <f aca="false">IF(A549="","",IF(G549="não","Sem tabela no Growths",IF(I549="","Sem campo no Growths",IF(J549=K549,"Importa direto","Ajustar tipo"))))</f>
        <v/>
      </c>
      <c r="M549" s="9"/>
    </row>
    <row r="550" customFormat="false" ht="15" hidden="false" customHeight="false" outlineLevel="0" collapsed="false">
      <c r="A550" s="7" t="str">
        <f aca="false">IF('Outro banco'!A550="","",IF(LEFT('Outro banco'!A550,1)="(","",'Outro banco'!A550))</f>
        <v/>
      </c>
      <c r="B550" s="7" t="str">
        <f aca="false">IF(A550="","",'Outro banco'!B550)</f>
        <v/>
      </c>
      <c r="C550" s="7" t="str">
        <f aca="false">IF(A550="","",'Outro banco'!C550)</f>
        <v/>
      </c>
      <c r="D550" s="7" t="str">
        <f aca="false">IF(A550="","",'Outro banco'!D550)</f>
        <v/>
      </c>
      <c r="E550" s="9"/>
      <c r="F550" s="9"/>
      <c r="G550" s="7" t="str">
        <f aca="false">IF(A550="","",IF(COUNTIF(Tabelas!$A:$A,IF(E550="",A550,E550))&gt;0,"sim","não"))</f>
        <v/>
      </c>
      <c r="H550" s="7" t="str">
        <f aca="false">IF(A550="","",IF(E550="",A550,E550)&amp;"."&amp;IF(F550="",B550,F550))</f>
        <v/>
      </c>
      <c r="I550" s="7" t="str">
        <f aca="false">IF(A550="","",IFERROR(INDEX('Campos Growths'!$F:$F,MATCH(H550,'Campos Growths'!$A:$A,0)),""))</f>
        <v/>
      </c>
      <c r="J550" s="7" t="str">
        <f aca="false">IF(A550="","",IFERROR(VLOOKUP(IF(ISNUMBER(SEARCH("(",C550)),LEFT(C550,SEARCH("(",C550)-1),C550),Tipos!$A:$B,2,FALSE()),"outro"))</f>
        <v/>
      </c>
      <c r="K550" s="7" t="str">
        <f aca="false">IF(I550="","",IFERROR(INDEX('Campos Growths'!$L:$L,MATCH(H550,'Campos Growths'!$A:$A,0)),""))</f>
        <v/>
      </c>
      <c r="L550" s="7" t="str">
        <f aca="false">IF(A550="","",IF(G550="não","Sem tabela no Growths",IF(I550="","Sem campo no Growths",IF(J550=K550,"Importa direto","Ajustar tipo"))))</f>
        <v/>
      </c>
      <c r="M550" s="9"/>
    </row>
    <row r="551" customFormat="false" ht="15" hidden="false" customHeight="false" outlineLevel="0" collapsed="false">
      <c r="A551" s="7" t="str">
        <f aca="false">IF('Outro banco'!A551="","",IF(LEFT('Outro banco'!A551,1)="(","",'Outro banco'!A551))</f>
        <v/>
      </c>
      <c r="B551" s="7" t="str">
        <f aca="false">IF(A551="","",'Outro banco'!B551)</f>
        <v/>
      </c>
      <c r="C551" s="7" t="str">
        <f aca="false">IF(A551="","",'Outro banco'!C551)</f>
        <v/>
      </c>
      <c r="D551" s="7" t="str">
        <f aca="false">IF(A551="","",'Outro banco'!D551)</f>
        <v/>
      </c>
      <c r="E551" s="9"/>
      <c r="F551" s="9"/>
      <c r="G551" s="7" t="str">
        <f aca="false">IF(A551="","",IF(COUNTIF(Tabelas!$A:$A,IF(E551="",A551,E551))&gt;0,"sim","não"))</f>
        <v/>
      </c>
      <c r="H551" s="7" t="str">
        <f aca="false">IF(A551="","",IF(E551="",A551,E551)&amp;"."&amp;IF(F551="",B551,F551))</f>
        <v/>
      </c>
      <c r="I551" s="7" t="str">
        <f aca="false">IF(A551="","",IFERROR(INDEX('Campos Growths'!$F:$F,MATCH(H551,'Campos Growths'!$A:$A,0)),""))</f>
        <v/>
      </c>
      <c r="J551" s="7" t="str">
        <f aca="false">IF(A551="","",IFERROR(VLOOKUP(IF(ISNUMBER(SEARCH("(",C551)),LEFT(C551,SEARCH("(",C551)-1),C551),Tipos!$A:$B,2,FALSE()),"outro"))</f>
        <v/>
      </c>
      <c r="K551" s="7" t="str">
        <f aca="false">IF(I551="","",IFERROR(INDEX('Campos Growths'!$L:$L,MATCH(H551,'Campos Growths'!$A:$A,0)),""))</f>
        <v/>
      </c>
      <c r="L551" s="7" t="str">
        <f aca="false">IF(A551="","",IF(G551="não","Sem tabela no Growths",IF(I551="","Sem campo no Growths",IF(J551=K551,"Importa direto","Ajustar tipo"))))</f>
        <v/>
      </c>
      <c r="M551" s="9"/>
    </row>
    <row r="552" customFormat="false" ht="15" hidden="false" customHeight="false" outlineLevel="0" collapsed="false">
      <c r="A552" s="7" t="str">
        <f aca="false">IF('Outro banco'!A552="","",IF(LEFT('Outro banco'!A552,1)="(","",'Outro banco'!A552))</f>
        <v/>
      </c>
      <c r="B552" s="7" t="str">
        <f aca="false">IF(A552="","",'Outro banco'!B552)</f>
        <v/>
      </c>
      <c r="C552" s="7" t="str">
        <f aca="false">IF(A552="","",'Outro banco'!C552)</f>
        <v/>
      </c>
      <c r="D552" s="7" t="str">
        <f aca="false">IF(A552="","",'Outro banco'!D552)</f>
        <v/>
      </c>
      <c r="E552" s="9"/>
      <c r="F552" s="9"/>
      <c r="G552" s="7" t="str">
        <f aca="false">IF(A552="","",IF(COUNTIF(Tabelas!$A:$A,IF(E552="",A552,E552))&gt;0,"sim","não"))</f>
        <v/>
      </c>
      <c r="H552" s="7" t="str">
        <f aca="false">IF(A552="","",IF(E552="",A552,E552)&amp;"."&amp;IF(F552="",B552,F552))</f>
        <v/>
      </c>
      <c r="I552" s="7" t="str">
        <f aca="false">IF(A552="","",IFERROR(INDEX('Campos Growths'!$F:$F,MATCH(H552,'Campos Growths'!$A:$A,0)),""))</f>
        <v/>
      </c>
      <c r="J552" s="7" t="str">
        <f aca="false">IF(A552="","",IFERROR(VLOOKUP(IF(ISNUMBER(SEARCH("(",C552)),LEFT(C552,SEARCH("(",C552)-1),C552),Tipos!$A:$B,2,FALSE()),"outro"))</f>
        <v/>
      </c>
      <c r="K552" s="7" t="str">
        <f aca="false">IF(I552="","",IFERROR(INDEX('Campos Growths'!$L:$L,MATCH(H552,'Campos Growths'!$A:$A,0)),""))</f>
        <v/>
      </c>
      <c r="L552" s="7" t="str">
        <f aca="false">IF(A552="","",IF(G552="não","Sem tabela no Growths",IF(I552="","Sem campo no Growths",IF(J552=K552,"Importa direto","Ajustar tipo"))))</f>
        <v/>
      </c>
      <c r="M552" s="9"/>
    </row>
    <row r="553" customFormat="false" ht="15" hidden="false" customHeight="false" outlineLevel="0" collapsed="false">
      <c r="A553" s="7" t="str">
        <f aca="false">IF('Outro banco'!A553="","",IF(LEFT('Outro banco'!A553,1)="(","",'Outro banco'!A553))</f>
        <v/>
      </c>
      <c r="B553" s="7" t="str">
        <f aca="false">IF(A553="","",'Outro banco'!B553)</f>
        <v/>
      </c>
      <c r="C553" s="7" t="str">
        <f aca="false">IF(A553="","",'Outro banco'!C553)</f>
        <v/>
      </c>
      <c r="D553" s="7" t="str">
        <f aca="false">IF(A553="","",'Outro banco'!D553)</f>
        <v/>
      </c>
      <c r="E553" s="9"/>
      <c r="F553" s="9"/>
      <c r="G553" s="7" t="str">
        <f aca="false">IF(A553="","",IF(COUNTIF(Tabelas!$A:$A,IF(E553="",A553,E553))&gt;0,"sim","não"))</f>
        <v/>
      </c>
      <c r="H553" s="7" t="str">
        <f aca="false">IF(A553="","",IF(E553="",A553,E553)&amp;"."&amp;IF(F553="",B553,F553))</f>
        <v/>
      </c>
      <c r="I553" s="7" t="str">
        <f aca="false">IF(A553="","",IFERROR(INDEX('Campos Growths'!$F:$F,MATCH(H553,'Campos Growths'!$A:$A,0)),""))</f>
        <v/>
      </c>
      <c r="J553" s="7" t="str">
        <f aca="false">IF(A553="","",IFERROR(VLOOKUP(IF(ISNUMBER(SEARCH("(",C553)),LEFT(C553,SEARCH("(",C553)-1),C553),Tipos!$A:$B,2,FALSE()),"outro"))</f>
        <v/>
      </c>
      <c r="K553" s="7" t="str">
        <f aca="false">IF(I553="","",IFERROR(INDEX('Campos Growths'!$L:$L,MATCH(H553,'Campos Growths'!$A:$A,0)),""))</f>
        <v/>
      </c>
      <c r="L553" s="7" t="str">
        <f aca="false">IF(A553="","",IF(G553="não","Sem tabela no Growths",IF(I553="","Sem campo no Growths",IF(J553=K553,"Importa direto","Ajustar tipo"))))</f>
        <v/>
      </c>
      <c r="M553" s="9"/>
    </row>
    <row r="554" customFormat="false" ht="15" hidden="false" customHeight="false" outlineLevel="0" collapsed="false">
      <c r="A554" s="7" t="str">
        <f aca="false">IF('Outro banco'!A554="","",IF(LEFT('Outro banco'!A554,1)="(","",'Outro banco'!A554))</f>
        <v/>
      </c>
      <c r="B554" s="7" t="str">
        <f aca="false">IF(A554="","",'Outro banco'!B554)</f>
        <v/>
      </c>
      <c r="C554" s="7" t="str">
        <f aca="false">IF(A554="","",'Outro banco'!C554)</f>
        <v/>
      </c>
      <c r="D554" s="7" t="str">
        <f aca="false">IF(A554="","",'Outro banco'!D554)</f>
        <v/>
      </c>
      <c r="E554" s="9"/>
      <c r="F554" s="9"/>
      <c r="G554" s="7" t="str">
        <f aca="false">IF(A554="","",IF(COUNTIF(Tabelas!$A:$A,IF(E554="",A554,E554))&gt;0,"sim","não"))</f>
        <v/>
      </c>
      <c r="H554" s="7" t="str">
        <f aca="false">IF(A554="","",IF(E554="",A554,E554)&amp;"."&amp;IF(F554="",B554,F554))</f>
        <v/>
      </c>
      <c r="I554" s="7" t="str">
        <f aca="false">IF(A554="","",IFERROR(INDEX('Campos Growths'!$F:$F,MATCH(H554,'Campos Growths'!$A:$A,0)),""))</f>
        <v/>
      </c>
      <c r="J554" s="7" t="str">
        <f aca="false">IF(A554="","",IFERROR(VLOOKUP(IF(ISNUMBER(SEARCH("(",C554)),LEFT(C554,SEARCH("(",C554)-1),C554),Tipos!$A:$B,2,FALSE()),"outro"))</f>
        <v/>
      </c>
      <c r="K554" s="7" t="str">
        <f aca="false">IF(I554="","",IFERROR(INDEX('Campos Growths'!$L:$L,MATCH(H554,'Campos Growths'!$A:$A,0)),""))</f>
        <v/>
      </c>
      <c r="L554" s="7" t="str">
        <f aca="false">IF(A554="","",IF(G554="não","Sem tabela no Growths",IF(I554="","Sem campo no Growths",IF(J554=K554,"Importa direto","Ajustar tipo"))))</f>
        <v/>
      </c>
      <c r="M554" s="9"/>
    </row>
    <row r="555" customFormat="false" ht="15" hidden="false" customHeight="false" outlineLevel="0" collapsed="false">
      <c r="A555" s="7" t="str">
        <f aca="false">IF('Outro banco'!A555="","",IF(LEFT('Outro banco'!A555,1)="(","",'Outro banco'!A555))</f>
        <v/>
      </c>
      <c r="B555" s="7" t="str">
        <f aca="false">IF(A555="","",'Outro banco'!B555)</f>
        <v/>
      </c>
      <c r="C555" s="7" t="str">
        <f aca="false">IF(A555="","",'Outro banco'!C555)</f>
        <v/>
      </c>
      <c r="D555" s="7" t="str">
        <f aca="false">IF(A555="","",'Outro banco'!D555)</f>
        <v/>
      </c>
      <c r="E555" s="9"/>
      <c r="F555" s="9"/>
      <c r="G555" s="7" t="str">
        <f aca="false">IF(A555="","",IF(COUNTIF(Tabelas!$A:$A,IF(E555="",A555,E555))&gt;0,"sim","não"))</f>
        <v/>
      </c>
      <c r="H555" s="7" t="str">
        <f aca="false">IF(A555="","",IF(E555="",A555,E555)&amp;"."&amp;IF(F555="",B555,F555))</f>
        <v/>
      </c>
      <c r="I555" s="7" t="str">
        <f aca="false">IF(A555="","",IFERROR(INDEX('Campos Growths'!$F:$F,MATCH(H555,'Campos Growths'!$A:$A,0)),""))</f>
        <v/>
      </c>
      <c r="J555" s="7" t="str">
        <f aca="false">IF(A555="","",IFERROR(VLOOKUP(IF(ISNUMBER(SEARCH("(",C555)),LEFT(C555,SEARCH("(",C555)-1),C555),Tipos!$A:$B,2,FALSE()),"outro"))</f>
        <v/>
      </c>
      <c r="K555" s="7" t="str">
        <f aca="false">IF(I555="","",IFERROR(INDEX('Campos Growths'!$L:$L,MATCH(H555,'Campos Growths'!$A:$A,0)),""))</f>
        <v/>
      </c>
      <c r="L555" s="7" t="str">
        <f aca="false">IF(A555="","",IF(G555="não","Sem tabela no Growths",IF(I555="","Sem campo no Growths",IF(J555=K555,"Importa direto","Ajustar tipo"))))</f>
        <v/>
      </c>
      <c r="M555" s="9"/>
    </row>
    <row r="556" customFormat="false" ht="15" hidden="false" customHeight="false" outlineLevel="0" collapsed="false">
      <c r="A556" s="7" t="str">
        <f aca="false">IF('Outro banco'!A556="","",IF(LEFT('Outro banco'!A556,1)="(","",'Outro banco'!A556))</f>
        <v/>
      </c>
      <c r="B556" s="7" t="str">
        <f aca="false">IF(A556="","",'Outro banco'!B556)</f>
        <v/>
      </c>
      <c r="C556" s="7" t="str">
        <f aca="false">IF(A556="","",'Outro banco'!C556)</f>
        <v/>
      </c>
      <c r="D556" s="7" t="str">
        <f aca="false">IF(A556="","",'Outro banco'!D556)</f>
        <v/>
      </c>
      <c r="E556" s="9"/>
      <c r="F556" s="9"/>
      <c r="G556" s="7" t="str">
        <f aca="false">IF(A556="","",IF(COUNTIF(Tabelas!$A:$A,IF(E556="",A556,E556))&gt;0,"sim","não"))</f>
        <v/>
      </c>
      <c r="H556" s="7" t="str">
        <f aca="false">IF(A556="","",IF(E556="",A556,E556)&amp;"."&amp;IF(F556="",B556,F556))</f>
        <v/>
      </c>
      <c r="I556" s="7" t="str">
        <f aca="false">IF(A556="","",IFERROR(INDEX('Campos Growths'!$F:$F,MATCH(H556,'Campos Growths'!$A:$A,0)),""))</f>
        <v/>
      </c>
      <c r="J556" s="7" t="str">
        <f aca="false">IF(A556="","",IFERROR(VLOOKUP(IF(ISNUMBER(SEARCH("(",C556)),LEFT(C556,SEARCH("(",C556)-1),C556),Tipos!$A:$B,2,FALSE()),"outro"))</f>
        <v/>
      </c>
      <c r="K556" s="7" t="str">
        <f aca="false">IF(I556="","",IFERROR(INDEX('Campos Growths'!$L:$L,MATCH(H556,'Campos Growths'!$A:$A,0)),""))</f>
        <v/>
      </c>
      <c r="L556" s="7" t="str">
        <f aca="false">IF(A556="","",IF(G556="não","Sem tabela no Growths",IF(I556="","Sem campo no Growths",IF(J556=K556,"Importa direto","Ajustar tipo"))))</f>
        <v/>
      </c>
      <c r="M556" s="9"/>
    </row>
    <row r="557" customFormat="false" ht="15" hidden="false" customHeight="false" outlineLevel="0" collapsed="false">
      <c r="A557" s="7" t="str">
        <f aca="false">IF('Outro banco'!A557="","",IF(LEFT('Outro banco'!A557,1)="(","",'Outro banco'!A557))</f>
        <v/>
      </c>
      <c r="B557" s="7" t="str">
        <f aca="false">IF(A557="","",'Outro banco'!B557)</f>
        <v/>
      </c>
      <c r="C557" s="7" t="str">
        <f aca="false">IF(A557="","",'Outro banco'!C557)</f>
        <v/>
      </c>
      <c r="D557" s="7" t="str">
        <f aca="false">IF(A557="","",'Outro banco'!D557)</f>
        <v/>
      </c>
      <c r="E557" s="9"/>
      <c r="F557" s="9"/>
      <c r="G557" s="7" t="str">
        <f aca="false">IF(A557="","",IF(COUNTIF(Tabelas!$A:$A,IF(E557="",A557,E557))&gt;0,"sim","não"))</f>
        <v/>
      </c>
      <c r="H557" s="7" t="str">
        <f aca="false">IF(A557="","",IF(E557="",A557,E557)&amp;"."&amp;IF(F557="",B557,F557))</f>
        <v/>
      </c>
      <c r="I557" s="7" t="str">
        <f aca="false">IF(A557="","",IFERROR(INDEX('Campos Growths'!$F:$F,MATCH(H557,'Campos Growths'!$A:$A,0)),""))</f>
        <v/>
      </c>
      <c r="J557" s="7" t="str">
        <f aca="false">IF(A557="","",IFERROR(VLOOKUP(IF(ISNUMBER(SEARCH("(",C557)),LEFT(C557,SEARCH("(",C557)-1),C557),Tipos!$A:$B,2,FALSE()),"outro"))</f>
        <v/>
      </c>
      <c r="K557" s="7" t="str">
        <f aca="false">IF(I557="","",IFERROR(INDEX('Campos Growths'!$L:$L,MATCH(H557,'Campos Growths'!$A:$A,0)),""))</f>
        <v/>
      </c>
      <c r="L557" s="7" t="str">
        <f aca="false">IF(A557="","",IF(G557="não","Sem tabela no Growths",IF(I557="","Sem campo no Growths",IF(J557=K557,"Importa direto","Ajustar tipo"))))</f>
        <v/>
      </c>
      <c r="M557" s="9"/>
    </row>
    <row r="558" customFormat="false" ht="15" hidden="false" customHeight="false" outlineLevel="0" collapsed="false">
      <c r="A558" s="7" t="str">
        <f aca="false">IF('Outro banco'!A558="","",IF(LEFT('Outro banco'!A558,1)="(","",'Outro banco'!A558))</f>
        <v/>
      </c>
      <c r="B558" s="7" t="str">
        <f aca="false">IF(A558="","",'Outro banco'!B558)</f>
        <v/>
      </c>
      <c r="C558" s="7" t="str">
        <f aca="false">IF(A558="","",'Outro banco'!C558)</f>
        <v/>
      </c>
      <c r="D558" s="7" t="str">
        <f aca="false">IF(A558="","",'Outro banco'!D558)</f>
        <v/>
      </c>
      <c r="E558" s="9"/>
      <c r="F558" s="9"/>
      <c r="G558" s="7" t="str">
        <f aca="false">IF(A558="","",IF(COUNTIF(Tabelas!$A:$A,IF(E558="",A558,E558))&gt;0,"sim","não"))</f>
        <v/>
      </c>
      <c r="H558" s="7" t="str">
        <f aca="false">IF(A558="","",IF(E558="",A558,E558)&amp;"."&amp;IF(F558="",B558,F558))</f>
        <v/>
      </c>
      <c r="I558" s="7" t="str">
        <f aca="false">IF(A558="","",IFERROR(INDEX('Campos Growths'!$F:$F,MATCH(H558,'Campos Growths'!$A:$A,0)),""))</f>
        <v/>
      </c>
      <c r="J558" s="7" t="str">
        <f aca="false">IF(A558="","",IFERROR(VLOOKUP(IF(ISNUMBER(SEARCH("(",C558)),LEFT(C558,SEARCH("(",C558)-1),C558),Tipos!$A:$B,2,FALSE()),"outro"))</f>
        <v/>
      </c>
      <c r="K558" s="7" t="str">
        <f aca="false">IF(I558="","",IFERROR(INDEX('Campos Growths'!$L:$L,MATCH(H558,'Campos Growths'!$A:$A,0)),""))</f>
        <v/>
      </c>
      <c r="L558" s="7" t="str">
        <f aca="false">IF(A558="","",IF(G558="não","Sem tabela no Growths",IF(I558="","Sem campo no Growths",IF(J558=K558,"Importa direto","Ajustar tipo"))))</f>
        <v/>
      </c>
      <c r="M558" s="9"/>
    </row>
    <row r="559" customFormat="false" ht="15" hidden="false" customHeight="false" outlineLevel="0" collapsed="false">
      <c r="A559" s="7" t="str">
        <f aca="false">IF('Outro banco'!A559="","",IF(LEFT('Outro banco'!A559,1)="(","",'Outro banco'!A559))</f>
        <v/>
      </c>
      <c r="B559" s="7" t="str">
        <f aca="false">IF(A559="","",'Outro banco'!B559)</f>
        <v/>
      </c>
      <c r="C559" s="7" t="str">
        <f aca="false">IF(A559="","",'Outro banco'!C559)</f>
        <v/>
      </c>
      <c r="D559" s="7" t="str">
        <f aca="false">IF(A559="","",'Outro banco'!D559)</f>
        <v/>
      </c>
      <c r="E559" s="9"/>
      <c r="F559" s="9"/>
      <c r="G559" s="7" t="str">
        <f aca="false">IF(A559="","",IF(COUNTIF(Tabelas!$A:$A,IF(E559="",A559,E559))&gt;0,"sim","não"))</f>
        <v/>
      </c>
      <c r="H559" s="7" t="str">
        <f aca="false">IF(A559="","",IF(E559="",A559,E559)&amp;"."&amp;IF(F559="",B559,F559))</f>
        <v/>
      </c>
      <c r="I559" s="7" t="str">
        <f aca="false">IF(A559="","",IFERROR(INDEX('Campos Growths'!$F:$F,MATCH(H559,'Campos Growths'!$A:$A,0)),""))</f>
        <v/>
      </c>
      <c r="J559" s="7" t="str">
        <f aca="false">IF(A559="","",IFERROR(VLOOKUP(IF(ISNUMBER(SEARCH("(",C559)),LEFT(C559,SEARCH("(",C559)-1),C559),Tipos!$A:$B,2,FALSE()),"outro"))</f>
        <v/>
      </c>
      <c r="K559" s="7" t="str">
        <f aca="false">IF(I559="","",IFERROR(INDEX('Campos Growths'!$L:$L,MATCH(H559,'Campos Growths'!$A:$A,0)),""))</f>
        <v/>
      </c>
      <c r="L559" s="7" t="str">
        <f aca="false">IF(A559="","",IF(G559="não","Sem tabela no Growths",IF(I559="","Sem campo no Growths",IF(J559=K559,"Importa direto","Ajustar tipo"))))</f>
        <v/>
      </c>
      <c r="M559" s="9"/>
    </row>
    <row r="560" customFormat="false" ht="15" hidden="false" customHeight="false" outlineLevel="0" collapsed="false">
      <c r="A560" s="7" t="str">
        <f aca="false">IF('Outro banco'!A560="","",IF(LEFT('Outro banco'!A560,1)="(","",'Outro banco'!A560))</f>
        <v/>
      </c>
      <c r="B560" s="7" t="str">
        <f aca="false">IF(A560="","",'Outro banco'!B560)</f>
        <v/>
      </c>
      <c r="C560" s="7" t="str">
        <f aca="false">IF(A560="","",'Outro banco'!C560)</f>
        <v/>
      </c>
      <c r="D560" s="7" t="str">
        <f aca="false">IF(A560="","",'Outro banco'!D560)</f>
        <v/>
      </c>
      <c r="E560" s="9"/>
      <c r="F560" s="9"/>
      <c r="G560" s="7" t="str">
        <f aca="false">IF(A560="","",IF(COUNTIF(Tabelas!$A:$A,IF(E560="",A560,E560))&gt;0,"sim","não"))</f>
        <v/>
      </c>
      <c r="H560" s="7" t="str">
        <f aca="false">IF(A560="","",IF(E560="",A560,E560)&amp;"."&amp;IF(F560="",B560,F560))</f>
        <v/>
      </c>
      <c r="I560" s="7" t="str">
        <f aca="false">IF(A560="","",IFERROR(INDEX('Campos Growths'!$F:$F,MATCH(H560,'Campos Growths'!$A:$A,0)),""))</f>
        <v/>
      </c>
      <c r="J560" s="7" t="str">
        <f aca="false">IF(A560="","",IFERROR(VLOOKUP(IF(ISNUMBER(SEARCH("(",C560)),LEFT(C560,SEARCH("(",C560)-1),C560),Tipos!$A:$B,2,FALSE()),"outro"))</f>
        <v/>
      </c>
      <c r="K560" s="7" t="str">
        <f aca="false">IF(I560="","",IFERROR(INDEX('Campos Growths'!$L:$L,MATCH(H560,'Campos Growths'!$A:$A,0)),""))</f>
        <v/>
      </c>
      <c r="L560" s="7" t="str">
        <f aca="false">IF(A560="","",IF(G560="não","Sem tabela no Growths",IF(I560="","Sem campo no Growths",IF(J560=K560,"Importa direto","Ajustar tipo"))))</f>
        <v/>
      </c>
      <c r="M560" s="9"/>
    </row>
    <row r="561" customFormat="false" ht="15" hidden="false" customHeight="false" outlineLevel="0" collapsed="false">
      <c r="A561" s="7" t="str">
        <f aca="false">IF('Outro banco'!A561="","",IF(LEFT('Outro banco'!A561,1)="(","",'Outro banco'!A561))</f>
        <v/>
      </c>
      <c r="B561" s="7" t="str">
        <f aca="false">IF(A561="","",'Outro banco'!B561)</f>
        <v/>
      </c>
      <c r="C561" s="7" t="str">
        <f aca="false">IF(A561="","",'Outro banco'!C561)</f>
        <v/>
      </c>
      <c r="D561" s="7" t="str">
        <f aca="false">IF(A561="","",'Outro banco'!D561)</f>
        <v/>
      </c>
      <c r="E561" s="9"/>
      <c r="F561" s="9"/>
      <c r="G561" s="7" t="str">
        <f aca="false">IF(A561="","",IF(COUNTIF(Tabelas!$A:$A,IF(E561="",A561,E561))&gt;0,"sim","não"))</f>
        <v/>
      </c>
      <c r="H561" s="7" t="str">
        <f aca="false">IF(A561="","",IF(E561="",A561,E561)&amp;"."&amp;IF(F561="",B561,F561))</f>
        <v/>
      </c>
      <c r="I561" s="7" t="str">
        <f aca="false">IF(A561="","",IFERROR(INDEX('Campos Growths'!$F:$F,MATCH(H561,'Campos Growths'!$A:$A,0)),""))</f>
        <v/>
      </c>
      <c r="J561" s="7" t="str">
        <f aca="false">IF(A561="","",IFERROR(VLOOKUP(IF(ISNUMBER(SEARCH("(",C561)),LEFT(C561,SEARCH("(",C561)-1),C561),Tipos!$A:$B,2,FALSE()),"outro"))</f>
        <v/>
      </c>
      <c r="K561" s="7" t="str">
        <f aca="false">IF(I561="","",IFERROR(INDEX('Campos Growths'!$L:$L,MATCH(H561,'Campos Growths'!$A:$A,0)),""))</f>
        <v/>
      </c>
      <c r="L561" s="7" t="str">
        <f aca="false">IF(A561="","",IF(G561="não","Sem tabela no Growths",IF(I561="","Sem campo no Growths",IF(J561=K561,"Importa direto","Ajustar tipo"))))</f>
        <v/>
      </c>
      <c r="M561" s="9"/>
    </row>
    <row r="562" customFormat="false" ht="15" hidden="false" customHeight="false" outlineLevel="0" collapsed="false">
      <c r="A562" s="7" t="str">
        <f aca="false">IF('Outro banco'!A562="","",IF(LEFT('Outro banco'!A562,1)="(","",'Outro banco'!A562))</f>
        <v/>
      </c>
      <c r="B562" s="7" t="str">
        <f aca="false">IF(A562="","",'Outro banco'!B562)</f>
        <v/>
      </c>
      <c r="C562" s="7" t="str">
        <f aca="false">IF(A562="","",'Outro banco'!C562)</f>
        <v/>
      </c>
      <c r="D562" s="7" t="str">
        <f aca="false">IF(A562="","",'Outro banco'!D562)</f>
        <v/>
      </c>
      <c r="E562" s="9"/>
      <c r="F562" s="9"/>
      <c r="G562" s="7" t="str">
        <f aca="false">IF(A562="","",IF(COUNTIF(Tabelas!$A:$A,IF(E562="",A562,E562))&gt;0,"sim","não"))</f>
        <v/>
      </c>
      <c r="H562" s="7" t="str">
        <f aca="false">IF(A562="","",IF(E562="",A562,E562)&amp;"."&amp;IF(F562="",B562,F562))</f>
        <v/>
      </c>
      <c r="I562" s="7" t="str">
        <f aca="false">IF(A562="","",IFERROR(INDEX('Campos Growths'!$F:$F,MATCH(H562,'Campos Growths'!$A:$A,0)),""))</f>
        <v/>
      </c>
      <c r="J562" s="7" t="str">
        <f aca="false">IF(A562="","",IFERROR(VLOOKUP(IF(ISNUMBER(SEARCH("(",C562)),LEFT(C562,SEARCH("(",C562)-1),C562),Tipos!$A:$B,2,FALSE()),"outro"))</f>
        <v/>
      </c>
      <c r="K562" s="7" t="str">
        <f aca="false">IF(I562="","",IFERROR(INDEX('Campos Growths'!$L:$L,MATCH(H562,'Campos Growths'!$A:$A,0)),""))</f>
        <v/>
      </c>
      <c r="L562" s="7" t="str">
        <f aca="false">IF(A562="","",IF(G562="não","Sem tabela no Growths",IF(I562="","Sem campo no Growths",IF(J562=K562,"Importa direto","Ajustar tipo"))))</f>
        <v/>
      </c>
      <c r="M562" s="9"/>
    </row>
    <row r="563" customFormat="false" ht="15" hidden="false" customHeight="false" outlineLevel="0" collapsed="false">
      <c r="A563" s="7" t="str">
        <f aca="false">IF('Outro banco'!A563="","",IF(LEFT('Outro banco'!A563,1)="(","",'Outro banco'!A563))</f>
        <v/>
      </c>
      <c r="B563" s="7" t="str">
        <f aca="false">IF(A563="","",'Outro banco'!B563)</f>
        <v/>
      </c>
      <c r="C563" s="7" t="str">
        <f aca="false">IF(A563="","",'Outro banco'!C563)</f>
        <v/>
      </c>
      <c r="D563" s="7" t="str">
        <f aca="false">IF(A563="","",'Outro banco'!D563)</f>
        <v/>
      </c>
      <c r="E563" s="9"/>
      <c r="F563" s="9"/>
      <c r="G563" s="7" t="str">
        <f aca="false">IF(A563="","",IF(COUNTIF(Tabelas!$A:$A,IF(E563="",A563,E563))&gt;0,"sim","não"))</f>
        <v/>
      </c>
      <c r="H563" s="7" t="str">
        <f aca="false">IF(A563="","",IF(E563="",A563,E563)&amp;"."&amp;IF(F563="",B563,F563))</f>
        <v/>
      </c>
      <c r="I563" s="7" t="str">
        <f aca="false">IF(A563="","",IFERROR(INDEX('Campos Growths'!$F:$F,MATCH(H563,'Campos Growths'!$A:$A,0)),""))</f>
        <v/>
      </c>
      <c r="J563" s="7" t="str">
        <f aca="false">IF(A563="","",IFERROR(VLOOKUP(IF(ISNUMBER(SEARCH("(",C563)),LEFT(C563,SEARCH("(",C563)-1),C563),Tipos!$A:$B,2,FALSE()),"outro"))</f>
        <v/>
      </c>
      <c r="K563" s="7" t="str">
        <f aca="false">IF(I563="","",IFERROR(INDEX('Campos Growths'!$L:$L,MATCH(H563,'Campos Growths'!$A:$A,0)),""))</f>
        <v/>
      </c>
      <c r="L563" s="7" t="str">
        <f aca="false">IF(A563="","",IF(G563="não","Sem tabela no Growths",IF(I563="","Sem campo no Growths",IF(J563=K563,"Importa direto","Ajustar tipo"))))</f>
        <v/>
      </c>
      <c r="M563" s="9"/>
    </row>
    <row r="564" customFormat="false" ht="15" hidden="false" customHeight="false" outlineLevel="0" collapsed="false">
      <c r="A564" s="7" t="str">
        <f aca="false">IF('Outro banco'!A564="","",IF(LEFT('Outro banco'!A564,1)="(","",'Outro banco'!A564))</f>
        <v/>
      </c>
      <c r="B564" s="7" t="str">
        <f aca="false">IF(A564="","",'Outro banco'!B564)</f>
        <v/>
      </c>
      <c r="C564" s="7" t="str">
        <f aca="false">IF(A564="","",'Outro banco'!C564)</f>
        <v/>
      </c>
      <c r="D564" s="7" t="str">
        <f aca="false">IF(A564="","",'Outro banco'!D564)</f>
        <v/>
      </c>
      <c r="E564" s="9"/>
      <c r="F564" s="9"/>
      <c r="G564" s="7" t="str">
        <f aca="false">IF(A564="","",IF(COUNTIF(Tabelas!$A:$A,IF(E564="",A564,E564))&gt;0,"sim","não"))</f>
        <v/>
      </c>
      <c r="H564" s="7" t="str">
        <f aca="false">IF(A564="","",IF(E564="",A564,E564)&amp;"."&amp;IF(F564="",B564,F564))</f>
        <v/>
      </c>
      <c r="I564" s="7" t="str">
        <f aca="false">IF(A564="","",IFERROR(INDEX('Campos Growths'!$F:$F,MATCH(H564,'Campos Growths'!$A:$A,0)),""))</f>
        <v/>
      </c>
      <c r="J564" s="7" t="str">
        <f aca="false">IF(A564="","",IFERROR(VLOOKUP(IF(ISNUMBER(SEARCH("(",C564)),LEFT(C564,SEARCH("(",C564)-1),C564),Tipos!$A:$B,2,FALSE()),"outro"))</f>
        <v/>
      </c>
      <c r="K564" s="7" t="str">
        <f aca="false">IF(I564="","",IFERROR(INDEX('Campos Growths'!$L:$L,MATCH(H564,'Campos Growths'!$A:$A,0)),""))</f>
        <v/>
      </c>
      <c r="L564" s="7" t="str">
        <f aca="false">IF(A564="","",IF(G564="não","Sem tabela no Growths",IF(I564="","Sem campo no Growths",IF(J564=K564,"Importa direto","Ajustar tipo"))))</f>
        <v/>
      </c>
      <c r="M564" s="9"/>
    </row>
    <row r="565" customFormat="false" ht="15" hidden="false" customHeight="false" outlineLevel="0" collapsed="false">
      <c r="A565" s="7" t="str">
        <f aca="false">IF('Outro banco'!A565="","",IF(LEFT('Outro banco'!A565,1)="(","",'Outro banco'!A565))</f>
        <v/>
      </c>
      <c r="B565" s="7" t="str">
        <f aca="false">IF(A565="","",'Outro banco'!B565)</f>
        <v/>
      </c>
      <c r="C565" s="7" t="str">
        <f aca="false">IF(A565="","",'Outro banco'!C565)</f>
        <v/>
      </c>
      <c r="D565" s="7" t="str">
        <f aca="false">IF(A565="","",'Outro banco'!D565)</f>
        <v/>
      </c>
      <c r="E565" s="9"/>
      <c r="F565" s="9"/>
      <c r="G565" s="7" t="str">
        <f aca="false">IF(A565="","",IF(COUNTIF(Tabelas!$A:$A,IF(E565="",A565,E565))&gt;0,"sim","não"))</f>
        <v/>
      </c>
      <c r="H565" s="7" t="str">
        <f aca="false">IF(A565="","",IF(E565="",A565,E565)&amp;"."&amp;IF(F565="",B565,F565))</f>
        <v/>
      </c>
      <c r="I565" s="7" t="str">
        <f aca="false">IF(A565="","",IFERROR(INDEX('Campos Growths'!$F:$F,MATCH(H565,'Campos Growths'!$A:$A,0)),""))</f>
        <v/>
      </c>
      <c r="J565" s="7" t="str">
        <f aca="false">IF(A565="","",IFERROR(VLOOKUP(IF(ISNUMBER(SEARCH("(",C565)),LEFT(C565,SEARCH("(",C565)-1),C565),Tipos!$A:$B,2,FALSE()),"outro"))</f>
        <v/>
      </c>
      <c r="K565" s="7" t="str">
        <f aca="false">IF(I565="","",IFERROR(INDEX('Campos Growths'!$L:$L,MATCH(H565,'Campos Growths'!$A:$A,0)),""))</f>
        <v/>
      </c>
      <c r="L565" s="7" t="str">
        <f aca="false">IF(A565="","",IF(G565="não","Sem tabela no Growths",IF(I565="","Sem campo no Growths",IF(J565=K565,"Importa direto","Ajustar tipo"))))</f>
        <v/>
      </c>
      <c r="M565" s="9"/>
    </row>
    <row r="566" customFormat="false" ht="15" hidden="false" customHeight="false" outlineLevel="0" collapsed="false">
      <c r="A566" s="7" t="str">
        <f aca="false">IF('Outro banco'!A566="","",IF(LEFT('Outro banco'!A566,1)="(","",'Outro banco'!A566))</f>
        <v/>
      </c>
      <c r="B566" s="7" t="str">
        <f aca="false">IF(A566="","",'Outro banco'!B566)</f>
        <v/>
      </c>
      <c r="C566" s="7" t="str">
        <f aca="false">IF(A566="","",'Outro banco'!C566)</f>
        <v/>
      </c>
      <c r="D566" s="7" t="str">
        <f aca="false">IF(A566="","",'Outro banco'!D566)</f>
        <v/>
      </c>
      <c r="E566" s="9"/>
      <c r="F566" s="9"/>
      <c r="G566" s="7" t="str">
        <f aca="false">IF(A566="","",IF(COUNTIF(Tabelas!$A:$A,IF(E566="",A566,E566))&gt;0,"sim","não"))</f>
        <v/>
      </c>
      <c r="H566" s="7" t="str">
        <f aca="false">IF(A566="","",IF(E566="",A566,E566)&amp;"."&amp;IF(F566="",B566,F566))</f>
        <v/>
      </c>
      <c r="I566" s="7" t="str">
        <f aca="false">IF(A566="","",IFERROR(INDEX('Campos Growths'!$F:$F,MATCH(H566,'Campos Growths'!$A:$A,0)),""))</f>
        <v/>
      </c>
      <c r="J566" s="7" t="str">
        <f aca="false">IF(A566="","",IFERROR(VLOOKUP(IF(ISNUMBER(SEARCH("(",C566)),LEFT(C566,SEARCH("(",C566)-1),C566),Tipos!$A:$B,2,FALSE()),"outro"))</f>
        <v/>
      </c>
      <c r="K566" s="7" t="str">
        <f aca="false">IF(I566="","",IFERROR(INDEX('Campos Growths'!$L:$L,MATCH(H566,'Campos Growths'!$A:$A,0)),""))</f>
        <v/>
      </c>
      <c r="L566" s="7" t="str">
        <f aca="false">IF(A566="","",IF(G566="não","Sem tabela no Growths",IF(I566="","Sem campo no Growths",IF(J566=K566,"Importa direto","Ajustar tipo"))))</f>
        <v/>
      </c>
      <c r="M566" s="9"/>
    </row>
    <row r="567" customFormat="false" ht="15" hidden="false" customHeight="false" outlineLevel="0" collapsed="false">
      <c r="A567" s="7" t="str">
        <f aca="false">IF('Outro banco'!A567="","",IF(LEFT('Outro banco'!A567,1)="(","",'Outro banco'!A567))</f>
        <v/>
      </c>
      <c r="B567" s="7" t="str">
        <f aca="false">IF(A567="","",'Outro banco'!B567)</f>
        <v/>
      </c>
      <c r="C567" s="7" t="str">
        <f aca="false">IF(A567="","",'Outro banco'!C567)</f>
        <v/>
      </c>
      <c r="D567" s="7" t="str">
        <f aca="false">IF(A567="","",'Outro banco'!D567)</f>
        <v/>
      </c>
      <c r="E567" s="9"/>
      <c r="F567" s="9"/>
      <c r="G567" s="7" t="str">
        <f aca="false">IF(A567="","",IF(COUNTIF(Tabelas!$A:$A,IF(E567="",A567,E567))&gt;0,"sim","não"))</f>
        <v/>
      </c>
      <c r="H567" s="7" t="str">
        <f aca="false">IF(A567="","",IF(E567="",A567,E567)&amp;"."&amp;IF(F567="",B567,F567))</f>
        <v/>
      </c>
      <c r="I567" s="7" t="str">
        <f aca="false">IF(A567="","",IFERROR(INDEX('Campos Growths'!$F:$F,MATCH(H567,'Campos Growths'!$A:$A,0)),""))</f>
        <v/>
      </c>
      <c r="J567" s="7" t="str">
        <f aca="false">IF(A567="","",IFERROR(VLOOKUP(IF(ISNUMBER(SEARCH("(",C567)),LEFT(C567,SEARCH("(",C567)-1),C567),Tipos!$A:$B,2,FALSE()),"outro"))</f>
        <v/>
      </c>
      <c r="K567" s="7" t="str">
        <f aca="false">IF(I567="","",IFERROR(INDEX('Campos Growths'!$L:$L,MATCH(H567,'Campos Growths'!$A:$A,0)),""))</f>
        <v/>
      </c>
      <c r="L567" s="7" t="str">
        <f aca="false">IF(A567="","",IF(G567="não","Sem tabela no Growths",IF(I567="","Sem campo no Growths",IF(J567=K567,"Importa direto","Ajustar tipo"))))</f>
        <v/>
      </c>
      <c r="M567" s="9"/>
    </row>
    <row r="568" customFormat="false" ht="15" hidden="false" customHeight="false" outlineLevel="0" collapsed="false">
      <c r="A568" s="7" t="str">
        <f aca="false">IF('Outro banco'!A568="","",IF(LEFT('Outro banco'!A568,1)="(","",'Outro banco'!A568))</f>
        <v/>
      </c>
      <c r="B568" s="7" t="str">
        <f aca="false">IF(A568="","",'Outro banco'!B568)</f>
        <v/>
      </c>
      <c r="C568" s="7" t="str">
        <f aca="false">IF(A568="","",'Outro banco'!C568)</f>
        <v/>
      </c>
      <c r="D568" s="7" t="str">
        <f aca="false">IF(A568="","",'Outro banco'!D568)</f>
        <v/>
      </c>
      <c r="E568" s="9"/>
      <c r="F568" s="9"/>
      <c r="G568" s="7" t="str">
        <f aca="false">IF(A568="","",IF(COUNTIF(Tabelas!$A:$A,IF(E568="",A568,E568))&gt;0,"sim","não"))</f>
        <v/>
      </c>
      <c r="H568" s="7" t="str">
        <f aca="false">IF(A568="","",IF(E568="",A568,E568)&amp;"."&amp;IF(F568="",B568,F568))</f>
        <v/>
      </c>
      <c r="I568" s="7" t="str">
        <f aca="false">IF(A568="","",IFERROR(INDEX('Campos Growths'!$F:$F,MATCH(H568,'Campos Growths'!$A:$A,0)),""))</f>
        <v/>
      </c>
      <c r="J568" s="7" t="str">
        <f aca="false">IF(A568="","",IFERROR(VLOOKUP(IF(ISNUMBER(SEARCH("(",C568)),LEFT(C568,SEARCH("(",C568)-1),C568),Tipos!$A:$B,2,FALSE()),"outro"))</f>
        <v/>
      </c>
      <c r="K568" s="7" t="str">
        <f aca="false">IF(I568="","",IFERROR(INDEX('Campos Growths'!$L:$L,MATCH(H568,'Campos Growths'!$A:$A,0)),""))</f>
        <v/>
      </c>
      <c r="L568" s="7" t="str">
        <f aca="false">IF(A568="","",IF(G568="não","Sem tabela no Growths",IF(I568="","Sem campo no Growths",IF(J568=K568,"Importa direto","Ajustar tipo"))))</f>
        <v/>
      </c>
      <c r="M568" s="9"/>
    </row>
    <row r="569" customFormat="false" ht="15" hidden="false" customHeight="false" outlineLevel="0" collapsed="false">
      <c r="A569" s="7" t="str">
        <f aca="false">IF('Outro banco'!A569="","",IF(LEFT('Outro banco'!A569,1)="(","",'Outro banco'!A569))</f>
        <v/>
      </c>
      <c r="B569" s="7" t="str">
        <f aca="false">IF(A569="","",'Outro banco'!B569)</f>
        <v/>
      </c>
      <c r="C569" s="7" t="str">
        <f aca="false">IF(A569="","",'Outro banco'!C569)</f>
        <v/>
      </c>
      <c r="D569" s="7" t="str">
        <f aca="false">IF(A569="","",'Outro banco'!D569)</f>
        <v/>
      </c>
      <c r="E569" s="9"/>
      <c r="F569" s="9"/>
      <c r="G569" s="7" t="str">
        <f aca="false">IF(A569="","",IF(COUNTIF(Tabelas!$A:$A,IF(E569="",A569,E569))&gt;0,"sim","não"))</f>
        <v/>
      </c>
      <c r="H569" s="7" t="str">
        <f aca="false">IF(A569="","",IF(E569="",A569,E569)&amp;"."&amp;IF(F569="",B569,F569))</f>
        <v/>
      </c>
      <c r="I569" s="7" t="str">
        <f aca="false">IF(A569="","",IFERROR(INDEX('Campos Growths'!$F:$F,MATCH(H569,'Campos Growths'!$A:$A,0)),""))</f>
        <v/>
      </c>
      <c r="J569" s="7" t="str">
        <f aca="false">IF(A569="","",IFERROR(VLOOKUP(IF(ISNUMBER(SEARCH("(",C569)),LEFT(C569,SEARCH("(",C569)-1),C569),Tipos!$A:$B,2,FALSE()),"outro"))</f>
        <v/>
      </c>
      <c r="K569" s="7" t="str">
        <f aca="false">IF(I569="","",IFERROR(INDEX('Campos Growths'!$L:$L,MATCH(H569,'Campos Growths'!$A:$A,0)),""))</f>
        <v/>
      </c>
      <c r="L569" s="7" t="str">
        <f aca="false">IF(A569="","",IF(G569="não","Sem tabela no Growths",IF(I569="","Sem campo no Growths",IF(J569=K569,"Importa direto","Ajustar tipo"))))</f>
        <v/>
      </c>
      <c r="M569" s="9"/>
    </row>
    <row r="570" customFormat="false" ht="15" hidden="false" customHeight="false" outlineLevel="0" collapsed="false">
      <c r="A570" s="7" t="str">
        <f aca="false">IF('Outro banco'!A570="","",IF(LEFT('Outro banco'!A570,1)="(","",'Outro banco'!A570))</f>
        <v/>
      </c>
      <c r="B570" s="7" t="str">
        <f aca="false">IF(A570="","",'Outro banco'!B570)</f>
        <v/>
      </c>
      <c r="C570" s="7" t="str">
        <f aca="false">IF(A570="","",'Outro banco'!C570)</f>
        <v/>
      </c>
      <c r="D570" s="7" t="str">
        <f aca="false">IF(A570="","",'Outro banco'!D570)</f>
        <v/>
      </c>
      <c r="E570" s="9"/>
      <c r="F570" s="9"/>
      <c r="G570" s="7" t="str">
        <f aca="false">IF(A570="","",IF(COUNTIF(Tabelas!$A:$A,IF(E570="",A570,E570))&gt;0,"sim","não"))</f>
        <v/>
      </c>
      <c r="H570" s="7" t="str">
        <f aca="false">IF(A570="","",IF(E570="",A570,E570)&amp;"."&amp;IF(F570="",B570,F570))</f>
        <v/>
      </c>
      <c r="I570" s="7" t="str">
        <f aca="false">IF(A570="","",IFERROR(INDEX('Campos Growths'!$F:$F,MATCH(H570,'Campos Growths'!$A:$A,0)),""))</f>
        <v/>
      </c>
      <c r="J570" s="7" t="str">
        <f aca="false">IF(A570="","",IFERROR(VLOOKUP(IF(ISNUMBER(SEARCH("(",C570)),LEFT(C570,SEARCH("(",C570)-1),C570),Tipos!$A:$B,2,FALSE()),"outro"))</f>
        <v/>
      </c>
      <c r="K570" s="7" t="str">
        <f aca="false">IF(I570="","",IFERROR(INDEX('Campos Growths'!$L:$L,MATCH(H570,'Campos Growths'!$A:$A,0)),""))</f>
        <v/>
      </c>
      <c r="L570" s="7" t="str">
        <f aca="false">IF(A570="","",IF(G570="não","Sem tabela no Growths",IF(I570="","Sem campo no Growths",IF(J570=K570,"Importa direto","Ajustar tipo"))))</f>
        <v/>
      </c>
      <c r="M570" s="9"/>
    </row>
    <row r="571" customFormat="false" ht="15" hidden="false" customHeight="false" outlineLevel="0" collapsed="false">
      <c r="A571" s="7" t="str">
        <f aca="false">IF('Outro banco'!A571="","",IF(LEFT('Outro banco'!A571,1)="(","",'Outro banco'!A571))</f>
        <v/>
      </c>
      <c r="B571" s="7" t="str">
        <f aca="false">IF(A571="","",'Outro banco'!B571)</f>
        <v/>
      </c>
      <c r="C571" s="7" t="str">
        <f aca="false">IF(A571="","",'Outro banco'!C571)</f>
        <v/>
      </c>
      <c r="D571" s="7" t="str">
        <f aca="false">IF(A571="","",'Outro banco'!D571)</f>
        <v/>
      </c>
      <c r="E571" s="9"/>
      <c r="F571" s="9"/>
      <c r="G571" s="7" t="str">
        <f aca="false">IF(A571="","",IF(COUNTIF(Tabelas!$A:$A,IF(E571="",A571,E571))&gt;0,"sim","não"))</f>
        <v/>
      </c>
      <c r="H571" s="7" t="str">
        <f aca="false">IF(A571="","",IF(E571="",A571,E571)&amp;"."&amp;IF(F571="",B571,F571))</f>
        <v/>
      </c>
      <c r="I571" s="7" t="str">
        <f aca="false">IF(A571="","",IFERROR(INDEX('Campos Growths'!$F:$F,MATCH(H571,'Campos Growths'!$A:$A,0)),""))</f>
        <v/>
      </c>
      <c r="J571" s="7" t="str">
        <f aca="false">IF(A571="","",IFERROR(VLOOKUP(IF(ISNUMBER(SEARCH("(",C571)),LEFT(C571,SEARCH("(",C571)-1),C571),Tipos!$A:$B,2,FALSE()),"outro"))</f>
        <v/>
      </c>
      <c r="K571" s="7" t="str">
        <f aca="false">IF(I571="","",IFERROR(INDEX('Campos Growths'!$L:$L,MATCH(H571,'Campos Growths'!$A:$A,0)),""))</f>
        <v/>
      </c>
      <c r="L571" s="7" t="str">
        <f aca="false">IF(A571="","",IF(G571="não","Sem tabela no Growths",IF(I571="","Sem campo no Growths",IF(J571=K571,"Importa direto","Ajustar tipo"))))</f>
        <v/>
      </c>
      <c r="M571" s="9"/>
    </row>
    <row r="572" customFormat="false" ht="15" hidden="false" customHeight="false" outlineLevel="0" collapsed="false">
      <c r="A572" s="7" t="str">
        <f aca="false">IF('Outro banco'!A572="","",IF(LEFT('Outro banco'!A572,1)="(","",'Outro banco'!A572))</f>
        <v/>
      </c>
      <c r="B572" s="7" t="str">
        <f aca="false">IF(A572="","",'Outro banco'!B572)</f>
        <v/>
      </c>
      <c r="C572" s="7" t="str">
        <f aca="false">IF(A572="","",'Outro banco'!C572)</f>
        <v/>
      </c>
      <c r="D572" s="7" t="str">
        <f aca="false">IF(A572="","",'Outro banco'!D572)</f>
        <v/>
      </c>
      <c r="E572" s="9"/>
      <c r="F572" s="9"/>
      <c r="G572" s="7" t="str">
        <f aca="false">IF(A572="","",IF(COUNTIF(Tabelas!$A:$A,IF(E572="",A572,E572))&gt;0,"sim","não"))</f>
        <v/>
      </c>
      <c r="H572" s="7" t="str">
        <f aca="false">IF(A572="","",IF(E572="",A572,E572)&amp;"."&amp;IF(F572="",B572,F572))</f>
        <v/>
      </c>
      <c r="I572" s="7" t="str">
        <f aca="false">IF(A572="","",IFERROR(INDEX('Campos Growths'!$F:$F,MATCH(H572,'Campos Growths'!$A:$A,0)),""))</f>
        <v/>
      </c>
      <c r="J572" s="7" t="str">
        <f aca="false">IF(A572="","",IFERROR(VLOOKUP(IF(ISNUMBER(SEARCH("(",C572)),LEFT(C572,SEARCH("(",C572)-1),C572),Tipos!$A:$B,2,FALSE()),"outro"))</f>
        <v/>
      </c>
      <c r="K572" s="7" t="str">
        <f aca="false">IF(I572="","",IFERROR(INDEX('Campos Growths'!$L:$L,MATCH(H572,'Campos Growths'!$A:$A,0)),""))</f>
        <v/>
      </c>
      <c r="L572" s="7" t="str">
        <f aca="false">IF(A572="","",IF(G572="não","Sem tabela no Growths",IF(I572="","Sem campo no Growths",IF(J572=K572,"Importa direto","Ajustar tipo"))))</f>
        <v/>
      </c>
      <c r="M572" s="9"/>
    </row>
    <row r="573" customFormat="false" ht="15" hidden="false" customHeight="false" outlineLevel="0" collapsed="false">
      <c r="A573" s="7" t="str">
        <f aca="false">IF('Outro banco'!A573="","",IF(LEFT('Outro banco'!A573,1)="(","",'Outro banco'!A573))</f>
        <v/>
      </c>
      <c r="B573" s="7" t="str">
        <f aca="false">IF(A573="","",'Outro banco'!B573)</f>
        <v/>
      </c>
      <c r="C573" s="7" t="str">
        <f aca="false">IF(A573="","",'Outro banco'!C573)</f>
        <v/>
      </c>
      <c r="D573" s="7" t="str">
        <f aca="false">IF(A573="","",'Outro banco'!D573)</f>
        <v/>
      </c>
      <c r="E573" s="9"/>
      <c r="F573" s="9"/>
      <c r="G573" s="7" t="str">
        <f aca="false">IF(A573="","",IF(COUNTIF(Tabelas!$A:$A,IF(E573="",A573,E573))&gt;0,"sim","não"))</f>
        <v/>
      </c>
      <c r="H573" s="7" t="str">
        <f aca="false">IF(A573="","",IF(E573="",A573,E573)&amp;"."&amp;IF(F573="",B573,F573))</f>
        <v/>
      </c>
      <c r="I573" s="7" t="str">
        <f aca="false">IF(A573="","",IFERROR(INDEX('Campos Growths'!$F:$F,MATCH(H573,'Campos Growths'!$A:$A,0)),""))</f>
        <v/>
      </c>
      <c r="J573" s="7" t="str">
        <f aca="false">IF(A573="","",IFERROR(VLOOKUP(IF(ISNUMBER(SEARCH("(",C573)),LEFT(C573,SEARCH("(",C573)-1),C573),Tipos!$A:$B,2,FALSE()),"outro"))</f>
        <v/>
      </c>
      <c r="K573" s="7" t="str">
        <f aca="false">IF(I573="","",IFERROR(INDEX('Campos Growths'!$L:$L,MATCH(H573,'Campos Growths'!$A:$A,0)),""))</f>
        <v/>
      </c>
      <c r="L573" s="7" t="str">
        <f aca="false">IF(A573="","",IF(G573="não","Sem tabela no Growths",IF(I573="","Sem campo no Growths",IF(J573=K573,"Importa direto","Ajustar tipo"))))</f>
        <v/>
      </c>
      <c r="M573" s="9"/>
    </row>
    <row r="574" customFormat="false" ht="15" hidden="false" customHeight="false" outlineLevel="0" collapsed="false">
      <c r="A574" s="7" t="str">
        <f aca="false">IF('Outro banco'!A574="","",IF(LEFT('Outro banco'!A574,1)="(","",'Outro banco'!A574))</f>
        <v/>
      </c>
      <c r="B574" s="7" t="str">
        <f aca="false">IF(A574="","",'Outro banco'!B574)</f>
        <v/>
      </c>
      <c r="C574" s="7" t="str">
        <f aca="false">IF(A574="","",'Outro banco'!C574)</f>
        <v/>
      </c>
      <c r="D574" s="7" t="str">
        <f aca="false">IF(A574="","",'Outro banco'!D574)</f>
        <v/>
      </c>
      <c r="E574" s="9"/>
      <c r="F574" s="9"/>
      <c r="G574" s="7" t="str">
        <f aca="false">IF(A574="","",IF(COUNTIF(Tabelas!$A:$A,IF(E574="",A574,E574))&gt;0,"sim","não"))</f>
        <v/>
      </c>
      <c r="H574" s="7" t="str">
        <f aca="false">IF(A574="","",IF(E574="",A574,E574)&amp;"."&amp;IF(F574="",B574,F574))</f>
        <v/>
      </c>
      <c r="I574" s="7" t="str">
        <f aca="false">IF(A574="","",IFERROR(INDEX('Campos Growths'!$F:$F,MATCH(H574,'Campos Growths'!$A:$A,0)),""))</f>
        <v/>
      </c>
      <c r="J574" s="7" t="str">
        <f aca="false">IF(A574="","",IFERROR(VLOOKUP(IF(ISNUMBER(SEARCH("(",C574)),LEFT(C574,SEARCH("(",C574)-1),C574),Tipos!$A:$B,2,FALSE()),"outro"))</f>
        <v/>
      </c>
      <c r="K574" s="7" t="str">
        <f aca="false">IF(I574="","",IFERROR(INDEX('Campos Growths'!$L:$L,MATCH(H574,'Campos Growths'!$A:$A,0)),""))</f>
        <v/>
      </c>
      <c r="L574" s="7" t="str">
        <f aca="false">IF(A574="","",IF(G574="não","Sem tabela no Growths",IF(I574="","Sem campo no Growths",IF(J574=K574,"Importa direto","Ajustar tipo"))))</f>
        <v/>
      </c>
      <c r="M574" s="9"/>
    </row>
    <row r="575" customFormat="false" ht="15" hidden="false" customHeight="false" outlineLevel="0" collapsed="false">
      <c r="A575" s="7" t="str">
        <f aca="false">IF('Outro banco'!A575="","",IF(LEFT('Outro banco'!A575,1)="(","",'Outro banco'!A575))</f>
        <v/>
      </c>
      <c r="B575" s="7" t="str">
        <f aca="false">IF(A575="","",'Outro banco'!B575)</f>
        <v/>
      </c>
      <c r="C575" s="7" t="str">
        <f aca="false">IF(A575="","",'Outro banco'!C575)</f>
        <v/>
      </c>
      <c r="D575" s="7" t="str">
        <f aca="false">IF(A575="","",'Outro banco'!D575)</f>
        <v/>
      </c>
      <c r="E575" s="9"/>
      <c r="F575" s="9"/>
      <c r="G575" s="7" t="str">
        <f aca="false">IF(A575="","",IF(COUNTIF(Tabelas!$A:$A,IF(E575="",A575,E575))&gt;0,"sim","não"))</f>
        <v/>
      </c>
      <c r="H575" s="7" t="str">
        <f aca="false">IF(A575="","",IF(E575="",A575,E575)&amp;"."&amp;IF(F575="",B575,F575))</f>
        <v/>
      </c>
      <c r="I575" s="7" t="str">
        <f aca="false">IF(A575="","",IFERROR(INDEX('Campos Growths'!$F:$F,MATCH(H575,'Campos Growths'!$A:$A,0)),""))</f>
        <v/>
      </c>
      <c r="J575" s="7" t="str">
        <f aca="false">IF(A575="","",IFERROR(VLOOKUP(IF(ISNUMBER(SEARCH("(",C575)),LEFT(C575,SEARCH("(",C575)-1),C575),Tipos!$A:$B,2,FALSE()),"outro"))</f>
        <v/>
      </c>
      <c r="K575" s="7" t="str">
        <f aca="false">IF(I575="","",IFERROR(INDEX('Campos Growths'!$L:$L,MATCH(H575,'Campos Growths'!$A:$A,0)),""))</f>
        <v/>
      </c>
      <c r="L575" s="7" t="str">
        <f aca="false">IF(A575="","",IF(G575="não","Sem tabela no Growths",IF(I575="","Sem campo no Growths",IF(J575=K575,"Importa direto","Ajustar tipo"))))</f>
        <v/>
      </c>
      <c r="M575" s="9"/>
    </row>
    <row r="576" customFormat="false" ht="15" hidden="false" customHeight="false" outlineLevel="0" collapsed="false">
      <c r="A576" s="7" t="str">
        <f aca="false">IF('Outro banco'!A576="","",IF(LEFT('Outro banco'!A576,1)="(","",'Outro banco'!A576))</f>
        <v/>
      </c>
      <c r="B576" s="7" t="str">
        <f aca="false">IF(A576="","",'Outro banco'!B576)</f>
        <v/>
      </c>
      <c r="C576" s="7" t="str">
        <f aca="false">IF(A576="","",'Outro banco'!C576)</f>
        <v/>
      </c>
      <c r="D576" s="7" t="str">
        <f aca="false">IF(A576="","",'Outro banco'!D576)</f>
        <v/>
      </c>
      <c r="E576" s="9"/>
      <c r="F576" s="9"/>
      <c r="G576" s="7" t="str">
        <f aca="false">IF(A576="","",IF(COUNTIF(Tabelas!$A:$A,IF(E576="",A576,E576))&gt;0,"sim","não"))</f>
        <v/>
      </c>
      <c r="H576" s="7" t="str">
        <f aca="false">IF(A576="","",IF(E576="",A576,E576)&amp;"."&amp;IF(F576="",B576,F576))</f>
        <v/>
      </c>
      <c r="I576" s="7" t="str">
        <f aca="false">IF(A576="","",IFERROR(INDEX('Campos Growths'!$F:$F,MATCH(H576,'Campos Growths'!$A:$A,0)),""))</f>
        <v/>
      </c>
      <c r="J576" s="7" t="str">
        <f aca="false">IF(A576="","",IFERROR(VLOOKUP(IF(ISNUMBER(SEARCH("(",C576)),LEFT(C576,SEARCH("(",C576)-1),C576),Tipos!$A:$B,2,FALSE()),"outro"))</f>
        <v/>
      </c>
      <c r="K576" s="7" t="str">
        <f aca="false">IF(I576="","",IFERROR(INDEX('Campos Growths'!$L:$L,MATCH(H576,'Campos Growths'!$A:$A,0)),""))</f>
        <v/>
      </c>
      <c r="L576" s="7" t="str">
        <f aca="false">IF(A576="","",IF(G576="não","Sem tabela no Growths",IF(I576="","Sem campo no Growths",IF(J576=K576,"Importa direto","Ajustar tipo"))))</f>
        <v/>
      </c>
      <c r="M576" s="9"/>
    </row>
    <row r="577" customFormat="false" ht="15" hidden="false" customHeight="false" outlineLevel="0" collapsed="false">
      <c r="A577" s="7" t="str">
        <f aca="false">IF('Outro banco'!A577="","",IF(LEFT('Outro banco'!A577,1)="(","",'Outro banco'!A577))</f>
        <v/>
      </c>
      <c r="B577" s="7" t="str">
        <f aca="false">IF(A577="","",'Outro banco'!B577)</f>
        <v/>
      </c>
      <c r="C577" s="7" t="str">
        <f aca="false">IF(A577="","",'Outro banco'!C577)</f>
        <v/>
      </c>
      <c r="D577" s="7" t="str">
        <f aca="false">IF(A577="","",'Outro banco'!D577)</f>
        <v/>
      </c>
      <c r="E577" s="9"/>
      <c r="F577" s="9"/>
      <c r="G577" s="7" t="str">
        <f aca="false">IF(A577="","",IF(COUNTIF(Tabelas!$A:$A,IF(E577="",A577,E577))&gt;0,"sim","não"))</f>
        <v/>
      </c>
      <c r="H577" s="7" t="str">
        <f aca="false">IF(A577="","",IF(E577="",A577,E577)&amp;"."&amp;IF(F577="",B577,F577))</f>
        <v/>
      </c>
      <c r="I577" s="7" t="str">
        <f aca="false">IF(A577="","",IFERROR(INDEX('Campos Growths'!$F:$F,MATCH(H577,'Campos Growths'!$A:$A,0)),""))</f>
        <v/>
      </c>
      <c r="J577" s="7" t="str">
        <f aca="false">IF(A577="","",IFERROR(VLOOKUP(IF(ISNUMBER(SEARCH("(",C577)),LEFT(C577,SEARCH("(",C577)-1),C577),Tipos!$A:$B,2,FALSE()),"outro"))</f>
        <v/>
      </c>
      <c r="K577" s="7" t="str">
        <f aca="false">IF(I577="","",IFERROR(INDEX('Campos Growths'!$L:$L,MATCH(H577,'Campos Growths'!$A:$A,0)),""))</f>
        <v/>
      </c>
      <c r="L577" s="7" t="str">
        <f aca="false">IF(A577="","",IF(G577="não","Sem tabela no Growths",IF(I577="","Sem campo no Growths",IF(J577=K577,"Importa direto","Ajustar tipo"))))</f>
        <v/>
      </c>
      <c r="M577" s="9"/>
    </row>
    <row r="578" customFormat="false" ht="15" hidden="false" customHeight="false" outlineLevel="0" collapsed="false">
      <c r="A578" s="7" t="str">
        <f aca="false">IF('Outro banco'!A578="","",IF(LEFT('Outro banco'!A578,1)="(","",'Outro banco'!A578))</f>
        <v/>
      </c>
      <c r="B578" s="7" t="str">
        <f aca="false">IF(A578="","",'Outro banco'!B578)</f>
        <v/>
      </c>
      <c r="C578" s="7" t="str">
        <f aca="false">IF(A578="","",'Outro banco'!C578)</f>
        <v/>
      </c>
      <c r="D578" s="7" t="str">
        <f aca="false">IF(A578="","",'Outro banco'!D578)</f>
        <v/>
      </c>
      <c r="E578" s="9"/>
      <c r="F578" s="9"/>
      <c r="G578" s="7" t="str">
        <f aca="false">IF(A578="","",IF(COUNTIF(Tabelas!$A:$A,IF(E578="",A578,E578))&gt;0,"sim","não"))</f>
        <v/>
      </c>
      <c r="H578" s="7" t="str">
        <f aca="false">IF(A578="","",IF(E578="",A578,E578)&amp;"."&amp;IF(F578="",B578,F578))</f>
        <v/>
      </c>
      <c r="I578" s="7" t="str">
        <f aca="false">IF(A578="","",IFERROR(INDEX('Campos Growths'!$F:$F,MATCH(H578,'Campos Growths'!$A:$A,0)),""))</f>
        <v/>
      </c>
      <c r="J578" s="7" t="str">
        <f aca="false">IF(A578="","",IFERROR(VLOOKUP(IF(ISNUMBER(SEARCH("(",C578)),LEFT(C578,SEARCH("(",C578)-1),C578),Tipos!$A:$B,2,FALSE()),"outro"))</f>
        <v/>
      </c>
      <c r="K578" s="7" t="str">
        <f aca="false">IF(I578="","",IFERROR(INDEX('Campos Growths'!$L:$L,MATCH(H578,'Campos Growths'!$A:$A,0)),""))</f>
        <v/>
      </c>
      <c r="L578" s="7" t="str">
        <f aca="false">IF(A578="","",IF(G578="não","Sem tabela no Growths",IF(I578="","Sem campo no Growths",IF(J578=K578,"Importa direto","Ajustar tipo"))))</f>
        <v/>
      </c>
      <c r="M578" s="9"/>
    </row>
    <row r="579" customFormat="false" ht="15" hidden="false" customHeight="false" outlineLevel="0" collapsed="false">
      <c r="A579" s="7" t="str">
        <f aca="false">IF('Outro banco'!A579="","",IF(LEFT('Outro banco'!A579,1)="(","",'Outro banco'!A579))</f>
        <v/>
      </c>
      <c r="B579" s="7" t="str">
        <f aca="false">IF(A579="","",'Outro banco'!B579)</f>
        <v/>
      </c>
      <c r="C579" s="7" t="str">
        <f aca="false">IF(A579="","",'Outro banco'!C579)</f>
        <v/>
      </c>
      <c r="D579" s="7" t="str">
        <f aca="false">IF(A579="","",'Outro banco'!D579)</f>
        <v/>
      </c>
      <c r="E579" s="9"/>
      <c r="F579" s="9"/>
      <c r="G579" s="7" t="str">
        <f aca="false">IF(A579="","",IF(COUNTIF(Tabelas!$A:$A,IF(E579="",A579,E579))&gt;0,"sim","não"))</f>
        <v/>
      </c>
      <c r="H579" s="7" t="str">
        <f aca="false">IF(A579="","",IF(E579="",A579,E579)&amp;"."&amp;IF(F579="",B579,F579))</f>
        <v/>
      </c>
      <c r="I579" s="7" t="str">
        <f aca="false">IF(A579="","",IFERROR(INDEX('Campos Growths'!$F:$F,MATCH(H579,'Campos Growths'!$A:$A,0)),""))</f>
        <v/>
      </c>
      <c r="J579" s="7" t="str">
        <f aca="false">IF(A579="","",IFERROR(VLOOKUP(IF(ISNUMBER(SEARCH("(",C579)),LEFT(C579,SEARCH("(",C579)-1),C579),Tipos!$A:$B,2,FALSE()),"outro"))</f>
        <v/>
      </c>
      <c r="K579" s="7" t="str">
        <f aca="false">IF(I579="","",IFERROR(INDEX('Campos Growths'!$L:$L,MATCH(H579,'Campos Growths'!$A:$A,0)),""))</f>
        <v/>
      </c>
      <c r="L579" s="7" t="str">
        <f aca="false">IF(A579="","",IF(G579="não","Sem tabela no Growths",IF(I579="","Sem campo no Growths",IF(J579=K579,"Importa direto","Ajustar tipo"))))</f>
        <v/>
      </c>
      <c r="M579" s="9"/>
    </row>
    <row r="580" customFormat="false" ht="15" hidden="false" customHeight="false" outlineLevel="0" collapsed="false">
      <c r="A580" s="7" t="str">
        <f aca="false">IF('Outro banco'!A580="","",IF(LEFT('Outro banco'!A580,1)="(","",'Outro banco'!A580))</f>
        <v/>
      </c>
      <c r="B580" s="7" t="str">
        <f aca="false">IF(A580="","",'Outro banco'!B580)</f>
        <v/>
      </c>
      <c r="C580" s="7" t="str">
        <f aca="false">IF(A580="","",'Outro banco'!C580)</f>
        <v/>
      </c>
      <c r="D580" s="7" t="str">
        <f aca="false">IF(A580="","",'Outro banco'!D580)</f>
        <v/>
      </c>
      <c r="E580" s="9"/>
      <c r="F580" s="9"/>
      <c r="G580" s="7" t="str">
        <f aca="false">IF(A580="","",IF(COUNTIF(Tabelas!$A:$A,IF(E580="",A580,E580))&gt;0,"sim","não"))</f>
        <v/>
      </c>
      <c r="H580" s="7" t="str">
        <f aca="false">IF(A580="","",IF(E580="",A580,E580)&amp;"."&amp;IF(F580="",B580,F580))</f>
        <v/>
      </c>
      <c r="I580" s="7" t="str">
        <f aca="false">IF(A580="","",IFERROR(INDEX('Campos Growths'!$F:$F,MATCH(H580,'Campos Growths'!$A:$A,0)),""))</f>
        <v/>
      </c>
      <c r="J580" s="7" t="str">
        <f aca="false">IF(A580="","",IFERROR(VLOOKUP(IF(ISNUMBER(SEARCH("(",C580)),LEFT(C580,SEARCH("(",C580)-1),C580),Tipos!$A:$B,2,FALSE()),"outro"))</f>
        <v/>
      </c>
      <c r="K580" s="7" t="str">
        <f aca="false">IF(I580="","",IFERROR(INDEX('Campos Growths'!$L:$L,MATCH(H580,'Campos Growths'!$A:$A,0)),""))</f>
        <v/>
      </c>
      <c r="L580" s="7" t="str">
        <f aca="false">IF(A580="","",IF(G580="não","Sem tabela no Growths",IF(I580="","Sem campo no Growths",IF(J580=K580,"Importa direto","Ajustar tipo"))))</f>
        <v/>
      </c>
      <c r="M580" s="9"/>
    </row>
    <row r="581" customFormat="false" ht="15" hidden="false" customHeight="false" outlineLevel="0" collapsed="false">
      <c r="A581" s="7" t="str">
        <f aca="false">IF('Outro banco'!A581="","",IF(LEFT('Outro banco'!A581,1)="(","",'Outro banco'!A581))</f>
        <v/>
      </c>
      <c r="B581" s="7" t="str">
        <f aca="false">IF(A581="","",'Outro banco'!B581)</f>
        <v/>
      </c>
      <c r="C581" s="7" t="str">
        <f aca="false">IF(A581="","",'Outro banco'!C581)</f>
        <v/>
      </c>
      <c r="D581" s="7" t="str">
        <f aca="false">IF(A581="","",'Outro banco'!D581)</f>
        <v/>
      </c>
      <c r="E581" s="9"/>
      <c r="F581" s="9"/>
      <c r="G581" s="7" t="str">
        <f aca="false">IF(A581="","",IF(COUNTIF(Tabelas!$A:$A,IF(E581="",A581,E581))&gt;0,"sim","não"))</f>
        <v/>
      </c>
      <c r="H581" s="7" t="str">
        <f aca="false">IF(A581="","",IF(E581="",A581,E581)&amp;"."&amp;IF(F581="",B581,F581))</f>
        <v/>
      </c>
      <c r="I581" s="7" t="str">
        <f aca="false">IF(A581="","",IFERROR(INDEX('Campos Growths'!$F:$F,MATCH(H581,'Campos Growths'!$A:$A,0)),""))</f>
        <v/>
      </c>
      <c r="J581" s="7" t="str">
        <f aca="false">IF(A581="","",IFERROR(VLOOKUP(IF(ISNUMBER(SEARCH("(",C581)),LEFT(C581,SEARCH("(",C581)-1),C581),Tipos!$A:$B,2,FALSE()),"outro"))</f>
        <v/>
      </c>
      <c r="K581" s="7" t="str">
        <f aca="false">IF(I581="","",IFERROR(INDEX('Campos Growths'!$L:$L,MATCH(H581,'Campos Growths'!$A:$A,0)),""))</f>
        <v/>
      </c>
      <c r="L581" s="7" t="str">
        <f aca="false">IF(A581="","",IF(G581="não","Sem tabela no Growths",IF(I581="","Sem campo no Growths",IF(J581=K581,"Importa direto","Ajustar tipo"))))</f>
        <v/>
      </c>
      <c r="M581" s="9"/>
    </row>
    <row r="582" customFormat="false" ht="15" hidden="false" customHeight="false" outlineLevel="0" collapsed="false">
      <c r="A582" s="7" t="str">
        <f aca="false">IF('Outro banco'!A582="","",IF(LEFT('Outro banco'!A582,1)="(","",'Outro banco'!A582))</f>
        <v/>
      </c>
      <c r="B582" s="7" t="str">
        <f aca="false">IF(A582="","",'Outro banco'!B582)</f>
        <v/>
      </c>
      <c r="C582" s="7" t="str">
        <f aca="false">IF(A582="","",'Outro banco'!C582)</f>
        <v/>
      </c>
      <c r="D582" s="7" t="str">
        <f aca="false">IF(A582="","",'Outro banco'!D582)</f>
        <v/>
      </c>
      <c r="E582" s="9"/>
      <c r="F582" s="9"/>
      <c r="G582" s="7" t="str">
        <f aca="false">IF(A582="","",IF(COUNTIF(Tabelas!$A:$A,IF(E582="",A582,E582))&gt;0,"sim","não"))</f>
        <v/>
      </c>
      <c r="H582" s="7" t="str">
        <f aca="false">IF(A582="","",IF(E582="",A582,E582)&amp;"."&amp;IF(F582="",B582,F582))</f>
        <v/>
      </c>
      <c r="I582" s="7" t="str">
        <f aca="false">IF(A582="","",IFERROR(INDEX('Campos Growths'!$F:$F,MATCH(H582,'Campos Growths'!$A:$A,0)),""))</f>
        <v/>
      </c>
      <c r="J582" s="7" t="str">
        <f aca="false">IF(A582="","",IFERROR(VLOOKUP(IF(ISNUMBER(SEARCH("(",C582)),LEFT(C582,SEARCH("(",C582)-1),C582),Tipos!$A:$B,2,FALSE()),"outro"))</f>
        <v/>
      </c>
      <c r="K582" s="7" t="str">
        <f aca="false">IF(I582="","",IFERROR(INDEX('Campos Growths'!$L:$L,MATCH(H582,'Campos Growths'!$A:$A,0)),""))</f>
        <v/>
      </c>
      <c r="L582" s="7" t="str">
        <f aca="false">IF(A582="","",IF(G582="não","Sem tabela no Growths",IF(I582="","Sem campo no Growths",IF(J582=K582,"Importa direto","Ajustar tipo"))))</f>
        <v/>
      </c>
      <c r="M582" s="9"/>
    </row>
    <row r="583" customFormat="false" ht="15" hidden="false" customHeight="false" outlineLevel="0" collapsed="false">
      <c r="A583" s="7" t="str">
        <f aca="false">IF('Outro banco'!A583="","",IF(LEFT('Outro banco'!A583,1)="(","",'Outro banco'!A583))</f>
        <v/>
      </c>
      <c r="B583" s="7" t="str">
        <f aca="false">IF(A583="","",'Outro banco'!B583)</f>
        <v/>
      </c>
      <c r="C583" s="7" t="str">
        <f aca="false">IF(A583="","",'Outro banco'!C583)</f>
        <v/>
      </c>
      <c r="D583" s="7" t="str">
        <f aca="false">IF(A583="","",'Outro banco'!D583)</f>
        <v/>
      </c>
      <c r="E583" s="9"/>
      <c r="F583" s="9"/>
      <c r="G583" s="7" t="str">
        <f aca="false">IF(A583="","",IF(COUNTIF(Tabelas!$A:$A,IF(E583="",A583,E583))&gt;0,"sim","não"))</f>
        <v/>
      </c>
      <c r="H583" s="7" t="str">
        <f aca="false">IF(A583="","",IF(E583="",A583,E583)&amp;"."&amp;IF(F583="",B583,F583))</f>
        <v/>
      </c>
      <c r="I583" s="7" t="str">
        <f aca="false">IF(A583="","",IFERROR(INDEX('Campos Growths'!$F:$F,MATCH(H583,'Campos Growths'!$A:$A,0)),""))</f>
        <v/>
      </c>
      <c r="J583" s="7" t="str">
        <f aca="false">IF(A583="","",IFERROR(VLOOKUP(IF(ISNUMBER(SEARCH("(",C583)),LEFT(C583,SEARCH("(",C583)-1),C583),Tipos!$A:$B,2,FALSE()),"outro"))</f>
        <v/>
      </c>
      <c r="K583" s="7" t="str">
        <f aca="false">IF(I583="","",IFERROR(INDEX('Campos Growths'!$L:$L,MATCH(H583,'Campos Growths'!$A:$A,0)),""))</f>
        <v/>
      </c>
      <c r="L583" s="7" t="str">
        <f aca="false">IF(A583="","",IF(G583="não","Sem tabela no Growths",IF(I583="","Sem campo no Growths",IF(J583=K583,"Importa direto","Ajustar tipo"))))</f>
        <v/>
      </c>
      <c r="M583" s="9"/>
    </row>
    <row r="584" customFormat="false" ht="15" hidden="false" customHeight="false" outlineLevel="0" collapsed="false">
      <c r="A584" s="7" t="str">
        <f aca="false">IF('Outro banco'!A584="","",IF(LEFT('Outro banco'!A584,1)="(","",'Outro banco'!A584))</f>
        <v/>
      </c>
      <c r="B584" s="7" t="str">
        <f aca="false">IF(A584="","",'Outro banco'!B584)</f>
        <v/>
      </c>
      <c r="C584" s="7" t="str">
        <f aca="false">IF(A584="","",'Outro banco'!C584)</f>
        <v/>
      </c>
      <c r="D584" s="7" t="str">
        <f aca="false">IF(A584="","",'Outro banco'!D584)</f>
        <v/>
      </c>
      <c r="E584" s="9"/>
      <c r="F584" s="9"/>
      <c r="G584" s="7" t="str">
        <f aca="false">IF(A584="","",IF(COUNTIF(Tabelas!$A:$A,IF(E584="",A584,E584))&gt;0,"sim","não"))</f>
        <v/>
      </c>
      <c r="H584" s="7" t="str">
        <f aca="false">IF(A584="","",IF(E584="",A584,E584)&amp;"."&amp;IF(F584="",B584,F584))</f>
        <v/>
      </c>
      <c r="I584" s="7" t="str">
        <f aca="false">IF(A584="","",IFERROR(INDEX('Campos Growths'!$F:$F,MATCH(H584,'Campos Growths'!$A:$A,0)),""))</f>
        <v/>
      </c>
      <c r="J584" s="7" t="str">
        <f aca="false">IF(A584="","",IFERROR(VLOOKUP(IF(ISNUMBER(SEARCH("(",C584)),LEFT(C584,SEARCH("(",C584)-1),C584),Tipos!$A:$B,2,FALSE()),"outro"))</f>
        <v/>
      </c>
      <c r="K584" s="7" t="str">
        <f aca="false">IF(I584="","",IFERROR(INDEX('Campos Growths'!$L:$L,MATCH(H584,'Campos Growths'!$A:$A,0)),""))</f>
        <v/>
      </c>
      <c r="L584" s="7" t="str">
        <f aca="false">IF(A584="","",IF(G584="não","Sem tabela no Growths",IF(I584="","Sem campo no Growths",IF(J584=K584,"Importa direto","Ajustar tipo"))))</f>
        <v/>
      </c>
      <c r="M584" s="9"/>
    </row>
    <row r="585" customFormat="false" ht="15" hidden="false" customHeight="false" outlineLevel="0" collapsed="false">
      <c r="A585" s="7" t="str">
        <f aca="false">IF('Outro banco'!A585="","",IF(LEFT('Outro banco'!A585,1)="(","",'Outro banco'!A585))</f>
        <v/>
      </c>
      <c r="B585" s="7" t="str">
        <f aca="false">IF(A585="","",'Outro banco'!B585)</f>
        <v/>
      </c>
      <c r="C585" s="7" t="str">
        <f aca="false">IF(A585="","",'Outro banco'!C585)</f>
        <v/>
      </c>
      <c r="D585" s="7" t="str">
        <f aca="false">IF(A585="","",'Outro banco'!D585)</f>
        <v/>
      </c>
      <c r="E585" s="9"/>
      <c r="F585" s="9"/>
      <c r="G585" s="7" t="str">
        <f aca="false">IF(A585="","",IF(COUNTIF(Tabelas!$A:$A,IF(E585="",A585,E585))&gt;0,"sim","não"))</f>
        <v/>
      </c>
      <c r="H585" s="7" t="str">
        <f aca="false">IF(A585="","",IF(E585="",A585,E585)&amp;"."&amp;IF(F585="",B585,F585))</f>
        <v/>
      </c>
      <c r="I585" s="7" t="str">
        <f aca="false">IF(A585="","",IFERROR(INDEX('Campos Growths'!$F:$F,MATCH(H585,'Campos Growths'!$A:$A,0)),""))</f>
        <v/>
      </c>
      <c r="J585" s="7" t="str">
        <f aca="false">IF(A585="","",IFERROR(VLOOKUP(IF(ISNUMBER(SEARCH("(",C585)),LEFT(C585,SEARCH("(",C585)-1),C585),Tipos!$A:$B,2,FALSE()),"outro"))</f>
        <v/>
      </c>
      <c r="K585" s="7" t="str">
        <f aca="false">IF(I585="","",IFERROR(INDEX('Campos Growths'!$L:$L,MATCH(H585,'Campos Growths'!$A:$A,0)),""))</f>
        <v/>
      </c>
      <c r="L585" s="7" t="str">
        <f aca="false">IF(A585="","",IF(G585="não","Sem tabela no Growths",IF(I585="","Sem campo no Growths",IF(J585=K585,"Importa direto","Ajustar tipo"))))</f>
        <v/>
      </c>
      <c r="M585" s="9"/>
    </row>
    <row r="586" customFormat="false" ht="15" hidden="false" customHeight="false" outlineLevel="0" collapsed="false">
      <c r="A586" s="7" t="str">
        <f aca="false">IF('Outro banco'!A586="","",IF(LEFT('Outro banco'!A586,1)="(","",'Outro banco'!A586))</f>
        <v/>
      </c>
      <c r="B586" s="7" t="str">
        <f aca="false">IF(A586="","",'Outro banco'!B586)</f>
        <v/>
      </c>
      <c r="C586" s="7" t="str">
        <f aca="false">IF(A586="","",'Outro banco'!C586)</f>
        <v/>
      </c>
      <c r="D586" s="7" t="str">
        <f aca="false">IF(A586="","",'Outro banco'!D586)</f>
        <v/>
      </c>
      <c r="E586" s="9"/>
      <c r="F586" s="9"/>
      <c r="G586" s="7" t="str">
        <f aca="false">IF(A586="","",IF(COUNTIF(Tabelas!$A:$A,IF(E586="",A586,E586))&gt;0,"sim","não"))</f>
        <v/>
      </c>
      <c r="H586" s="7" t="str">
        <f aca="false">IF(A586="","",IF(E586="",A586,E586)&amp;"."&amp;IF(F586="",B586,F586))</f>
        <v/>
      </c>
      <c r="I586" s="7" t="str">
        <f aca="false">IF(A586="","",IFERROR(INDEX('Campos Growths'!$F:$F,MATCH(H586,'Campos Growths'!$A:$A,0)),""))</f>
        <v/>
      </c>
      <c r="J586" s="7" t="str">
        <f aca="false">IF(A586="","",IFERROR(VLOOKUP(IF(ISNUMBER(SEARCH("(",C586)),LEFT(C586,SEARCH("(",C586)-1),C586),Tipos!$A:$B,2,FALSE()),"outro"))</f>
        <v/>
      </c>
      <c r="K586" s="7" t="str">
        <f aca="false">IF(I586="","",IFERROR(INDEX('Campos Growths'!$L:$L,MATCH(H586,'Campos Growths'!$A:$A,0)),""))</f>
        <v/>
      </c>
      <c r="L586" s="7" t="str">
        <f aca="false">IF(A586="","",IF(G586="não","Sem tabela no Growths",IF(I586="","Sem campo no Growths",IF(J586=K586,"Importa direto","Ajustar tipo"))))</f>
        <v/>
      </c>
      <c r="M586" s="9"/>
    </row>
    <row r="587" customFormat="false" ht="15" hidden="false" customHeight="false" outlineLevel="0" collapsed="false">
      <c r="A587" s="7" t="str">
        <f aca="false">IF('Outro banco'!A587="","",IF(LEFT('Outro banco'!A587,1)="(","",'Outro banco'!A587))</f>
        <v/>
      </c>
      <c r="B587" s="7" t="str">
        <f aca="false">IF(A587="","",'Outro banco'!B587)</f>
        <v/>
      </c>
      <c r="C587" s="7" t="str">
        <f aca="false">IF(A587="","",'Outro banco'!C587)</f>
        <v/>
      </c>
      <c r="D587" s="7" t="str">
        <f aca="false">IF(A587="","",'Outro banco'!D587)</f>
        <v/>
      </c>
      <c r="E587" s="9"/>
      <c r="F587" s="9"/>
      <c r="G587" s="7" t="str">
        <f aca="false">IF(A587="","",IF(COUNTIF(Tabelas!$A:$A,IF(E587="",A587,E587))&gt;0,"sim","não"))</f>
        <v/>
      </c>
      <c r="H587" s="7" t="str">
        <f aca="false">IF(A587="","",IF(E587="",A587,E587)&amp;"."&amp;IF(F587="",B587,F587))</f>
        <v/>
      </c>
      <c r="I587" s="7" t="str">
        <f aca="false">IF(A587="","",IFERROR(INDEX('Campos Growths'!$F:$F,MATCH(H587,'Campos Growths'!$A:$A,0)),""))</f>
        <v/>
      </c>
      <c r="J587" s="7" t="str">
        <f aca="false">IF(A587="","",IFERROR(VLOOKUP(IF(ISNUMBER(SEARCH("(",C587)),LEFT(C587,SEARCH("(",C587)-1),C587),Tipos!$A:$B,2,FALSE()),"outro"))</f>
        <v/>
      </c>
      <c r="K587" s="7" t="str">
        <f aca="false">IF(I587="","",IFERROR(INDEX('Campos Growths'!$L:$L,MATCH(H587,'Campos Growths'!$A:$A,0)),""))</f>
        <v/>
      </c>
      <c r="L587" s="7" t="str">
        <f aca="false">IF(A587="","",IF(G587="não","Sem tabela no Growths",IF(I587="","Sem campo no Growths",IF(J587=K587,"Importa direto","Ajustar tipo"))))</f>
        <v/>
      </c>
      <c r="M587" s="9"/>
    </row>
    <row r="588" customFormat="false" ht="15" hidden="false" customHeight="false" outlineLevel="0" collapsed="false">
      <c r="A588" s="7" t="str">
        <f aca="false">IF('Outro banco'!A588="","",IF(LEFT('Outro banco'!A588,1)="(","",'Outro banco'!A588))</f>
        <v/>
      </c>
      <c r="B588" s="7" t="str">
        <f aca="false">IF(A588="","",'Outro banco'!B588)</f>
        <v/>
      </c>
      <c r="C588" s="7" t="str">
        <f aca="false">IF(A588="","",'Outro banco'!C588)</f>
        <v/>
      </c>
      <c r="D588" s="7" t="str">
        <f aca="false">IF(A588="","",'Outro banco'!D588)</f>
        <v/>
      </c>
      <c r="E588" s="9"/>
      <c r="F588" s="9"/>
      <c r="G588" s="7" t="str">
        <f aca="false">IF(A588="","",IF(COUNTIF(Tabelas!$A:$A,IF(E588="",A588,E588))&gt;0,"sim","não"))</f>
        <v/>
      </c>
      <c r="H588" s="7" t="str">
        <f aca="false">IF(A588="","",IF(E588="",A588,E588)&amp;"."&amp;IF(F588="",B588,F588))</f>
        <v/>
      </c>
      <c r="I588" s="7" t="str">
        <f aca="false">IF(A588="","",IFERROR(INDEX('Campos Growths'!$F:$F,MATCH(H588,'Campos Growths'!$A:$A,0)),""))</f>
        <v/>
      </c>
      <c r="J588" s="7" t="str">
        <f aca="false">IF(A588="","",IFERROR(VLOOKUP(IF(ISNUMBER(SEARCH("(",C588)),LEFT(C588,SEARCH("(",C588)-1),C588),Tipos!$A:$B,2,FALSE()),"outro"))</f>
        <v/>
      </c>
      <c r="K588" s="7" t="str">
        <f aca="false">IF(I588="","",IFERROR(INDEX('Campos Growths'!$L:$L,MATCH(H588,'Campos Growths'!$A:$A,0)),""))</f>
        <v/>
      </c>
      <c r="L588" s="7" t="str">
        <f aca="false">IF(A588="","",IF(G588="não","Sem tabela no Growths",IF(I588="","Sem campo no Growths",IF(J588=K588,"Importa direto","Ajustar tipo"))))</f>
        <v/>
      </c>
      <c r="M588" s="9"/>
    </row>
    <row r="589" customFormat="false" ht="15" hidden="false" customHeight="false" outlineLevel="0" collapsed="false">
      <c r="A589" s="7" t="str">
        <f aca="false">IF('Outro banco'!A589="","",IF(LEFT('Outro banco'!A589,1)="(","",'Outro banco'!A589))</f>
        <v/>
      </c>
      <c r="B589" s="7" t="str">
        <f aca="false">IF(A589="","",'Outro banco'!B589)</f>
        <v/>
      </c>
      <c r="C589" s="7" t="str">
        <f aca="false">IF(A589="","",'Outro banco'!C589)</f>
        <v/>
      </c>
      <c r="D589" s="7" t="str">
        <f aca="false">IF(A589="","",'Outro banco'!D589)</f>
        <v/>
      </c>
      <c r="E589" s="9"/>
      <c r="F589" s="9"/>
      <c r="G589" s="7" t="str">
        <f aca="false">IF(A589="","",IF(COUNTIF(Tabelas!$A:$A,IF(E589="",A589,E589))&gt;0,"sim","não"))</f>
        <v/>
      </c>
      <c r="H589" s="7" t="str">
        <f aca="false">IF(A589="","",IF(E589="",A589,E589)&amp;"."&amp;IF(F589="",B589,F589))</f>
        <v/>
      </c>
      <c r="I589" s="7" t="str">
        <f aca="false">IF(A589="","",IFERROR(INDEX('Campos Growths'!$F:$F,MATCH(H589,'Campos Growths'!$A:$A,0)),""))</f>
        <v/>
      </c>
      <c r="J589" s="7" t="str">
        <f aca="false">IF(A589="","",IFERROR(VLOOKUP(IF(ISNUMBER(SEARCH("(",C589)),LEFT(C589,SEARCH("(",C589)-1),C589),Tipos!$A:$B,2,FALSE()),"outro"))</f>
        <v/>
      </c>
      <c r="K589" s="7" t="str">
        <f aca="false">IF(I589="","",IFERROR(INDEX('Campos Growths'!$L:$L,MATCH(H589,'Campos Growths'!$A:$A,0)),""))</f>
        <v/>
      </c>
      <c r="L589" s="7" t="str">
        <f aca="false">IF(A589="","",IF(G589="não","Sem tabela no Growths",IF(I589="","Sem campo no Growths",IF(J589=K589,"Importa direto","Ajustar tipo"))))</f>
        <v/>
      </c>
      <c r="M589" s="9"/>
    </row>
    <row r="590" customFormat="false" ht="15" hidden="false" customHeight="false" outlineLevel="0" collapsed="false">
      <c r="A590" s="7" t="str">
        <f aca="false">IF('Outro banco'!A590="","",IF(LEFT('Outro banco'!A590,1)="(","",'Outro banco'!A590))</f>
        <v/>
      </c>
      <c r="B590" s="7" t="str">
        <f aca="false">IF(A590="","",'Outro banco'!B590)</f>
        <v/>
      </c>
      <c r="C590" s="7" t="str">
        <f aca="false">IF(A590="","",'Outro banco'!C590)</f>
        <v/>
      </c>
      <c r="D590" s="7" t="str">
        <f aca="false">IF(A590="","",'Outro banco'!D590)</f>
        <v/>
      </c>
      <c r="E590" s="9"/>
      <c r="F590" s="9"/>
      <c r="G590" s="7" t="str">
        <f aca="false">IF(A590="","",IF(COUNTIF(Tabelas!$A:$A,IF(E590="",A590,E590))&gt;0,"sim","não"))</f>
        <v/>
      </c>
      <c r="H590" s="7" t="str">
        <f aca="false">IF(A590="","",IF(E590="",A590,E590)&amp;"."&amp;IF(F590="",B590,F590))</f>
        <v/>
      </c>
      <c r="I590" s="7" t="str">
        <f aca="false">IF(A590="","",IFERROR(INDEX('Campos Growths'!$F:$F,MATCH(H590,'Campos Growths'!$A:$A,0)),""))</f>
        <v/>
      </c>
      <c r="J590" s="7" t="str">
        <f aca="false">IF(A590="","",IFERROR(VLOOKUP(IF(ISNUMBER(SEARCH("(",C590)),LEFT(C590,SEARCH("(",C590)-1),C590),Tipos!$A:$B,2,FALSE()),"outro"))</f>
        <v/>
      </c>
      <c r="K590" s="7" t="str">
        <f aca="false">IF(I590="","",IFERROR(INDEX('Campos Growths'!$L:$L,MATCH(H590,'Campos Growths'!$A:$A,0)),""))</f>
        <v/>
      </c>
      <c r="L590" s="7" t="str">
        <f aca="false">IF(A590="","",IF(G590="não","Sem tabela no Growths",IF(I590="","Sem campo no Growths",IF(J590=K590,"Importa direto","Ajustar tipo"))))</f>
        <v/>
      </c>
      <c r="M590" s="9"/>
    </row>
    <row r="591" customFormat="false" ht="15" hidden="false" customHeight="false" outlineLevel="0" collapsed="false">
      <c r="A591" s="7" t="str">
        <f aca="false">IF('Outro banco'!A591="","",IF(LEFT('Outro banco'!A591,1)="(","",'Outro banco'!A591))</f>
        <v/>
      </c>
      <c r="B591" s="7" t="str">
        <f aca="false">IF(A591="","",'Outro banco'!B591)</f>
        <v/>
      </c>
      <c r="C591" s="7" t="str">
        <f aca="false">IF(A591="","",'Outro banco'!C591)</f>
        <v/>
      </c>
      <c r="D591" s="7" t="str">
        <f aca="false">IF(A591="","",'Outro banco'!D591)</f>
        <v/>
      </c>
      <c r="E591" s="9"/>
      <c r="F591" s="9"/>
      <c r="G591" s="7" t="str">
        <f aca="false">IF(A591="","",IF(COUNTIF(Tabelas!$A:$A,IF(E591="",A591,E591))&gt;0,"sim","não"))</f>
        <v/>
      </c>
      <c r="H591" s="7" t="str">
        <f aca="false">IF(A591="","",IF(E591="",A591,E591)&amp;"."&amp;IF(F591="",B591,F591))</f>
        <v/>
      </c>
      <c r="I591" s="7" t="str">
        <f aca="false">IF(A591="","",IFERROR(INDEX('Campos Growths'!$F:$F,MATCH(H591,'Campos Growths'!$A:$A,0)),""))</f>
        <v/>
      </c>
      <c r="J591" s="7" t="str">
        <f aca="false">IF(A591="","",IFERROR(VLOOKUP(IF(ISNUMBER(SEARCH("(",C591)),LEFT(C591,SEARCH("(",C591)-1),C591),Tipos!$A:$B,2,FALSE()),"outro"))</f>
        <v/>
      </c>
      <c r="K591" s="7" t="str">
        <f aca="false">IF(I591="","",IFERROR(INDEX('Campos Growths'!$L:$L,MATCH(H591,'Campos Growths'!$A:$A,0)),""))</f>
        <v/>
      </c>
      <c r="L591" s="7" t="str">
        <f aca="false">IF(A591="","",IF(G591="não","Sem tabela no Growths",IF(I591="","Sem campo no Growths",IF(J591=K591,"Importa direto","Ajustar tipo"))))</f>
        <v/>
      </c>
      <c r="M591" s="9"/>
    </row>
    <row r="592" customFormat="false" ht="15" hidden="false" customHeight="false" outlineLevel="0" collapsed="false">
      <c r="A592" s="7" t="str">
        <f aca="false">IF('Outro banco'!A592="","",IF(LEFT('Outro banco'!A592,1)="(","",'Outro banco'!A592))</f>
        <v/>
      </c>
      <c r="B592" s="7" t="str">
        <f aca="false">IF(A592="","",'Outro banco'!B592)</f>
        <v/>
      </c>
      <c r="C592" s="7" t="str">
        <f aca="false">IF(A592="","",'Outro banco'!C592)</f>
        <v/>
      </c>
      <c r="D592" s="7" t="str">
        <f aca="false">IF(A592="","",'Outro banco'!D592)</f>
        <v/>
      </c>
      <c r="E592" s="9"/>
      <c r="F592" s="9"/>
      <c r="G592" s="7" t="str">
        <f aca="false">IF(A592="","",IF(COUNTIF(Tabelas!$A:$A,IF(E592="",A592,E592))&gt;0,"sim","não"))</f>
        <v/>
      </c>
      <c r="H592" s="7" t="str">
        <f aca="false">IF(A592="","",IF(E592="",A592,E592)&amp;"."&amp;IF(F592="",B592,F592))</f>
        <v/>
      </c>
      <c r="I592" s="7" t="str">
        <f aca="false">IF(A592="","",IFERROR(INDEX('Campos Growths'!$F:$F,MATCH(H592,'Campos Growths'!$A:$A,0)),""))</f>
        <v/>
      </c>
      <c r="J592" s="7" t="str">
        <f aca="false">IF(A592="","",IFERROR(VLOOKUP(IF(ISNUMBER(SEARCH("(",C592)),LEFT(C592,SEARCH("(",C592)-1),C592),Tipos!$A:$B,2,FALSE()),"outro"))</f>
        <v/>
      </c>
      <c r="K592" s="7" t="str">
        <f aca="false">IF(I592="","",IFERROR(INDEX('Campos Growths'!$L:$L,MATCH(H592,'Campos Growths'!$A:$A,0)),""))</f>
        <v/>
      </c>
      <c r="L592" s="7" t="str">
        <f aca="false">IF(A592="","",IF(G592="não","Sem tabela no Growths",IF(I592="","Sem campo no Growths",IF(J592=K592,"Importa direto","Ajustar tipo"))))</f>
        <v/>
      </c>
      <c r="M592" s="9"/>
    </row>
    <row r="593" customFormat="false" ht="15" hidden="false" customHeight="false" outlineLevel="0" collapsed="false">
      <c r="A593" s="7" t="str">
        <f aca="false">IF('Outro banco'!A593="","",IF(LEFT('Outro banco'!A593,1)="(","",'Outro banco'!A593))</f>
        <v/>
      </c>
      <c r="B593" s="7" t="str">
        <f aca="false">IF(A593="","",'Outro banco'!B593)</f>
        <v/>
      </c>
      <c r="C593" s="7" t="str">
        <f aca="false">IF(A593="","",'Outro banco'!C593)</f>
        <v/>
      </c>
      <c r="D593" s="7" t="str">
        <f aca="false">IF(A593="","",'Outro banco'!D593)</f>
        <v/>
      </c>
      <c r="E593" s="9"/>
      <c r="F593" s="9"/>
      <c r="G593" s="7" t="str">
        <f aca="false">IF(A593="","",IF(COUNTIF(Tabelas!$A:$A,IF(E593="",A593,E593))&gt;0,"sim","não"))</f>
        <v/>
      </c>
      <c r="H593" s="7" t="str">
        <f aca="false">IF(A593="","",IF(E593="",A593,E593)&amp;"."&amp;IF(F593="",B593,F593))</f>
        <v/>
      </c>
      <c r="I593" s="7" t="str">
        <f aca="false">IF(A593="","",IFERROR(INDEX('Campos Growths'!$F:$F,MATCH(H593,'Campos Growths'!$A:$A,0)),""))</f>
        <v/>
      </c>
      <c r="J593" s="7" t="str">
        <f aca="false">IF(A593="","",IFERROR(VLOOKUP(IF(ISNUMBER(SEARCH("(",C593)),LEFT(C593,SEARCH("(",C593)-1),C593),Tipos!$A:$B,2,FALSE()),"outro"))</f>
        <v/>
      </c>
      <c r="K593" s="7" t="str">
        <f aca="false">IF(I593="","",IFERROR(INDEX('Campos Growths'!$L:$L,MATCH(H593,'Campos Growths'!$A:$A,0)),""))</f>
        <v/>
      </c>
      <c r="L593" s="7" t="str">
        <f aca="false">IF(A593="","",IF(G593="não","Sem tabela no Growths",IF(I593="","Sem campo no Growths",IF(J593=K593,"Importa direto","Ajustar tipo"))))</f>
        <v/>
      </c>
      <c r="M593" s="9"/>
    </row>
    <row r="594" customFormat="false" ht="15" hidden="false" customHeight="false" outlineLevel="0" collapsed="false">
      <c r="A594" s="7" t="str">
        <f aca="false">IF('Outro banco'!A594="","",IF(LEFT('Outro banco'!A594,1)="(","",'Outro banco'!A594))</f>
        <v/>
      </c>
      <c r="B594" s="7" t="str">
        <f aca="false">IF(A594="","",'Outro banco'!B594)</f>
        <v/>
      </c>
      <c r="C594" s="7" t="str">
        <f aca="false">IF(A594="","",'Outro banco'!C594)</f>
        <v/>
      </c>
      <c r="D594" s="7" t="str">
        <f aca="false">IF(A594="","",'Outro banco'!D594)</f>
        <v/>
      </c>
      <c r="E594" s="9"/>
      <c r="F594" s="9"/>
      <c r="G594" s="7" t="str">
        <f aca="false">IF(A594="","",IF(COUNTIF(Tabelas!$A:$A,IF(E594="",A594,E594))&gt;0,"sim","não"))</f>
        <v/>
      </c>
      <c r="H594" s="7" t="str">
        <f aca="false">IF(A594="","",IF(E594="",A594,E594)&amp;"."&amp;IF(F594="",B594,F594))</f>
        <v/>
      </c>
      <c r="I594" s="7" t="str">
        <f aca="false">IF(A594="","",IFERROR(INDEX('Campos Growths'!$F:$F,MATCH(H594,'Campos Growths'!$A:$A,0)),""))</f>
        <v/>
      </c>
      <c r="J594" s="7" t="str">
        <f aca="false">IF(A594="","",IFERROR(VLOOKUP(IF(ISNUMBER(SEARCH("(",C594)),LEFT(C594,SEARCH("(",C594)-1),C594),Tipos!$A:$B,2,FALSE()),"outro"))</f>
        <v/>
      </c>
      <c r="K594" s="7" t="str">
        <f aca="false">IF(I594="","",IFERROR(INDEX('Campos Growths'!$L:$L,MATCH(H594,'Campos Growths'!$A:$A,0)),""))</f>
        <v/>
      </c>
      <c r="L594" s="7" t="str">
        <f aca="false">IF(A594="","",IF(G594="não","Sem tabela no Growths",IF(I594="","Sem campo no Growths",IF(J594=K594,"Importa direto","Ajustar tipo"))))</f>
        <v/>
      </c>
      <c r="M594" s="9"/>
    </row>
    <row r="595" customFormat="false" ht="15" hidden="false" customHeight="false" outlineLevel="0" collapsed="false">
      <c r="A595" s="7" t="str">
        <f aca="false">IF('Outro banco'!A595="","",IF(LEFT('Outro banco'!A595,1)="(","",'Outro banco'!A595))</f>
        <v/>
      </c>
      <c r="B595" s="7" t="str">
        <f aca="false">IF(A595="","",'Outro banco'!B595)</f>
        <v/>
      </c>
      <c r="C595" s="7" t="str">
        <f aca="false">IF(A595="","",'Outro banco'!C595)</f>
        <v/>
      </c>
      <c r="D595" s="7" t="str">
        <f aca="false">IF(A595="","",'Outro banco'!D595)</f>
        <v/>
      </c>
      <c r="E595" s="9"/>
      <c r="F595" s="9"/>
      <c r="G595" s="7" t="str">
        <f aca="false">IF(A595="","",IF(COUNTIF(Tabelas!$A:$A,IF(E595="",A595,E595))&gt;0,"sim","não"))</f>
        <v/>
      </c>
      <c r="H595" s="7" t="str">
        <f aca="false">IF(A595="","",IF(E595="",A595,E595)&amp;"."&amp;IF(F595="",B595,F595))</f>
        <v/>
      </c>
      <c r="I595" s="7" t="str">
        <f aca="false">IF(A595="","",IFERROR(INDEX('Campos Growths'!$F:$F,MATCH(H595,'Campos Growths'!$A:$A,0)),""))</f>
        <v/>
      </c>
      <c r="J595" s="7" t="str">
        <f aca="false">IF(A595="","",IFERROR(VLOOKUP(IF(ISNUMBER(SEARCH("(",C595)),LEFT(C595,SEARCH("(",C595)-1),C595),Tipos!$A:$B,2,FALSE()),"outro"))</f>
        <v/>
      </c>
      <c r="K595" s="7" t="str">
        <f aca="false">IF(I595="","",IFERROR(INDEX('Campos Growths'!$L:$L,MATCH(H595,'Campos Growths'!$A:$A,0)),""))</f>
        <v/>
      </c>
      <c r="L595" s="7" t="str">
        <f aca="false">IF(A595="","",IF(G595="não","Sem tabela no Growths",IF(I595="","Sem campo no Growths",IF(J595=K595,"Importa direto","Ajustar tipo"))))</f>
        <v/>
      </c>
      <c r="M595" s="9"/>
    </row>
    <row r="596" customFormat="false" ht="15" hidden="false" customHeight="false" outlineLevel="0" collapsed="false">
      <c r="A596" s="7" t="str">
        <f aca="false">IF('Outro banco'!A596="","",IF(LEFT('Outro banco'!A596,1)="(","",'Outro banco'!A596))</f>
        <v/>
      </c>
      <c r="B596" s="7" t="str">
        <f aca="false">IF(A596="","",'Outro banco'!B596)</f>
        <v/>
      </c>
      <c r="C596" s="7" t="str">
        <f aca="false">IF(A596="","",'Outro banco'!C596)</f>
        <v/>
      </c>
      <c r="D596" s="7" t="str">
        <f aca="false">IF(A596="","",'Outro banco'!D596)</f>
        <v/>
      </c>
      <c r="E596" s="9"/>
      <c r="F596" s="9"/>
      <c r="G596" s="7" t="str">
        <f aca="false">IF(A596="","",IF(COUNTIF(Tabelas!$A:$A,IF(E596="",A596,E596))&gt;0,"sim","não"))</f>
        <v/>
      </c>
      <c r="H596" s="7" t="str">
        <f aca="false">IF(A596="","",IF(E596="",A596,E596)&amp;"."&amp;IF(F596="",B596,F596))</f>
        <v/>
      </c>
      <c r="I596" s="7" t="str">
        <f aca="false">IF(A596="","",IFERROR(INDEX('Campos Growths'!$F:$F,MATCH(H596,'Campos Growths'!$A:$A,0)),""))</f>
        <v/>
      </c>
      <c r="J596" s="7" t="str">
        <f aca="false">IF(A596="","",IFERROR(VLOOKUP(IF(ISNUMBER(SEARCH("(",C596)),LEFT(C596,SEARCH("(",C596)-1),C596),Tipos!$A:$B,2,FALSE()),"outro"))</f>
        <v/>
      </c>
      <c r="K596" s="7" t="str">
        <f aca="false">IF(I596="","",IFERROR(INDEX('Campos Growths'!$L:$L,MATCH(H596,'Campos Growths'!$A:$A,0)),""))</f>
        <v/>
      </c>
      <c r="L596" s="7" t="str">
        <f aca="false">IF(A596="","",IF(G596="não","Sem tabela no Growths",IF(I596="","Sem campo no Growths",IF(J596=K596,"Importa direto","Ajustar tipo"))))</f>
        <v/>
      </c>
      <c r="M596" s="9"/>
    </row>
    <row r="597" customFormat="false" ht="15" hidden="false" customHeight="false" outlineLevel="0" collapsed="false">
      <c r="A597" s="7" t="str">
        <f aca="false">IF('Outro banco'!A597="","",IF(LEFT('Outro banco'!A597,1)="(","",'Outro banco'!A597))</f>
        <v/>
      </c>
      <c r="B597" s="7" t="str">
        <f aca="false">IF(A597="","",'Outro banco'!B597)</f>
        <v/>
      </c>
      <c r="C597" s="7" t="str">
        <f aca="false">IF(A597="","",'Outro banco'!C597)</f>
        <v/>
      </c>
      <c r="D597" s="7" t="str">
        <f aca="false">IF(A597="","",'Outro banco'!D597)</f>
        <v/>
      </c>
      <c r="E597" s="9"/>
      <c r="F597" s="9"/>
      <c r="G597" s="7" t="str">
        <f aca="false">IF(A597="","",IF(COUNTIF(Tabelas!$A:$A,IF(E597="",A597,E597))&gt;0,"sim","não"))</f>
        <v/>
      </c>
      <c r="H597" s="7" t="str">
        <f aca="false">IF(A597="","",IF(E597="",A597,E597)&amp;"."&amp;IF(F597="",B597,F597))</f>
        <v/>
      </c>
      <c r="I597" s="7" t="str">
        <f aca="false">IF(A597="","",IFERROR(INDEX('Campos Growths'!$F:$F,MATCH(H597,'Campos Growths'!$A:$A,0)),""))</f>
        <v/>
      </c>
      <c r="J597" s="7" t="str">
        <f aca="false">IF(A597="","",IFERROR(VLOOKUP(IF(ISNUMBER(SEARCH("(",C597)),LEFT(C597,SEARCH("(",C597)-1),C597),Tipos!$A:$B,2,FALSE()),"outro"))</f>
        <v/>
      </c>
      <c r="K597" s="7" t="str">
        <f aca="false">IF(I597="","",IFERROR(INDEX('Campos Growths'!$L:$L,MATCH(H597,'Campos Growths'!$A:$A,0)),""))</f>
        <v/>
      </c>
      <c r="L597" s="7" t="str">
        <f aca="false">IF(A597="","",IF(G597="não","Sem tabela no Growths",IF(I597="","Sem campo no Growths",IF(J597=K597,"Importa direto","Ajustar tipo"))))</f>
        <v/>
      </c>
      <c r="M597" s="9"/>
    </row>
    <row r="598" customFormat="false" ht="15" hidden="false" customHeight="false" outlineLevel="0" collapsed="false">
      <c r="A598" s="7" t="str">
        <f aca="false">IF('Outro banco'!A598="","",IF(LEFT('Outro banco'!A598,1)="(","",'Outro banco'!A598))</f>
        <v/>
      </c>
      <c r="B598" s="7" t="str">
        <f aca="false">IF(A598="","",'Outro banco'!B598)</f>
        <v/>
      </c>
      <c r="C598" s="7" t="str">
        <f aca="false">IF(A598="","",'Outro banco'!C598)</f>
        <v/>
      </c>
      <c r="D598" s="7" t="str">
        <f aca="false">IF(A598="","",'Outro banco'!D598)</f>
        <v/>
      </c>
      <c r="E598" s="9"/>
      <c r="F598" s="9"/>
      <c r="G598" s="7" t="str">
        <f aca="false">IF(A598="","",IF(COUNTIF(Tabelas!$A:$A,IF(E598="",A598,E598))&gt;0,"sim","não"))</f>
        <v/>
      </c>
      <c r="H598" s="7" t="str">
        <f aca="false">IF(A598="","",IF(E598="",A598,E598)&amp;"."&amp;IF(F598="",B598,F598))</f>
        <v/>
      </c>
      <c r="I598" s="7" t="str">
        <f aca="false">IF(A598="","",IFERROR(INDEX('Campos Growths'!$F:$F,MATCH(H598,'Campos Growths'!$A:$A,0)),""))</f>
        <v/>
      </c>
      <c r="J598" s="7" t="str">
        <f aca="false">IF(A598="","",IFERROR(VLOOKUP(IF(ISNUMBER(SEARCH("(",C598)),LEFT(C598,SEARCH("(",C598)-1),C598),Tipos!$A:$B,2,FALSE()),"outro"))</f>
        <v/>
      </c>
      <c r="K598" s="7" t="str">
        <f aca="false">IF(I598="","",IFERROR(INDEX('Campos Growths'!$L:$L,MATCH(H598,'Campos Growths'!$A:$A,0)),""))</f>
        <v/>
      </c>
      <c r="L598" s="7" t="str">
        <f aca="false">IF(A598="","",IF(G598="não","Sem tabela no Growths",IF(I598="","Sem campo no Growths",IF(J598=K598,"Importa direto","Ajustar tipo"))))</f>
        <v/>
      </c>
      <c r="M598" s="9"/>
    </row>
    <row r="599" customFormat="false" ht="15" hidden="false" customHeight="false" outlineLevel="0" collapsed="false">
      <c r="A599" s="7" t="str">
        <f aca="false">IF('Outro banco'!A599="","",IF(LEFT('Outro banco'!A599,1)="(","",'Outro banco'!A599))</f>
        <v/>
      </c>
      <c r="B599" s="7" t="str">
        <f aca="false">IF(A599="","",'Outro banco'!B599)</f>
        <v/>
      </c>
      <c r="C599" s="7" t="str">
        <f aca="false">IF(A599="","",'Outro banco'!C599)</f>
        <v/>
      </c>
      <c r="D599" s="7" t="str">
        <f aca="false">IF(A599="","",'Outro banco'!D599)</f>
        <v/>
      </c>
      <c r="E599" s="9"/>
      <c r="F599" s="9"/>
      <c r="G599" s="7" t="str">
        <f aca="false">IF(A599="","",IF(COUNTIF(Tabelas!$A:$A,IF(E599="",A599,E599))&gt;0,"sim","não"))</f>
        <v/>
      </c>
      <c r="H599" s="7" t="str">
        <f aca="false">IF(A599="","",IF(E599="",A599,E599)&amp;"."&amp;IF(F599="",B599,F599))</f>
        <v/>
      </c>
      <c r="I599" s="7" t="str">
        <f aca="false">IF(A599="","",IFERROR(INDEX('Campos Growths'!$F:$F,MATCH(H599,'Campos Growths'!$A:$A,0)),""))</f>
        <v/>
      </c>
      <c r="J599" s="7" t="str">
        <f aca="false">IF(A599="","",IFERROR(VLOOKUP(IF(ISNUMBER(SEARCH("(",C599)),LEFT(C599,SEARCH("(",C599)-1),C599),Tipos!$A:$B,2,FALSE()),"outro"))</f>
        <v/>
      </c>
      <c r="K599" s="7" t="str">
        <f aca="false">IF(I599="","",IFERROR(INDEX('Campos Growths'!$L:$L,MATCH(H599,'Campos Growths'!$A:$A,0)),""))</f>
        <v/>
      </c>
      <c r="L599" s="7" t="str">
        <f aca="false">IF(A599="","",IF(G599="não","Sem tabela no Growths",IF(I599="","Sem campo no Growths",IF(J599=K599,"Importa direto","Ajustar tipo"))))</f>
        <v/>
      </c>
      <c r="M599" s="9"/>
    </row>
    <row r="600" customFormat="false" ht="15" hidden="false" customHeight="false" outlineLevel="0" collapsed="false">
      <c r="A600" s="7" t="str">
        <f aca="false">IF('Outro banco'!A600="","",IF(LEFT('Outro banco'!A600,1)="(","",'Outro banco'!A600))</f>
        <v/>
      </c>
      <c r="B600" s="7" t="str">
        <f aca="false">IF(A600="","",'Outro banco'!B600)</f>
        <v/>
      </c>
      <c r="C600" s="7" t="str">
        <f aca="false">IF(A600="","",'Outro banco'!C600)</f>
        <v/>
      </c>
      <c r="D600" s="7" t="str">
        <f aca="false">IF(A600="","",'Outro banco'!D600)</f>
        <v/>
      </c>
      <c r="E600" s="9"/>
      <c r="F600" s="9"/>
      <c r="G600" s="7" t="str">
        <f aca="false">IF(A600="","",IF(COUNTIF(Tabelas!$A:$A,IF(E600="",A600,E600))&gt;0,"sim","não"))</f>
        <v/>
      </c>
      <c r="H600" s="7" t="str">
        <f aca="false">IF(A600="","",IF(E600="",A600,E600)&amp;"."&amp;IF(F600="",B600,F600))</f>
        <v/>
      </c>
      <c r="I600" s="7" t="str">
        <f aca="false">IF(A600="","",IFERROR(INDEX('Campos Growths'!$F:$F,MATCH(H600,'Campos Growths'!$A:$A,0)),""))</f>
        <v/>
      </c>
      <c r="J600" s="7" t="str">
        <f aca="false">IF(A600="","",IFERROR(VLOOKUP(IF(ISNUMBER(SEARCH("(",C600)),LEFT(C600,SEARCH("(",C600)-1),C600),Tipos!$A:$B,2,FALSE()),"outro"))</f>
        <v/>
      </c>
      <c r="K600" s="7" t="str">
        <f aca="false">IF(I600="","",IFERROR(INDEX('Campos Growths'!$L:$L,MATCH(H600,'Campos Growths'!$A:$A,0)),""))</f>
        <v/>
      </c>
      <c r="L600" s="7" t="str">
        <f aca="false">IF(A600="","",IF(G600="não","Sem tabela no Growths",IF(I600="","Sem campo no Growths",IF(J600=K600,"Importa direto","Ajustar tipo"))))</f>
        <v/>
      </c>
      <c r="M600" s="9"/>
    </row>
    <row r="601" customFormat="false" ht="15" hidden="false" customHeight="false" outlineLevel="0" collapsed="false">
      <c r="A601" s="7" t="str">
        <f aca="false">IF('Outro banco'!A601="","",IF(LEFT('Outro banco'!A601,1)="(","",'Outro banco'!A601))</f>
        <v/>
      </c>
      <c r="B601" s="7" t="str">
        <f aca="false">IF(A601="","",'Outro banco'!B601)</f>
        <v/>
      </c>
      <c r="C601" s="7" t="str">
        <f aca="false">IF(A601="","",'Outro banco'!C601)</f>
        <v/>
      </c>
      <c r="D601" s="7" t="str">
        <f aca="false">IF(A601="","",'Outro banco'!D601)</f>
        <v/>
      </c>
      <c r="E601" s="9"/>
      <c r="F601" s="9"/>
      <c r="G601" s="7" t="str">
        <f aca="false">IF(A601="","",IF(COUNTIF(Tabelas!$A:$A,IF(E601="",A601,E601))&gt;0,"sim","não"))</f>
        <v/>
      </c>
      <c r="H601" s="7" t="str">
        <f aca="false">IF(A601="","",IF(E601="",A601,E601)&amp;"."&amp;IF(F601="",B601,F601))</f>
        <v/>
      </c>
      <c r="I601" s="7" t="str">
        <f aca="false">IF(A601="","",IFERROR(INDEX('Campos Growths'!$F:$F,MATCH(H601,'Campos Growths'!$A:$A,0)),""))</f>
        <v/>
      </c>
      <c r="J601" s="7" t="str">
        <f aca="false">IF(A601="","",IFERROR(VLOOKUP(IF(ISNUMBER(SEARCH("(",C601)),LEFT(C601,SEARCH("(",C601)-1),C601),Tipos!$A:$B,2,FALSE()),"outro"))</f>
        <v/>
      </c>
      <c r="K601" s="7" t="str">
        <f aca="false">IF(I601="","",IFERROR(INDEX('Campos Growths'!$L:$L,MATCH(H601,'Campos Growths'!$A:$A,0)),""))</f>
        <v/>
      </c>
      <c r="L601" s="7" t="str">
        <f aca="false">IF(A601="","",IF(G601="não","Sem tabela no Growths",IF(I601="","Sem campo no Growths",IF(J601=K601,"Importa direto","Ajustar tipo"))))</f>
        <v/>
      </c>
      <c r="M601" s="9"/>
    </row>
    <row r="602" customFormat="false" ht="15" hidden="false" customHeight="false" outlineLevel="0" collapsed="false">
      <c r="A602" s="7" t="str">
        <f aca="false">IF('Outro banco'!A602="","",IF(LEFT('Outro banco'!A602,1)="(","",'Outro banco'!A602))</f>
        <v/>
      </c>
      <c r="B602" s="7" t="str">
        <f aca="false">IF(A602="","",'Outro banco'!B602)</f>
        <v/>
      </c>
      <c r="C602" s="7" t="str">
        <f aca="false">IF(A602="","",'Outro banco'!C602)</f>
        <v/>
      </c>
      <c r="D602" s="7" t="str">
        <f aca="false">IF(A602="","",'Outro banco'!D602)</f>
        <v/>
      </c>
      <c r="E602" s="9"/>
      <c r="F602" s="9"/>
      <c r="G602" s="7" t="str">
        <f aca="false">IF(A602="","",IF(COUNTIF(Tabelas!$A:$A,IF(E602="",A602,E602))&gt;0,"sim","não"))</f>
        <v/>
      </c>
      <c r="H602" s="7" t="str">
        <f aca="false">IF(A602="","",IF(E602="",A602,E602)&amp;"."&amp;IF(F602="",B602,F602))</f>
        <v/>
      </c>
      <c r="I602" s="7" t="str">
        <f aca="false">IF(A602="","",IFERROR(INDEX('Campos Growths'!$F:$F,MATCH(H602,'Campos Growths'!$A:$A,0)),""))</f>
        <v/>
      </c>
      <c r="J602" s="7" t="str">
        <f aca="false">IF(A602="","",IFERROR(VLOOKUP(IF(ISNUMBER(SEARCH("(",C602)),LEFT(C602,SEARCH("(",C602)-1),C602),Tipos!$A:$B,2,FALSE()),"outro"))</f>
        <v/>
      </c>
      <c r="K602" s="7" t="str">
        <f aca="false">IF(I602="","",IFERROR(INDEX('Campos Growths'!$L:$L,MATCH(H602,'Campos Growths'!$A:$A,0)),""))</f>
        <v/>
      </c>
      <c r="L602" s="7" t="str">
        <f aca="false">IF(A602="","",IF(G602="não","Sem tabela no Growths",IF(I602="","Sem campo no Growths",IF(J602=K602,"Importa direto","Ajustar tipo"))))</f>
        <v/>
      </c>
      <c r="M602" s="9"/>
    </row>
    <row r="603" customFormat="false" ht="15" hidden="false" customHeight="false" outlineLevel="0" collapsed="false">
      <c r="A603" s="7" t="str">
        <f aca="false">IF('Outro banco'!A603="","",IF(LEFT('Outro banco'!A603,1)="(","",'Outro banco'!A603))</f>
        <v/>
      </c>
      <c r="B603" s="7" t="str">
        <f aca="false">IF(A603="","",'Outro banco'!B603)</f>
        <v/>
      </c>
      <c r="C603" s="7" t="str">
        <f aca="false">IF(A603="","",'Outro banco'!C603)</f>
        <v/>
      </c>
      <c r="D603" s="7" t="str">
        <f aca="false">IF(A603="","",'Outro banco'!D603)</f>
        <v/>
      </c>
      <c r="E603" s="9"/>
      <c r="F603" s="9"/>
      <c r="G603" s="7" t="str">
        <f aca="false">IF(A603="","",IF(COUNTIF(Tabelas!$A:$A,IF(E603="",A603,E603))&gt;0,"sim","não"))</f>
        <v/>
      </c>
      <c r="H603" s="7" t="str">
        <f aca="false">IF(A603="","",IF(E603="",A603,E603)&amp;"."&amp;IF(F603="",B603,F603))</f>
        <v/>
      </c>
      <c r="I603" s="7" t="str">
        <f aca="false">IF(A603="","",IFERROR(INDEX('Campos Growths'!$F:$F,MATCH(H603,'Campos Growths'!$A:$A,0)),""))</f>
        <v/>
      </c>
      <c r="J603" s="7" t="str">
        <f aca="false">IF(A603="","",IFERROR(VLOOKUP(IF(ISNUMBER(SEARCH("(",C603)),LEFT(C603,SEARCH("(",C603)-1),C603),Tipos!$A:$B,2,FALSE()),"outro"))</f>
        <v/>
      </c>
      <c r="K603" s="7" t="str">
        <f aca="false">IF(I603="","",IFERROR(INDEX('Campos Growths'!$L:$L,MATCH(H603,'Campos Growths'!$A:$A,0)),""))</f>
        <v/>
      </c>
      <c r="L603" s="7" t="str">
        <f aca="false">IF(A603="","",IF(G603="não","Sem tabela no Growths",IF(I603="","Sem campo no Growths",IF(J603=K603,"Importa direto","Ajustar tipo"))))</f>
        <v/>
      </c>
      <c r="M603" s="9"/>
    </row>
    <row r="604" customFormat="false" ht="15" hidden="false" customHeight="false" outlineLevel="0" collapsed="false">
      <c r="A604" s="7" t="str">
        <f aca="false">IF('Outro banco'!A604="","",IF(LEFT('Outro banco'!A604,1)="(","",'Outro banco'!A604))</f>
        <v/>
      </c>
      <c r="B604" s="7" t="str">
        <f aca="false">IF(A604="","",'Outro banco'!B604)</f>
        <v/>
      </c>
      <c r="C604" s="7" t="str">
        <f aca="false">IF(A604="","",'Outro banco'!C604)</f>
        <v/>
      </c>
      <c r="D604" s="7" t="str">
        <f aca="false">IF(A604="","",'Outro banco'!D604)</f>
        <v/>
      </c>
      <c r="E604" s="9"/>
      <c r="F604" s="9"/>
      <c r="G604" s="7" t="str">
        <f aca="false">IF(A604="","",IF(COUNTIF(Tabelas!$A:$A,IF(E604="",A604,E604))&gt;0,"sim","não"))</f>
        <v/>
      </c>
      <c r="H604" s="7" t="str">
        <f aca="false">IF(A604="","",IF(E604="",A604,E604)&amp;"."&amp;IF(F604="",B604,F604))</f>
        <v/>
      </c>
      <c r="I604" s="7" t="str">
        <f aca="false">IF(A604="","",IFERROR(INDEX('Campos Growths'!$F:$F,MATCH(H604,'Campos Growths'!$A:$A,0)),""))</f>
        <v/>
      </c>
      <c r="J604" s="7" t="str">
        <f aca="false">IF(A604="","",IFERROR(VLOOKUP(IF(ISNUMBER(SEARCH("(",C604)),LEFT(C604,SEARCH("(",C604)-1),C604),Tipos!$A:$B,2,FALSE()),"outro"))</f>
        <v/>
      </c>
      <c r="K604" s="7" t="str">
        <f aca="false">IF(I604="","",IFERROR(INDEX('Campos Growths'!$L:$L,MATCH(H604,'Campos Growths'!$A:$A,0)),""))</f>
        <v/>
      </c>
      <c r="L604" s="7" t="str">
        <f aca="false">IF(A604="","",IF(G604="não","Sem tabela no Growths",IF(I604="","Sem campo no Growths",IF(J604=K604,"Importa direto","Ajustar tipo"))))</f>
        <v/>
      </c>
      <c r="M604" s="9"/>
    </row>
    <row r="605" customFormat="false" ht="15" hidden="false" customHeight="false" outlineLevel="0" collapsed="false">
      <c r="A605" s="7" t="str">
        <f aca="false">IF('Outro banco'!A605="","",IF(LEFT('Outro banco'!A605,1)="(","",'Outro banco'!A605))</f>
        <v/>
      </c>
      <c r="B605" s="7" t="str">
        <f aca="false">IF(A605="","",'Outro banco'!B605)</f>
        <v/>
      </c>
      <c r="C605" s="7" t="str">
        <f aca="false">IF(A605="","",'Outro banco'!C605)</f>
        <v/>
      </c>
      <c r="D605" s="7" t="str">
        <f aca="false">IF(A605="","",'Outro banco'!D605)</f>
        <v/>
      </c>
      <c r="E605" s="9"/>
      <c r="F605" s="9"/>
      <c r="G605" s="7" t="str">
        <f aca="false">IF(A605="","",IF(COUNTIF(Tabelas!$A:$A,IF(E605="",A605,E605))&gt;0,"sim","não"))</f>
        <v/>
      </c>
      <c r="H605" s="7" t="str">
        <f aca="false">IF(A605="","",IF(E605="",A605,E605)&amp;"."&amp;IF(F605="",B605,F605))</f>
        <v/>
      </c>
      <c r="I605" s="7" t="str">
        <f aca="false">IF(A605="","",IFERROR(INDEX('Campos Growths'!$F:$F,MATCH(H605,'Campos Growths'!$A:$A,0)),""))</f>
        <v/>
      </c>
      <c r="J605" s="7" t="str">
        <f aca="false">IF(A605="","",IFERROR(VLOOKUP(IF(ISNUMBER(SEARCH("(",C605)),LEFT(C605,SEARCH("(",C605)-1),C605),Tipos!$A:$B,2,FALSE()),"outro"))</f>
        <v/>
      </c>
      <c r="K605" s="7" t="str">
        <f aca="false">IF(I605="","",IFERROR(INDEX('Campos Growths'!$L:$L,MATCH(H605,'Campos Growths'!$A:$A,0)),""))</f>
        <v/>
      </c>
      <c r="L605" s="7" t="str">
        <f aca="false">IF(A605="","",IF(G605="não","Sem tabela no Growths",IF(I605="","Sem campo no Growths",IF(J605=K605,"Importa direto","Ajustar tipo"))))</f>
        <v/>
      </c>
      <c r="M605" s="9"/>
    </row>
    <row r="606" customFormat="false" ht="15" hidden="false" customHeight="false" outlineLevel="0" collapsed="false">
      <c r="A606" s="7" t="str">
        <f aca="false">IF('Outro banco'!A606="","",IF(LEFT('Outro banco'!A606,1)="(","",'Outro banco'!A606))</f>
        <v/>
      </c>
      <c r="B606" s="7" t="str">
        <f aca="false">IF(A606="","",'Outro banco'!B606)</f>
        <v/>
      </c>
      <c r="C606" s="7" t="str">
        <f aca="false">IF(A606="","",'Outro banco'!C606)</f>
        <v/>
      </c>
      <c r="D606" s="7" t="str">
        <f aca="false">IF(A606="","",'Outro banco'!D606)</f>
        <v/>
      </c>
      <c r="E606" s="9"/>
      <c r="F606" s="9"/>
      <c r="G606" s="7" t="str">
        <f aca="false">IF(A606="","",IF(COUNTIF(Tabelas!$A:$A,IF(E606="",A606,E606))&gt;0,"sim","não"))</f>
        <v/>
      </c>
      <c r="H606" s="7" t="str">
        <f aca="false">IF(A606="","",IF(E606="",A606,E606)&amp;"."&amp;IF(F606="",B606,F606))</f>
        <v/>
      </c>
      <c r="I606" s="7" t="str">
        <f aca="false">IF(A606="","",IFERROR(INDEX('Campos Growths'!$F:$F,MATCH(H606,'Campos Growths'!$A:$A,0)),""))</f>
        <v/>
      </c>
      <c r="J606" s="7" t="str">
        <f aca="false">IF(A606="","",IFERROR(VLOOKUP(IF(ISNUMBER(SEARCH("(",C606)),LEFT(C606,SEARCH("(",C606)-1),C606),Tipos!$A:$B,2,FALSE()),"outro"))</f>
        <v/>
      </c>
      <c r="K606" s="7" t="str">
        <f aca="false">IF(I606="","",IFERROR(INDEX('Campos Growths'!$L:$L,MATCH(H606,'Campos Growths'!$A:$A,0)),""))</f>
        <v/>
      </c>
      <c r="L606" s="7" t="str">
        <f aca="false">IF(A606="","",IF(G606="não","Sem tabela no Growths",IF(I606="","Sem campo no Growths",IF(J606=K606,"Importa direto","Ajustar tipo"))))</f>
        <v/>
      </c>
      <c r="M606" s="9"/>
    </row>
    <row r="607" customFormat="false" ht="15" hidden="false" customHeight="false" outlineLevel="0" collapsed="false">
      <c r="A607" s="7" t="str">
        <f aca="false">IF('Outro banco'!A607="","",IF(LEFT('Outro banco'!A607,1)="(","",'Outro banco'!A607))</f>
        <v/>
      </c>
      <c r="B607" s="7" t="str">
        <f aca="false">IF(A607="","",'Outro banco'!B607)</f>
        <v/>
      </c>
      <c r="C607" s="7" t="str">
        <f aca="false">IF(A607="","",'Outro banco'!C607)</f>
        <v/>
      </c>
      <c r="D607" s="7" t="str">
        <f aca="false">IF(A607="","",'Outro banco'!D607)</f>
        <v/>
      </c>
      <c r="E607" s="9"/>
      <c r="F607" s="9"/>
      <c r="G607" s="7" t="str">
        <f aca="false">IF(A607="","",IF(COUNTIF(Tabelas!$A:$A,IF(E607="",A607,E607))&gt;0,"sim","não"))</f>
        <v/>
      </c>
      <c r="H607" s="7" t="str">
        <f aca="false">IF(A607="","",IF(E607="",A607,E607)&amp;"."&amp;IF(F607="",B607,F607))</f>
        <v/>
      </c>
      <c r="I607" s="7" t="str">
        <f aca="false">IF(A607="","",IFERROR(INDEX('Campos Growths'!$F:$F,MATCH(H607,'Campos Growths'!$A:$A,0)),""))</f>
        <v/>
      </c>
      <c r="J607" s="7" t="str">
        <f aca="false">IF(A607="","",IFERROR(VLOOKUP(IF(ISNUMBER(SEARCH("(",C607)),LEFT(C607,SEARCH("(",C607)-1),C607),Tipos!$A:$B,2,FALSE()),"outro"))</f>
        <v/>
      </c>
      <c r="K607" s="7" t="str">
        <f aca="false">IF(I607="","",IFERROR(INDEX('Campos Growths'!$L:$L,MATCH(H607,'Campos Growths'!$A:$A,0)),""))</f>
        <v/>
      </c>
      <c r="L607" s="7" t="str">
        <f aca="false">IF(A607="","",IF(G607="não","Sem tabela no Growths",IF(I607="","Sem campo no Growths",IF(J607=K607,"Importa direto","Ajustar tipo"))))</f>
        <v/>
      </c>
      <c r="M607" s="9"/>
    </row>
    <row r="608" customFormat="false" ht="15" hidden="false" customHeight="false" outlineLevel="0" collapsed="false">
      <c r="A608" s="7" t="str">
        <f aca="false">IF('Outro banco'!A608="","",IF(LEFT('Outro banco'!A608,1)="(","",'Outro banco'!A608))</f>
        <v/>
      </c>
      <c r="B608" s="7" t="str">
        <f aca="false">IF(A608="","",'Outro banco'!B608)</f>
        <v/>
      </c>
      <c r="C608" s="7" t="str">
        <f aca="false">IF(A608="","",'Outro banco'!C608)</f>
        <v/>
      </c>
      <c r="D608" s="7" t="str">
        <f aca="false">IF(A608="","",'Outro banco'!D608)</f>
        <v/>
      </c>
      <c r="E608" s="9"/>
      <c r="F608" s="9"/>
      <c r="G608" s="7" t="str">
        <f aca="false">IF(A608="","",IF(COUNTIF(Tabelas!$A:$A,IF(E608="",A608,E608))&gt;0,"sim","não"))</f>
        <v/>
      </c>
      <c r="H608" s="7" t="str">
        <f aca="false">IF(A608="","",IF(E608="",A608,E608)&amp;"."&amp;IF(F608="",B608,F608))</f>
        <v/>
      </c>
      <c r="I608" s="7" t="str">
        <f aca="false">IF(A608="","",IFERROR(INDEX('Campos Growths'!$F:$F,MATCH(H608,'Campos Growths'!$A:$A,0)),""))</f>
        <v/>
      </c>
      <c r="J608" s="7" t="str">
        <f aca="false">IF(A608="","",IFERROR(VLOOKUP(IF(ISNUMBER(SEARCH("(",C608)),LEFT(C608,SEARCH("(",C608)-1),C608),Tipos!$A:$B,2,FALSE()),"outro"))</f>
        <v/>
      </c>
      <c r="K608" s="7" t="str">
        <f aca="false">IF(I608="","",IFERROR(INDEX('Campos Growths'!$L:$L,MATCH(H608,'Campos Growths'!$A:$A,0)),""))</f>
        <v/>
      </c>
      <c r="L608" s="7" t="str">
        <f aca="false">IF(A608="","",IF(G608="não","Sem tabela no Growths",IF(I608="","Sem campo no Growths",IF(J608=K608,"Importa direto","Ajustar tipo"))))</f>
        <v/>
      </c>
      <c r="M608" s="9"/>
    </row>
    <row r="609" customFormat="false" ht="15" hidden="false" customHeight="false" outlineLevel="0" collapsed="false">
      <c r="A609" s="7" t="str">
        <f aca="false">IF('Outro banco'!A609="","",IF(LEFT('Outro banco'!A609,1)="(","",'Outro banco'!A609))</f>
        <v/>
      </c>
      <c r="B609" s="7" t="str">
        <f aca="false">IF(A609="","",'Outro banco'!B609)</f>
        <v/>
      </c>
      <c r="C609" s="7" t="str">
        <f aca="false">IF(A609="","",'Outro banco'!C609)</f>
        <v/>
      </c>
      <c r="D609" s="7" t="str">
        <f aca="false">IF(A609="","",'Outro banco'!D609)</f>
        <v/>
      </c>
      <c r="E609" s="9"/>
      <c r="F609" s="9"/>
      <c r="G609" s="7" t="str">
        <f aca="false">IF(A609="","",IF(COUNTIF(Tabelas!$A:$A,IF(E609="",A609,E609))&gt;0,"sim","não"))</f>
        <v/>
      </c>
      <c r="H609" s="7" t="str">
        <f aca="false">IF(A609="","",IF(E609="",A609,E609)&amp;"."&amp;IF(F609="",B609,F609))</f>
        <v/>
      </c>
      <c r="I609" s="7" t="str">
        <f aca="false">IF(A609="","",IFERROR(INDEX('Campos Growths'!$F:$F,MATCH(H609,'Campos Growths'!$A:$A,0)),""))</f>
        <v/>
      </c>
      <c r="J609" s="7" t="str">
        <f aca="false">IF(A609="","",IFERROR(VLOOKUP(IF(ISNUMBER(SEARCH("(",C609)),LEFT(C609,SEARCH("(",C609)-1),C609),Tipos!$A:$B,2,FALSE()),"outro"))</f>
        <v/>
      </c>
      <c r="K609" s="7" t="str">
        <f aca="false">IF(I609="","",IFERROR(INDEX('Campos Growths'!$L:$L,MATCH(H609,'Campos Growths'!$A:$A,0)),""))</f>
        <v/>
      </c>
      <c r="L609" s="7" t="str">
        <f aca="false">IF(A609="","",IF(G609="não","Sem tabela no Growths",IF(I609="","Sem campo no Growths",IF(J609=K609,"Importa direto","Ajustar tipo"))))</f>
        <v/>
      </c>
      <c r="M609" s="9"/>
    </row>
    <row r="610" customFormat="false" ht="15" hidden="false" customHeight="false" outlineLevel="0" collapsed="false">
      <c r="A610" s="7" t="str">
        <f aca="false">IF('Outro banco'!A610="","",IF(LEFT('Outro banco'!A610,1)="(","",'Outro banco'!A610))</f>
        <v/>
      </c>
      <c r="B610" s="7" t="str">
        <f aca="false">IF(A610="","",'Outro banco'!B610)</f>
        <v/>
      </c>
      <c r="C610" s="7" t="str">
        <f aca="false">IF(A610="","",'Outro banco'!C610)</f>
        <v/>
      </c>
      <c r="D610" s="7" t="str">
        <f aca="false">IF(A610="","",'Outro banco'!D610)</f>
        <v/>
      </c>
      <c r="E610" s="9"/>
      <c r="F610" s="9"/>
      <c r="G610" s="7" t="str">
        <f aca="false">IF(A610="","",IF(COUNTIF(Tabelas!$A:$A,IF(E610="",A610,E610))&gt;0,"sim","não"))</f>
        <v/>
      </c>
      <c r="H610" s="7" t="str">
        <f aca="false">IF(A610="","",IF(E610="",A610,E610)&amp;"."&amp;IF(F610="",B610,F610))</f>
        <v/>
      </c>
      <c r="I610" s="7" t="str">
        <f aca="false">IF(A610="","",IFERROR(INDEX('Campos Growths'!$F:$F,MATCH(H610,'Campos Growths'!$A:$A,0)),""))</f>
        <v/>
      </c>
      <c r="J610" s="7" t="str">
        <f aca="false">IF(A610="","",IFERROR(VLOOKUP(IF(ISNUMBER(SEARCH("(",C610)),LEFT(C610,SEARCH("(",C610)-1),C610),Tipos!$A:$B,2,FALSE()),"outro"))</f>
        <v/>
      </c>
      <c r="K610" s="7" t="str">
        <f aca="false">IF(I610="","",IFERROR(INDEX('Campos Growths'!$L:$L,MATCH(H610,'Campos Growths'!$A:$A,0)),""))</f>
        <v/>
      </c>
      <c r="L610" s="7" t="str">
        <f aca="false">IF(A610="","",IF(G610="não","Sem tabela no Growths",IF(I610="","Sem campo no Growths",IF(J610=K610,"Importa direto","Ajustar tipo"))))</f>
        <v/>
      </c>
      <c r="M610" s="9"/>
    </row>
    <row r="611" customFormat="false" ht="15" hidden="false" customHeight="false" outlineLevel="0" collapsed="false">
      <c r="A611" s="7" t="str">
        <f aca="false">IF('Outro banco'!A611="","",IF(LEFT('Outro banco'!A611,1)="(","",'Outro banco'!A611))</f>
        <v/>
      </c>
      <c r="B611" s="7" t="str">
        <f aca="false">IF(A611="","",'Outro banco'!B611)</f>
        <v/>
      </c>
      <c r="C611" s="7" t="str">
        <f aca="false">IF(A611="","",'Outro banco'!C611)</f>
        <v/>
      </c>
      <c r="D611" s="7" t="str">
        <f aca="false">IF(A611="","",'Outro banco'!D611)</f>
        <v/>
      </c>
      <c r="E611" s="9"/>
      <c r="F611" s="9"/>
      <c r="G611" s="7" t="str">
        <f aca="false">IF(A611="","",IF(COUNTIF(Tabelas!$A:$A,IF(E611="",A611,E611))&gt;0,"sim","não"))</f>
        <v/>
      </c>
      <c r="H611" s="7" t="str">
        <f aca="false">IF(A611="","",IF(E611="",A611,E611)&amp;"."&amp;IF(F611="",B611,F611))</f>
        <v/>
      </c>
      <c r="I611" s="7" t="str">
        <f aca="false">IF(A611="","",IFERROR(INDEX('Campos Growths'!$F:$F,MATCH(H611,'Campos Growths'!$A:$A,0)),""))</f>
        <v/>
      </c>
      <c r="J611" s="7" t="str">
        <f aca="false">IF(A611="","",IFERROR(VLOOKUP(IF(ISNUMBER(SEARCH("(",C611)),LEFT(C611,SEARCH("(",C611)-1),C611),Tipos!$A:$B,2,FALSE()),"outro"))</f>
        <v/>
      </c>
      <c r="K611" s="7" t="str">
        <f aca="false">IF(I611="","",IFERROR(INDEX('Campos Growths'!$L:$L,MATCH(H611,'Campos Growths'!$A:$A,0)),""))</f>
        <v/>
      </c>
      <c r="L611" s="7" t="str">
        <f aca="false">IF(A611="","",IF(G611="não","Sem tabela no Growths",IF(I611="","Sem campo no Growths",IF(J611=K611,"Importa direto","Ajustar tipo"))))</f>
        <v/>
      </c>
      <c r="M611" s="9"/>
    </row>
    <row r="612" customFormat="false" ht="15" hidden="false" customHeight="false" outlineLevel="0" collapsed="false">
      <c r="A612" s="7" t="str">
        <f aca="false">IF('Outro banco'!A612="","",IF(LEFT('Outro banco'!A612,1)="(","",'Outro banco'!A612))</f>
        <v/>
      </c>
      <c r="B612" s="7" t="str">
        <f aca="false">IF(A612="","",'Outro banco'!B612)</f>
        <v/>
      </c>
      <c r="C612" s="7" t="str">
        <f aca="false">IF(A612="","",'Outro banco'!C612)</f>
        <v/>
      </c>
      <c r="D612" s="7" t="str">
        <f aca="false">IF(A612="","",'Outro banco'!D612)</f>
        <v/>
      </c>
      <c r="E612" s="9"/>
      <c r="F612" s="9"/>
      <c r="G612" s="7" t="str">
        <f aca="false">IF(A612="","",IF(COUNTIF(Tabelas!$A:$A,IF(E612="",A612,E612))&gt;0,"sim","não"))</f>
        <v/>
      </c>
      <c r="H612" s="7" t="str">
        <f aca="false">IF(A612="","",IF(E612="",A612,E612)&amp;"."&amp;IF(F612="",B612,F612))</f>
        <v/>
      </c>
      <c r="I612" s="7" t="str">
        <f aca="false">IF(A612="","",IFERROR(INDEX('Campos Growths'!$F:$F,MATCH(H612,'Campos Growths'!$A:$A,0)),""))</f>
        <v/>
      </c>
      <c r="J612" s="7" t="str">
        <f aca="false">IF(A612="","",IFERROR(VLOOKUP(IF(ISNUMBER(SEARCH("(",C612)),LEFT(C612,SEARCH("(",C612)-1),C612),Tipos!$A:$B,2,FALSE()),"outro"))</f>
        <v/>
      </c>
      <c r="K612" s="7" t="str">
        <f aca="false">IF(I612="","",IFERROR(INDEX('Campos Growths'!$L:$L,MATCH(H612,'Campos Growths'!$A:$A,0)),""))</f>
        <v/>
      </c>
      <c r="L612" s="7" t="str">
        <f aca="false">IF(A612="","",IF(G612="não","Sem tabela no Growths",IF(I612="","Sem campo no Growths",IF(J612=K612,"Importa direto","Ajustar tipo"))))</f>
        <v/>
      </c>
      <c r="M612" s="9"/>
    </row>
    <row r="613" customFormat="false" ht="15" hidden="false" customHeight="false" outlineLevel="0" collapsed="false">
      <c r="A613" s="7" t="str">
        <f aca="false">IF('Outro banco'!A613="","",IF(LEFT('Outro banco'!A613,1)="(","",'Outro banco'!A613))</f>
        <v/>
      </c>
      <c r="B613" s="7" t="str">
        <f aca="false">IF(A613="","",'Outro banco'!B613)</f>
        <v/>
      </c>
      <c r="C613" s="7" t="str">
        <f aca="false">IF(A613="","",'Outro banco'!C613)</f>
        <v/>
      </c>
      <c r="D613" s="7" t="str">
        <f aca="false">IF(A613="","",'Outro banco'!D613)</f>
        <v/>
      </c>
      <c r="E613" s="9"/>
      <c r="F613" s="9"/>
      <c r="G613" s="7" t="str">
        <f aca="false">IF(A613="","",IF(COUNTIF(Tabelas!$A:$A,IF(E613="",A613,E613))&gt;0,"sim","não"))</f>
        <v/>
      </c>
      <c r="H613" s="7" t="str">
        <f aca="false">IF(A613="","",IF(E613="",A613,E613)&amp;"."&amp;IF(F613="",B613,F613))</f>
        <v/>
      </c>
      <c r="I613" s="7" t="str">
        <f aca="false">IF(A613="","",IFERROR(INDEX('Campos Growths'!$F:$F,MATCH(H613,'Campos Growths'!$A:$A,0)),""))</f>
        <v/>
      </c>
      <c r="J613" s="7" t="str">
        <f aca="false">IF(A613="","",IFERROR(VLOOKUP(IF(ISNUMBER(SEARCH("(",C613)),LEFT(C613,SEARCH("(",C613)-1),C613),Tipos!$A:$B,2,FALSE()),"outro"))</f>
        <v/>
      </c>
      <c r="K613" s="7" t="str">
        <f aca="false">IF(I613="","",IFERROR(INDEX('Campos Growths'!$L:$L,MATCH(H613,'Campos Growths'!$A:$A,0)),""))</f>
        <v/>
      </c>
      <c r="L613" s="7" t="str">
        <f aca="false">IF(A613="","",IF(G613="não","Sem tabela no Growths",IF(I613="","Sem campo no Growths",IF(J613=K613,"Importa direto","Ajustar tipo"))))</f>
        <v/>
      </c>
      <c r="M613" s="9"/>
    </row>
    <row r="614" customFormat="false" ht="15" hidden="false" customHeight="false" outlineLevel="0" collapsed="false">
      <c r="A614" s="7" t="str">
        <f aca="false">IF('Outro banco'!A614="","",IF(LEFT('Outro banco'!A614,1)="(","",'Outro banco'!A614))</f>
        <v/>
      </c>
      <c r="B614" s="7" t="str">
        <f aca="false">IF(A614="","",'Outro banco'!B614)</f>
        <v/>
      </c>
      <c r="C614" s="7" t="str">
        <f aca="false">IF(A614="","",'Outro banco'!C614)</f>
        <v/>
      </c>
      <c r="D614" s="7" t="str">
        <f aca="false">IF(A614="","",'Outro banco'!D614)</f>
        <v/>
      </c>
      <c r="E614" s="9"/>
      <c r="F614" s="9"/>
      <c r="G614" s="7" t="str">
        <f aca="false">IF(A614="","",IF(COUNTIF(Tabelas!$A:$A,IF(E614="",A614,E614))&gt;0,"sim","não"))</f>
        <v/>
      </c>
      <c r="H614" s="7" t="str">
        <f aca="false">IF(A614="","",IF(E614="",A614,E614)&amp;"."&amp;IF(F614="",B614,F614))</f>
        <v/>
      </c>
      <c r="I614" s="7" t="str">
        <f aca="false">IF(A614="","",IFERROR(INDEX('Campos Growths'!$F:$F,MATCH(H614,'Campos Growths'!$A:$A,0)),""))</f>
        <v/>
      </c>
      <c r="J614" s="7" t="str">
        <f aca="false">IF(A614="","",IFERROR(VLOOKUP(IF(ISNUMBER(SEARCH("(",C614)),LEFT(C614,SEARCH("(",C614)-1),C614),Tipos!$A:$B,2,FALSE()),"outro"))</f>
        <v/>
      </c>
      <c r="K614" s="7" t="str">
        <f aca="false">IF(I614="","",IFERROR(INDEX('Campos Growths'!$L:$L,MATCH(H614,'Campos Growths'!$A:$A,0)),""))</f>
        <v/>
      </c>
      <c r="L614" s="7" t="str">
        <f aca="false">IF(A614="","",IF(G614="não","Sem tabela no Growths",IF(I614="","Sem campo no Growths",IF(J614=K614,"Importa direto","Ajustar tipo"))))</f>
        <v/>
      </c>
      <c r="M614" s="9"/>
    </row>
    <row r="615" customFormat="false" ht="15" hidden="false" customHeight="false" outlineLevel="0" collapsed="false">
      <c r="A615" s="7" t="str">
        <f aca="false">IF('Outro banco'!A615="","",IF(LEFT('Outro banco'!A615,1)="(","",'Outro banco'!A615))</f>
        <v/>
      </c>
      <c r="B615" s="7" t="str">
        <f aca="false">IF(A615="","",'Outro banco'!B615)</f>
        <v/>
      </c>
      <c r="C615" s="7" t="str">
        <f aca="false">IF(A615="","",'Outro banco'!C615)</f>
        <v/>
      </c>
      <c r="D615" s="7" t="str">
        <f aca="false">IF(A615="","",'Outro banco'!D615)</f>
        <v/>
      </c>
      <c r="E615" s="9"/>
      <c r="F615" s="9"/>
      <c r="G615" s="7" t="str">
        <f aca="false">IF(A615="","",IF(COUNTIF(Tabelas!$A:$A,IF(E615="",A615,E615))&gt;0,"sim","não"))</f>
        <v/>
      </c>
      <c r="H615" s="7" t="str">
        <f aca="false">IF(A615="","",IF(E615="",A615,E615)&amp;"."&amp;IF(F615="",B615,F615))</f>
        <v/>
      </c>
      <c r="I615" s="7" t="str">
        <f aca="false">IF(A615="","",IFERROR(INDEX('Campos Growths'!$F:$F,MATCH(H615,'Campos Growths'!$A:$A,0)),""))</f>
        <v/>
      </c>
      <c r="J615" s="7" t="str">
        <f aca="false">IF(A615="","",IFERROR(VLOOKUP(IF(ISNUMBER(SEARCH("(",C615)),LEFT(C615,SEARCH("(",C615)-1),C615),Tipos!$A:$B,2,FALSE()),"outro"))</f>
        <v/>
      </c>
      <c r="K615" s="7" t="str">
        <f aca="false">IF(I615="","",IFERROR(INDEX('Campos Growths'!$L:$L,MATCH(H615,'Campos Growths'!$A:$A,0)),""))</f>
        <v/>
      </c>
      <c r="L615" s="7" t="str">
        <f aca="false">IF(A615="","",IF(G615="não","Sem tabela no Growths",IF(I615="","Sem campo no Growths",IF(J615=K615,"Importa direto","Ajustar tipo"))))</f>
        <v/>
      </c>
      <c r="M615" s="9"/>
    </row>
    <row r="616" customFormat="false" ht="15" hidden="false" customHeight="false" outlineLevel="0" collapsed="false">
      <c r="A616" s="7" t="str">
        <f aca="false">IF('Outro banco'!A616="","",IF(LEFT('Outro banco'!A616,1)="(","",'Outro banco'!A616))</f>
        <v/>
      </c>
      <c r="B616" s="7" t="str">
        <f aca="false">IF(A616="","",'Outro banco'!B616)</f>
        <v/>
      </c>
      <c r="C616" s="7" t="str">
        <f aca="false">IF(A616="","",'Outro banco'!C616)</f>
        <v/>
      </c>
      <c r="D616" s="7" t="str">
        <f aca="false">IF(A616="","",'Outro banco'!D616)</f>
        <v/>
      </c>
      <c r="E616" s="9"/>
      <c r="F616" s="9"/>
      <c r="G616" s="7" t="str">
        <f aca="false">IF(A616="","",IF(COUNTIF(Tabelas!$A:$A,IF(E616="",A616,E616))&gt;0,"sim","não"))</f>
        <v/>
      </c>
      <c r="H616" s="7" t="str">
        <f aca="false">IF(A616="","",IF(E616="",A616,E616)&amp;"."&amp;IF(F616="",B616,F616))</f>
        <v/>
      </c>
      <c r="I616" s="7" t="str">
        <f aca="false">IF(A616="","",IFERROR(INDEX('Campos Growths'!$F:$F,MATCH(H616,'Campos Growths'!$A:$A,0)),""))</f>
        <v/>
      </c>
      <c r="J616" s="7" t="str">
        <f aca="false">IF(A616="","",IFERROR(VLOOKUP(IF(ISNUMBER(SEARCH("(",C616)),LEFT(C616,SEARCH("(",C616)-1),C616),Tipos!$A:$B,2,FALSE()),"outro"))</f>
        <v/>
      </c>
      <c r="K616" s="7" t="str">
        <f aca="false">IF(I616="","",IFERROR(INDEX('Campos Growths'!$L:$L,MATCH(H616,'Campos Growths'!$A:$A,0)),""))</f>
        <v/>
      </c>
      <c r="L616" s="7" t="str">
        <f aca="false">IF(A616="","",IF(G616="não","Sem tabela no Growths",IF(I616="","Sem campo no Growths",IF(J616=K616,"Importa direto","Ajustar tipo"))))</f>
        <v/>
      </c>
      <c r="M616" s="9"/>
    </row>
    <row r="617" customFormat="false" ht="15" hidden="false" customHeight="false" outlineLevel="0" collapsed="false">
      <c r="A617" s="7" t="str">
        <f aca="false">IF('Outro banco'!A617="","",IF(LEFT('Outro banco'!A617,1)="(","",'Outro banco'!A617))</f>
        <v/>
      </c>
      <c r="B617" s="7" t="str">
        <f aca="false">IF(A617="","",'Outro banco'!B617)</f>
        <v/>
      </c>
      <c r="C617" s="7" t="str">
        <f aca="false">IF(A617="","",'Outro banco'!C617)</f>
        <v/>
      </c>
      <c r="D617" s="7" t="str">
        <f aca="false">IF(A617="","",'Outro banco'!D617)</f>
        <v/>
      </c>
      <c r="E617" s="9"/>
      <c r="F617" s="9"/>
      <c r="G617" s="7" t="str">
        <f aca="false">IF(A617="","",IF(COUNTIF(Tabelas!$A:$A,IF(E617="",A617,E617))&gt;0,"sim","não"))</f>
        <v/>
      </c>
      <c r="H617" s="7" t="str">
        <f aca="false">IF(A617="","",IF(E617="",A617,E617)&amp;"."&amp;IF(F617="",B617,F617))</f>
        <v/>
      </c>
      <c r="I617" s="7" t="str">
        <f aca="false">IF(A617="","",IFERROR(INDEX('Campos Growths'!$F:$F,MATCH(H617,'Campos Growths'!$A:$A,0)),""))</f>
        <v/>
      </c>
      <c r="J617" s="7" t="str">
        <f aca="false">IF(A617="","",IFERROR(VLOOKUP(IF(ISNUMBER(SEARCH("(",C617)),LEFT(C617,SEARCH("(",C617)-1),C617),Tipos!$A:$B,2,FALSE()),"outro"))</f>
        <v/>
      </c>
      <c r="K617" s="7" t="str">
        <f aca="false">IF(I617="","",IFERROR(INDEX('Campos Growths'!$L:$L,MATCH(H617,'Campos Growths'!$A:$A,0)),""))</f>
        <v/>
      </c>
      <c r="L617" s="7" t="str">
        <f aca="false">IF(A617="","",IF(G617="não","Sem tabela no Growths",IF(I617="","Sem campo no Growths",IF(J617=K617,"Importa direto","Ajustar tipo"))))</f>
        <v/>
      </c>
      <c r="M617" s="9"/>
    </row>
    <row r="618" customFormat="false" ht="15" hidden="false" customHeight="false" outlineLevel="0" collapsed="false">
      <c r="A618" s="7" t="str">
        <f aca="false">IF('Outro banco'!A618="","",IF(LEFT('Outro banco'!A618,1)="(","",'Outro banco'!A618))</f>
        <v/>
      </c>
      <c r="B618" s="7" t="str">
        <f aca="false">IF(A618="","",'Outro banco'!B618)</f>
        <v/>
      </c>
      <c r="C618" s="7" t="str">
        <f aca="false">IF(A618="","",'Outro banco'!C618)</f>
        <v/>
      </c>
      <c r="D618" s="7" t="str">
        <f aca="false">IF(A618="","",'Outro banco'!D618)</f>
        <v/>
      </c>
      <c r="E618" s="9"/>
      <c r="F618" s="9"/>
      <c r="G618" s="7" t="str">
        <f aca="false">IF(A618="","",IF(COUNTIF(Tabelas!$A:$A,IF(E618="",A618,E618))&gt;0,"sim","não"))</f>
        <v/>
      </c>
      <c r="H618" s="7" t="str">
        <f aca="false">IF(A618="","",IF(E618="",A618,E618)&amp;"."&amp;IF(F618="",B618,F618))</f>
        <v/>
      </c>
      <c r="I618" s="7" t="str">
        <f aca="false">IF(A618="","",IFERROR(INDEX('Campos Growths'!$F:$F,MATCH(H618,'Campos Growths'!$A:$A,0)),""))</f>
        <v/>
      </c>
      <c r="J618" s="7" t="str">
        <f aca="false">IF(A618="","",IFERROR(VLOOKUP(IF(ISNUMBER(SEARCH("(",C618)),LEFT(C618,SEARCH("(",C618)-1),C618),Tipos!$A:$B,2,FALSE()),"outro"))</f>
        <v/>
      </c>
      <c r="K618" s="7" t="str">
        <f aca="false">IF(I618="","",IFERROR(INDEX('Campos Growths'!$L:$L,MATCH(H618,'Campos Growths'!$A:$A,0)),""))</f>
        <v/>
      </c>
      <c r="L618" s="7" t="str">
        <f aca="false">IF(A618="","",IF(G618="não","Sem tabela no Growths",IF(I618="","Sem campo no Growths",IF(J618=K618,"Importa direto","Ajustar tipo"))))</f>
        <v/>
      </c>
      <c r="M618" s="9"/>
    </row>
    <row r="619" customFormat="false" ht="15" hidden="false" customHeight="false" outlineLevel="0" collapsed="false">
      <c r="A619" s="7" t="str">
        <f aca="false">IF('Outro banco'!A619="","",IF(LEFT('Outro banco'!A619,1)="(","",'Outro banco'!A619))</f>
        <v/>
      </c>
      <c r="B619" s="7" t="str">
        <f aca="false">IF(A619="","",'Outro banco'!B619)</f>
        <v/>
      </c>
      <c r="C619" s="7" t="str">
        <f aca="false">IF(A619="","",'Outro banco'!C619)</f>
        <v/>
      </c>
      <c r="D619" s="7" t="str">
        <f aca="false">IF(A619="","",'Outro banco'!D619)</f>
        <v/>
      </c>
      <c r="E619" s="9"/>
      <c r="F619" s="9"/>
      <c r="G619" s="7" t="str">
        <f aca="false">IF(A619="","",IF(COUNTIF(Tabelas!$A:$A,IF(E619="",A619,E619))&gt;0,"sim","não"))</f>
        <v/>
      </c>
      <c r="H619" s="7" t="str">
        <f aca="false">IF(A619="","",IF(E619="",A619,E619)&amp;"."&amp;IF(F619="",B619,F619))</f>
        <v/>
      </c>
      <c r="I619" s="7" t="str">
        <f aca="false">IF(A619="","",IFERROR(INDEX('Campos Growths'!$F:$F,MATCH(H619,'Campos Growths'!$A:$A,0)),""))</f>
        <v/>
      </c>
      <c r="J619" s="7" t="str">
        <f aca="false">IF(A619="","",IFERROR(VLOOKUP(IF(ISNUMBER(SEARCH("(",C619)),LEFT(C619,SEARCH("(",C619)-1),C619),Tipos!$A:$B,2,FALSE()),"outro"))</f>
        <v/>
      </c>
      <c r="K619" s="7" t="str">
        <f aca="false">IF(I619="","",IFERROR(INDEX('Campos Growths'!$L:$L,MATCH(H619,'Campos Growths'!$A:$A,0)),""))</f>
        <v/>
      </c>
      <c r="L619" s="7" t="str">
        <f aca="false">IF(A619="","",IF(G619="não","Sem tabela no Growths",IF(I619="","Sem campo no Growths",IF(J619=K619,"Importa direto","Ajustar tipo"))))</f>
        <v/>
      </c>
      <c r="M619" s="9"/>
    </row>
    <row r="620" customFormat="false" ht="15" hidden="false" customHeight="false" outlineLevel="0" collapsed="false">
      <c r="A620" s="7" t="str">
        <f aca="false">IF('Outro banco'!A620="","",IF(LEFT('Outro banco'!A620,1)="(","",'Outro banco'!A620))</f>
        <v/>
      </c>
      <c r="B620" s="7" t="str">
        <f aca="false">IF(A620="","",'Outro banco'!B620)</f>
        <v/>
      </c>
      <c r="C620" s="7" t="str">
        <f aca="false">IF(A620="","",'Outro banco'!C620)</f>
        <v/>
      </c>
      <c r="D620" s="7" t="str">
        <f aca="false">IF(A620="","",'Outro banco'!D620)</f>
        <v/>
      </c>
      <c r="E620" s="9"/>
      <c r="F620" s="9"/>
      <c r="G620" s="7" t="str">
        <f aca="false">IF(A620="","",IF(COUNTIF(Tabelas!$A:$A,IF(E620="",A620,E620))&gt;0,"sim","não"))</f>
        <v/>
      </c>
      <c r="H620" s="7" t="str">
        <f aca="false">IF(A620="","",IF(E620="",A620,E620)&amp;"."&amp;IF(F620="",B620,F620))</f>
        <v/>
      </c>
      <c r="I620" s="7" t="str">
        <f aca="false">IF(A620="","",IFERROR(INDEX('Campos Growths'!$F:$F,MATCH(H620,'Campos Growths'!$A:$A,0)),""))</f>
        <v/>
      </c>
      <c r="J620" s="7" t="str">
        <f aca="false">IF(A620="","",IFERROR(VLOOKUP(IF(ISNUMBER(SEARCH("(",C620)),LEFT(C620,SEARCH("(",C620)-1),C620),Tipos!$A:$B,2,FALSE()),"outro"))</f>
        <v/>
      </c>
      <c r="K620" s="7" t="str">
        <f aca="false">IF(I620="","",IFERROR(INDEX('Campos Growths'!$L:$L,MATCH(H620,'Campos Growths'!$A:$A,0)),""))</f>
        <v/>
      </c>
      <c r="L620" s="7" t="str">
        <f aca="false">IF(A620="","",IF(G620="não","Sem tabela no Growths",IF(I620="","Sem campo no Growths",IF(J620=K620,"Importa direto","Ajustar tipo"))))</f>
        <v/>
      </c>
      <c r="M620" s="9"/>
    </row>
    <row r="621" customFormat="false" ht="15" hidden="false" customHeight="false" outlineLevel="0" collapsed="false">
      <c r="A621" s="7" t="str">
        <f aca="false">IF('Outro banco'!A621="","",IF(LEFT('Outro banco'!A621,1)="(","",'Outro banco'!A621))</f>
        <v/>
      </c>
      <c r="B621" s="7" t="str">
        <f aca="false">IF(A621="","",'Outro banco'!B621)</f>
        <v/>
      </c>
      <c r="C621" s="7" t="str">
        <f aca="false">IF(A621="","",'Outro banco'!C621)</f>
        <v/>
      </c>
      <c r="D621" s="7" t="str">
        <f aca="false">IF(A621="","",'Outro banco'!D621)</f>
        <v/>
      </c>
      <c r="E621" s="9"/>
      <c r="F621" s="9"/>
      <c r="G621" s="7" t="str">
        <f aca="false">IF(A621="","",IF(COUNTIF(Tabelas!$A:$A,IF(E621="",A621,E621))&gt;0,"sim","não"))</f>
        <v/>
      </c>
      <c r="H621" s="7" t="str">
        <f aca="false">IF(A621="","",IF(E621="",A621,E621)&amp;"."&amp;IF(F621="",B621,F621))</f>
        <v/>
      </c>
      <c r="I621" s="7" t="str">
        <f aca="false">IF(A621="","",IFERROR(INDEX('Campos Growths'!$F:$F,MATCH(H621,'Campos Growths'!$A:$A,0)),""))</f>
        <v/>
      </c>
      <c r="J621" s="7" t="str">
        <f aca="false">IF(A621="","",IFERROR(VLOOKUP(IF(ISNUMBER(SEARCH("(",C621)),LEFT(C621,SEARCH("(",C621)-1),C621),Tipos!$A:$B,2,FALSE()),"outro"))</f>
        <v/>
      </c>
      <c r="K621" s="7" t="str">
        <f aca="false">IF(I621="","",IFERROR(INDEX('Campos Growths'!$L:$L,MATCH(H621,'Campos Growths'!$A:$A,0)),""))</f>
        <v/>
      </c>
      <c r="L621" s="7" t="str">
        <f aca="false">IF(A621="","",IF(G621="não","Sem tabela no Growths",IF(I621="","Sem campo no Growths",IF(J621=K621,"Importa direto","Ajustar tipo"))))</f>
        <v/>
      </c>
      <c r="M621" s="9"/>
    </row>
    <row r="622" customFormat="false" ht="15" hidden="false" customHeight="false" outlineLevel="0" collapsed="false">
      <c r="A622" s="7" t="str">
        <f aca="false">IF('Outro banco'!A622="","",IF(LEFT('Outro banco'!A622,1)="(","",'Outro banco'!A622))</f>
        <v/>
      </c>
      <c r="B622" s="7" t="str">
        <f aca="false">IF(A622="","",'Outro banco'!B622)</f>
        <v/>
      </c>
      <c r="C622" s="7" t="str">
        <f aca="false">IF(A622="","",'Outro banco'!C622)</f>
        <v/>
      </c>
      <c r="D622" s="7" t="str">
        <f aca="false">IF(A622="","",'Outro banco'!D622)</f>
        <v/>
      </c>
      <c r="E622" s="9"/>
      <c r="F622" s="9"/>
      <c r="G622" s="7" t="str">
        <f aca="false">IF(A622="","",IF(COUNTIF(Tabelas!$A:$A,IF(E622="",A622,E622))&gt;0,"sim","não"))</f>
        <v/>
      </c>
      <c r="H622" s="7" t="str">
        <f aca="false">IF(A622="","",IF(E622="",A622,E622)&amp;"."&amp;IF(F622="",B622,F622))</f>
        <v/>
      </c>
      <c r="I622" s="7" t="str">
        <f aca="false">IF(A622="","",IFERROR(INDEX('Campos Growths'!$F:$F,MATCH(H622,'Campos Growths'!$A:$A,0)),""))</f>
        <v/>
      </c>
      <c r="J622" s="7" t="str">
        <f aca="false">IF(A622="","",IFERROR(VLOOKUP(IF(ISNUMBER(SEARCH("(",C622)),LEFT(C622,SEARCH("(",C622)-1),C622),Tipos!$A:$B,2,FALSE()),"outro"))</f>
        <v/>
      </c>
      <c r="K622" s="7" t="str">
        <f aca="false">IF(I622="","",IFERROR(INDEX('Campos Growths'!$L:$L,MATCH(H622,'Campos Growths'!$A:$A,0)),""))</f>
        <v/>
      </c>
      <c r="L622" s="7" t="str">
        <f aca="false">IF(A622="","",IF(G622="não","Sem tabela no Growths",IF(I622="","Sem campo no Growths",IF(J622=K622,"Importa direto","Ajustar tipo"))))</f>
        <v/>
      </c>
      <c r="M622" s="9"/>
    </row>
    <row r="623" customFormat="false" ht="15" hidden="false" customHeight="false" outlineLevel="0" collapsed="false">
      <c r="A623" s="7" t="str">
        <f aca="false">IF('Outro banco'!A623="","",IF(LEFT('Outro banco'!A623,1)="(","",'Outro banco'!A623))</f>
        <v/>
      </c>
      <c r="B623" s="7" t="str">
        <f aca="false">IF(A623="","",'Outro banco'!B623)</f>
        <v/>
      </c>
      <c r="C623" s="7" t="str">
        <f aca="false">IF(A623="","",'Outro banco'!C623)</f>
        <v/>
      </c>
      <c r="D623" s="7" t="str">
        <f aca="false">IF(A623="","",'Outro banco'!D623)</f>
        <v/>
      </c>
      <c r="E623" s="9"/>
      <c r="F623" s="9"/>
      <c r="G623" s="7" t="str">
        <f aca="false">IF(A623="","",IF(COUNTIF(Tabelas!$A:$A,IF(E623="",A623,E623))&gt;0,"sim","não"))</f>
        <v/>
      </c>
      <c r="H623" s="7" t="str">
        <f aca="false">IF(A623="","",IF(E623="",A623,E623)&amp;"."&amp;IF(F623="",B623,F623))</f>
        <v/>
      </c>
      <c r="I623" s="7" t="str">
        <f aca="false">IF(A623="","",IFERROR(INDEX('Campos Growths'!$F:$F,MATCH(H623,'Campos Growths'!$A:$A,0)),""))</f>
        <v/>
      </c>
      <c r="J623" s="7" t="str">
        <f aca="false">IF(A623="","",IFERROR(VLOOKUP(IF(ISNUMBER(SEARCH("(",C623)),LEFT(C623,SEARCH("(",C623)-1),C623),Tipos!$A:$B,2,FALSE()),"outro"))</f>
        <v/>
      </c>
      <c r="K623" s="7" t="str">
        <f aca="false">IF(I623="","",IFERROR(INDEX('Campos Growths'!$L:$L,MATCH(H623,'Campos Growths'!$A:$A,0)),""))</f>
        <v/>
      </c>
      <c r="L623" s="7" t="str">
        <f aca="false">IF(A623="","",IF(G623="não","Sem tabela no Growths",IF(I623="","Sem campo no Growths",IF(J623=K623,"Importa direto","Ajustar tipo"))))</f>
        <v/>
      </c>
      <c r="M623" s="9"/>
    </row>
    <row r="624" customFormat="false" ht="15" hidden="false" customHeight="false" outlineLevel="0" collapsed="false">
      <c r="A624" s="7" t="str">
        <f aca="false">IF('Outro banco'!A624="","",IF(LEFT('Outro banco'!A624,1)="(","",'Outro banco'!A624))</f>
        <v/>
      </c>
      <c r="B624" s="7" t="str">
        <f aca="false">IF(A624="","",'Outro banco'!B624)</f>
        <v/>
      </c>
      <c r="C624" s="7" t="str">
        <f aca="false">IF(A624="","",'Outro banco'!C624)</f>
        <v/>
      </c>
      <c r="D624" s="7" t="str">
        <f aca="false">IF(A624="","",'Outro banco'!D624)</f>
        <v/>
      </c>
      <c r="E624" s="9"/>
      <c r="F624" s="9"/>
      <c r="G624" s="7" t="str">
        <f aca="false">IF(A624="","",IF(COUNTIF(Tabelas!$A:$A,IF(E624="",A624,E624))&gt;0,"sim","não"))</f>
        <v/>
      </c>
      <c r="H624" s="7" t="str">
        <f aca="false">IF(A624="","",IF(E624="",A624,E624)&amp;"."&amp;IF(F624="",B624,F624))</f>
        <v/>
      </c>
      <c r="I624" s="7" t="str">
        <f aca="false">IF(A624="","",IFERROR(INDEX('Campos Growths'!$F:$F,MATCH(H624,'Campos Growths'!$A:$A,0)),""))</f>
        <v/>
      </c>
      <c r="J624" s="7" t="str">
        <f aca="false">IF(A624="","",IFERROR(VLOOKUP(IF(ISNUMBER(SEARCH("(",C624)),LEFT(C624,SEARCH("(",C624)-1),C624),Tipos!$A:$B,2,FALSE()),"outro"))</f>
        <v/>
      </c>
      <c r="K624" s="7" t="str">
        <f aca="false">IF(I624="","",IFERROR(INDEX('Campos Growths'!$L:$L,MATCH(H624,'Campos Growths'!$A:$A,0)),""))</f>
        <v/>
      </c>
      <c r="L624" s="7" t="str">
        <f aca="false">IF(A624="","",IF(G624="não","Sem tabela no Growths",IF(I624="","Sem campo no Growths",IF(J624=K624,"Importa direto","Ajustar tipo"))))</f>
        <v/>
      </c>
      <c r="M624" s="9"/>
    </row>
    <row r="625" customFormat="false" ht="15" hidden="false" customHeight="false" outlineLevel="0" collapsed="false">
      <c r="A625" s="7" t="str">
        <f aca="false">IF('Outro banco'!A625="","",IF(LEFT('Outro banco'!A625,1)="(","",'Outro banco'!A625))</f>
        <v/>
      </c>
      <c r="B625" s="7" t="str">
        <f aca="false">IF(A625="","",'Outro banco'!B625)</f>
        <v/>
      </c>
      <c r="C625" s="7" t="str">
        <f aca="false">IF(A625="","",'Outro banco'!C625)</f>
        <v/>
      </c>
      <c r="D625" s="7" t="str">
        <f aca="false">IF(A625="","",'Outro banco'!D625)</f>
        <v/>
      </c>
      <c r="E625" s="9"/>
      <c r="F625" s="9"/>
      <c r="G625" s="7" t="str">
        <f aca="false">IF(A625="","",IF(COUNTIF(Tabelas!$A:$A,IF(E625="",A625,E625))&gt;0,"sim","não"))</f>
        <v/>
      </c>
      <c r="H625" s="7" t="str">
        <f aca="false">IF(A625="","",IF(E625="",A625,E625)&amp;"."&amp;IF(F625="",B625,F625))</f>
        <v/>
      </c>
      <c r="I625" s="7" t="str">
        <f aca="false">IF(A625="","",IFERROR(INDEX('Campos Growths'!$F:$F,MATCH(H625,'Campos Growths'!$A:$A,0)),""))</f>
        <v/>
      </c>
      <c r="J625" s="7" t="str">
        <f aca="false">IF(A625="","",IFERROR(VLOOKUP(IF(ISNUMBER(SEARCH("(",C625)),LEFT(C625,SEARCH("(",C625)-1),C625),Tipos!$A:$B,2,FALSE()),"outro"))</f>
        <v/>
      </c>
      <c r="K625" s="7" t="str">
        <f aca="false">IF(I625="","",IFERROR(INDEX('Campos Growths'!$L:$L,MATCH(H625,'Campos Growths'!$A:$A,0)),""))</f>
        <v/>
      </c>
      <c r="L625" s="7" t="str">
        <f aca="false">IF(A625="","",IF(G625="não","Sem tabela no Growths",IF(I625="","Sem campo no Growths",IF(J625=K625,"Importa direto","Ajustar tipo"))))</f>
        <v/>
      </c>
      <c r="M625" s="9"/>
    </row>
    <row r="626" customFormat="false" ht="15" hidden="false" customHeight="false" outlineLevel="0" collapsed="false">
      <c r="A626" s="7" t="str">
        <f aca="false">IF('Outro banco'!A626="","",IF(LEFT('Outro banco'!A626,1)="(","",'Outro banco'!A626))</f>
        <v/>
      </c>
      <c r="B626" s="7" t="str">
        <f aca="false">IF(A626="","",'Outro banco'!B626)</f>
        <v/>
      </c>
      <c r="C626" s="7" t="str">
        <f aca="false">IF(A626="","",'Outro banco'!C626)</f>
        <v/>
      </c>
      <c r="D626" s="7" t="str">
        <f aca="false">IF(A626="","",'Outro banco'!D626)</f>
        <v/>
      </c>
      <c r="E626" s="9"/>
      <c r="F626" s="9"/>
      <c r="G626" s="7" t="str">
        <f aca="false">IF(A626="","",IF(COUNTIF(Tabelas!$A:$A,IF(E626="",A626,E626))&gt;0,"sim","não"))</f>
        <v/>
      </c>
      <c r="H626" s="7" t="str">
        <f aca="false">IF(A626="","",IF(E626="",A626,E626)&amp;"."&amp;IF(F626="",B626,F626))</f>
        <v/>
      </c>
      <c r="I626" s="7" t="str">
        <f aca="false">IF(A626="","",IFERROR(INDEX('Campos Growths'!$F:$F,MATCH(H626,'Campos Growths'!$A:$A,0)),""))</f>
        <v/>
      </c>
      <c r="J626" s="7" t="str">
        <f aca="false">IF(A626="","",IFERROR(VLOOKUP(IF(ISNUMBER(SEARCH("(",C626)),LEFT(C626,SEARCH("(",C626)-1),C626),Tipos!$A:$B,2,FALSE()),"outro"))</f>
        <v/>
      </c>
      <c r="K626" s="7" t="str">
        <f aca="false">IF(I626="","",IFERROR(INDEX('Campos Growths'!$L:$L,MATCH(H626,'Campos Growths'!$A:$A,0)),""))</f>
        <v/>
      </c>
      <c r="L626" s="7" t="str">
        <f aca="false">IF(A626="","",IF(G626="não","Sem tabela no Growths",IF(I626="","Sem campo no Growths",IF(J626=K626,"Importa direto","Ajustar tipo"))))</f>
        <v/>
      </c>
      <c r="M626" s="9"/>
    </row>
    <row r="627" customFormat="false" ht="15" hidden="false" customHeight="false" outlineLevel="0" collapsed="false">
      <c r="A627" s="7" t="str">
        <f aca="false">IF('Outro banco'!A627="","",IF(LEFT('Outro banco'!A627,1)="(","",'Outro banco'!A627))</f>
        <v/>
      </c>
      <c r="B627" s="7" t="str">
        <f aca="false">IF(A627="","",'Outro banco'!B627)</f>
        <v/>
      </c>
      <c r="C627" s="7" t="str">
        <f aca="false">IF(A627="","",'Outro banco'!C627)</f>
        <v/>
      </c>
      <c r="D627" s="7" t="str">
        <f aca="false">IF(A627="","",'Outro banco'!D627)</f>
        <v/>
      </c>
      <c r="E627" s="9"/>
      <c r="F627" s="9"/>
      <c r="G627" s="7" t="str">
        <f aca="false">IF(A627="","",IF(COUNTIF(Tabelas!$A:$A,IF(E627="",A627,E627))&gt;0,"sim","não"))</f>
        <v/>
      </c>
      <c r="H627" s="7" t="str">
        <f aca="false">IF(A627="","",IF(E627="",A627,E627)&amp;"."&amp;IF(F627="",B627,F627))</f>
        <v/>
      </c>
      <c r="I627" s="7" t="str">
        <f aca="false">IF(A627="","",IFERROR(INDEX('Campos Growths'!$F:$F,MATCH(H627,'Campos Growths'!$A:$A,0)),""))</f>
        <v/>
      </c>
      <c r="J627" s="7" t="str">
        <f aca="false">IF(A627="","",IFERROR(VLOOKUP(IF(ISNUMBER(SEARCH("(",C627)),LEFT(C627,SEARCH("(",C627)-1),C627),Tipos!$A:$B,2,FALSE()),"outro"))</f>
        <v/>
      </c>
      <c r="K627" s="7" t="str">
        <f aca="false">IF(I627="","",IFERROR(INDEX('Campos Growths'!$L:$L,MATCH(H627,'Campos Growths'!$A:$A,0)),""))</f>
        <v/>
      </c>
      <c r="L627" s="7" t="str">
        <f aca="false">IF(A627="","",IF(G627="não","Sem tabela no Growths",IF(I627="","Sem campo no Growths",IF(J627=K627,"Importa direto","Ajustar tipo"))))</f>
        <v/>
      </c>
      <c r="M627" s="9"/>
    </row>
    <row r="628" customFormat="false" ht="15" hidden="false" customHeight="false" outlineLevel="0" collapsed="false">
      <c r="A628" s="7" t="str">
        <f aca="false">IF('Outro banco'!A628="","",IF(LEFT('Outro banco'!A628,1)="(","",'Outro banco'!A628))</f>
        <v/>
      </c>
      <c r="B628" s="7" t="str">
        <f aca="false">IF(A628="","",'Outro banco'!B628)</f>
        <v/>
      </c>
      <c r="C628" s="7" t="str">
        <f aca="false">IF(A628="","",'Outro banco'!C628)</f>
        <v/>
      </c>
      <c r="D628" s="7" t="str">
        <f aca="false">IF(A628="","",'Outro banco'!D628)</f>
        <v/>
      </c>
      <c r="E628" s="9"/>
      <c r="F628" s="9"/>
      <c r="G628" s="7" t="str">
        <f aca="false">IF(A628="","",IF(COUNTIF(Tabelas!$A:$A,IF(E628="",A628,E628))&gt;0,"sim","não"))</f>
        <v/>
      </c>
      <c r="H628" s="7" t="str">
        <f aca="false">IF(A628="","",IF(E628="",A628,E628)&amp;"."&amp;IF(F628="",B628,F628))</f>
        <v/>
      </c>
      <c r="I628" s="7" t="str">
        <f aca="false">IF(A628="","",IFERROR(INDEX('Campos Growths'!$F:$F,MATCH(H628,'Campos Growths'!$A:$A,0)),""))</f>
        <v/>
      </c>
      <c r="J628" s="7" t="str">
        <f aca="false">IF(A628="","",IFERROR(VLOOKUP(IF(ISNUMBER(SEARCH("(",C628)),LEFT(C628,SEARCH("(",C628)-1),C628),Tipos!$A:$B,2,FALSE()),"outro"))</f>
        <v/>
      </c>
      <c r="K628" s="7" t="str">
        <f aca="false">IF(I628="","",IFERROR(INDEX('Campos Growths'!$L:$L,MATCH(H628,'Campos Growths'!$A:$A,0)),""))</f>
        <v/>
      </c>
      <c r="L628" s="7" t="str">
        <f aca="false">IF(A628="","",IF(G628="não","Sem tabela no Growths",IF(I628="","Sem campo no Growths",IF(J628=K628,"Importa direto","Ajustar tipo"))))</f>
        <v/>
      </c>
      <c r="M628" s="9"/>
    </row>
    <row r="629" customFormat="false" ht="15" hidden="false" customHeight="false" outlineLevel="0" collapsed="false">
      <c r="A629" s="7" t="str">
        <f aca="false">IF('Outro banco'!A629="","",IF(LEFT('Outro banco'!A629,1)="(","",'Outro banco'!A629))</f>
        <v/>
      </c>
      <c r="B629" s="7" t="str">
        <f aca="false">IF(A629="","",'Outro banco'!B629)</f>
        <v/>
      </c>
      <c r="C629" s="7" t="str">
        <f aca="false">IF(A629="","",'Outro banco'!C629)</f>
        <v/>
      </c>
      <c r="D629" s="7" t="str">
        <f aca="false">IF(A629="","",'Outro banco'!D629)</f>
        <v/>
      </c>
      <c r="E629" s="9"/>
      <c r="F629" s="9"/>
      <c r="G629" s="7" t="str">
        <f aca="false">IF(A629="","",IF(COUNTIF(Tabelas!$A:$A,IF(E629="",A629,E629))&gt;0,"sim","não"))</f>
        <v/>
      </c>
      <c r="H629" s="7" t="str">
        <f aca="false">IF(A629="","",IF(E629="",A629,E629)&amp;"."&amp;IF(F629="",B629,F629))</f>
        <v/>
      </c>
      <c r="I629" s="7" t="str">
        <f aca="false">IF(A629="","",IFERROR(INDEX('Campos Growths'!$F:$F,MATCH(H629,'Campos Growths'!$A:$A,0)),""))</f>
        <v/>
      </c>
      <c r="J629" s="7" t="str">
        <f aca="false">IF(A629="","",IFERROR(VLOOKUP(IF(ISNUMBER(SEARCH("(",C629)),LEFT(C629,SEARCH("(",C629)-1),C629),Tipos!$A:$B,2,FALSE()),"outro"))</f>
        <v/>
      </c>
      <c r="K629" s="7" t="str">
        <f aca="false">IF(I629="","",IFERROR(INDEX('Campos Growths'!$L:$L,MATCH(H629,'Campos Growths'!$A:$A,0)),""))</f>
        <v/>
      </c>
      <c r="L629" s="7" t="str">
        <f aca="false">IF(A629="","",IF(G629="não","Sem tabela no Growths",IF(I629="","Sem campo no Growths",IF(J629=K629,"Importa direto","Ajustar tipo"))))</f>
        <v/>
      </c>
      <c r="M629" s="9"/>
    </row>
    <row r="630" customFormat="false" ht="15" hidden="false" customHeight="false" outlineLevel="0" collapsed="false">
      <c r="A630" s="7" t="str">
        <f aca="false">IF('Outro banco'!A630="","",IF(LEFT('Outro banco'!A630,1)="(","",'Outro banco'!A630))</f>
        <v/>
      </c>
      <c r="B630" s="7" t="str">
        <f aca="false">IF(A630="","",'Outro banco'!B630)</f>
        <v/>
      </c>
      <c r="C630" s="7" t="str">
        <f aca="false">IF(A630="","",'Outro banco'!C630)</f>
        <v/>
      </c>
      <c r="D630" s="7" t="str">
        <f aca="false">IF(A630="","",'Outro banco'!D630)</f>
        <v/>
      </c>
      <c r="E630" s="9"/>
      <c r="F630" s="9"/>
      <c r="G630" s="7" t="str">
        <f aca="false">IF(A630="","",IF(COUNTIF(Tabelas!$A:$A,IF(E630="",A630,E630))&gt;0,"sim","não"))</f>
        <v/>
      </c>
      <c r="H630" s="7" t="str">
        <f aca="false">IF(A630="","",IF(E630="",A630,E630)&amp;"."&amp;IF(F630="",B630,F630))</f>
        <v/>
      </c>
      <c r="I630" s="7" t="str">
        <f aca="false">IF(A630="","",IFERROR(INDEX('Campos Growths'!$F:$F,MATCH(H630,'Campos Growths'!$A:$A,0)),""))</f>
        <v/>
      </c>
      <c r="J630" s="7" t="str">
        <f aca="false">IF(A630="","",IFERROR(VLOOKUP(IF(ISNUMBER(SEARCH("(",C630)),LEFT(C630,SEARCH("(",C630)-1),C630),Tipos!$A:$B,2,FALSE()),"outro"))</f>
        <v/>
      </c>
      <c r="K630" s="7" t="str">
        <f aca="false">IF(I630="","",IFERROR(INDEX('Campos Growths'!$L:$L,MATCH(H630,'Campos Growths'!$A:$A,0)),""))</f>
        <v/>
      </c>
      <c r="L630" s="7" t="str">
        <f aca="false">IF(A630="","",IF(G630="não","Sem tabela no Growths",IF(I630="","Sem campo no Growths",IF(J630=K630,"Importa direto","Ajustar tipo"))))</f>
        <v/>
      </c>
      <c r="M630" s="9"/>
    </row>
    <row r="631" customFormat="false" ht="15" hidden="false" customHeight="false" outlineLevel="0" collapsed="false">
      <c r="A631" s="7" t="str">
        <f aca="false">IF('Outro banco'!A631="","",IF(LEFT('Outro banco'!A631,1)="(","",'Outro banco'!A631))</f>
        <v/>
      </c>
      <c r="B631" s="7" t="str">
        <f aca="false">IF(A631="","",'Outro banco'!B631)</f>
        <v/>
      </c>
      <c r="C631" s="7" t="str">
        <f aca="false">IF(A631="","",'Outro banco'!C631)</f>
        <v/>
      </c>
      <c r="D631" s="7" t="str">
        <f aca="false">IF(A631="","",'Outro banco'!D631)</f>
        <v/>
      </c>
      <c r="E631" s="9"/>
      <c r="F631" s="9"/>
      <c r="G631" s="7" t="str">
        <f aca="false">IF(A631="","",IF(COUNTIF(Tabelas!$A:$A,IF(E631="",A631,E631))&gt;0,"sim","não"))</f>
        <v/>
      </c>
      <c r="H631" s="7" t="str">
        <f aca="false">IF(A631="","",IF(E631="",A631,E631)&amp;"."&amp;IF(F631="",B631,F631))</f>
        <v/>
      </c>
      <c r="I631" s="7" t="str">
        <f aca="false">IF(A631="","",IFERROR(INDEX('Campos Growths'!$F:$F,MATCH(H631,'Campos Growths'!$A:$A,0)),""))</f>
        <v/>
      </c>
      <c r="J631" s="7" t="str">
        <f aca="false">IF(A631="","",IFERROR(VLOOKUP(IF(ISNUMBER(SEARCH("(",C631)),LEFT(C631,SEARCH("(",C631)-1),C631),Tipos!$A:$B,2,FALSE()),"outro"))</f>
        <v/>
      </c>
      <c r="K631" s="7" t="str">
        <f aca="false">IF(I631="","",IFERROR(INDEX('Campos Growths'!$L:$L,MATCH(H631,'Campos Growths'!$A:$A,0)),""))</f>
        <v/>
      </c>
      <c r="L631" s="7" t="str">
        <f aca="false">IF(A631="","",IF(G631="não","Sem tabela no Growths",IF(I631="","Sem campo no Growths",IF(J631=K631,"Importa direto","Ajustar tipo"))))</f>
        <v/>
      </c>
      <c r="M631" s="9"/>
    </row>
    <row r="632" customFormat="false" ht="15" hidden="false" customHeight="false" outlineLevel="0" collapsed="false">
      <c r="A632" s="7" t="str">
        <f aca="false">IF('Outro banco'!A632="","",IF(LEFT('Outro banco'!A632,1)="(","",'Outro banco'!A632))</f>
        <v/>
      </c>
      <c r="B632" s="7" t="str">
        <f aca="false">IF(A632="","",'Outro banco'!B632)</f>
        <v/>
      </c>
      <c r="C632" s="7" t="str">
        <f aca="false">IF(A632="","",'Outro banco'!C632)</f>
        <v/>
      </c>
      <c r="D632" s="7" t="str">
        <f aca="false">IF(A632="","",'Outro banco'!D632)</f>
        <v/>
      </c>
      <c r="E632" s="9"/>
      <c r="F632" s="9"/>
      <c r="G632" s="7" t="str">
        <f aca="false">IF(A632="","",IF(COUNTIF(Tabelas!$A:$A,IF(E632="",A632,E632))&gt;0,"sim","não"))</f>
        <v/>
      </c>
      <c r="H632" s="7" t="str">
        <f aca="false">IF(A632="","",IF(E632="",A632,E632)&amp;"."&amp;IF(F632="",B632,F632))</f>
        <v/>
      </c>
      <c r="I632" s="7" t="str">
        <f aca="false">IF(A632="","",IFERROR(INDEX('Campos Growths'!$F:$F,MATCH(H632,'Campos Growths'!$A:$A,0)),""))</f>
        <v/>
      </c>
      <c r="J632" s="7" t="str">
        <f aca="false">IF(A632="","",IFERROR(VLOOKUP(IF(ISNUMBER(SEARCH("(",C632)),LEFT(C632,SEARCH("(",C632)-1),C632),Tipos!$A:$B,2,FALSE()),"outro"))</f>
        <v/>
      </c>
      <c r="K632" s="7" t="str">
        <f aca="false">IF(I632="","",IFERROR(INDEX('Campos Growths'!$L:$L,MATCH(H632,'Campos Growths'!$A:$A,0)),""))</f>
        <v/>
      </c>
      <c r="L632" s="7" t="str">
        <f aca="false">IF(A632="","",IF(G632="não","Sem tabela no Growths",IF(I632="","Sem campo no Growths",IF(J632=K632,"Importa direto","Ajustar tipo"))))</f>
        <v/>
      </c>
      <c r="M632" s="9"/>
    </row>
    <row r="633" customFormat="false" ht="15" hidden="false" customHeight="false" outlineLevel="0" collapsed="false">
      <c r="A633" s="7" t="str">
        <f aca="false">IF('Outro banco'!A633="","",IF(LEFT('Outro banco'!A633,1)="(","",'Outro banco'!A633))</f>
        <v/>
      </c>
      <c r="B633" s="7" t="str">
        <f aca="false">IF(A633="","",'Outro banco'!B633)</f>
        <v/>
      </c>
      <c r="C633" s="7" t="str">
        <f aca="false">IF(A633="","",'Outro banco'!C633)</f>
        <v/>
      </c>
      <c r="D633" s="7" t="str">
        <f aca="false">IF(A633="","",'Outro banco'!D633)</f>
        <v/>
      </c>
      <c r="E633" s="9"/>
      <c r="F633" s="9"/>
      <c r="G633" s="7" t="str">
        <f aca="false">IF(A633="","",IF(COUNTIF(Tabelas!$A:$A,IF(E633="",A633,E633))&gt;0,"sim","não"))</f>
        <v/>
      </c>
      <c r="H633" s="7" t="str">
        <f aca="false">IF(A633="","",IF(E633="",A633,E633)&amp;"."&amp;IF(F633="",B633,F633))</f>
        <v/>
      </c>
      <c r="I633" s="7" t="str">
        <f aca="false">IF(A633="","",IFERROR(INDEX('Campos Growths'!$F:$F,MATCH(H633,'Campos Growths'!$A:$A,0)),""))</f>
        <v/>
      </c>
      <c r="J633" s="7" t="str">
        <f aca="false">IF(A633="","",IFERROR(VLOOKUP(IF(ISNUMBER(SEARCH("(",C633)),LEFT(C633,SEARCH("(",C633)-1),C633),Tipos!$A:$B,2,FALSE()),"outro"))</f>
        <v/>
      </c>
      <c r="K633" s="7" t="str">
        <f aca="false">IF(I633="","",IFERROR(INDEX('Campos Growths'!$L:$L,MATCH(H633,'Campos Growths'!$A:$A,0)),""))</f>
        <v/>
      </c>
      <c r="L633" s="7" t="str">
        <f aca="false">IF(A633="","",IF(G633="não","Sem tabela no Growths",IF(I633="","Sem campo no Growths",IF(J633=K633,"Importa direto","Ajustar tipo"))))</f>
        <v/>
      </c>
      <c r="M633" s="9"/>
    </row>
    <row r="634" customFormat="false" ht="15" hidden="false" customHeight="false" outlineLevel="0" collapsed="false">
      <c r="A634" s="7" t="str">
        <f aca="false">IF('Outro banco'!A634="","",IF(LEFT('Outro banco'!A634,1)="(","",'Outro banco'!A634))</f>
        <v/>
      </c>
      <c r="B634" s="7" t="str">
        <f aca="false">IF(A634="","",'Outro banco'!B634)</f>
        <v/>
      </c>
      <c r="C634" s="7" t="str">
        <f aca="false">IF(A634="","",'Outro banco'!C634)</f>
        <v/>
      </c>
      <c r="D634" s="7" t="str">
        <f aca="false">IF(A634="","",'Outro banco'!D634)</f>
        <v/>
      </c>
      <c r="E634" s="9"/>
      <c r="F634" s="9"/>
      <c r="G634" s="7" t="str">
        <f aca="false">IF(A634="","",IF(COUNTIF(Tabelas!$A:$A,IF(E634="",A634,E634))&gt;0,"sim","não"))</f>
        <v/>
      </c>
      <c r="H634" s="7" t="str">
        <f aca="false">IF(A634="","",IF(E634="",A634,E634)&amp;"."&amp;IF(F634="",B634,F634))</f>
        <v/>
      </c>
      <c r="I634" s="7" t="str">
        <f aca="false">IF(A634="","",IFERROR(INDEX('Campos Growths'!$F:$F,MATCH(H634,'Campos Growths'!$A:$A,0)),""))</f>
        <v/>
      </c>
      <c r="J634" s="7" t="str">
        <f aca="false">IF(A634="","",IFERROR(VLOOKUP(IF(ISNUMBER(SEARCH("(",C634)),LEFT(C634,SEARCH("(",C634)-1),C634),Tipos!$A:$B,2,FALSE()),"outro"))</f>
        <v/>
      </c>
      <c r="K634" s="7" t="str">
        <f aca="false">IF(I634="","",IFERROR(INDEX('Campos Growths'!$L:$L,MATCH(H634,'Campos Growths'!$A:$A,0)),""))</f>
        <v/>
      </c>
      <c r="L634" s="7" t="str">
        <f aca="false">IF(A634="","",IF(G634="não","Sem tabela no Growths",IF(I634="","Sem campo no Growths",IF(J634=K634,"Importa direto","Ajustar tipo"))))</f>
        <v/>
      </c>
      <c r="M634" s="9"/>
    </row>
    <row r="635" customFormat="false" ht="15" hidden="false" customHeight="false" outlineLevel="0" collapsed="false">
      <c r="A635" s="7" t="str">
        <f aca="false">IF('Outro banco'!A635="","",IF(LEFT('Outro banco'!A635,1)="(","",'Outro banco'!A635))</f>
        <v/>
      </c>
      <c r="B635" s="7" t="str">
        <f aca="false">IF(A635="","",'Outro banco'!B635)</f>
        <v/>
      </c>
      <c r="C635" s="7" t="str">
        <f aca="false">IF(A635="","",'Outro banco'!C635)</f>
        <v/>
      </c>
      <c r="D635" s="7" t="str">
        <f aca="false">IF(A635="","",'Outro banco'!D635)</f>
        <v/>
      </c>
      <c r="E635" s="9"/>
      <c r="F635" s="9"/>
      <c r="G635" s="7" t="str">
        <f aca="false">IF(A635="","",IF(COUNTIF(Tabelas!$A:$A,IF(E635="",A635,E635))&gt;0,"sim","não"))</f>
        <v/>
      </c>
      <c r="H635" s="7" t="str">
        <f aca="false">IF(A635="","",IF(E635="",A635,E635)&amp;"."&amp;IF(F635="",B635,F635))</f>
        <v/>
      </c>
      <c r="I635" s="7" t="str">
        <f aca="false">IF(A635="","",IFERROR(INDEX('Campos Growths'!$F:$F,MATCH(H635,'Campos Growths'!$A:$A,0)),""))</f>
        <v/>
      </c>
      <c r="J635" s="7" t="str">
        <f aca="false">IF(A635="","",IFERROR(VLOOKUP(IF(ISNUMBER(SEARCH("(",C635)),LEFT(C635,SEARCH("(",C635)-1),C635),Tipos!$A:$B,2,FALSE()),"outro"))</f>
        <v/>
      </c>
      <c r="K635" s="7" t="str">
        <f aca="false">IF(I635="","",IFERROR(INDEX('Campos Growths'!$L:$L,MATCH(H635,'Campos Growths'!$A:$A,0)),""))</f>
        <v/>
      </c>
      <c r="L635" s="7" t="str">
        <f aca="false">IF(A635="","",IF(G635="não","Sem tabela no Growths",IF(I635="","Sem campo no Growths",IF(J635=K635,"Importa direto","Ajustar tipo"))))</f>
        <v/>
      </c>
      <c r="M635" s="9"/>
    </row>
    <row r="636" customFormat="false" ht="15" hidden="false" customHeight="false" outlineLevel="0" collapsed="false">
      <c r="A636" s="7" t="str">
        <f aca="false">IF('Outro banco'!A636="","",IF(LEFT('Outro banco'!A636,1)="(","",'Outro banco'!A636))</f>
        <v/>
      </c>
      <c r="B636" s="7" t="str">
        <f aca="false">IF(A636="","",'Outro banco'!B636)</f>
        <v/>
      </c>
      <c r="C636" s="7" t="str">
        <f aca="false">IF(A636="","",'Outro banco'!C636)</f>
        <v/>
      </c>
      <c r="D636" s="7" t="str">
        <f aca="false">IF(A636="","",'Outro banco'!D636)</f>
        <v/>
      </c>
      <c r="E636" s="9"/>
      <c r="F636" s="9"/>
      <c r="G636" s="7" t="str">
        <f aca="false">IF(A636="","",IF(COUNTIF(Tabelas!$A:$A,IF(E636="",A636,E636))&gt;0,"sim","não"))</f>
        <v/>
      </c>
      <c r="H636" s="7" t="str">
        <f aca="false">IF(A636="","",IF(E636="",A636,E636)&amp;"."&amp;IF(F636="",B636,F636))</f>
        <v/>
      </c>
      <c r="I636" s="7" t="str">
        <f aca="false">IF(A636="","",IFERROR(INDEX('Campos Growths'!$F:$F,MATCH(H636,'Campos Growths'!$A:$A,0)),""))</f>
        <v/>
      </c>
      <c r="J636" s="7" t="str">
        <f aca="false">IF(A636="","",IFERROR(VLOOKUP(IF(ISNUMBER(SEARCH("(",C636)),LEFT(C636,SEARCH("(",C636)-1),C636),Tipos!$A:$B,2,FALSE()),"outro"))</f>
        <v/>
      </c>
      <c r="K636" s="7" t="str">
        <f aca="false">IF(I636="","",IFERROR(INDEX('Campos Growths'!$L:$L,MATCH(H636,'Campos Growths'!$A:$A,0)),""))</f>
        <v/>
      </c>
      <c r="L636" s="7" t="str">
        <f aca="false">IF(A636="","",IF(G636="não","Sem tabela no Growths",IF(I636="","Sem campo no Growths",IF(J636=K636,"Importa direto","Ajustar tipo"))))</f>
        <v/>
      </c>
      <c r="M636" s="9"/>
    </row>
    <row r="637" customFormat="false" ht="15" hidden="false" customHeight="false" outlineLevel="0" collapsed="false">
      <c r="A637" s="7" t="str">
        <f aca="false">IF('Outro banco'!A637="","",IF(LEFT('Outro banco'!A637,1)="(","",'Outro banco'!A637))</f>
        <v/>
      </c>
      <c r="B637" s="7" t="str">
        <f aca="false">IF(A637="","",'Outro banco'!B637)</f>
        <v/>
      </c>
      <c r="C637" s="7" t="str">
        <f aca="false">IF(A637="","",'Outro banco'!C637)</f>
        <v/>
      </c>
      <c r="D637" s="7" t="str">
        <f aca="false">IF(A637="","",'Outro banco'!D637)</f>
        <v/>
      </c>
      <c r="E637" s="9"/>
      <c r="F637" s="9"/>
      <c r="G637" s="7" t="str">
        <f aca="false">IF(A637="","",IF(COUNTIF(Tabelas!$A:$A,IF(E637="",A637,E637))&gt;0,"sim","não"))</f>
        <v/>
      </c>
      <c r="H637" s="7" t="str">
        <f aca="false">IF(A637="","",IF(E637="",A637,E637)&amp;"."&amp;IF(F637="",B637,F637))</f>
        <v/>
      </c>
      <c r="I637" s="7" t="str">
        <f aca="false">IF(A637="","",IFERROR(INDEX('Campos Growths'!$F:$F,MATCH(H637,'Campos Growths'!$A:$A,0)),""))</f>
        <v/>
      </c>
      <c r="J637" s="7" t="str">
        <f aca="false">IF(A637="","",IFERROR(VLOOKUP(IF(ISNUMBER(SEARCH("(",C637)),LEFT(C637,SEARCH("(",C637)-1),C637),Tipos!$A:$B,2,FALSE()),"outro"))</f>
        <v/>
      </c>
      <c r="K637" s="7" t="str">
        <f aca="false">IF(I637="","",IFERROR(INDEX('Campos Growths'!$L:$L,MATCH(H637,'Campos Growths'!$A:$A,0)),""))</f>
        <v/>
      </c>
      <c r="L637" s="7" t="str">
        <f aca="false">IF(A637="","",IF(G637="não","Sem tabela no Growths",IF(I637="","Sem campo no Growths",IF(J637=K637,"Importa direto","Ajustar tipo"))))</f>
        <v/>
      </c>
      <c r="M637" s="9"/>
    </row>
    <row r="638" customFormat="false" ht="15" hidden="false" customHeight="false" outlineLevel="0" collapsed="false">
      <c r="A638" s="7" t="str">
        <f aca="false">IF('Outro banco'!A638="","",IF(LEFT('Outro banco'!A638,1)="(","",'Outro banco'!A638))</f>
        <v/>
      </c>
      <c r="B638" s="7" t="str">
        <f aca="false">IF(A638="","",'Outro banco'!B638)</f>
        <v/>
      </c>
      <c r="C638" s="7" t="str">
        <f aca="false">IF(A638="","",'Outro banco'!C638)</f>
        <v/>
      </c>
      <c r="D638" s="7" t="str">
        <f aca="false">IF(A638="","",'Outro banco'!D638)</f>
        <v/>
      </c>
      <c r="E638" s="9"/>
      <c r="F638" s="9"/>
      <c r="G638" s="7" t="str">
        <f aca="false">IF(A638="","",IF(COUNTIF(Tabelas!$A:$A,IF(E638="",A638,E638))&gt;0,"sim","não"))</f>
        <v/>
      </c>
      <c r="H638" s="7" t="str">
        <f aca="false">IF(A638="","",IF(E638="",A638,E638)&amp;"."&amp;IF(F638="",B638,F638))</f>
        <v/>
      </c>
      <c r="I638" s="7" t="str">
        <f aca="false">IF(A638="","",IFERROR(INDEX('Campos Growths'!$F:$F,MATCH(H638,'Campos Growths'!$A:$A,0)),""))</f>
        <v/>
      </c>
      <c r="J638" s="7" t="str">
        <f aca="false">IF(A638="","",IFERROR(VLOOKUP(IF(ISNUMBER(SEARCH("(",C638)),LEFT(C638,SEARCH("(",C638)-1),C638),Tipos!$A:$B,2,FALSE()),"outro"))</f>
        <v/>
      </c>
      <c r="K638" s="7" t="str">
        <f aca="false">IF(I638="","",IFERROR(INDEX('Campos Growths'!$L:$L,MATCH(H638,'Campos Growths'!$A:$A,0)),""))</f>
        <v/>
      </c>
      <c r="L638" s="7" t="str">
        <f aca="false">IF(A638="","",IF(G638="não","Sem tabela no Growths",IF(I638="","Sem campo no Growths",IF(J638=K638,"Importa direto","Ajustar tipo"))))</f>
        <v/>
      </c>
      <c r="M638" s="9"/>
    </row>
    <row r="639" customFormat="false" ht="15" hidden="false" customHeight="false" outlineLevel="0" collapsed="false">
      <c r="A639" s="7" t="str">
        <f aca="false">IF('Outro banco'!A639="","",IF(LEFT('Outro banco'!A639,1)="(","",'Outro banco'!A639))</f>
        <v/>
      </c>
      <c r="B639" s="7" t="str">
        <f aca="false">IF(A639="","",'Outro banco'!B639)</f>
        <v/>
      </c>
      <c r="C639" s="7" t="str">
        <f aca="false">IF(A639="","",'Outro banco'!C639)</f>
        <v/>
      </c>
      <c r="D639" s="7" t="str">
        <f aca="false">IF(A639="","",'Outro banco'!D639)</f>
        <v/>
      </c>
      <c r="E639" s="9"/>
      <c r="F639" s="9"/>
      <c r="G639" s="7" t="str">
        <f aca="false">IF(A639="","",IF(COUNTIF(Tabelas!$A:$A,IF(E639="",A639,E639))&gt;0,"sim","não"))</f>
        <v/>
      </c>
      <c r="H639" s="7" t="str">
        <f aca="false">IF(A639="","",IF(E639="",A639,E639)&amp;"."&amp;IF(F639="",B639,F639))</f>
        <v/>
      </c>
      <c r="I639" s="7" t="str">
        <f aca="false">IF(A639="","",IFERROR(INDEX('Campos Growths'!$F:$F,MATCH(H639,'Campos Growths'!$A:$A,0)),""))</f>
        <v/>
      </c>
      <c r="J639" s="7" t="str">
        <f aca="false">IF(A639="","",IFERROR(VLOOKUP(IF(ISNUMBER(SEARCH("(",C639)),LEFT(C639,SEARCH("(",C639)-1),C639),Tipos!$A:$B,2,FALSE()),"outro"))</f>
        <v/>
      </c>
      <c r="K639" s="7" t="str">
        <f aca="false">IF(I639="","",IFERROR(INDEX('Campos Growths'!$L:$L,MATCH(H639,'Campos Growths'!$A:$A,0)),""))</f>
        <v/>
      </c>
      <c r="L639" s="7" t="str">
        <f aca="false">IF(A639="","",IF(G639="não","Sem tabela no Growths",IF(I639="","Sem campo no Growths",IF(J639=K639,"Importa direto","Ajustar tipo"))))</f>
        <v/>
      </c>
      <c r="M639" s="9"/>
    </row>
    <row r="640" customFormat="false" ht="15" hidden="false" customHeight="false" outlineLevel="0" collapsed="false">
      <c r="A640" s="7" t="str">
        <f aca="false">IF('Outro banco'!A640="","",IF(LEFT('Outro banco'!A640,1)="(","",'Outro banco'!A640))</f>
        <v/>
      </c>
      <c r="B640" s="7" t="str">
        <f aca="false">IF(A640="","",'Outro banco'!B640)</f>
        <v/>
      </c>
      <c r="C640" s="7" t="str">
        <f aca="false">IF(A640="","",'Outro banco'!C640)</f>
        <v/>
      </c>
      <c r="D640" s="7" t="str">
        <f aca="false">IF(A640="","",'Outro banco'!D640)</f>
        <v/>
      </c>
      <c r="E640" s="9"/>
      <c r="F640" s="9"/>
      <c r="G640" s="7" t="str">
        <f aca="false">IF(A640="","",IF(COUNTIF(Tabelas!$A:$A,IF(E640="",A640,E640))&gt;0,"sim","não"))</f>
        <v/>
      </c>
      <c r="H640" s="7" t="str">
        <f aca="false">IF(A640="","",IF(E640="",A640,E640)&amp;"."&amp;IF(F640="",B640,F640))</f>
        <v/>
      </c>
      <c r="I640" s="7" t="str">
        <f aca="false">IF(A640="","",IFERROR(INDEX('Campos Growths'!$F:$F,MATCH(H640,'Campos Growths'!$A:$A,0)),""))</f>
        <v/>
      </c>
      <c r="J640" s="7" t="str">
        <f aca="false">IF(A640="","",IFERROR(VLOOKUP(IF(ISNUMBER(SEARCH("(",C640)),LEFT(C640,SEARCH("(",C640)-1),C640),Tipos!$A:$B,2,FALSE()),"outro"))</f>
        <v/>
      </c>
      <c r="K640" s="7" t="str">
        <f aca="false">IF(I640="","",IFERROR(INDEX('Campos Growths'!$L:$L,MATCH(H640,'Campos Growths'!$A:$A,0)),""))</f>
        <v/>
      </c>
      <c r="L640" s="7" t="str">
        <f aca="false">IF(A640="","",IF(G640="não","Sem tabela no Growths",IF(I640="","Sem campo no Growths",IF(J640=K640,"Importa direto","Ajustar tipo"))))</f>
        <v/>
      </c>
      <c r="M640" s="9"/>
    </row>
    <row r="641" customFormat="false" ht="15" hidden="false" customHeight="false" outlineLevel="0" collapsed="false">
      <c r="A641" s="7" t="str">
        <f aca="false">IF('Outro banco'!A641="","",IF(LEFT('Outro banco'!A641,1)="(","",'Outro banco'!A641))</f>
        <v/>
      </c>
      <c r="B641" s="7" t="str">
        <f aca="false">IF(A641="","",'Outro banco'!B641)</f>
        <v/>
      </c>
      <c r="C641" s="7" t="str">
        <f aca="false">IF(A641="","",'Outro banco'!C641)</f>
        <v/>
      </c>
      <c r="D641" s="7" t="str">
        <f aca="false">IF(A641="","",'Outro banco'!D641)</f>
        <v/>
      </c>
      <c r="E641" s="9"/>
      <c r="F641" s="9"/>
      <c r="G641" s="7" t="str">
        <f aca="false">IF(A641="","",IF(COUNTIF(Tabelas!$A:$A,IF(E641="",A641,E641))&gt;0,"sim","não"))</f>
        <v/>
      </c>
      <c r="H641" s="7" t="str">
        <f aca="false">IF(A641="","",IF(E641="",A641,E641)&amp;"."&amp;IF(F641="",B641,F641))</f>
        <v/>
      </c>
      <c r="I641" s="7" t="str">
        <f aca="false">IF(A641="","",IFERROR(INDEX('Campos Growths'!$F:$F,MATCH(H641,'Campos Growths'!$A:$A,0)),""))</f>
        <v/>
      </c>
      <c r="J641" s="7" t="str">
        <f aca="false">IF(A641="","",IFERROR(VLOOKUP(IF(ISNUMBER(SEARCH("(",C641)),LEFT(C641,SEARCH("(",C641)-1),C641),Tipos!$A:$B,2,FALSE()),"outro"))</f>
        <v/>
      </c>
      <c r="K641" s="7" t="str">
        <f aca="false">IF(I641="","",IFERROR(INDEX('Campos Growths'!$L:$L,MATCH(H641,'Campos Growths'!$A:$A,0)),""))</f>
        <v/>
      </c>
      <c r="L641" s="7" t="str">
        <f aca="false">IF(A641="","",IF(G641="não","Sem tabela no Growths",IF(I641="","Sem campo no Growths",IF(J641=K641,"Importa direto","Ajustar tipo"))))</f>
        <v/>
      </c>
      <c r="M641" s="9"/>
    </row>
    <row r="642" customFormat="false" ht="15" hidden="false" customHeight="false" outlineLevel="0" collapsed="false">
      <c r="A642" s="7" t="str">
        <f aca="false">IF('Outro banco'!A642="","",IF(LEFT('Outro banco'!A642,1)="(","",'Outro banco'!A642))</f>
        <v/>
      </c>
      <c r="B642" s="7" t="str">
        <f aca="false">IF(A642="","",'Outro banco'!B642)</f>
        <v/>
      </c>
      <c r="C642" s="7" t="str">
        <f aca="false">IF(A642="","",'Outro banco'!C642)</f>
        <v/>
      </c>
      <c r="D642" s="7" t="str">
        <f aca="false">IF(A642="","",'Outro banco'!D642)</f>
        <v/>
      </c>
      <c r="E642" s="9"/>
      <c r="F642" s="9"/>
      <c r="G642" s="7" t="str">
        <f aca="false">IF(A642="","",IF(COUNTIF(Tabelas!$A:$A,IF(E642="",A642,E642))&gt;0,"sim","não"))</f>
        <v/>
      </c>
      <c r="H642" s="7" t="str">
        <f aca="false">IF(A642="","",IF(E642="",A642,E642)&amp;"."&amp;IF(F642="",B642,F642))</f>
        <v/>
      </c>
      <c r="I642" s="7" t="str">
        <f aca="false">IF(A642="","",IFERROR(INDEX('Campos Growths'!$F:$F,MATCH(H642,'Campos Growths'!$A:$A,0)),""))</f>
        <v/>
      </c>
      <c r="J642" s="7" t="str">
        <f aca="false">IF(A642="","",IFERROR(VLOOKUP(IF(ISNUMBER(SEARCH("(",C642)),LEFT(C642,SEARCH("(",C642)-1),C642),Tipos!$A:$B,2,FALSE()),"outro"))</f>
        <v/>
      </c>
      <c r="K642" s="7" t="str">
        <f aca="false">IF(I642="","",IFERROR(INDEX('Campos Growths'!$L:$L,MATCH(H642,'Campos Growths'!$A:$A,0)),""))</f>
        <v/>
      </c>
      <c r="L642" s="7" t="str">
        <f aca="false">IF(A642="","",IF(G642="não","Sem tabela no Growths",IF(I642="","Sem campo no Growths",IF(J642=K642,"Importa direto","Ajustar tipo"))))</f>
        <v/>
      </c>
      <c r="M642" s="9"/>
    </row>
    <row r="643" customFormat="false" ht="15" hidden="false" customHeight="false" outlineLevel="0" collapsed="false">
      <c r="A643" s="7" t="str">
        <f aca="false">IF('Outro banco'!A643="","",IF(LEFT('Outro banco'!A643,1)="(","",'Outro banco'!A643))</f>
        <v/>
      </c>
      <c r="B643" s="7" t="str">
        <f aca="false">IF(A643="","",'Outro banco'!B643)</f>
        <v/>
      </c>
      <c r="C643" s="7" t="str">
        <f aca="false">IF(A643="","",'Outro banco'!C643)</f>
        <v/>
      </c>
      <c r="D643" s="7" t="str">
        <f aca="false">IF(A643="","",'Outro banco'!D643)</f>
        <v/>
      </c>
      <c r="E643" s="9"/>
      <c r="F643" s="9"/>
      <c r="G643" s="7" t="str">
        <f aca="false">IF(A643="","",IF(COUNTIF(Tabelas!$A:$A,IF(E643="",A643,E643))&gt;0,"sim","não"))</f>
        <v/>
      </c>
      <c r="H643" s="7" t="str">
        <f aca="false">IF(A643="","",IF(E643="",A643,E643)&amp;"."&amp;IF(F643="",B643,F643))</f>
        <v/>
      </c>
      <c r="I643" s="7" t="str">
        <f aca="false">IF(A643="","",IFERROR(INDEX('Campos Growths'!$F:$F,MATCH(H643,'Campos Growths'!$A:$A,0)),""))</f>
        <v/>
      </c>
      <c r="J643" s="7" t="str">
        <f aca="false">IF(A643="","",IFERROR(VLOOKUP(IF(ISNUMBER(SEARCH("(",C643)),LEFT(C643,SEARCH("(",C643)-1),C643),Tipos!$A:$B,2,FALSE()),"outro"))</f>
        <v/>
      </c>
      <c r="K643" s="7" t="str">
        <f aca="false">IF(I643="","",IFERROR(INDEX('Campos Growths'!$L:$L,MATCH(H643,'Campos Growths'!$A:$A,0)),""))</f>
        <v/>
      </c>
      <c r="L643" s="7" t="str">
        <f aca="false">IF(A643="","",IF(G643="não","Sem tabela no Growths",IF(I643="","Sem campo no Growths",IF(J643=K643,"Importa direto","Ajustar tipo"))))</f>
        <v/>
      </c>
      <c r="M643" s="9"/>
    </row>
    <row r="644" customFormat="false" ht="15" hidden="false" customHeight="false" outlineLevel="0" collapsed="false">
      <c r="A644" s="7" t="str">
        <f aca="false">IF('Outro banco'!A644="","",IF(LEFT('Outro banco'!A644,1)="(","",'Outro banco'!A644))</f>
        <v/>
      </c>
      <c r="B644" s="7" t="str">
        <f aca="false">IF(A644="","",'Outro banco'!B644)</f>
        <v/>
      </c>
      <c r="C644" s="7" t="str">
        <f aca="false">IF(A644="","",'Outro banco'!C644)</f>
        <v/>
      </c>
      <c r="D644" s="7" t="str">
        <f aca="false">IF(A644="","",'Outro banco'!D644)</f>
        <v/>
      </c>
      <c r="E644" s="9"/>
      <c r="F644" s="9"/>
      <c r="G644" s="7" t="str">
        <f aca="false">IF(A644="","",IF(COUNTIF(Tabelas!$A:$A,IF(E644="",A644,E644))&gt;0,"sim","não"))</f>
        <v/>
      </c>
      <c r="H644" s="7" t="str">
        <f aca="false">IF(A644="","",IF(E644="",A644,E644)&amp;"."&amp;IF(F644="",B644,F644))</f>
        <v/>
      </c>
      <c r="I644" s="7" t="str">
        <f aca="false">IF(A644="","",IFERROR(INDEX('Campos Growths'!$F:$F,MATCH(H644,'Campos Growths'!$A:$A,0)),""))</f>
        <v/>
      </c>
      <c r="J644" s="7" t="str">
        <f aca="false">IF(A644="","",IFERROR(VLOOKUP(IF(ISNUMBER(SEARCH("(",C644)),LEFT(C644,SEARCH("(",C644)-1),C644),Tipos!$A:$B,2,FALSE()),"outro"))</f>
        <v/>
      </c>
      <c r="K644" s="7" t="str">
        <f aca="false">IF(I644="","",IFERROR(INDEX('Campos Growths'!$L:$L,MATCH(H644,'Campos Growths'!$A:$A,0)),""))</f>
        <v/>
      </c>
      <c r="L644" s="7" t="str">
        <f aca="false">IF(A644="","",IF(G644="não","Sem tabela no Growths",IF(I644="","Sem campo no Growths",IF(J644=K644,"Importa direto","Ajustar tipo"))))</f>
        <v/>
      </c>
      <c r="M644" s="9"/>
    </row>
    <row r="645" customFormat="false" ht="15" hidden="false" customHeight="false" outlineLevel="0" collapsed="false">
      <c r="A645" s="7" t="str">
        <f aca="false">IF('Outro banco'!A645="","",IF(LEFT('Outro banco'!A645,1)="(","",'Outro banco'!A645))</f>
        <v/>
      </c>
      <c r="B645" s="7" t="str">
        <f aca="false">IF(A645="","",'Outro banco'!B645)</f>
        <v/>
      </c>
      <c r="C645" s="7" t="str">
        <f aca="false">IF(A645="","",'Outro banco'!C645)</f>
        <v/>
      </c>
      <c r="D645" s="7" t="str">
        <f aca="false">IF(A645="","",'Outro banco'!D645)</f>
        <v/>
      </c>
      <c r="E645" s="9"/>
      <c r="F645" s="9"/>
      <c r="G645" s="7" t="str">
        <f aca="false">IF(A645="","",IF(COUNTIF(Tabelas!$A:$A,IF(E645="",A645,E645))&gt;0,"sim","não"))</f>
        <v/>
      </c>
      <c r="H645" s="7" t="str">
        <f aca="false">IF(A645="","",IF(E645="",A645,E645)&amp;"."&amp;IF(F645="",B645,F645))</f>
        <v/>
      </c>
      <c r="I645" s="7" t="str">
        <f aca="false">IF(A645="","",IFERROR(INDEX('Campos Growths'!$F:$F,MATCH(H645,'Campos Growths'!$A:$A,0)),""))</f>
        <v/>
      </c>
      <c r="J645" s="7" t="str">
        <f aca="false">IF(A645="","",IFERROR(VLOOKUP(IF(ISNUMBER(SEARCH("(",C645)),LEFT(C645,SEARCH("(",C645)-1),C645),Tipos!$A:$B,2,FALSE()),"outro"))</f>
        <v/>
      </c>
      <c r="K645" s="7" t="str">
        <f aca="false">IF(I645="","",IFERROR(INDEX('Campos Growths'!$L:$L,MATCH(H645,'Campos Growths'!$A:$A,0)),""))</f>
        <v/>
      </c>
      <c r="L645" s="7" t="str">
        <f aca="false">IF(A645="","",IF(G645="não","Sem tabela no Growths",IF(I645="","Sem campo no Growths",IF(J645=K645,"Importa direto","Ajustar tipo"))))</f>
        <v/>
      </c>
      <c r="M645" s="9"/>
    </row>
    <row r="646" customFormat="false" ht="15" hidden="false" customHeight="false" outlineLevel="0" collapsed="false">
      <c r="A646" s="7" t="str">
        <f aca="false">IF('Outro banco'!A646="","",IF(LEFT('Outro banco'!A646,1)="(","",'Outro banco'!A646))</f>
        <v/>
      </c>
      <c r="B646" s="7" t="str">
        <f aca="false">IF(A646="","",'Outro banco'!B646)</f>
        <v/>
      </c>
      <c r="C646" s="7" t="str">
        <f aca="false">IF(A646="","",'Outro banco'!C646)</f>
        <v/>
      </c>
      <c r="D646" s="7" t="str">
        <f aca="false">IF(A646="","",'Outro banco'!D646)</f>
        <v/>
      </c>
      <c r="E646" s="9"/>
      <c r="F646" s="9"/>
      <c r="G646" s="7" t="str">
        <f aca="false">IF(A646="","",IF(COUNTIF(Tabelas!$A:$A,IF(E646="",A646,E646))&gt;0,"sim","não"))</f>
        <v/>
      </c>
      <c r="H646" s="7" t="str">
        <f aca="false">IF(A646="","",IF(E646="",A646,E646)&amp;"."&amp;IF(F646="",B646,F646))</f>
        <v/>
      </c>
      <c r="I646" s="7" t="str">
        <f aca="false">IF(A646="","",IFERROR(INDEX('Campos Growths'!$F:$F,MATCH(H646,'Campos Growths'!$A:$A,0)),""))</f>
        <v/>
      </c>
      <c r="J646" s="7" t="str">
        <f aca="false">IF(A646="","",IFERROR(VLOOKUP(IF(ISNUMBER(SEARCH("(",C646)),LEFT(C646,SEARCH("(",C646)-1),C646),Tipos!$A:$B,2,FALSE()),"outro"))</f>
        <v/>
      </c>
      <c r="K646" s="7" t="str">
        <f aca="false">IF(I646="","",IFERROR(INDEX('Campos Growths'!$L:$L,MATCH(H646,'Campos Growths'!$A:$A,0)),""))</f>
        <v/>
      </c>
      <c r="L646" s="7" t="str">
        <f aca="false">IF(A646="","",IF(G646="não","Sem tabela no Growths",IF(I646="","Sem campo no Growths",IF(J646=K646,"Importa direto","Ajustar tipo"))))</f>
        <v/>
      </c>
      <c r="M646" s="9"/>
    </row>
    <row r="647" customFormat="false" ht="15" hidden="false" customHeight="false" outlineLevel="0" collapsed="false">
      <c r="A647" s="7" t="str">
        <f aca="false">IF('Outro banco'!A647="","",IF(LEFT('Outro banco'!A647,1)="(","",'Outro banco'!A647))</f>
        <v/>
      </c>
      <c r="B647" s="7" t="str">
        <f aca="false">IF(A647="","",'Outro banco'!B647)</f>
        <v/>
      </c>
      <c r="C647" s="7" t="str">
        <f aca="false">IF(A647="","",'Outro banco'!C647)</f>
        <v/>
      </c>
      <c r="D647" s="7" t="str">
        <f aca="false">IF(A647="","",'Outro banco'!D647)</f>
        <v/>
      </c>
      <c r="E647" s="9"/>
      <c r="F647" s="9"/>
      <c r="G647" s="7" t="str">
        <f aca="false">IF(A647="","",IF(COUNTIF(Tabelas!$A:$A,IF(E647="",A647,E647))&gt;0,"sim","não"))</f>
        <v/>
      </c>
      <c r="H647" s="7" t="str">
        <f aca="false">IF(A647="","",IF(E647="",A647,E647)&amp;"."&amp;IF(F647="",B647,F647))</f>
        <v/>
      </c>
      <c r="I647" s="7" t="str">
        <f aca="false">IF(A647="","",IFERROR(INDEX('Campos Growths'!$F:$F,MATCH(H647,'Campos Growths'!$A:$A,0)),""))</f>
        <v/>
      </c>
      <c r="J647" s="7" t="str">
        <f aca="false">IF(A647="","",IFERROR(VLOOKUP(IF(ISNUMBER(SEARCH("(",C647)),LEFT(C647,SEARCH("(",C647)-1),C647),Tipos!$A:$B,2,FALSE()),"outro"))</f>
        <v/>
      </c>
      <c r="K647" s="7" t="str">
        <f aca="false">IF(I647="","",IFERROR(INDEX('Campos Growths'!$L:$L,MATCH(H647,'Campos Growths'!$A:$A,0)),""))</f>
        <v/>
      </c>
      <c r="L647" s="7" t="str">
        <f aca="false">IF(A647="","",IF(G647="não","Sem tabela no Growths",IF(I647="","Sem campo no Growths",IF(J647=K647,"Importa direto","Ajustar tipo"))))</f>
        <v/>
      </c>
      <c r="M647" s="9"/>
    </row>
    <row r="648" customFormat="false" ht="15" hidden="false" customHeight="false" outlineLevel="0" collapsed="false">
      <c r="A648" s="7" t="str">
        <f aca="false">IF('Outro banco'!A648="","",IF(LEFT('Outro banco'!A648,1)="(","",'Outro banco'!A648))</f>
        <v/>
      </c>
      <c r="B648" s="7" t="str">
        <f aca="false">IF(A648="","",'Outro banco'!B648)</f>
        <v/>
      </c>
      <c r="C648" s="7" t="str">
        <f aca="false">IF(A648="","",'Outro banco'!C648)</f>
        <v/>
      </c>
      <c r="D648" s="7" t="str">
        <f aca="false">IF(A648="","",'Outro banco'!D648)</f>
        <v/>
      </c>
      <c r="E648" s="9"/>
      <c r="F648" s="9"/>
      <c r="G648" s="7" t="str">
        <f aca="false">IF(A648="","",IF(COUNTIF(Tabelas!$A:$A,IF(E648="",A648,E648))&gt;0,"sim","não"))</f>
        <v/>
      </c>
      <c r="H648" s="7" t="str">
        <f aca="false">IF(A648="","",IF(E648="",A648,E648)&amp;"."&amp;IF(F648="",B648,F648))</f>
        <v/>
      </c>
      <c r="I648" s="7" t="str">
        <f aca="false">IF(A648="","",IFERROR(INDEX('Campos Growths'!$F:$F,MATCH(H648,'Campos Growths'!$A:$A,0)),""))</f>
        <v/>
      </c>
      <c r="J648" s="7" t="str">
        <f aca="false">IF(A648="","",IFERROR(VLOOKUP(IF(ISNUMBER(SEARCH("(",C648)),LEFT(C648,SEARCH("(",C648)-1),C648),Tipos!$A:$B,2,FALSE()),"outro"))</f>
        <v/>
      </c>
      <c r="K648" s="7" t="str">
        <f aca="false">IF(I648="","",IFERROR(INDEX('Campos Growths'!$L:$L,MATCH(H648,'Campos Growths'!$A:$A,0)),""))</f>
        <v/>
      </c>
      <c r="L648" s="7" t="str">
        <f aca="false">IF(A648="","",IF(G648="não","Sem tabela no Growths",IF(I648="","Sem campo no Growths",IF(J648=K648,"Importa direto","Ajustar tipo"))))</f>
        <v/>
      </c>
      <c r="M648" s="9"/>
    </row>
    <row r="649" customFormat="false" ht="15" hidden="false" customHeight="false" outlineLevel="0" collapsed="false">
      <c r="A649" s="7" t="str">
        <f aca="false">IF('Outro banco'!A649="","",IF(LEFT('Outro banco'!A649,1)="(","",'Outro banco'!A649))</f>
        <v/>
      </c>
      <c r="B649" s="7" t="str">
        <f aca="false">IF(A649="","",'Outro banco'!B649)</f>
        <v/>
      </c>
      <c r="C649" s="7" t="str">
        <f aca="false">IF(A649="","",'Outro banco'!C649)</f>
        <v/>
      </c>
      <c r="D649" s="7" t="str">
        <f aca="false">IF(A649="","",'Outro banco'!D649)</f>
        <v/>
      </c>
      <c r="E649" s="9"/>
      <c r="F649" s="9"/>
      <c r="G649" s="7" t="str">
        <f aca="false">IF(A649="","",IF(COUNTIF(Tabelas!$A:$A,IF(E649="",A649,E649))&gt;0,"sim","não"))</f>
        <v/>
      </c>
      <c r="H649" s="7" t="str">
        <f aca="false">IF(A649="","",IF(E649="",A649,E649)&amp;"."&amp;IF(F649="",B649,F649))</f>
        <v/>
      </c>
      <c r="I649" s="7" t="str">
        <f aca="false">IF(A649="","",IFERROR(INDEX('Campos Growths'!$F:$F,MATCH(H649,'Campos Growths'!$A:$A,0)),""))</f>
        <v/>
      </c>
      <c r="J649" s="7" t="str">
        <f aca="false">IF(A649="","",IFERROR(VLOOKUP(IF(ISNUMBER(SEARCH("(",C649)),LEFT(C649,SEARCH("(",C649)-1),C649),Tipos!$A:$B,2,FALSE()),"outro"))</f>
        <v/>
      </c>
      <c r="K649" s="7" t="str">
        <f aca="false">IF(I649="","",IFERROR(INDEX('Campos Growths'!$L:$L,MATCH(H649,'Campos Growths'!$A:$A,0)),""))</f>
        <v/>
      </c>
      <c r="L649" s="7" t="str">
        <f aca="false">IF(A649="","",IF(G649="não","Sem tabela no Growths",IF(I649="","Sem campo no Growths",IF(J649=K649,"Importa direto","Ajustar tipo"))))</f>
        <v/>
      </c>
      <c r="M649" s="9"/>
    </row>
    <row r="650" customFormat="false" ht="15" hidden="false" customHeight="false" outlineLevel="0" collapsed="false">
      <c r="A650" s="7" t="str">
        <f aca="false">IF('Outro banco'!A650="","",IF(LEFT('Outro banco'!A650,1)="(","",'Outro banco'!A650))</f>
        <v/>
      </c>
      <c r="B650" s="7" t="str">
        <f aca="false">IF(A650="","",'Outro banco'!B650)</f>
        <v/>
      </c>
      <c r="C650" s="7" t="str">
        <f aca="false">IF(A650="","",'Outro banco'!C650)</f>
        <v/>
      </c>
      <c r="D650" s="7" t="str">
        <f aca="false">IF(A650="","",'Outro banco'!D650)</f>
        <v/>
      </c>
      <c r="E650" s="9"/>
      <c r="F650" s="9"/>
      <c r="G650" s="7" t="str">
        <f aca="false">IF(A650="","",IF(COUNTIF(Tabelas!$A:$A,IF(E650="",A650,E650))&gt;0,"sim","não"))</f>
        <v/>
      </c>
      <c r="H650" s="7" t="str">
        <f aca="false">IF(A650="","",IF(E650="",A650,E650)&amp;"."&amp;IF(F650="",B650,F650))</f>
        <v/>
      </c>
      <c r="I650" s="7" t="str">
        <f aca="false">IF(A650="","",IFERROR(INDEX('Campos Growths'!$F:$F,MATCH(H650,'Campos Growths'!$A:$A,0)),""))</f>
        <v/>
      </c>
      <c r="J650" s="7" t="str">
        <f aca="false">IF(A650="","",IFERROR(VLOOKUP(IF(ISNUMBER(SEARCH("(",C650)),LEFT(C650,SEARCH("(",C650)-1),C650),Tipos!$A:$B,2,FALSE()),"outro"))</f>
        <v/>
      </c>
      <c r="K650" s="7" t="str">
        <f aca="false">IF(I650="","",IFERROR(INDEX('Campos Growths'!$L:$L,MATCH(H650,'Campos Growths'!$A:$A,0)),""))</f>
        <v/>
      </c>
      <c r="L650" s="7" t="str">
        <f aca="false">IF(A650="","",IF(G650="não","Sem tabela no Growths",IF(I650="","Sem campo no Growths",IF(J650=K650,"Importa direto","Ajustar tipo"))))</f>
        <v/>
      </c>
      <c r="M650" s="9"/>
    </row>
    <row r="651" customFormat="false" ht="15" hidden="false" customHeight="false" outlineLevel="0" collapsed="false">
      <c r="A651" s="7" t="str">
        <f aca="false">IF('Outro banco'!A651="","",IF(LEFT('Outro banco'!A651,1)="(","",'Outro banco'!A651))</f>
        <v/>
      </c>
      <c r="B651" s="7" t="str">
        <f aca="false">IF(A651="","",'Outro banco'!B651)</f>
        <v/>
      </c>
      <c r="C651" s="7" t="str">
        <f aca="false">IF(A651="","",'Outro banco'!C651)</f>
        <v/>
      </c>
      <c r="D651" s="7" t="str">
        <f aca="false">IF(A651="","",'Outro banco'!D651)</f>
        <v/>
      </c>
      <c r="E651" s="9"/>
      <c r="F651" s="9"/>
      <c r="G651" s="7" t="str">
        <f aca="false">IF(A651="","",IF(COUNTIF(Tabelas!$A:$A,IF(E651="",A651,E651))&gt;0,"sim","não"))</f>
        <v/>
      </c>
      <c r="H651" s="7" t="str">
        <f aca="false">IF(A651="","",IF(E651="",A651,E651)&amp;"."&amp;IF(F651="",B651,F651))</f>
        <v/>
      </c>
      <c r="I651" s="7" t="str">
        <f aca="false">IF(A651="","",IFERROR(INDEX('Campos Growths'!$F:$F,MATCH(H651,'Campos Growths'!$A:$A,0)),""))</f>
        <v/>
      </c>
      <c r="J651" s="7" t="str">
        <f aca="false">IF(A651="","",IFERROR(VLOOKUP(IF(ISNUMBER(SEARCH("(",C651)),LEFT(C651,SEARCH("(",C651)-1),C651),Tipos!$A:$B,2,FALSE()),"outro"))</f>
        <v/>
      </c>
      <c r="K651" s="7" t="str">
        <f aca="false">IF(I651="","",IFERROR(INDEX('Campos Growths'!$L:$L,MATCH(H651,'Campos Growths'!$A:$A,0)),""))</f>
        <v/>
      </c>
      <c r="L651" s="7" t="str">
        <f aca="false">IF(A651="","",IF(G651="não","Sem tabela no Growths",IF(I651="","Sem campo no Growths",IF(J651=K651,"Importa direto","Ajustar tipo"))))</f>
        <v/>
      </c>
      <c r="M651" s="9"/>
    </row>
    <row r="652" customFormat="false" ht="15" hidden="false" customHeight="false" outlineLevel="0" collapsed="false">
      <c r="A652" s="7" t="str">
        <f aca="false">IF('Outro banco'!A652="","",IF(LEFT('Outro banco'!A652,1)="(","",'Outro banco'!A652))</f>
        <v/>
      </c>
      <c r="B652" s="7" t="str">
        <f aca="false">IF(A652="","",'Outro banco'!B652)</f>
        <v/>
      </c>
      <c r="C652" s="7" t="str">
        <f aca="false">IF(A652="","",'Outro banco'!C652)</f>
        <v/>
      </c>
      <c r="D652" s="7" t="str">
        <f aca="false">IF(A652="","",'Outro banco'!D652)</f>
        <v/>
      </c>
      <c r="E652" s="9"/>
      <c r="F652" s="9"/>
      <c r="G652" s="7" t="str">
        <f aca="false">IF(A652="","",IF(COUNTIF(Tabelas!$A:$A,IF(E652="",A652,E652))&gt;0,"sim","não"))</f>
        <v/>
      </c>
      <c r="H652" s="7" t="str">
        <f aca="false">IF(A652="","",IF(E652="",A652,E652)&amp;"."&amp;IF(F652="",B652,F652))</f>
        <v/>
      </c>
      <c r="I652" s="7" t="str">
        <f aca="false">IF(A652="","",IFERROR(INDEX('Campos Growths'!$F:$F,MATCH(H652,'Campos Growths'!$A:$A,0)),""))</f>
        <v/>
      </c>
      <c r="J652" s="7" t="str">
        <f aca="false">IF(A652="","",IFERROR(VLOOKUP(IF(ISNUMBER(SEARCH("(",C652)),LEFT(C652,SEARCH("(",C652)-1),C652),Tipos!$A:$B,2,FALSE()),"outro"))</f>
        <v/>
      </c>
      <c r="K652" s="7" t="str">
        <f aca="false">IF(I652="","",IFERROR(INDEX('Campos Growths'!$L:$L,MATCH(H652,'Campos Growths'!$A:$A,0)),""))</f>
        <v/>
      </c>
      <c r="L652" s="7" t="str">
        <f aca="false">IF(A652="","",IF(G652="não","Sem tabela no Growths",IF(I652="","Sem campo no Growths",IF(J652=K652,"Importa direto","Ajustar tipo"))))</f>
        <v/>
      </c>
      <c r="M652" s="9"/>
    </row>
    <row r="653" customFormat="false" ht="15" hidden="false" customHeight="false" outlineLevel="0" collapsed="false">
      <c r="A653" s="7" t="str">
        <f aca="false">IF('Outro banco'!A653="","",IF(LEFT('Outro banco'!A653,1)="(","",'Outro banco'!A653))</f>
        <v/>
      </c>
      <c r="B653" s="7" t="str">
        <f aca="false">IF(A653="","",'Outro banco'!B653)</f>
        <v/>
      </c>
      <c r="C653" s="7" t="str">
        <f aca="false">IF(A653="","",'Outro banco'!C653)</f>
        <v/>
      </c>
      <c r="D653" s="7" t="str">
        <f aca="false">IF(A653="","",'Outro banco'!D653)</f>
        <v/>
      </c>
      <c r="E653" s="9"/>
      <c r="F653" s="9"/>
      <c r="G653" s="7" t="str">
        <f aca="false">IF(A653="","",IF(COUNTIF(Tabelas!$A:$A,IF(E653="",A653,E653))&gt;0,"sim","não"))</f>
        <v/>
      </c>
      <c r="H653" s="7" t="str">
        <f aca="false">IF(A653="","",IF(E653="",A653,E653)&amp;"."&amp;IF(F653="",B653,F653))</f>
        <v/>
      </c>
      <c r="I653" s="7" t="str">
        <f aca="false">IF(A653="","",IFERROR(INDEX('Campos Growths'!$F:$F,MATCH(H653,'Campos Growths'!$A:$A,0)),""))</f>
        <v/>
      </c>
      <c r="J653" s="7" t="str">
        <f aca="false">IF(A653="","",IFERROR(VLOOKUP(IF(ISNUMBER(SEARCH("(",C653)),LEFT(C653,SEARCH("(",C653)-1),C653),Tipos!$A:$B,2,FALSE()),"outro"))</f>
        <v/>
      </c>
      <c r="K653" s="7" t="str">
        <f aca="false">IF(I653="","",IFERROR(INDEX('Campos Growths'!$L:$L,MATCH(H653,'Campos Growths'!$A:$A,0)),""))</f>
        <v/>
      </c>
      <c r="L653" s="7" t="str">
        <f aca="false">IF(A653="","",IF(G653="não","Sem tabela no Growths",IF(I653="","Sem campo no Growths",IF(J653=K653,"Importa direto","Ajustar tipo"))))</f>
        <v/>
      </c>
      <c r="M653" s="9"/>
    </row>
    <row r="654" customFormat="false" ht="15" hidden="false" customHeight="false" outlineLevel="0" collapsed="false">
      <c r="A654" s="7" t="str">
        <f aca="false">IF('Outro banco'!A654="","",IF(LEFT('Outro banco'!A654,1)="(","",'Outro banco'!A654))</f>
        <v/>
      </c>
      <c r="B654" s="7" t="str">
        <f aca="false">IF(A654="","",'Outro banco'!B654)</f>
        <v/>
      </c>
      <c r="C654" s="7" t="str">
        <f aca="false">IF(A654="","",'Outro banco'!C654)</f>
        <v/>
      </c>
      <c r="D654" s="7" t="str">
        <f aca="false">IF(A654="","",'Outro banco'!D654)</f>
        <v/>
      </c>
      <c r="E654" s="9"/>
      <c r="F654" s="9"/>
      <c r="G654" s="7" t="str">
        <f aca="false">IF(A654="","",IF(COUNTIF(Tabelas!$A:$A,IF(E654="",A654,E654))&gt;0,"sim","não"))</f>
        <v/>
      </c>
      <c r="H654" s="7" t="str">
        <f aca="false">IF(A654="","",IF(E654="",A654,E654)&amp;"."&amp;IF(F654="",B654,F654))</f>
        <v/>
      </c>
      <c r="I654" s="7" t="str">
        <f aca="false">IF(A654="","",IFERROR(INDEX('Campos Growths'!$F:$F,MATCH(H654,'Campos Growths'!$A:$A,0)),""))</f>
        <v/>
      </c>
      <c r="J654" s="7" t="str">
        <f aca="false">IF(A654="","",IFERROR(VLOOKUP(IF(ISNUMBER(SEARCH("(",C654)),LEFT(C654,SEARCH("(",C654)-1),C654),Tipos!$A:$B,2,FALSE()),"outro"))</f>
        <v/>
      </c>
      <c r="K654" s="7" t="str">
        <f aca="false">IF(I654="","",IFERROR(INDEX('Campos Growths'!$L:$L,MATCH(H654,'Campos Growths'!$A:$A,0)),""))</f>
        <v/>
      </c>
      <c r="L654" s="7" t="str">
        <f aca="false">IF(A654="","",IF(G654="não","Sem tabela no Growths",IF(I654="","Sem campo no Growths",IF(J654=K654,"Importa direto","Ajustar tipo"))))</f>
        <v/>
      </c>
      <c r="M654" s="9"/>
    </row>
    <row r="655" customFormat="false" ht="15" hidden="false" customHeight="false" outlineLevel="0" collapsed="false">
      <c r="A655" s="7" t="str">
        <f aca="false">IF('Outro banco'!A655="","",IF(LEFT('Outro banco'!A655,1)="(","",'Outro banco'!A655))</f>
        <v/>
      </c>
      <c r="B655" s="7" t="str">
        <f aca="false">IF(A655="","",'Outro banco'!B655)</f>
        <v/>
      </c>
      <c r="C655" s="7" t="str">
        <f aca="false">IF(A655="","",'Outro banco'!C655)</f>
        <v/>
      </c>
      <c r="D655" s="7" t="str">
        <f aca="false">IF(A655="","",'Outro banco'!D655)</f>
        <v/>
      </c>
      <c r="E655" s="9"/>
      <c r="F655" s="9"/>
      <c r="G655" s="7" t="str">
        <f aca="false">IF(A655="","",IF(COUNTIF(Tabelas!$A:$A,IF(E655="",A655,E655))&gt;0,"sim","não"))</f>
        <v/>
      </c>
      <c r="H655" s="7" t="str">
        <f aca="false">IF(A655="","",IF(E655="",A655,E655)&amp;"."&amp;IF(F655="",B655,F655))</f>
        <v/>
      </c>
      <c r="I655" s="7" t="str">
        <f aca="false">IF(A655="","",IFERROR(INDEX('Campos Growths'!$F:$F,MATCH(H655,'Campos Growths'!$A:$A,0)),""))</f>
        <v/>
      </c>
      <c r="J655" s="7" t="str">
        <f aca="false">IF(A655="","",IFERROR(VLOOKUP(IF(ISNUMBER(SEARCH("(",C655)),LEFT(C655,SEARCH("(",C655)-1),C655),Tipos!$A:$B,2,FALSE()),"outro"))</f>
        <v/>
      </c>
      <c r="K655" s="7" t="str">
        <f aca="false">IF(I655="","",IFERROR(INDEX('Campos Growths'!$L:$L,MATCH(H655,'Campos Growths'!$A:$A,0)),""))</f>
        <v/>
      </c>
      <c r="L655" s="7" t="str">
        <f aca="false">IF(A655="","",IF(G655="não","Sem tabela no Growths",IF(I655="","Sem campo no Growths",IF(J655=K655,"Importa direto","Ajustar tipo"))))</f>
        <v/>
      </c>
      <c r="M655" s="9"/>
    </row>
    <row r="656" customFormat="false" ht="15" hidden="false" customHeight="false" outlineLevel="0" collapsed="false">
      <c r="A656" s="7" t="str">
        <f aca="false">IF('Outro banco'!A656="","",IF(LEFT('Outro banco'!A656,1)="(","",'Outro banco'!A656))</f>
        <v/>
      </c>
      <c r="B656" s="7" t="str">
        <f aca="false">IF(A656="","",'Outro banco'!B656)</f>
        <v/>
      </c>
      <c r="C656" s="7" t="str">
        <f aca="false">IF(A656="","",'Outro banco'!C656)</f>
        <v/>
      </c>
      <c r="D656" s="7" t="str">
        <f aca="false">IF(A656="","",'Outro banco'!D656)</f>
        <v/>
      </c>
      <c r="E656" s="9"/>
      <c r="F656" s="9"/>
      <c r="G656" s="7" t="str">
        <f aca="false">IF(A656="","",IF(COUNTIF(Tabelas!$A:$A,IF(E656="",A656,E656))&gt;0,"sim","não"))</f>
        <v/>
      </c>
      <c r="H656" s="7" t="str">
        <f aca="false">IF(A656="","",IF(E656="",A656,E656)&amp;"."&amp;IF(F656="",B656,F656))</f>
        <v/>
      </c>
      <c r="I656" s="7" t="str">
        <f aca="false">IF(A656="","",IFERROR(INDEX('Campos Growths'!$F:$F,MATCH(H656,'Campos Growths'!$A:$A,0)),""))</f>
        <v/>
      </c>
      <c r="J656" s="7" t="str">
        <f aca="false">IF(A656="","",IFERROR(VLOOKUP(IF(ISNUMBER(SEARCH("(",C656)),LEFT(C656,SEARCH("(",C656)-1),C656),Tipos!$A:$B,2,FALSE()),"outro"))</f>
        <v/>
      </c>
      <c r="K656" s="7" t="str">
        <f aca="false">IF(I656="","",IFERROR(INDEX('Campos Growths'!$L:$L,MATCH(H656,'Campos Growths'!$A:$A,0)),""))</f>
        <v/>
      </c>
      <c r="L656" s="7" t="str">
        <f aca="false">IF(A656="","",IF(G656="não","Sem tabela no Growths",IF(I656="","Sem campo no Growths",IF(J656=K656,"Importa direto","Ajustar tipo"))))</f>
        <v/>
      </c>
      <c r="M656" s="9"/>
    </row>
    <row r="657" customFormat="false" ht="15" hidden="false" customHeight="false" outlineLevel="0" collapsed="false">
      <c r="A657" s="7" t="str">
        <f aca="false">IF('Outro banco'!A657="","",IF(LEFT('Outro banco'!A657,1)="(","",'Outro banco'!A657))</f>
        <v/>
      </c>
      <c r="B657" s="7" t="str">
        <f aca="false">IF(A657="","",'Outro banco'!B657)</f>
        <v/>
      </c>
      <c r="C657" s="7" t="str">
        <f aca="false">IF(A657="","",'Outro banco'!C657)</f>
        <v/>
      </c>
      <c r="D657" s="7" t="str">
        <f aca="false">IF(A657="","",'Outro banco'!D657)</f>
        <v/>
      </c>
      <c r="E657" s="9"/>
      <c r="F657" s="9"/>
      <c r="G657" s="7" t="str">
        <f aca="false">IF(A657="","",IF(COUNTIF(Tabelas!$A:$A,IF(E657="",A657,E657))&gt;0,"sim","não"))</f>
        <v/>
      </c>
      <c r="H657" s="7" t="str">
        <f aca="false">IF(A657="","",IF(E657="",A657,E657)&amp;"."&amp;IF(F657="",B657,F657))</f>
        <v/>
      </c>
      <c r="I657" s="7" t="str">
        <f aca="false">IF(A657="","",IFERROR(INDEX('Campos Growths'!$F:$F,MATCH(H657,'Campos Growths'!$A:$A,0)),""))</f>
        <v/>
      </c>
      <c r="J657" s="7" t="str">
        <f aca="false">IF(A657="","",IFERROR(VLOOKUP(IF(ISNUMBER(SEARCH("(",C657)),LEFT(C657,SEARCH("(",C657)-1),C657),Tipos!$A:$B,2,FALSE()),"outro"))</f>
        <v/>
      </c>
      <c r="K657" s="7" t="str">
        <f aca="false">IF(I657="","",IFERROR(INDEX('Campos Growths'!$L:$L,MATCH(H657,'Campos Growths'!$A:$A,0)),""))</f>
        <v/>
      </c>
      <c r="L657" s="7" t="str">
        <f aca="false">IF(A657="","",IF(G657="não","Sem tabela no Growths",IF(I657="","Sem campo no Growths",IF(J657=K657,"Importa direto","Ajustar tipo"))))</f>
        <v/>
      </c>
      <c r="M657" s="9"/>
    </row>
    <row r="658" customFormat="false" ht="15" hidden="false" customHeight="false" outlineLevel="0" collapsed="false">
      <c r="A658" s="7" t="str">
        <f aca="false">IF('Outro banco'!A658="","",IF(LEFT('Outro banco'!A658,1)="(","",'Outro banco'!A658))</f>
        <v/>
      </c>
      <c r="B658" s="7" t="str">
        <f aca="false">IF(A658="","",'Outro banco'!B658)</f>
        <v/>
      </c>
      <c r="C658" s="7" t="str">
        <f aca="false">IF(A658="","",'Outro banco'!C658)</f>
        <v/>
      </c>
      <c r="D658" s="7" t="str">
        <f aca="false">IF(A658="","",'Outro banco'!D658)</f>
        <v/>
      </c>
      <c r="E658" s="9"/>
      <c r="F658" s="9"/>
      <c r="G658" s="7" t="str">
        <f aca="false">IF(A658="","",IF(COUNTIF(Tabelas!$A:$A,IF(E658="",A658,E658))&gt;0,"sim","não"))</f>
        <v/>
      </c>
      <c r="H658" s="7" t="str">
        <f aca="false">IF(A658="","",IF(E658="",A658,E658)&amp;"."&amp;IF(F658="",B658,F658))</f>
        <v/>
      </c>
      <c r="I658" s="7" t="str">
        <f aca="false">IF(A658="","",IFERROR(INDEX('Campos Growths'!$F:$F,MATCH(H658,'Campos Growths'!$A:$A,0)),""))</f>
        <v/>
      </c>
      <c r="J658" s="7" t="str">
        <f aca="false">IF(A658="","",IFERROR(VLOOKUP(IF(ISNUMBER(SEARCH("(",C658)),LEFT(C658,SEARCH("(",C658)-1),C658),Tipos!$A:$B,2,FALSE()),"outro"))</f>
        <v/>
      </c>
      <c r="K658" s="7" t="str">
        <f aca="false">IF(I658="","",IFERROR(INDEX('Campos Growths'!$L:$L,MATCH(H658,'Campos Growths'!$A:$A,0)),""))</f>
        <v/>
      </c>
      <c r="L658" s="7" t="str">
        <f aca="false">IF(A658="","",IF(G658="não","Sem tabela no Growths",IF(I658="","Sem campo no Growths",IF(J658=K658,"Importa direto","Ajustar tipo"))))</f>
        <v/>
      </c>
      <c r="M658" s="9"/>
    </row>
    <row r="659" customFormat="false" ht="15" hidden="false" customHeight="false" outlineLevel="0" collapsed="false">
      <c r="A659" s="7" t="str">
        <f aca="false">IF('Outro banco'!A659="","",IF(LEFT('Outro banco'!A659,1)="(","",'Outro banco'!A659))</f>
        <v/>
      </c>
      <c r="B659" s="7" t="str">
        <f aca="false">IF(A659="","",'Outro banco'!B659)</f>
        <v/>
      </c>
      <c r="C659" s="7" t="str">
        <f aca="false">IF(A659="","",'Outro banco'!C659)</f>
        <v/>
      </c>
      <c r="D659" s="7" t="str">
        <f aca="false">IF(A659="","",'Outro banco'!D659)</f>
        <v/>
      </c>
      <c r="E659" s="9"/>
      <c r="F659" s="9"/>
      <c r="G659" s="7" t="str">
        <f aca="false">IF(A659="","",IF(COUNTIF(Tabelas!$A:$A,IF(E659="",A659,E659))&gt;0,"sim","não"))</f>
        <v/>
      </c>
      <c r="H659" s="7" t="str">
        <f aca="false">IF(A659="","",IF(E659="",A659,E659)&amp;"."&amp;IF(F659="",B659,F659))</f>
        <v/>
      </c>
      <c r="I659" s="7" t="str">
        <f aca="false">IF(A659="","",IFERROR(INDEX('Campos Growths'!$F:$F,MATCH(H659,'Campos Growths'!$A:$A,0)),""))</f>
        <v/>
      </c>
      <c r="J659" s="7" t="str">
        <f aca="false">IF(A659="","",IFERROR(VLOOKUP(IF(ISNUMBER(SEARCH("(",C659)),LEFT(C659,SEARCH("(",C659)-1),C659),Tipos!$A:$B,2,FALSE()),"outro"))</f>
        <v/>
      </c>
      <c r="K659" s="7" t="str">
        <f aca="false">IF(I659="","",IFERROR(INDEX('Campos Growths'!$L:$L,MATCH(H659,'Campos Growths'!$A:$A,0)),""))</f>
        <v/>
      </c>
      <c r="L659" s="7" t="str">
        <f aca="false">IF(A659="","",IF(G659="não","Sem tabela no Growths",IF(I659="","Sem campo no Growths",IF(J659=K659,"Importa direto","Ajustar tipo"))))</f>
        <v/>
      </c>
      <c r="M659" s="9"/>
    </row>
    <row r="660" customFormat="false" ht="15" hidden="false" customHeight="false" outlineLevel="0" collapsed="false">
      <c r="A660" s="7" t="str">
        <f aca="false">IF('Outro banco'!A660="","",IF(LEFT('Outro banco'!A660,1)="(","",'Outro banco'!A660))</f>
        <v/>
      </c>
      <c r="B660" s="7" t="str">
        <f aca="false">IF(A660="","",'Outro banco'!B660)</f>
        <v/>
      </c>
      <c r="C660" s="7" t="str">
        <f aca="false">IF(A660="","",'Outro banco'!C660)</f>
        <v/>
      </c>
      <c r="D660" s="7" t="str">
        <f aca="false">IF(A660="","",'Outro banco'!D660)</f>
        <v/>
      </c>
      <c r="E660" s="9"/>
      <c r="F660" s="9"/>
      <c r="G660" s="7" t="str">
        <f aca="false">IF(A660="","",IF(COUNTIF(Tabelas!$A:$A,IF(E660="",A660,E660))&gt;0,"sim","não"))</f>
        <v/>
      </c>
      <c r="H660" s="7" t="str">
        <f aca="false">IF(A660="","",IF(E660="",A660,E660)&amp;"."&amp;IF(F660="",B660,F660))</f>
        <v/>
      </c>
      <c r="I660" s="7" t="str">
        <f aca="false">IF(A660="","",IFERROR(INDEX('Campos Growths'!$F:$F,MATCH(H660,'Campos Growths'!$A:$A,0)),""))</f>
        <v/>
      </c>
      <c r="J660" s="7" t="str">
        <f aca="false">IF(A660="","",IFERROR(VLOOKUP(IF(ISNUMBER(SEARCH("(",C660)),LEFT(C660,SEARCH("(",C660)-1),C660),Tipos!$A:$B,2,FALSE()),"outro"))</f>
        <v/>
      </c>
      <c r="K660" s="7" t="str">
        <f aca="false">IF(I660="","",IFERROR(INDEX('Campos Growths'!$L:$L,MATCH(H660,'Campos Growths'!$A:$A,0)),""))</f>
        <v/>
      </c>
      <c r="L660" s="7" t="str">
        <f aca="false">IF(A660="","",IF(G660="não","Sem tabela no Growths",IF(I660="","Sem campo no Growths",IF(J660=K660,"Importa direto","Ajustar tipo"))))</f>
        <v/>
      </c>
      <c r="M660" s="9"/>
    </row>
    <row r="661" customFormat="false" ht="15" hidden="false" customHeight="false" outlineLevel="0" collapsed="false">
      <c r="A661" s="7" t="str">
        <f aca="false">IF('Outro banco'!A661="","",IF(LEFT('Outro banco'!A661,1)="(","",'Outro banco'!A661))</f>
        <v/>
      </c>
      <c r="B661" s="7" t="str">
        <f aca="false">IF(A661="","",'Outro banco'!B661)</f>
        <v/>
      </c>
      <c r="C661" s="7" t="str">
        <f aca="false">IF(A661="","",'Outro banco'!C661)</f>
        <v/>
      </c>
      <c r="D661" s="7" t="str">
        <f aca="false">IF(A661="","",'Outro banco'!D661)</f>
        <v/>
      </c>
      <c r="E661" s="9"/>
      <c r="F661" s="9"/>
      <c r="G661" s="7" t="str">
        <f aca="false">IF(A661="","",IF(COUNTIF(Tabelas!$A:$A,IF(E661="",A661,E661))&gt;0,"sim","não"))</f>
        <v/>
      </c>
      <c r="H661" s="7" t="str">
        <f aca="false">IF(A661="","",IF(E661="",A661,E661)&amp;"."&amp;IF(F661="",B661,F661))</f>
        <v/>
      </c>
      <c r="I661" s="7" t="str">
        <f aca="false">IF(A661="","",IFERROR(INDEX('Campos Growths'!$F:$F,MATCH(H661,'Campos Growths'!$A:$A,0)),""))</f>
        <v/>
      </c>
      <c r="J661" s="7" t="str">
        <f aca="false">IF(A661="","",IFERROR(VLOOKUP(IF(ISNUMBER(SEARCH("(",C661)),LEFT(C661,SEARCH("(",C661)-1),C661),Tipos!$A:$B,2,FALSE()),"outro"))</f>
        <v/>
      </c>
      <c r="K661" s="7" t="str">
        <f aca="false">IF(I661="","",IFERROR(INDEX('Campos Growths'!$L:$L,MATCH(H661,'Campos Growths'!$A:$A,0)),""))</f>
        <v/>
      </c>
      <c r="L661" s="7" t="str">
        <f aca="false">IF(A661="","",IF(G661="não","Sem tabela no Growths",IF(I661="","Sem campo no Growths",IF(J661=K661,"Importa direto","Ajustar tipo"))))</f>
        <v/>
      </c>
      <c r="M661" s="9"/>
    </row>
    <row r="662" customFormat="false" ht="15" hidden="false" customHeight="false" outlineLevel="0" collapsed="false">
      <c r="A662" s="7" t="str">
        <f aca="false">IF('Outro banco'!A662="","",IF(LEFT('Outro banco'!A662,1)="(","",'Outro banco'!A662))</f>
        <v/>
      </c>
      <c r="B662" s="7" t="str">
        <f aca="false">IF(A662="","",'Outro banco'!B662)</f>
        <v/>
      </c>
      <c r="C662" s="7" t="str">
        <f aca="false">IF(A662="","",'Outro banco'!C662)</f>
        <v/>
      </c>
      <c r="D662" s="7" t="str">
        <f aca="false">IF(A662="","",'Outro banco'!D662)</f>
        <v/>
      </c>
      <c r="E662" s="9"/>
      <c r="F662" s="9"/>
      <c r="G662" s="7" t="str">
        <f aca="false">IF(A662="","",IF(COUNTIF(Tabelas!$A:$A,IF(E662="",A662,E662))&gt;0,"sim","não"))</f>
        <v/>
      </c>
      <c r="H662" s="7" t="str">
        <f aca="false">IF(A662="","",IF(E662="",A662,E662)&amp;"."&amp;IF(F662="",B662,F662))</f>
        <v/>
      </c>
      <c r="I662" s="7" t="str">
        <f aca="false">IF(A662="","",IFERROR(INDEX('Campos Growths'!$F:$F,MATCH(H662,'Campos Growths'!$A:$A,0)),""))</f>
        <v/>
      </c>
      <c r="J662" s="7" t="str">
        <f aca="false">IF(A662="","",IFERROR(VLOOKUP(IF(ISNUMBER(SEARCH("(",C662)),LEFT(C662,SEARCH("(",C662)-1),C662),Tipos!$A:$B,2,FALSE()),"outro"))</f>
        <v/>
      </c>
      <c r="K662" s="7" t="str">
        <f aca="false">IF(I662="","",IFERROR(INDEX('Campos Growths'!$L:$L,MATCH(H662,'Campos Growths'!$A:$A,0)),""))</f>
        <v/>
      </c>
      <c r="L662" s="7" t="str">
        <f aca="false">IF(A662="","",IF(G662="não","Sem tabela no Growths",IF(I662="","Sem campo no Growths",IF(J662=K662,"Importa direto","Ajustar tipo"))))</f>
        <v/>
      </c>
      <c r="M662" s="9"/>
    </row>
    <row r="663" customFormat="false" ht="15" hidden="false" customHeight="false" outlineLevel="0" collapsed="false">
      <c r="A663" s="7" t="str">
        <f aca="false">IF('Outro banco'!A663="","",IF(LEFT('Outro banco'!A663,1)="(","",'Outro banco'!A663))</f>
        <v/>
      </c>
      <c r="B663" s="7" t="str">
        <f aca="false">IF(A663="","",'Outro banco'!B663)</f>
        <v/>
      </c>
      <c r="C663" s="7" t="str">
        <f aca="false">IF(A663="","",'Outro banco'!C663)</f>
        <v/>
      </c>
      <c r="D663" s="7" t="str">
        <f aca="false">IF(A663="","",'Outro banco'!D663)</f>
        <v/>
      </c>
      <c r="E663" s="9"/>
      <c r="F663" s="9"/>
      <c r="G663" s="7" t="str">
        <f aca="false">IF(A663="","",IF(COUNTIF(Tabelas!$A:$A,IF(E663="",A663,E663))&gt;0,"sim","não"))</f>
        <v/>
      </c>
      <c r="H663" s="7" t="str">
        <f aca="false">IF(A663="","",IF(E663="",A663,E663)&amp;"."&amp;IF(F663="",B663,F663))</f>
        <v/>
      </c>
      <c r="I663" s="7" t="str">
        <f aca="false">IF(A663="","",IFERROR(INDEX('Campos Growths'!$F:$F,MATCH(H663,'Campos Growths'!$A:$A,0)),""))</f>
        <v/>
      </c>
      <c r="J663" s="7" t="str">
        <f aca="false">IF(A663="","",IFERROR(VLOOKUP(IF(ISNUMBER(SEARCH("(",C663)),LEFT(C663,SEARCH("(",C663)-1),C663),Tipos!$A:$B,2,FALSE()),"outro"))</f>
        <v/>
      </c>
      <c r="K663" s="7" t="str">
        <f aca="false">IF(I663="","",IFERROR(INDEX('Campos Growths'!$L:$L,MATCH(H663,'Campos Growths'!$A:$A,0)),""))</f>
        <v/>
      </c>
      <c r="L663" s="7" t="str">
        <f aca="false">IF(A663="","",IF(G663="não","Sem tabela no Growths",IF(I663="","Sem campo no Growths",IF(J663=K663,"Importa direto","Ajustar tipo"))))</f>
        <v/>
      </c>
      <c r="M663" s="9"/>
    </row>
    <row r="664" customFormat="false" ht="15" hidden="false" customHeight="false" outlineLevel="0" collapsed="false">
      <c r="A664" s="7" t="str">
        <f aca="false">IF('Outro banco'!A664="","",IF(LEFT('Outro banco'!A664,1)="(","",'Outro banco'!A664))</f>
        <v/>
      </c>
      <c r="B664" s="7" t="str">
        <f aca="false">IF(A664="","",'Outro banco'!B664)</f>
        <v/>
      </c>
      <c r="C664" s="7" t="str">
        <f aca="false">IF(A664="","",'Outro banco'!C664)</f>
        <v/>
      </c>
      <c r="D664" s="7" t="str">
        <f aca="false">IF(A664="","",'Outro banco'!D664)</f>
        <v/>
      </c>
      <c r="E664" s="9"/>
      <c r="F664" s="9"/>
      <c r="G664" s="7" t="str">
        <f aca="false">IF(A664="","",IF(COUNTIF(Tabelas!$A:$A,IF(E664="",A664,E664))&gt;0,"sim","não"))</f>
        <v/>
      </c>
      <c r="H664" s="7" t="str">
        <f aca="false">IF(A664="","",IF(E664="",A664,E664)&amp;"."&amp;IF(F664="",B664,F664))</f>
        <v/>
      </c>
      <c r="I664" s="7" t="str">
        <f aca="false">IF(A664="","",IFERROR(INDEX('Campos Growths'!$F:$F,MATCH(H664,'Campos Growths'!$A:$A,0)),""))</f>
        <v/>
      </c>
      <c r="J664" s="7" t="str">
        <f aca="false">IF(A664="","",IFERROR(VLOOKUP(IF(ISNUMBER(SEARCH("(",C664)),LEFT(C664,SEARCH("(",C664)-1),C664),Tipos!$A:$B,2,FALSE()),"outro"))</f>
        <v/>
      </c>
      <c r="K664" s="7" t="str">
        <f aca="false">IF(I664="","",IFERROR(INDEX('Campos Growths'!$L:$L,MATCH(H664,'Campos Growths'!$A:$A,0)),""))</f>
        <v/>
      </c>
      <c r="L664" s="7" t="str">
        <f aca="false">IF(A664="","",IF(G664="não","Sem tabela no Growths",IF(I664="","Sem campo no Growths",IF(J664=K664,"Importa direto","Ajustar tipo"))))</f>
        <v/>
      </c>
      <c r="M664" s="9"/>
    </row>
    <row r="665" customFormat="false" ht="15" hidden="false" customHeight="false" outlineLevel="0" collapsed="false">
      <c r="A665" s="7" t="str">
        <f aca="false">IF('Outro banco'!A665="","",IF(LEFT('Outro banco'!A665,1)="(","",'Outro banco'!A665))</f>
        <v/>
      </c>
      <c r="B665" s="7" t="str">
        <f aca="false">IF(A665="","",'Outro banco'!B665)</f>
        <v/>
      </c>
      <c r="C665" s="7" t="str">
        <f aca="false">IF(A665="","",'Outro banco'!C665)</f>
        <v/>
      </c>
      <c r="D665" s="7" t="str">
        <f aca="false">IF(A665="","",'Outro banco'!D665)</f>
        <v/>
      </c>
      <c r="E665" s="9"/>
      <c r="F665" s="9"/>
      <c r="G665" s="7" t="str">
        <f aca="false">IF(A665="","",IF(COUNTIF(Tabelas!$A:$A,IF(E665="",A665,E665))&gt;0,"sim","não"))</f>
        <v/>
      </c>
      <c r="H665" s="7" t="str">
        <f aca="false">IF(A665="","",IF(E665="",A665,E665)&amp;"."&amp;IF(F665="",B665,F665))</f>
        <v/>
      </c>
      <c r="I665" s="7" t="str">
        <f aca="false">IF(A665="","",IFERROR(INDEX('Campos Growths'!$F:$F,MATCH(H665,'Campos Growths'!$A:$A,0)),""))</f>
        <v/>
      </c>
      <c r="J665" s="7" t="str">
        <f aca="false">IF(A665="","",IFERROR(VLOOKUP(IF(ISNUMBER(SEARCH("(",C665)),LEFT(C665,SEARCH("(",C665)-1),C665),Tipos!$A:$B,2,FALSE()),"outro"))</f>
        <v/>
      </c>
      <c r="K665" s="7" t="str">
        <f aca="false">IF(I665="","",IFERROR(INDEX('Campos Growths'!$L:$L,MATCH(H665,'Campos Growths'!$A:$A,0)),""))</f>
        <v/>
      </c>
      <c r="L665" s="7" t="str">
        <f aca="false">IF(A665="","",IF(G665="não","Sem tabela no Growths",IF(I665="","Sem campo no Growths",IF(J665=K665,"Importa direto","Ajustar tipo"))))</f>
        <v/>
      </c>
      <c r="M665" s="9"/>
    </row>
    <row r="666" customFormat="false" ht="15" hidden="false" customHeight="false" outlineLevel="0" collapsed="false">
      <c r="A666" s="7" t="str">
        <f aca="false">IF('Outro banco'!A666="","",IF(LEFT('Outro banco'!A666,1)="(","",'Outro banco'!A666))</f>
        <v/>
      </c>
      <c r="B666" s="7" t="str">
        <f aca="false">IF(A666="","",'Outro banco'!B666)</f>
        <v/>
      </c>
      <c r="C666" s="7" t="str">
        <f aca="false">IF(A666="","",'Outro banco'!C666)</f>
        <v/>
      </c>
      <c r="D666" s="7" t="str">
        <f aca="false">IF(A666="","",'Outro banco'!D666)</f>
        <v/>
      </c>
      <c r="E666" s="9"/>
      <c r="F666" s="9"/>
      <c r="G666" s="7" t="str">
        <f aca="false">IF(A666="","",IF(COUNTIF(Tabelas!$A:$A,IF(E666="",A666,E666))&gt;0,"sim","não"))</f>
        <v/>
      </c>
      <c r="H666" s="7" t="str">
        <f aca="false">IF(A666="","",IF(E666="",A666,E666)&amp;"."&amp;IF(F666="",B666,F666))</f>
        <v/>
      </c>
      <c r="I666" s="7" t="str">
        <f aca="false">IF(A666="","",IFERROR(INDEX('Campos Growths'!$F:$F,MATCH(H666,'Campos Growths'!$A:$A,0)),""))</f>
        <v/>
      </c>
      <c r="J666" s="7" t="str">
        <f aca="false">IF(A666="","",IFERROR(VLOOKUP(IF(ISNUMBER(SEARCH("(",C666)),LEFT(C666,SEARCH("(",C666)-1),C666),Tipos!$A:$B,2,FALSE()),"outro"))</f>
        <v/>
      </c>
      <c r="K666" s="7" t="str">
        <f aca="false">IF(I666="","",IFERROR(INDEX('Campos Growths'!$L:$L,MATCH(H666,'Campos Growths'!$A:$A,0)),""))</f>
        <v/>
      </c>
      <c r="L666" s="7" t="str">
        <f aca="false">IF(A666="","",IF(G666="não","Sem tabela no Growths",IF(I666="","Sem campo no Growths",IF(J666=K666,"Importa direto","Ajustar tipo"))))</f>
        <v/>
      </c>
      <c r="M666" s="9"/>
    </row>
    <row r="667" customFormat="false" ht="15" hidden="false" customHeight="false" outlineLevel="0" collapsed="false">
      <c r="A667" s="7" t="str">
        <f aca="false">IF('Outro banco'!A667="","",IF(LEFT('Outro banco'!A667,1)="(","",'Outro banco'!A667))</f>
        <v/>
      </c>
      <c r="B667" s="7" t="str">
        <f aca="false">IF(A667="","",'Outro banco'!B667)</f>
        <v/>
      </c>
      <c r="C667" s="7" t="str">
        <f aca="false">IF(A667="","",'Outro banco'!C667)</f>
        <v/>
      </c>
      <c r="D667" s="7" t="str">
        <f aca="false">IF(A667="","",'Outro banco'!D667)</f>
        <v/>
      </c>
      <c r="E667" s="9"/>
      <c r="F667" s="9"/>
      <c r="G667" s="7" t="str">
        <f aca="false">IF(A667="","",IF(COUNTIF(Tabelas!$A:$A,IF(E667="",A667,E667))&gt;0,"sim","não"))</f>
        <v/>
      </c>
      <c r="H667" s="7" t="str">
        <f aca="false">IF(A667="","",IF(E667="",A667,E667)&amp;"."&amp;IF(F667="",B667,F667))</f>
        <v/>
      </c>
      <c r="I667" s="7" t="str">
        <f aca="false">IF(A667="","",IFERROR(INDEX('Campos Growths'!$F:$F,MATCH(H667,'Campos Growths'!$A:$A,0)),""))</f>
        <v/>
      </c>
      <c r="J667" s="7" t="str">
        <f aca="false">IF(A667="","",IFERROR(VLOOKUP(IF(ISNUMBER(SEARCH("(",C667)),LEFT(C667,SEARCH("(",C667)-1),C667),Tipos!$A:$B,2,FALSE()),"outro"))</f>
        <v/>
      </c>
      <c r="K667" s="7" t="str">
        <f aca="false">IF(I667="","",IFERROR(INDEX('Campos Growths'!$L:$L,MATCH(H667,'Campos Growths'!$A:$A,0)),""))</f>
        <v/>
      </c>
      <c r="L667" s="7" t="str">
        <f aca="false">IF(A667="","",IF(G667="não","Sem tabela no Growths",IF(I667="","Sem campo no Growths",IF(J667=K667,"Importa direto","Ajustar tipo"))))</f>
        <v/>
      </c>
      <c r="M667" s="9"/>
    </row>
    <row r="668" customFormat="false" ht="15" hidden="false" customHeight="false" outlineLevel="0" collapsed="false">
      <c r="A668" s="7" t="str">
        <f aca="false">IF('Outro banco'!A668="","",IF(LEFT('Outro banco'!A668,1)="(","",'Outro banco'!A668))</f>
        <v/>
      </c>
      <c r="B668" s="7" t="str">
        <f aca="false">IF(A668="","",'Outro banco'!B668)</f>
        <v/>
      </c>
      <c r="C668" s="7" t="str">
        <f aca="false">IF(A668="","",'Outro banco'!C668)</f>
        <v/>
      </c>
      <c r="D668" s="7" t="str">
        <f aca="false">IF(A668="","",'Outro banco'!D668)</f>
        <v/>
      </c>
      <c r="E668" s="9"/>
      <c r="F668" s="9"/>
      <c r="G668" s="7" t="str">
        <f aca="false">IF(A668="","",IF(COUNTIF(Tabelas!$A:$A,IF(E668="",A668,E668))&gt;0,"sim","não"))</f>
        <v/>
      </c>
      <c r="H668" s="7" t="str">
        <f aca="false">IF(A668="","",IF(E668="",A668,E668)&amp;"."&amp;IF(F668="",B668,F668))</f>
        <v/>
      </c>
      <c r="I668" s="7" t="str">
        <f aca="false">IF(A668="","",IFERROR(INDEX('Campos Growths'!$F:$F,MATCH(H668,'Campos Growths'!$A:$A,0)),""))</f>
        <v/>
      </c>
      <c r="J668" s="7" t="str">
        <f aca="false">IF(A668="","",IFERROR(VLOOKUP(IF(ISNUMBER(SEARCH("(",C668)),LEFT(C668,SEARCH("(",C668)-1),C668),Tipos!$A:$B,2,FALSE()),"outro"))</f>
        <v/>
      </c>
      <c r="K668" s="7" t="str">
        <f aca="false">IF(I668="","",IFERROR(INDEX('Campos Growths'!$L:$L,MATCH(H668,'Campos Growths'!$A:$A,0)),""))</f>
        <v/>
      </c>
      <c r="L668" s="7" t="str">
        <f aca="false">IF(A668="","",IF(G668="não","Sem tabela no Growths",IF(I668="","Sem campo no Growths",IF(J668=K668,"Importa direto","Ajustar tipo"))))</f>
        <v/>
      </c>
      <c r="M668" s="9"/>
    </row>
    <row r="669" customFormat="false" ht="15" hidden="false" customHeight="false" outlineLevel="0" collapsed="false">
      <c r="A669" s="7" t="str">
        <f aca="false">IF('Outro banco'!A669="","",IF(LEFT('Outro banco'!A669,1)="(","",'Outro banco'!A669))</f>
        <v/>
      </c>
      <c r="B669" s="7" t="str">
        <f aca="false">IF(A669="","",'Outro banco'!B669)</f>
        <v/>
      </c>
      <c r="C669" s="7" t="str">
        <f aca="false">IF(A669="","",'Outro banco'!C669)</f>
        <v/>
      </c>
      <c r="D669" s="7" t="str">
        <f aca="false">IF(A669="","",'Outro banco'!D669)</f>
        <v/>
      </c>
      <c r="E669" s="9"/>
      <c r="F669" s="9"/>
      <c r="G669" s="7" t="str">
        <f aca="false">IF(A669="","",IF(COUNTIF(Tabelas!$A:$A,IF(E669="",A669,E669))&gt;0,"sim","não"))</f>
        <v/>
      </c>
      <c r="H669" s="7" t="str">
        <f aca="false">IF(A669="","",IF(E669="",A669,E669)&amp;"."&amp;IF(F669="",B669,F669))</f>
        <v/>
      </c>
      <c r="I669" s="7" t="str">
        <f aca="false">IF(A669="","",IFERROR(INDEX('Campos Growths'!$F:$F,MATCH(H669,'Campos Growths'!$A:$A,0)),""))</f>
        <v/>
      </c>
      <c r="J669" s="7" t="str">
        <f aca="false">IF(A669="","",IFERROR(VLOOKUP(IF(ISNUMBER(SEARCH("(",C669)),LEFT(C669,SEARCH("(",C669)-1),C669),Tipos!$A:$B,2,FALSE()),"outro"))</f>
        <v/>
      </c>
      <c r="K669" s="7" t="str">
        <f aca="false">IF(I669="","",IFERROR(INDEX('Campos Growths'!$L:$L,MATCH(H669,'Campos Growths'!$A:$A,0)),""))</f>
        <v/>
      </c>
      <c r="L669" s="7" t="str">
        <f aca="false">IF(A669="","",IF(G669="não","Sem tabela no Growths",IF(I669="","Sem campo no Growths",IF(J669=K669,"Importa direto","Ajustar tipo"))))</f>
        <v/>
      </c>
      <c r="M669" s="9"/>
    </row>
    <row r="670" customFormat="false" ht="15" hidden="false" customHeight="false" outlineLevel="0" collapsed="false">
      <c r="A670" s="7" t="str">
        <f aca="false">IF('Outro banco'!A670="","",IF(LEFT('Outro banco'!A670,1)="(","",'Outro banco'!A670))</f>
        <v/>
      </c>
      <c r="B670" s="7" t="str">
        <f aca="false">IF(A670="","",'Outro banco'!B670)</f>
        <v/>
      </c>
      <c r="C670" s="7" t="str">
        <f aca="false">IF(A670="","",'Outro banco'!C670)</f>
        <v/>
      </c>
      <c r="D670" s="7" t="str">
        <f aca="false">IF(A670="","",'Outro banco'!D670)</f>
        <v/>
      </c>
      <c r="E670" s="9"/>
      <c r="F670" s="9"/>
      <c r="G670" s="7" t="str">
        <f aca="false">IF(A670="","",IF(COUNTIF(Tabelas!$A:$A,IF(E670="",A670,E670))&gt;0,"sim","não"))</f>
        <v/>
      </c>
      <c r="H670" s="7" t="str">
        <f aca="false">IF(A670="","",IF(E670="",A670,E670)&amp;"."&amp;IF(F670="",B670,F670))</f>
        <v/>
      </c>
      <c r="I670" s="7" t="str">
        <f aca="false">IF(A670="","",IFERROR(INDEX('Campos Growths'!$F:$F,MATCH(H670,'Campos Growths'!$A:$A,0)),""))</f>
        <v/>
      </c>
      <c r="J670" s="7" t="str">
        <f aca="false">IF(A670="","",IFERROR(VLOOKUP(IF(ISNUMBER(SEARCH("(",C670)),LEFT(C670,SEARCH("(",C670)-1),C670),Tipos!$A:$B,2,FALSE()),"outro"))</f>
        <v/>
      </c>
      <c r="K670" s="7" t="str">
        <f aca="false">IF(I670="","",IFERROR(INDEX('Campos Growths'!$L:$L,MATCH(H670,'Campos Growths'!$A:$A,0)),""))</f>
        <v/>
      </c>
      <c r="L670" s="7" t="str">
        <f aca="false">IF(A670="","",IF(G670="não","Sem tabela no Growths",IF(I670="","Sem campo no Growths",IF(J670=K670,"Importa direto","Ajustar tipo"))))</f>
        <v/>
      </c>
      <c r="M670" s="9"/>
    </row>
    <row r="671" customFormat="false" ht="15" hidden="false" customHeight="false" outlineLevel="0" collapsed="false">
      <c r="A671" s="7" t="str">
        <f aca="false">IF('Outro banco'!A671="","",IF(LEFT('Outro banco'!A671,1)="(","",'Outro banco'!A671))</f>
        <v/>
      </c>
      <c r="B671" s="7" t="str">
        <f aca="false">IF(A671="","",'Outro banco'!B671)</f>
        <v/>
      </c>
      <c r="C671" s="7" t="str">
        <f aca="false">IF(A671="","",'Outro banco'!C671)</f>
        <v/>
      </c>
      <c r="D671" s="7" t="str">
        <f aca="false">IF(A671="","",'Outro banco'!D671)</f>
        <v/>
      </c>
      <c r="E671" s="9"/>
      <c r="F671" s="9"/>
      <c r="G671" s="7" t="str">
        <f aca="false">IF(A671="","",IF(COUNTIF(Tabelas!$A:$A,IF(E671="",A671,E671))&gt;0,"sim","não"))</f>
        <v/>
      </c>
      <c r="H671" s="7" t="str">
        <f aca="false">IF(A671="","",IF(E671="",A671,E671)&amp;"."&amp;IF(F671="",B671,F671))</f>
        <v/>
      </c>
      <c r="I671" s="7" t="str">
        <f aca="false">IF(A671="","",IFERROR(INDEX('Campos Growths'!$F:$F,MATCH(H671,'Campos Growths'!$A:$A,0)),""))</f>
        <v/>
      </c>
      <c r="J671" s="7" t="str">
        <f aca="false">IF(A671="","",IFERROR(VLOOKUP(IF(ISNUMBER(SEARCH("(",C671)),LEFT(C671,SEARCH("(",C671)-1),C671),Tipos!$A:$B,2,FALSE()),"outro"))</f>
        <v/>
      </c>
      <c r="K671" s="7" t="str">
        <f aca="false">IF(I671="","",IFERROR(INDEX('Campos Growths'!$L:$L,MATCH(H671,'Campos Growths'!$A:$A,0)),""))</f>
        <v/>
      </c>
      <c r="L671" s="7" t="str">
        <f aca="false">IF(A671="","",IF(G671="não","Sem tabela no Growths",IF(I671="","Sem campo no Growths",IF(J671=K671,"Importa direto","Ajustar tipo"))))</f>
        <v/>
      </c>
      <c r="M671" s="9"/>
    </row>
    <row r="672" customFormat="false" ht="15" hidden="false" customHeight="false" outlineLevel="0" collapsed="false">
      <c r="A672" s="7" t="str">
        <f aca="false">IF('Outro banco'!A672="","",IF(LEFT('Outro banco'!A672,1)="(","",'Outro banco'!A672))</f>
        <v/>
      </c>
      <c r="B672" s="7" t="str">
        <f aca="false">IF(A672="","",'Outro banco'!B672)</f>
        <v/>
      </c>
      <c r="C672" s="7" t="str">
        <f aca="false">IF(A672="","",'Outro banco'!C672)</f>
        <v/>
      </c>
      <c r="D672" s="7" t="str">
        <f aca="false">IF(A672="","",'Outro banco'!D672)</f>
        <v/>
      </c>
      <c r="E672" s="9"/>
      <c r="F672" s="9"/>
      <c r="G672" s="7" t="str">
        <f aca="false">IF(A672="","",IF(COUNTIF(Tabelas!$A:$A,IF(E672="",A672,E672))&gt;0,"sim","não"))</f>
        <v/>
      </c>
      <c r="H672" s="7" t="str">
        <f aca="false">IF(A672="","",IF(E672="",A672,E672)&amp;"."&amp;IF(F672="",B672,F672))</f>
        <v/>
      </c>
      <c r="I672" s="7" t="str">
        <f aca="false">IF(A672="","",IFERROR(INDEX('Campos Growths'!$F:$F,MATCH(H672,'Campos Growths'!$A:$A,0)),""))</f>
        <v/>
      </c>
      <c r="J672" s="7" t="str">
        <f aca="false">IF(A672="","",IFERROR(VLOOKUP(IF(ISNUMBER(SEARCH("(",C672)),LEFT(C672,SEARCH("(",C672)-1),C672),Tipos!$A:$B,2,FALSE()),"outro"))</f>
        <v/>
      </c>
      <c r="K672" s="7" t="str">
        <f aca="false">IF(I672="","",IFERROR(INDEX('Campos Growths'!$L:$L,MATCH(H672,'Campos Growths'!$A:$A,0)),""))</f>
        <v/>
      </c>
      <c r="L672" s="7" t="str">
        <f aca="false">IF(A672="","",IF(G672="não","Sem tabela no Growths",IF(I672="","Sem campo no Growths",IF(J672=K672,"Importa direto","Ajustar tipo"))))</f>
        <v/>
      </c>
      <c r="M672" s="9"/>
    </row>
    <row r="673" customFormat="false" ht="15" hidden="false" customHeight="false" outlineLevel="0" collapsed="false">
      <c r="A673" s="7" t="str">
        <f aca="false">IF('Outro banco'!A673="","",IF(LEFT('Outro banco'!A673,1)="(","",'Outro banco'!A673))</f>
        <v/>
      </c>
      <c r="B673" s="7" t="str">
        <f aca="false">IF(A673="","",'Outro banco'!B673)</f>
        <v/>
      </c>
      <c r="C673" s="7" t="str">
        <f aca="false">IF(A673="","",'Outro banco'!C673)</f>
        <v/>
      </c>
      <c r="D673" s="7" t="str">
        <f aca="false">IF(A673="","",'Outro banco'!D673)</f>
        <v/>
      </c>
      <c r="E673" s="9"/>
      <c r="F673" s="9"/>
      <c r="G673" s="7" t="str">
        <f aca="false">IF(A673="","",IF(COUNTIF(Tabelas!$A:$A,IF(E673="",A673,E673))&gt;0,"sim","não"))</f>
        <v/>
      </c>
      <c r="H673" s="7" t="str">
        <f aca="false">IF(A673="","",IF(E673="",A673,E673)&amp;"."&amp;IF(F673="",B673,F673))</f>
        <v/>
      </c>
      <c r="I673" s="7" t="str">
        <f aca="false">IF(A673="","",IFERROR(INDEX('Campos Growths'!$F:$F,MATCH(H673,'Campos Growths'!$A:$A,0)),""))</f>
        <v/>
      </c>
      <c r="J673" s="7" t="str">
        <f aca="false">IF(A673="","",IFERROR(VLOOKUP(IF(ISNUMBER(SEARCH("(",C673)),LEFT(C673,SEARCH("(",C673)-1),C673),Tipos!$A:$B,2,FALSE()),"outro"))</f>
        <v/>
      </c>
      <c r="K673" s="7" t="str">
        <f aca="false">IF(I673="","",IFERROR(INDEX('Campos Growths'!$L:$L,MATCH(H673,'Campos Growths'!$A:$A,0)),""))</f>
        <v/>
      </c>
      <c r="L673" s="7" t="str">
        <f aca="false">IF(A673="","",IF(G673="não","Sem tabela no Growths",IF(I673="","Sem campo no Growths",IF(J673=K673,"Importa direto","Ajustar tipo"))))</f>
        <v/>
      </c>
      <c r="M673" s="9"/>
    </row>
    <row r="674" customFormat="false" ht="15" hidden="false" customHeight="false" outlineLevel="0" collapsed="false">
      <c r="A674" s="7" t="str">
        <f aca="false">IF('Outro banco'!A674="","",IF(LEFT('Outro banco'!A674,1)="(","",'Outro banco'!A674))</f>
        <v/>
      </c>
      <c r="B674" s="7" t="str">
        <f aca="false">IF(A674="","",'Outro banco'!B674)</f>
        <v/>
      </c>
      <c r="C674" s="7" t="str">
        <f aca="false">IF(A674="","",'Outro banco'!C674)</f>
        <v/>
      </c>
      <c r="D674" s="7" t="str">
        <f aca="false">IF(A674="","",'Outro banco'!D674)</f>
        <v/>
      </c>
      <c r="E674" s="9"/>
      <c r="F674" s="9"/>
      <c r="G674" s="7" t="str">
        <f aca="false">IF(A674="","",IF(COUNTIF(Tabelas!$A:$A,IF(E674="",A674,E674))&gt;0,"sim","não"))</f>
        <v/>
      </c>
      <c r="H674" s="7" t="str">
        <f aca="false">IF(A674="","",IF(E674="",A674,E674)&amp;"."&amp;IF(F674="",B674,F674))</f>
        <v/>
      </c>
      <c r="I674" s="7" t="str">
        <f aca="false">IF(A674="","",IFERROR(INDEX('Campos Growths'!$F:$F,MATCH(H674,'Campos Growths'!$A:$A,0)),""))</f>
        <v/>
      </c>
      <c r="J674" s="7" t="str">
        <f aca="false">IF(A674="","",IFERROR(VLOOKUP(IF(ISNUMBER(SEARCH("(",C674)),LEFT(C674,SEARCH("(",C674)-1),C674),Tipos!$A:$B,2,FALSE()),"outro"))</f>
        <v/>
      </c>
      <c r="K674" s="7" t="str">
        <f aca="false">IF(I674="","",IFERROR(INDEX('Campos Growths'!$L:$L,MATCH(H674,'Campos Growths'!$A:$A,0)),""))</f>
        <v/>
      </c>
      <c r="L674" s="7" t="str">
        <f aca="false">IF(A674="","",IF(G674="não","Sem tabela no Growths",IF(I674="","Sem campo no Growths",IF(J674=K674,"Importa direto","Ajustar tipo"))))</f>
        <v/>
      </c>
      <c r="M674" s="9"/>
    </row>
    <row r="675" customFormat="false" ht="15" hidden="false" customHeight="false" outlineLevel="0" collapsed="false">
      <c r="A675" s="7" t="str">
        <f aca="false">IF('Outro banco'!A675="","",IF(LEFT('Outro banco'!A675,1)="(","",'Outro banco'!A675))</f>
        <v/>
      </c>
      <c r="B675" s="7" t="str">
        <f aca="false">IF(A675="","",'Outro banco'!B675)</f>
        <v/>
      </c>
      <c r="C675" s="7" t="str">
        <f aca="false">IF(A675="","",'Outro banco'!C675)</f>
        <v/>
      </c>
      <c r="D675" s="7" t="str">
        <f aca="false">IF(A675="","",'Outro banco'!D675)</f>
        <v/>
      </c>
      <c r="E675" s="9"/>
      <c r="F675" s="9"/>
      <c r="G675" s="7" t="str">
        <f aca="false">IF(A675="","",IF(COUNTIF(Tabelas!$A:$A,IF(E675="",A675,E675))&gt;0,"sim","não"))</f>
        <v/>
      </c>
      <c r="H675" s="7" t="str">
        <f aca="false">IF(A675="","",IF(E675="",A675,E675)&amp;"."&amp;IF(F675="",B675,F675))</f>
        <v/>
      </c>
      <c r="I675" s="7" t="str">
        <f aca="false">IF(A675="","",IFERROR(INDEX('Campos Growths'!$F:$F,MATCH(H675,'Campos Growths'!$A:$A,0)),""))</f>
        <v/>
      </c>
      <c r="J675" s="7" t="str">
        <f aca="false">IF(A675="","",IFERROR(VLOOKUP(IF(ISNUMBER(SEARCH("(",C675)),LEFT(C675,SEARCH("(",C675)-1),C675),Tipos!$A:$B,2,FALSE()),"outro"))</f>
        <v/>
      </c>
      <c r="K675" s="7" t="str">
        <f aca="false">IF(I675="","",IFERROR(INDEX('Campos Growths'!$L:$L,MATCH(H675,'Campos Growths'!$A:$A,0)),""))</f>
        <v/>
      </c>
      <c r="L675" s="7" t="str">
        <f aca="false">IF(A675="","",IF(G675="não","Sem tabela no Growths",IF(I675="","Sem campo no Growths",IF(J675=K675,"Importa direto","Ajustar tipo"))))</f>
        <v/>
      </c>
      <c r="M675" s="9"/>
    </row>
    <row r="676" customFormat="false" ht="15" hidden="false" customHeight="false" outlineLevel="0" collapsed="false">
      <c r="A676" s="7" t="str">
        <f aca="false">IF('Outro banco'!A676="","",IF(LEFT('Outro banco'!A676,1)="(","",'Outro banco'!A676))</f>
        <v/>
      </c>
      <c r="B676" s="7" t="str">
        <f aca="false">IF(A676="","",'Outro banco'!B676)</f>
        <v/>
      </c>
      <c r="C676" s="7" t="str">
        <f aca="false">IF(A676="","",'Outro banco'!C676)</f>
        <v/>
      </c>
      <c r="D676" s="7" t="str">
        <f aca="false">IF(A676="","",'Outro banco'!D676)</f>
        <v/>
      </c>
      <c r="E676" s="9"/>
      <c r="F676" s="9"/>
      <c r="G676" s="7" t="str">
        <f aca="false">IF(A676="","",IF(COUNTIF(Tabelas!$A:$A,IF(E676="",A676,E676))&gt;0,"sim","não"))</f>
        <v/>
      </c>
      <c r="H676" s="7" t="str">
        <f aca="false">IF(A676="","",IF(E676="",A676,E676)&amp;"."&amp;IF(F676="",B676,F676))</f>
        <v/>
      </c>
      <c r="I676" s="7" t="str">
        <f aca="false">IF(A676="","",IFERROR(INDEX('Campos Growths'!$F:$F,MATCH(H676,'Campos Growths'!$A:$A,0)),""))</f>
        <v/>
      </c>
      <c r="J676" s="7" t="str">
        <f aca="false">IF(A676="","",IFERROR(VLOOKUP(IF(ISNUMBER(SEARCH("(",C676)),LEFT(C676,SEARCH("(",C676)-1),C676),Tipos!$A:$B,2,FALSE()),"outro"))</f>
        <v/>
      </c>
      <c r="K676" s="7" t="str">
        <f aca="false">IF(I676="","",IFERROR(INDEX('Campos Growths'!$L:$L,MATCH(H676,'Campos Growths'!$A:$A,0)),""))</f>
        <v/>
      </c>
      <c r="L676" s="7" t="str">
        <f aca="false">IF(A676="","",IF(G676="não","Sem tabela no Growths",IF(I676="","Sem campo no Growths",IF(J676=K676,"Importa direto","Ajustar tipo"))))</f>
        <v/>
      </c>
      <c r="M676" s="9"/>
    </row>
    <row r="677" customFormat="false" ht="15" hidden="false" customHeight="false" outlineLevel="0" collapsed="false">
      <c r="A677" s="7" t="str">
        <f aca="false">IF('Outro banco'!A677="","",IF(LEFT('Outro banco'!A677,1)="(","",'Outro banco'!A677))</f>
        <v/>
      </c>
      <c r="B677" s="7" t="str">
        <f aca="false">IF(A677="","",'Outro banco'!B677)</f>
        <v/>
      </c>
      <c r="C677" s="7" t="str">
        <f aca="false">IF(A677="","",'Outro banco'!C677)</f>
        <v/>
      </c>
      <c r="D677" s="7" t="str">
        <f aca="false">IF(A677="","",'Outro banco'!D677)</f>
        <v/>
      </c>
      <c r="E677" s="9"/>
      <c r="F677" s="9"/>
      <c r="G677" s="7" t="str">
        <f aca="false">IF(A677="","",IF(COUNTIF(Tabelas!$A:$A,IF(E677="",A677,E677))&gt;0,"sim","não"))</f>
        <v/>
      </c>
      <c r="H677" s="7" t="str">
        <f aca="false">IF(A677="","",IF(E677="",A677,E677)&amp;"."&amp;IF(F677="",B677,F677))</f>
        <v/>
      </c>
      <c r="I677" s="7" t="str">
        <f aca="false">IF(A677="","",IFERROR(INDEX('Campos Growths'!$F:$F,MATCH(H677,'Campos Growths'!$A:$A,0)),""))</f>
        <v/>
      </c>
      <c r="J677" s="7" t="str">
        <f aca="false">IF(A677="","",IFERROR(VLOOKUP(IF(ISNUMBER(SEARCH("(",C677)),LEFT(C677,SEARCH("(",C677)-1),C677),Tipos!$A:$B,2,FALSE()),"outro"))</f>
        <v/>
      </c>
      <c r="K677" s="7" t="str">
        <f aca="false">IF(I677="","",IFERROR(INDEX('Campos Growths'!$L:$L,MATCH(H677,'Campos Growths'!$A:$A,0)),""))</f>
        <v/>
      </c>
      <c r="L677" s="7" t="str">
        <f aca="false">IF(A677="","",IF(G677="não","Sem tabela no Growths",IF(I677="","Sem campo no Growths",IF(J677=K677,"Importa direto","Ajustar tipo"))))</f>
        <v/>
      </c>
      <c r="M677" s="9"/>
    </row>
    <row r="678" customFormat="false" ht="15" hidden="false" customHeight="false" outlineLevel="0" collapsed="false">
      <c r="A678" s="7" t="str">
        <f aca="false">IF('Outro banco'!A678="","",IF(LEFT('Outro banco'!A678,1)="(","",'Outro banco'!A678))</f>
        <v/>
      </c>
      <c r="B678" s="7" t="str">
        <f aca="false">IF(A678="","",'Outro banco'!B678)</f>
        <v/>
      </c>
      <c r="C678" s="7" t="str">
        <f aca="false">IF(A678="","",'Outro banco'!C678)</f>
        <v/>
      </c>
      <c r="D678" s="7" t="str">
        <f aca="false">IF(A678="","",'Outro banco'!D678)</f>
        <v/>
      </c>
      <c r="E678" s="9"/>
      <c r="F678" s="9"/>
      <c r="G678" s="7" t="str">
        <f aca="false">IF(A678="","",IF(COUNTIF(Tabelas!$A:$A,IF(E678="",A678,E678))&gt;0,"sim","não"))</f>
        <v/>
      </c>
      <c r="H678" s="7" t="str">
        <f aca="false">IF(A678="","",IF(E678="",A678,E678)&amp;"."&amp;IF(F678="",B678,F678))</f>
        <v/>
      </c>
      <c r="I678" s="7" t="str">
        <f aca="false">IF(A678="","",IFERROR(INDEX('Campos Growths'!$F:$F,MATCH(H678,'Campos Growths'!$A:$A,0)),""))</f>
        <v/>
      </c>
      <c r="J678" s="7" t="str">
        <f aca="false">IF(A678="","",IFERROR(VLOOKUP(IF(ISNUMBER(SEARCH("(",C678)),LEFT(C678,SEARCH("(",C678)-1),C678),Tipos!$A:$B,2,FALSE()),"outro"))</f>
        <v/>
      </c>
      <c r="K678" s="7" t="str">
        <f aca="false">IF(I678="","",IFERROR(INDEX('Campos Growths'!$L:$L,MATCH(H678,'Campos Growths'!$A:$A,0)),""))</f>
        <v/>
      </c>
      <c r="L678" s="7" t="str">
        <f aca="false">IF(A678="","",IF(G678="não","Sem tabela no Growths",IF(I678="","Sem campo no Growths",IF(J678=K678,"Importa direto","Ajustar tipo"))))</f>
        <v/>
      </c>
      <c r="M678" s="9"/>
    </row>
    <row r="679" customFormat="false" ht="15" hidden="false" customHeight="false" outlineLevel="0" collapsed="false">
      <c r="A679" s="7" t="str">
        <f aca="false">IF('Outro banco'!A679="","",IF(LEFT('Outro banco'!A679,1)="(","",'Outro banco'!A679))</f>
        <v/>
      </c>
      <c r="B679" s="7" t="str">
        <f aca="false">IF(A679="","",'Outro banco'!B679)</f>
        <v/>
      </c>
      <c r="C679" s="7" t="str">
        <f aca="false">IF(A679="","",'Outro banco'!C679)</f>
        <v/>
      </c>
      <c r="D679" s="7" t="str">
        <f aca="false">IF(A679="","",'Outro banco'!D679)</f>
        <v/>
      </c>
      <c r="E679" s="9"/>
      <c r="F679" s="9"/>
      <c r="G679" s="7" t="str">
        <f aca="false">IF(A679="","",IF(COUNTIF(Tabelas!$A:$A,IF(E679="",A679,E679))&gt;0,"sim","não"))</f>
        <v/>
      </c>
      <c r="H679" s="7" t="str">
        <f aca="false">IF(A679="","",IF(E679="",A679,E679)&amp;"."&amp;IF(F679="",B679,F679))</f>
        <v/>
      </c>
      <c r="I679" s="7" t="str">
        <f aca="false">IF(A679="","",IFERROR(INDEX('Campos Growths'!$F:$F,MATCH(H679,'Campos Growths'!$A:$A,0)),""))</f>
        <v/>
      </c>
      <c r="J679" s="7" t="str">
        <f aca="false">IF(A679="","",IFERROR(VLOOKUP(IF(ISNUMBER(SEARCH("(",C679)),LEFT(C679,SEARCH("(",C679)-1),C679),Tipos!$A:$B,2,FALSE()),"outro"))</f>
        <v/>
      </c>
      <c r="K679" s="7" t="str">
        <f aca="false">IF(I679="","",IFERROR(INDEX('Campos Growths'!$L:$L,MATCH(H679,'Campos Growths'!$A:$A,0)),""))</f>
        <v/>
      </c>
      <c r="L679" s="7" t="str">
        <f aca="false">IF(A679="","",IF(G679="não","Sem tabela no Growths",IF(I679="","Sem campo no Growths",IF(J679=K679,"Importa direto","Ajustar tipo"))))</f>
        <v/>
      </c>
      <c r="M679" s="9"/>
    </row>
    <row r="680" customFormat="false" ht="15" hidden="false" customHeight="false" outlineLevel="0" collapsed="false">
      <c r="A680" s="7" t="str">
        <f aca="false">IF('Outro banco'!A680="","",IF(LEFT('Outro banco'!A680,1)="(","",'Outro banco'!A680))</f>
        <v/>
      </c>
      <c r="B680" s="7" t="str">
        <f aca="false">IF(A680="","",'Outro banco'!B680)</f>
        <v/>
      </c>
      <c r="C680" s="7" t="str">
        <f aca="false">IF(A680="","",'Outro banco'!C680)</f>
        <v/>
      </c>
      <c r="D680" s="7" t="str">
        <f aca="false">IF(A680="","",'Outro banco'!D680)</f>
        <v/>
      </c>
      <c r="E680" s="9"/>
      <c r="F680" s="9"/>
      <c r="G680" s="7" t="str">
        <f aca="false">IF(A680="","",IF(COUNTIF(Tabelas!$A:$A,IF(E680="",A680,E680))&gt;0,"sim","não"))</f>
        <v/>
      </c>
      <c r="H680" s="7" t="str">
        <f aca="false">IF(A680="","",IF(E680="",A680,E680)&amp;"."&amp;IF(F680="",B680,F680))</f>
        <v/>
      </c>
      <c r="I680" s="7" t="str">
        <f aca="false">IF(A680="","",IFERROR(INDEX('Campos Growths'!$F:$F,MATCH(H680,'Campos Growths'!$A:$A,0)),""))</f>
        <v/>
      </c>
      <c r="J680" s="7" t="str">
        <f aca="false">IF(A680="","",IFERROR(VLOOKUP(IF(ISNUMBER(SEARCH("(",C680)),LEFT(C680,SEARCH("(",C680)-1),C680),Tipos!$A:$B,2,FALSE()),"outro"))</f>
        <v/>
      </c>
      <c r="K680" s="7" t="str">
        <f aca="false">IF(I680="","",IFERROR(INDEX('Campos Growths'!$L:$L,MATCH(H680,'Campos Growths'!$A:$A,0)),""))</f>
        <v/>
      </c>
      <c r="L680" s="7" t="str">
        <f aca="false">IF(A680="","",IF(G680="não","Sem tabela no Growths",IF(I680="","Sem campo no Growths",IF(J680=K680,"Importa direto","Ajustar tipo"))))</f>
        <v/>
      </c>
      <c r="M680" s="9"/>
    </row>
    <row r="681" customFormat="false" ht="15" hidden="false" customHeight="false" outlineLevel="0" collapsed="false">
      <c r="A681" s="7" t="str">
        <f aca="false">IF('Outro banco'!A681="","",IF(LEFT('Outro banco'!A681,1)="(","",'Outro banco'!A681))</f>
        <v/>
      </c>
      <c r="B681" s="7" t="str">
        <f aca="false">IF(A681="","",'Outro banco'!B681)</f>
        <v/>
      </c>
      <c r="C681" s="7" t="str">
        <f aca="false">IF(A681="","",'Outro banco'!C681)</f>
        <v/>
      </c>
      <c r="D681" s="7" t="str">
        <f aca="false">IF(A681="","",'Outro banco'!D681)</f>
        <v/>
      </c>
      <c r="E681" s="9"/>
      <c r="F681" s="9"/>
      <c r="G681" s="7" t="str">
        <f aca="false">IF(A681="","",IF(COUNTIF(Tabelas!$A:$A,IF(E681="",A681,E681))&gt;0,"sim","não"))</f>
        <v/>
      </c>
      <c r="H681" s="7" t="str">
        <f aca="false">IF(A681="","",IF(E681="",A681,E681)&amp;"."&amp;IF(F681="",B681,F681))</f>
        <v/>
      </c>
      <c r="I681" s="7" t="str">
        <f aca="false">IF(A681="","",IFERROR(INDEX('Campos Growths'!$F:$F,MATCH(H681,'Campos Growths'!$A:$A,0)),""))</f>
        <v/>
      </c>
      <c r="J681" s="7" t="str">
        <f aca="false">IF(A681="","",IFERROR(VLOOKUP(IF(ISNUMBER(SEARCH("(",C681)),LEFT(C681,SEARCH("(",C681)-1),C681),Tipos!$A:$B,2,FALSE()),"outro"))</f>
        <v/>
      </c>
      <c r="K681" s="7" t="str">
        <f aca="false">IF(I681="","",IFERROR(INDEX('Campos Growths'!$L:$L,MATCH(H681,'Campos Growths'!$A:$A,0)),""))</f>
        <v/>
      </c>
      <c r="L681" s="7" t="str">
        <f aca="false">IF(A681="","",IF(G681="não","Sem tabela no Growths",IF(I681="","Sem campo no Growths",IF(J681=K681,"Importa direto","Ajustar tipo"))))</f>
        <v/>
      </c>
      <c r="M681" s="9"/>
    </row>
    <row r="682" customFormat="false" ht="15" hidden="false" customHeight="false" outlineLevel="0" collapsed="false">
      <c r="A682" s="7" t="str">
        <f aca="false">IF('Outro banco'!A682="","",IF(LEFT('Outro banco'!A682,1)="(","",'Outro banco'!A682))</f>
        <v/>
      </c>
      <c r="B682" s="7" t="str">
        <f aca="false">IF(A682="","",'Outro banco'!B682)</f>
        <v/>
      </c>
      <c r="C682" s="7" t="str">
        <f aca="false">IF(A682="","",'Outro banco'!C682)</f>
        <v/>
      </c>
      <c r="D682" s="7" t="str">
        <f aca="false">IF(A682="","",'Outro banco'!D682)</f>
        <v/>
      </c>
      <c r="E682" s="9"/>
      <c r="F682" s="9"/>
      <c r="G682" s="7" t="str">
        <f aca="false">IF(A682="","",IF(COUNTIF(Tabelas!$A:$A,IF(E682="",A682,E682))&gt;0,"sim","não"))</f>
        <v/>
      </c>
      <c r="H682" s="7" t="str">
        <f aca="false">IF(A682="","",IF(E682="",A682,E682)&amp;"."&amp;IF(F682="",B682,F682))</f>
        <v/>
      </c>
      <c r="I682" s="7" t="str">
        <f aca="false">IF(A682="","",IFERROR(INDEX('Campos Growths'!$F:$F,MATCH(H682,'Campos Growths'!$A:$A,0)),""))</f>
        <v/>
      </c>
      <c r="J682" s="7" t="str">
        <f aca="false">IF(A682="","",IFERROR(VLOOKUP(IF(ISNUMBER(SEARCH("(",C682)),LEFT(C682,SEARCH("(",C682)-1),C682),Tipos!$A:$B,2,FALSE()),"outro"))</f>
        <v/>
      </c>
      <c r="K682" s="7" t="str">
        <f aca="false">IF(I682="","",IFERROR(INDEX('Campos Growths'!$L:$L,MATCH(H682,'Campos Growths'!$A:$A,0)),""))</f>
        <v/>
      </c>
      <c r="L682" s="7" t="str">
        <f aca="false">IF(A682="","",IF(G682="não","Sem tabela no Growths",IF(I682="","Sem campo no Growths",IF(J682=K682,"Importa direto","Ajustar tipo"))))</f>
        <v/>
      </c>
      <c r="M682" s="9"/>
    </row>
    <row r="683" customFormat="false" ht="15" hidden="false" customHeight="false" outlineLevel="0" collapsed="false">
      <c r="A683" s="7" t="str">
        <f aca="false">IF('Outro banco'!A683="","",IF(LEFT('Outro banco'!A683,1)="(","",'Outro banco'!A683))</f>
        <v/>
      </c>
      <c r="B683" s="7" t="str">
        <f aca="false">IF(A683="","",'Outro banco'!B683)</f>
        <v/>
      </c>
      <c r="C683" s="7" t="str">
        <f aca="false">IF(A683="","",'Outro banco'!C683)</f>
        <v/>
      </c>
      <c r="D683" s="7" t="str">
        <f aca="false">IF(A683="","",'Outro banco'!D683)</f>
        <v/>
      </c>
      <c r="E683" s="9"/>
      <c r="F683" s="9"/>
      <c r="G683" s="7" t="str">
        <f aca="false">IF(A683="","",IF(COUNTIF(Tabelas!$A:$A,IF(E683="",A683,E683))&gt;0,"sim","não"))</f>
        <v/>
      </c>
      <c r="H683" s="7" t="str">
        <f aca="false">IF(A683="","",IF(E683="",A683,E683)&amp;"."&amp;IF(F683="",B683,F683))</f>
        <v/>
      </c>
      <c r="I683" s="7" t="str">
        <f aca="false">IF(A683="","",IFERROR(INDEX('Campos Growths'!$F:$F,MATCH(H683,'Campos Growths'!$A:$A,0)),""))</f>
        <v/>
      </c>
      <c r="J683" s="7" t="str">
        <f aca="false">IF(A683="","",IFERROR(VLOOKUP(IF(ISNUMBER(SEARCH("(",C683)),LEFT(C683,SEARCH("(",C683)-1),C683),Tipos!$A:$B,2,FALSE()),"outro"))</f>
        <v/>
      </c>
      <c r="K683" s="7" t="str">
        <f aca="false">IF(I683="","",IFERROR(INDEX('Campos Growths'!$L:$L,MATCH(H683,'Campos Growths'!$A:$A,0)),""))</f>
        <v/>
      </c>
      <c r="L683" s="7" t="str">
        <f aca="false">IF(A683="","",IF(G683="não","Sem tabela no Growths",IF(I683="","Sem campo no Growths",IF(J683=K683,"Importa direto","Ajustar tipo"))))</f>
        <v/>
      </c>
      <c r="M683" s="9"/>
    </row>
    <row r="684" customFormat="false" ht="15" hidden="false" customHeight="false" outlineLevel="0" collapsed="false">
      <c r="A684" s="7" t="str">
        <f aca="false">IF('Outro banco'!A684="","",IF(LEFT('Outro banco'!A684,1)="(","",'Outro banco'!A684))</f>
        <v/>
      </c>
      <c r="B684" s="7" t="str">
        <f aca="false">IF(A684="","",'Outro banco'!B684)</f>
        <v/>
      </c>
      <c r="C684" s="7" t="str">
        <f aca="false">IF(A684="","",'Outro banco'!C684)</f>
        <v/>
      </c>
      <c r="D684" s="7" t="str">
        <f aca="false">IF(A684="","",'Outro banco'!D684)</f>
        <v/>
      </c>
      <c r="E684" s="9"/>
      <c r="F684" s="9"/>
      <c r="G684" s="7" t="str">
        <f aca="false">IF(A684="","",IF(COUNTIF(Tabelas!$A:$A,IF(E684="",A684,E684))&gt;0,"sim","não"))</f>
        <v/>
      </c>
      <c r="H684" s="7" t="str">
        <f aca="false">IF(A684="","",IF(E684="",A684,E684)&amp;"."&amp;IF(F684="",B684,F684))</f>
        <v/>
      </c>
      <c r="I684" s="7" t="str">
        <f aca="false">IF(A684="","",IFERROR(INDEX('Campos Growths'!$F:$F,MATCH(H684,'Campos Growths'!$A:$A,0)),""))</f>
        <v/>
      </c>
      <c r="J684" s="7" t="str">
        <f aca="false">IF(A684="","",IFERROR(VLOOKUP(IF(ISNUMBER(SEARCH("(",C684)),LEFT(C684,SEARCH("(",C684)-1),C684),Tipos!$A:$B,2,FALSE()),"outro"))</f>
        <v/>
      </c>
      <c r="K684" s="7" t="str">
        <f aca="false">IF(I684="","",IFERROR(INDEX('Campos Growths'!$L:$L,MATCH(H684,'Campos Growths'!$A:$A,0)),""))</f>
        <v/>
      </c>
      <c r="L684" s="7" t="str">
        <f aca="false">IF(A684="","",IF(G684="não","Sem tabela no Growths",IF(I684="","Sem campo no Growths",IF(J684=K684,"Importa direto","Ajustar tipo"))))</f>
        <v/>
      </c>
      <c r="M684" s="9"/>
    </row>
    <row r="685" customFormat="false" ht="15" hidden="false" customHeight="false" outlineLevel="0" collapsed="false">
      <c r="A685" s="7" t="str">
        <f aca="false">IF('Outro banco'!A685="","",IF(LEFT('Outro banco'!A685,1)="(","",'Outro banco'!A685))</f>
        <v/>
      </c>
      <c r="B685" s="7" t="str">
        <f aca="false">IF(A685="","",'Outro banco'!B685)</f>
        <v/>
      </c>
      <c r="C685" s="7" t="str">
        <f aca="false">IF(A685="","",'Outro banco'!C685)</f>
        <v/>
      </c>
      <c r="D685" s="7" t="str">
        <f aca="false">IF(A685="","",'Outro banco'!D685)</f>
        <v/>
      </c>
      <c r="E685" s="9"/>
      <c r="F685" s="9"/>
      <c r="G685" s="7" t="str">
        <f aca="false">IF(A685="","",IF(COUNTIF(Tabelas!$A:$A,IF(E685="",A685,E685))&gt;0,"sim","não"))</f>
        <v/>
      </c>
      <c r="H685" s="7" t="str">
        <f aca="false">IF(A685="","",IF(E685="",A685,E685)&amp;"."&amp;IF(F685="",B685,F685))</f>
        <v/>
      </c>
      <c r="I685" s="7" t="str">
        <f aca="false">IF(A685="","",IFERROR(INDEX('Campos Growths'!$F:$F,MATCH(H685,'Campos Growths'!$A:$A,0)),""))</f>
        <v/>
      </c>
      <c r="J685" s="7" t="str">
        <f aca="false">IF(A685="","",IFERROR(VLOOKUP(IF(ISNUMBER(SEARCH("(",C685)),LEFT(C685,SEARCH("(",C685)-1),C685),Tipos!$A:$B,2,FALSE()),"outro"))</f>
        <v/>
      </c>
      <c r="K685" s="7" t="str">
        <f aca="false">IF(I685="","",IFERROR(INDEX('Campos Growths'!$L:$L,MATCH(H685,'Campos Growths'!$A:$A,0)),""))</f>
        <v/>
      </c>
      <c r="L685" s="7" t="str">
        <f aca="false">IF(A685="","",IF(G685="não","Sem tabela no Growths",IF(I685="","Sem campo no Growths",IF(J685=K685,"Importa direto","Ajustar tipo"))))</f>
        <v/>
      </c>
      <c r="M685" s="9"/>
    </row>
    <row r="686" customFormat="false" ht="15" hidden="false" customHeight="false" outlineLevel="0" collapsed="false">
      <c r="A686" s="7" t="str">
        <f aca="false">IF('Outro banco'!A686="","",IF(LEFT('Outro banco'!A686,1)="(","",'Outro banco'!A686))</f>
        <v/>
      </c>
      <c r="B686" s="7" t="str">
        <f aca="false">IF(A686="","",'Outro banco'!B686)</f>
        <v/>
      </c>
      <c r="C686" s="7" t="str">
        <f aca="false">IF(A686="","",'Outro banco'!C686)</f>
        <v/>
      </c>
      <c r="D686" s="7" t="str">
        <f aca="false">IF(A686="","",'Outro banco'!D686)</f>
        <v/>
      </c>
      <c r="E686" s="9"/>
      <c r="F686" s="9"/>
      <c r="G686" s="7" t="str">
        <f aca="false">IF(A686="","",IF(COUNTIF(Tabelas!$A:$A,IF(E686="",A686,E686))&gt;0,"sim","não"))</f>
        <v/>
      </c>
      <c r="H686" s="7" t="str">
        <f aca="false">IF(A686="","",IF(E686="",A686,E686)&amp;"."&amp;IF(F686="",B686,F686))</f>
        <v/>
      </c>
      <c r="I686" s="7" t="str">
        <f aca="false">IF(A686="","",IFERROR(INDEX('Campos Growths'!$F:$F,MATCH(H686,'Campos Growths'!$A:$A,0)),""))</f>
        <v/>
      </c>
      <c r="J686" s="7" t="str">
        <f aca="false">IF(A686="","",IFERROR(VLOOKUP(IF(ISNUMBER(SEARCH("(",C686)),LEFT(C686,SEARCH("(",C686)-1),C686),Tipos!$A:$B,2,FALSE()),"outro"))</f>
        <v/>
      </c>
      <c r="K686" s="7" t="str">
        <f aca="false">IF(I686="","",IFERROR(INDEX('Campos Growths'!$L:$L,MATCH(H686,'Campos Growths'!$A:$A,0)),""))</f>
        <v/>
      </c>
      <c r="L686" s="7" t="str">
        <f aca="false">IF(A686="","",IF(G686="não","Sem tabela no Growths",IF(I686="","Sem campo no Growths",IF(J686=K686,"Importa direto","Ajustar tipo"))))</f>
        <v/>
      </c>
      <c r="M686" s="9"/>
    </row>
    <row r="687" customFormat="false" ht="15" hidden="false" customHeight="false" outlineLevel="0" collapsed="false">
      <c r="A687" s="7" t="str">
        <f aca="false">IF('Outro banco'!A687="","",IF(LEFT('Outro banco'!A687,1)="(","",'Outro banco'!A687))</f>
        <v/>
      </c>
      <c r="B687" s="7" t="str">
        <f aca="false">IF(A687="","",'Outro banco'!B687)</f>
        <v/>
      </c>
      <c r="C687" s="7" t="str">
        <f aca="false">IF(A687="","",'Outro banco'!C687)</f>
        <v/>
      </c>
      <c r="D687" s="7" t="str">
        <f aca="false">IF(A687="","",'Outro banco'!D687)</f>
        <v/>
      </c>
      <c r="E687" s="9"/>
      <c r="F687" s="9"/>
      <c r="G687" s="7" t="str">
        <f aca="false">IF(A687="","",IF(COUNTIF(Tabelas!$A:$A,IF(E687="",A687,E687))&gt;0,"sim","não"))</f>
        <v/>
      </c>
      <c r="H687" s="7" t="str">
        <f aca="false">IF(A687="","",IF(E687="",A687,E687)&amp;"."&amp;IF(F687="",B687,F687))</f>
        <v/>
      </c>
      <c r="I687" s="7" t="str">
        <f aca="false">IF(A687="","",IFERROR(INDEX('Campos Growths'!$F:$F,MATCH(H687,'Campos Growths'!$A:$A,0)),""))</f>
        <v/>
      </c>
      <c r="J687" s="7" t="str">
        <f aca="false">IF(A687="","",IFERROR(VLOOKUP(IF(ISNUMBER(SEARCH("(",C687)),LEFT(C687,SEARCH("(",C687)-1),C687),Tipos!$A:$B,2,FALSE()),"outro"))</f>
        <v/>
      </c>
      <c r="K687" s="7" t="str">
        <f aca="false">IF(I687="","",IFERROR(INDEX('Campos Growths'!$L:$L,MATCH(H687,'Campos Growths'!$A:$A,0)),""))</f>
        <v/>
      </c>
      <c r="L687" s="7" t="str">
        <f aca="false">IF(A687="","",IF(G687="não","Sem tabela no Growths",IF(I687="","Sem campo no Growths",IF(J687=K687,"Importa direto","Ajustar tipo"))))</f>
        <v/>
      </c>
      <c r="M687" s="9"/>
    </row>
    <row r="688" customFormat="false" ht="15" hidden="false" customHeight="false" outlineLevel="0" collapsed="false">
      <c r="A688" s="7" t="str">
        <f aca="false">IF('Outro banco'!A688="","",IF(LEFT('Outro banco'!A688,1)="(","",'Outro banco'!A688))</f>
        <v/>
      </c>
      <c r="B688" s="7" t="str">
        <f aca="false">IF(A688="","",'Outro banco'!B688)</f>
        <v/>
      </c>
      <c r="C688" s="7" t="str">
        <f aca="false">IF(A688="","",'Outro banco'!C688)</f>
        <v/>
      </c>
      <c r="D688" s="7" t="str">
        <f aca="false">IF(A688="","",'Outro banco'!D688)</f>
        <v/>
      </c>
      <c r="E688" s="9"/>
      <c r="F688" s="9"/>
      <c r="G688" s="7" t="str">
        <f aca="false">IF(A688="","",IF(COUNTIF(Tabelas!$A:$A,IF(E688="",A688,E688))&gt;0,"sim","não"))</f>
        <v/>
      </c>
      <c r="H688" s="7" t="str">
        <f aca="false">IF(A688="","",IF(E688="",A688,E688)&amp;"."&amp;IF(F688="",B688,F688))</f>
        <v/>
      </c>
      <c r="I688" s="7" t="str">
        <f aca="false">IF(A688="","",IFERROR(INDEX('Campos Growths'!$F:$F,MATCH(H688,'Campos Growths'!$A:$A,0)),""))</f>
        <v/>
      </c>
      <c r="J688" s="7" t="str">
        <f aca="false">IF(A688="","",IFERROR(VLOOKUP(IF(ISNUMBER(SEARCH("(",C688)),LEFT(C688,SEARCH("(",C688)-1),C688),Tipos!$A:$B,2,FALSE()),"outro"))</f>
        <v/>
      </c>
      <c r="K688" s="7" t="str">
        <f aca="false">IF(I688="","",IFERROR(INDEX('Campos Growths'!$L:$L,MATCH(H688,'Campos Growths'!$A:$A,0)),""))</f>
        <v/>
      </c>
      <c r="L688" s="7" t="str">
        <f aca="false">IF(A688="","",IF(G688="não","Sem tabela no Growths",IF(I688="","Sem campo no Growths",IF(J688=K688,"Importa direto","Ajustar tipo"))))</f>
        <v/>
      </c>
      <c r="M688" s="9"/>
    </row>
    <row r="689" customFormat="false" ht="15" hidden="false" customHeight="false" outlineLevel="0" collapsed="false">
      <c r="A689" s="7" t="str">
        <f aca="false">IF('Outro banco'!A689="","",IF(LEFT('Outro banco'!A689,1)="(","",'Outro banco'!A689))</f>
        <v/>
      </c>
      <c r="B689" s="7" t="str">
        <f aca="false">IF(A689="","",'Outro banco'!B689)</f>
        <v/>
      </c>
      <c r="C689" s="7" t="str">
        <f aca="false">IF(A689="","",'Outro banco'!C689)</f>
        <v/>
      </c>
      <c r="D689" s="7" t="str">
        <f aca="false">IF(A689="","",'Outro banco'!D689)</f>
        <v/>
      </c>
      <c r="E689" s="9"/>
      <c r="F689" s="9"/>
      <c r="G689" s="7" t="str">
        <f aca="false">IF(A689="","",IF(COUNTIF(Tabelas!$A:$A,IF(E689="",A689,E689))&gt;0,"sim","não"))</f>
        <v/>
      </c>
      <c r="H689" s="7" t="str">
        <f aca="false">IF(A689="","",IF(E689="",A689,E689)&amp;"."&amp;IF(F689="",B689,F689))</f>
        <v/>
      </c>
      <c r="I689" s="7" t="str">
        <f aca="false">IF(A689="","",IFERROR(INDEX('Campos Growths'!$F:$F,MATCH(H689,'Campos Growths'!$A:$A,0)),""))</f>
        <v/>
      </c>
      <c r="J689" s="7" t="str">
        <f aca="false">IF(A689="","",IFERROR(VLOOKUP(IF(ISNUMBER(SEARCH("(",C689)),LEFT(C689,SEARCH("(",C689)-1),C689),Tipos!$A:$B,2,FALSE()),"outro"))</f>
        <v/>
      </c>
      <c r="K689" s="7" t="str">
        <f aca="false">IF(I689="","",IFERROR(INDEX('Campos Growths'!$L:$L,MATCH(H689,'Campos Growths'!$A:$A,0)),""))</f>
        <v/>
      </c>
      <c r="L689" s="7" t="str">
        <f aca="false">IF(A689="","",IF(G689="não","Sem tabela no Growths",IF(I689="","Sem campo no Growths",IF(J689=K689,"Importa direto","Ajustar tipo"))))</f>
        <v/>
      </c>
      <c r="M689" s="9"/>
    </row>
    <row r="690" customFormat="false" ht="15" hidden="false" customHeight="false" outlineLevel="0" collapsed="false">
      <c r="A690" s="7" t="str">
        <f aca="false">IF('Outro banco'!A690="","",IF(LEFT('Outro banco'!A690,1)="(","",'Outro banco'!A690))</f>
        <v/>
      </c>
      <c r="B690" s="7" t="str">
        <f aca="false">IF(A690="","",'Outro banco'!B690)</f>
        <v/>
      </c>
      <c r="C690" s="7" t="str">
        <f aca="false">IF(A690="","",'Outro banco'!C690)</f>
        <v/>
      </c>
      <c r="D690" s="7" t="str">
        <f aca="false">IF(A690="","",'Outro banco'!D690)</f>
        <v/>
      </c>
      <c r="E690" s="9"/>
      <c r="F690" s="9"/>
      <c r="G690" s="7" t="str">
        <f aca="false">IF(A690="","",IF(COUNTIF(Tabelas!$A:$A,IF(E690="",A690,E690))&gt;0,"sim","não"))</f>
        <v/>
      </c>
      <c r="H690" s="7" t="str">
        <f aca="false">IF(A690="","",IF(E690="",A690,E690)&amp;"."&amp;IF(F690="",B690,F690))</f>
        <v/>
      </c>
      <c r="I690" s="7" t="str">
        <f aca="false">IF(A690="","",IFERROR(INDEX('Campos Growths'!$F:$F,MATCH(H690,'Campos Growths'!$A:$A,0)),""))</f>
        <v/>
      </c>
      <c r="J690" s="7" t="str">
        <f aca="false">IF(A690="","",IFERROR(VLOOKUP(IF(ISNUMBER(SEARCH("(",C690)),LEFT(C690,SEARCH("(",C690)-1),C690),Tipos!$A:$B,2,FALSE()),"outro"))</f>
        <v/>
      </c>
      <c r="K690" s="7" t="str">
        <f aca="false">IF(I690="","",IFERROR(INDEX('Campos Growths'!$L:$L,MATCH(H690,'Campos Growths'!$A:$A,0)),""))</f>
        <v/>
      </c>
      <c r="L690" s="7" t="str">
        <f aca="false">IF(A690="","",IF(G690="não","Sem tabela no Growths",IF(I690="","Sem campo no Growths",IF(J690=K690,"Importa direto","Ajustar tipo"))))</f>
        <v/>
      </c>
      <c r="M690" s="9"/>
    </row>
    <row r="691" customFormat="false" ht="15" hidden="false" customHeight="false" outlineLevel="0" collapsed="false">
      <c r="A691" s="7" t="str">
        <f aca="false">IF('Outro banco'!A691="","",IF(LEFT('Outro banco'!A691,1)="(","",'Outro banco'!A691))</f>
        <v/>
      </c>
      <c r="B691" s="7" t="str">
        <f aca="false">IF(A691="","",'Outro banco'!B691)</f>
        <v/>
      </c>
      <c r="C691" s="7" t="str">
        <f aca="false">IF(A691="","",'Outro banco'!C691)</f>
        <v/>
      </c>
      <c r="D691" s="7" t="str">
        <f aca="false">IF(A691="","",'Outro banco'!D691)</f>
        <v/>
      </c>
      <c r="E691" s="9"/>
      <c r="F691" s="9"/>
      <c r="G691" s="7" t="str">
        <f aca="false">IF(A691="","",IF(COUNTIF(Tabelas!$A:$A,IF(E691="",A691,E691))&gt;0,"sim","não"))</f>
        <v/>
      </c>
      <c r="H691" s="7" t="str">
        <f aca="false">IF(A691="","",IF(E691="",A691,E691)&amp;"."&amp;IF(F691="",B691,F691))</f>
        <v/>
      </c>
      <c r="I691" s="7" t="str">
        <f aca="false">IF(A691="","",IFERROR(INDEX('Campos Growths'!$F:$F,MATCH(H691,'Campos Growths'!$A:$A,0)),""))</f>
        <v/>
      </c>
      <c r="J691" s="7" t="str">
        <f aca="false">IF(A691="","",IFERROR(VLOOKUP(IF(ISNUMBER(SEARCH("(",C691)),LEFT(C691,SEARCH("(",C691)-1),C691),Tipos!$A:$B,2,FALSE()),"outro"))</f>
        <v/>
      </c>
      <c r="K691" s="7" t="str">
        <f aca="false">IF(I691="","",IFERROR(INDEX('Campos Growths'!$L:$L,MATCH(H691,'Campos Growths'!$A:$A,0)),""))</f>
        <v/>
      </c>
      <c r="L691" s="7" t="str">
        <f aca="false">IF(A691="","",IF(G691="não","Sem tabela no Growths",IF(I691="","Sem campo no Growths",IF(J691=K691,"Importa direto","Ajustar tipo"))))</f>
        <v/>
      </c>
      <c r="M691" s="9"/>
    </row>
    <row r="692" customFormat="false" ht="15" hidden="false" customHeight="false" outlineLevel="0" collapsed="false">
      <c r="A692" s="7" t="str">
        <f aca="false">IF('Outro banco'!A692="","",IF(LEFT('Outro banco'!A692,1)="(","",'Outro banco'!A692))</f>
        <v/>
      </c>
      <c r="B692" s="7" t="str">
        <f aca="false">IF(A692="","",'Outro banco'!B692)</f>
        <v/>
      </c>
      <c r="C692" s="7" t="str">
        <f aca="false">IF(A692="","",'Outro banco'!C692)</f>
        <v/>
      </c>
      <c r="D692" s="7" t="str">
        <f aca="false">IF(A692="","",'Outro banco'!D692)</f>
        <v/>
      </c>
      <c r="E692" s="9"/>
      <c r="F692" s="9"/>
      <c r="G692" s="7" t="str">
        <f aca="false">IF(A692="","",IF(COUNTIF(Tabelas!$A:$A,IF(E692="",A692,E692))&gt;0,"sim","não"))</f>
        <v/>
      </c>
      <c r="H692" s="7" t="str">
        <f aca="false">IF(A692="","",IF(E692="",A692,E692)&amp;"."&amp;IF(F692="",B692,F692))</f>
        <v/>
      </c>
      <c r="I692" s="7" t="str">
        <f aca="false">IF(A692="","",IFERROR(INDEX('Campos Growths'!$F:$F,MATCH(H692,'Campos Growths'!$A:$A,0)),""))</f>
        <v/>
      </c>
      <c r="J692" s="7" t="str">
        <f aca="false">IF(A692="","",IFERROR(VLOOKUP(IF(ISNUMBER(SEARCH("(",C692)),LEFT(C692,SEARCH("(",C692)-1),C692),Tipos!$A:$B,2,FALSE()),"outro"))</f>
        <v/>
      </c>
      <c r="K692" s="7" t="str">
        <f aca="false">IF(I692="","",IFERROR(INDEX('Campos Growths'!$L:$L,MATCH(H692,'Campos Growths'!$A:$A,0)),""))</f>
        <v/>
      </c>
      <c r="L692" s="7" t="str">
        <f aca="false">IF(A692="","",IF(G692="não","Sem tabela no Growths",IF(I692="","Sem campo no Growths",IF(J692=K692,"Importa direto","Ajustar tipo"))))</f>
        <v/>
      </c>
      <c r="M692" s="9"/>
    </row>
    <row r="693" customFormat="false" ht="15" hidden="false" customHeight="false" outlineLevel="0" collapsed="false">
      <c r="A693" s="7" t="str">
        <f aca="false">IF('Outro banco'!A693="","",IF(LEFT('Outro banco'!A693,1)="(","",'Outro banco'!A693))</f>
        <v/>
      </c>
      <c r="B693" s="7" t="str">
        <f aca="false">IF(A693="","",'Outro banco'!B693)</f>
        <v/>
      </c>
      <c r="C693" s="7" t="str">
        <f aca="false">IF(A693="","",'Outro banco'!C693)</f>
        <v/>
      </c>
      <c r="D693" s="7" t="str">
        <f aca="false">IF(A693="","",'Outro banco'!D693)</f>
        <v/>
      </c>
      <c r="E693" s="9"/>
      <c r="F693" s="9"/>
      <c r="G693" s="7" t="str">
        <f aca="false">IF(A693="","",IF(COUNTIF(Tabelas!$A:$A,IF(E693="",A693,E693))&gt;0,"sim","não"))</f>
        <v/>
      </c>
      <c r="H693" s="7" t="str">
        <f aca="false">IF(A693="","",IF(E693="",A693,E693)&amp;"."&amp;IF(F693="",B693,F693))</f>
        <v/>
      </c>
      <c r="I693" s="7" t="str">
        <f aca="false">IF(A693="","",IFERROR(INDEX('Campos Growths'!$F:$F,MATCH(H693,'Campos Growths'!$A:$A,0)),""))</f>
        <v/>
      </c>
      <c r="J693" s="7" t="str">
        <f aca="false">IF(A693="","",IFERROR(VLOOKUP(IF(ISNUMBER(SEARCH("(",C693)),LEFT(C693,SEARCH("(",C693)-1),C693),Tipos!$A:$B,2,FALSE()),"outro"))</f>
        <v/>
      </c>
      <c r="K693" s="7" t="str">
        <f aca="false">IF(I693="","",IFERROR(INDEX('Campos Growths'!$L:$L,MATCH(H693,'Campos Growths'!$A:$A,0)),""))</f>
        <v/>
      </c>
      <c r="L693" s="7" t="str">
        <f aca="false">IF(A693="","",IF(G693="não","Sem tabela no Growths",IF(I693="","Sem campo no Growths",IF(J693=K693,"Importa direto","Ajustar tipo"))))</f>
        <v/>
      </c>
      <c r="M693" s="9"/>
    </row>
    <row r="694" customFormat="false" ht="15" hidden="false" customHeight="false" outlineLevel="0" collapsed="false">
      <c r="A694" s="7" t="str">
        <f aca="false">IF('Outro banco'!A694="","",IF(LEFT('Outro banco'!A694,1)="(","",'Outro banco'!A694))</f>
        <v/>
      </c>
      <c r="B694" s="7" t="str">
        <f aca="false">IF(A694="","",'Outro banco'!B694)</f>
        <v/>
      </c>
      <c r="C694" s="7" t="str">
        <f aca="false">IF(A694="","",'Outro banco'!C694)</f>
        <v/>
      </c>
      <c r="D694" s="7" t="str">
        <f aca="false">IF(A694="","",'Outro banco'!D694)</f>
        <v/>
      </c>
      <c r="E694" s="9"/>
      <c r="F694" s="9"/>
      <c r="G694" s="7" t="str">
        <f aca="false">IF(A694="","",IF(COUNTIF(Tabelas!$A:$A,IF(E694="",A694,E694))&gt;0,"sim","não"))</f>
        <v/>
      </c>
      <c r="H694" s="7" t="str">
        <f aca="false">IF(A694="","",IF(E694="",A694,E694)&amp;"."&amp;IF(F694="",B694,F694))</f>
        <v/>
      </c>
      <c r="I694" s="7" t="str">
        <f aca="false">IF(A694="","",IFERROR(INDEX('Campos Growths'!$F:$F,MATCH(H694,'Campos Growths'!$A:$A,0)),""))</f>
        <v/>
      </c>
      <c r="J694" s="7" t="str">
        <f aca="false">IF(A694="","",IFERROR(VLOOKUP(IF(ISNUMBER(SEARCH("(",C694)),LEFT(C694,SEARCH("(",C694)-1),C694),Tipos!$A:$B,2,FALSE()),"outro"))</f>
        <v/>
      </c>
      <c r="K694" s="7" t="str">
        <f aca="false">IF(I694="","",IFERROR(INDEX('Campos Growths'!$L:$L,MATCH(H694,'Campos Growths'!$A:$A,0)),""))</f>
        <v/>
      </c>
      <c r="L694" s="7" t="str">
        <f aca="false">IF(A694="","",IF(G694="não","Sem tabela no Growths",IF(I694="","Sem campo no Growths",IF(J694=K694,"Importa direto","Ajustar tipo"))))</f>
        <v/>
      </c>
      <c r="M694" s="9"/>
    </row>
    <row r="695" customFormat="false" ht="15" hidden="false" customHeight="false" outlineLevel="0" collapsed="false">
      <c r="A695" s="7" t="str">
        <f aca="false">IF('Outro banco'!A695="","",IF(LEFT('Outro banco'!A695,1)="(","",'Outro banco'!A695))</f>
        <v/>
      </c>
      <c r="B695" s="7" t="str">
        <f aca="false">IF(A695="","",'Outro banco'!B695)</f>
        <v/>
      </c>
      <c r="C695" s="7" t="str">
        <f aca="false">IF(A695="","",'Outro banco'!C695)</f>
        <v/>
      </c>
      <c r="D695" s="7" t="str">
        <f aca="false">IF(A695="","",'Outro banco'!D695)</f>
        <v/>
      </c>
      <c r="E695" s="9"/>
      <c r="F695" s="9"/>
      <c r="G695" s="7" t="str">
        <f aca="false">IF(A695="","",IF(COUNTIF(Tabelas!$A:$A,IF(E695="",A695,E695))&gt;0,"sim","não"))</f>
        <v/>
      </c>
      <c r="H695" s="7" t="str">
        <f aca="false">IF(A695="","",IF(E695="",A695,E695)&amp;"."&amp;IF(F695="",B695,F695))</f>
        <v/>
      </c>
      <c r="I695" s="7" t="str">
        <f aca="false">IF(A695="","",IFERROR(INDEX('Campos Growths'!$F:$F,MATCH(H695,'Campos Growths'!$A:$A,0)),""))</f>
        <v/>
      </c>
      <c r="J695" s="7" t="str">
        <f aca="false">IF(A695="","",IFERROR(VLOOKUP(IF(ISNUMBER(SEARCH("(",C695)),LEFT(C695,SEARCH("(",C695)-1),C695),Tipos!$A:$B,2,FALSE()),"outro"))</f>
        <v/>
      </c>
      <c r="K695" s="7" t="str">
        <f aca="false">IF(I695="","",IFERROR(INDEX('Campos Growths'!$L:$L,MATCH(H695,'Campos Growths'!$A:$A,0)),""))</f>
        <v/>
      </c>
      <c r="L695" s="7" t="str">
        <f aca="false">IF(A695="","",IF(G695="não","Sem tabela no Growths",IF(I695="","Sem campo no Growths",IF(J695=K695,"Importa direto","Ajustar tipo"))))</f>
        <v/>
      </c>
      <c r="M695" s="9"/>
    </row>
    <row r="696" customFormat="false" ht="15" hidden="false" customHeight="false" outlineLevel="0" collapsed="false">
      <c r="A696" s="7" t="str">
        <f aca="false">IF('Outro banco'!A696="","",IF(LEFT('Outro banco'!A696,1)="(","",'Outro banco'!A696))</f>
        <v/>
      </c>
      <c r="B696" s="7" t="str">
        <f aca="false">IF(A696="","",'Outro banco'!B696)</f>
        <v/>
      </c>
      <c r="C696" s="7" t="str">
        <f aca="false">IF(A696="","",'Outro banco'!C696)</f>
        <v/>
      </c>
      <c r="D696" s="7" t="str">
        <f aca="false">IF(A696="","",'Outro banco'!D696)</f>
        <v/>
      </c>
      <c r="E696" s="9"/>
      <c r="F696" s="9"/>
      <c r="G696" s="7" t="str">
        <f aca="false">IF(A696="","",IF(COUNTIF(Tabelas!$A:$A,IF(E696="",A696,E696))&gt;0,"sim","não"))</f>
        <v/>
      </c>
      <c r="H696" s="7" t="str">
        <f aca="false">IF(A696="","",IF(E696="",A696,E696)&amp;"."&amp;IF(F696="",B696,F696))</f>
        <v/>
      </c>
      <c r="I696" s="7" t="str">
        <f aca="false">IF(A696="","",IFERROR(INDEX('Campos Growths'!$F:$F,MATCH(H696,'Campos Growths'!$A:$A,0)),""))</f>
        <v/>
      </c>
      <c r="J696" s="7" t="str">
        <f aca="false">IF(A696="","",IFERROR(VLOOKUP(IF(ISNUMBER(SEARCH("(",C696)),LEFT(C696,SEARCH("(",C696)-1),C696),Tipos!$A:$B,2,FALSE()),"outro"))</f>
        <v/>
      </c>
      <c r="K696" s="7" t="str">
        <f aca="false">IF(I696="","",IFERROR(INDEX('Campos Growths'!$L:$L,MATCH(H696,'Campos Growths'!$A:$A,0)),""))</f>
        <v/>
      </c>
      <c r="L696" s="7" t="str">
        <f aca="false">IF(A696="","",IF(G696="não","Sem tabela no Growths",IF(I696="","Sem campo no Growths",IF(J696=K696,"Importa direto","Ajustar tipo"))))</f>
        <v/>
      </c>
      <c r="M696" s="9"/>
    </row>
    <row r="697" customFormat="false" ht="15" hidden="false" customHeight="false" outlineLevel="0" collapsed="false">
      <c r="A697" s="7" t="str">
        <f aca="false">IF('Outro banco'!A697="","",IF(LEFT('Outro banco'!A697,1)="(","",'Outro banco'!A697))</f>
        <v/>
      </c>
      <c r="B697" s="7" t="str">
        <f aca="false">IF(A697="","",'Outro banco'!B697)</f>
        <v/>
      </c>
      <c r="C697" s="7" t="str">
        <f aca="false">IF(A697="","",'Outro banco'!C697)</f>
        <v/>
      </c>
      <c r="D697" s="7" t="str">
        <f aca="false">IF(A697="","",'Outro banco'!D697)</f>
        <v/>
      </c>
      <c r="E697" s="9"/>
      <c r="F697" s="9"/>
      <c r="G697" s="7" t="str">
        <f aca="false">IF(A697="","",IF(COUNTIF(Tabelas!$A:$A,IF(E697="",A697,E697))&gt;0,"sim","não"))</f>
        <v/>
      </c>
      <c r="H697" s="7" t="str">
        <f aca="false">IF(A697="","",IF(E697="",A697,E697)&amp;"."&amp;IF(F697="",B697,F697))</f>
        <v/>
      </c>
      <c r="I697" s="7" t="str">
        <f aca="false">IF(A697="","",IFERROR(INDEX('Campos Growths'!$F:$F,MATCH(H697,'Campos Growths'!$A:$A,0)),""))</f>
        <v/>
      </c>
      <c r="J697" s="7" t="str">
        <f aca="false">IF(A697="","",IFERROR(VLOOKUP(IF(ISNUMBER(SEARCH("(",C697)),LEFT(C697,SEARCH("(",C697)-1),C697),Tipos!$A:$B,2,FALSE()),"outro"))</f>
        <v/>
      </c>
      <c r="K697" s="7" t="str">
        <f aca="false">IF(I697="","",IFERROR(INDEX('Campos Growths'!$L:$L,MATCH(H697,'Campos Growths'!$A:$A,0)),""))</f>
        <v/>
      </c>
      <c r="L697" s="7" t="str">
        <f aca="false">IF(A697="","",IF(G697="não","Sem tabela no Growths",IF(I697="","Sem campo no Growths",IF(J697=K697,"Importa direto","Ajustar tipo"))))</f>
        <v/>
      </c>
      <c r="M697" s="9"/>
    </row>
    <row r="698" customFormat="false" ht="15" hidden="false" customHeight="false" outlineLevel="0" collapsed="false">
      <c r="A698" s="7" t="str">
        <f aca="false">IF('Outro banco'!A698="","",IF(LEFT('Outro banco'!A698,1)="(","",'Outro banco'!A698))</f>
        <v/>
      </c>
      <c r="B698" s="7" t="str">
        <f aca="false">IF(A698="","",'Outro banco'!B698)</f>
        <v/>
      </c>
      <c r="C698" s="7" t="str">
        <f aca="false">IF(A698="","",'Outro banco'!C698)</f>
        <v/>
      </c>
      <c r="D698" s="7" t="str">
        <f aca="false">IF(A698="","",'Outro banco'!D698)</f>
        <v/>
      </c>
      <c r="E698" s="9"/>
      <c r="F698" s="9"/>
      <c r="G698" s="7" t="str">
        <f aca="false">IF(A698="","",IF(COUNTIF(Tabelas!$A:$A,IF(E698="",A698,E698))&gt;0,"sim","não"))</f>
        <v/>
      </c>
      <c r="H698" s="7" t="str">
        <f aca="false">IF(A698="","",IF(E698="",A698,E698)&amp;"."&amp;IF(F698="",B698,F698))</f>
        <v/>
      </c>
      <c r="I698" s="7" t="str">
        <f aca="false">IF(A698="","",IFERROR(INDEX('Campos Growths'!$F:$F,MATCH(H698,'Campos Growths'!$A:$A,0)),""))</f>
        <v/>
      </c>
      <c r="J698" s="7" t="str">
        <f aca="false">IF(A698="","",IFERROR(VLOOKUP(IF(ISNUMBER(SEARCH("(",C698)),LEFT(C698,SEARCH("(",C698)-1),C698),Tipos!$A:$B,2,FALSE()),"outro"))</f>
        <v/>
      </c>
      <c r="K698" s="7" t="str">
        <f aca="false">IF(I698="","",IFERROR(INDEX('Campos Growths'!$L:$L,MATCH(H698,'Campos Growths'!$A:$A,0)),""))</f>
        <v/>
      </c>
      <c r="L698" s="7" t="str">
        <f aca="false">IF(A698="","",IF(G698="não","Sem tabela no Growths",IF(I698="","Sem campo no Growths",IF(J698=K698,"Importa direto","Ajustar tipo"))))</f>
        <v/>
      </c>
      <c r="M698" s="9"/>
    </row>
    <row r="699" customFormat="false" ht="15" hidden="false" customHeight="false" outlineLevel="0" collapsed="false">
      <c r="A699" s="7" t="str">
        <f aca="false">IF('Outro banco'!A699="","",IF(LEFT('Outro banco'!A699,1)="(","",'Outro banco'!A699))</f>
        <v/>
      </c>
      <c r="B699" s="7" t="str">
        <f aca="false">IF(A699="","",'Outro banco'!B699)</f>
        <v/>
      </c>
      <c r="C699" s="7" t="str">
        <f aca="false">IF(A699="","",'Outro banco'!C699)</f>
        <v/>
      </c>
      <c r="D699" s="7" t="str">
        <f aca="false">IF(A699="","",'Outro banco'!D699)</f>
        <v/>
      </c>
      <c r="E699" s="9"/>
      <c r="F699" s="9"/>
      <c r="G699" s="7" t="str">
        <f aca="false">IF(A699="","",IF(COUNTIF(Tabelas!$A:$A,IF(E699="",A699,E699))&gt;0,"sim","não"))</f>
        <v/>
      </c>
      <c r="H699" s="7" t="str">
        <f aca="false">IF(A699="","",IF(E699="",A699,E699)&amp;"."&amp;IF(F699="",B699,F699))</f>
        <v/>
      </c>
      <c r="I699" s="7" t="str">
        <f aca="false">IF(A699="","",IFERROR(INDEX('Campos Growths'!$F:$F,MATCH(H699,'Campos Growths'!$A:$A,0)),""))</f>
        <v/>
      </c>
      <c r="J699" s="7" t="str">
        <f aca="false">IF(A699="","",IFERROR(VLOOKUP(IF(ISNUMBER(SEARCH("(",C699)),LEFT(C699,SEARCH("(",C699)-1),C699),Tipos!$A:$B,2,FALSE()),"outro"))</f>
        <v/>
      </c>
      <c r="K699" s="7" t="str">
        <f aca="false">IF(I699="","",IFERROR(INDEX('Campos Growths'!$L:$L,MATCH(H699,'Campos Growths'!$A:$A,0)),""))</f>
        <v/>
      </c>
      <c r="L699" s="7" t="str">
        <f aca="false">IF(A699="","",IF(G699="não","Sem tabela no Growths",IF(I699="","Sem campo no Growths",IF(J699=K699,"Importa direto","Ajustar tipo"))))</f>
        <v/>
      </c>
      <c r="M699" s="9"/>
    </row>
    <row r="700" customFormat="false" ht="15" hidden="false" customHeight="false" outlineLevel="0" collapsed="false">
      <c r="A700" s="7" t="str">
        <f aca="false">IF('Outro banco'!A700="","",IF(LEFT('Outro banco'!A700,1)="(","",'Outro banco'!A700))</f>
        <v/>
      </c>
      <c r="B700" s="7" t="str">
        <f aca="false">IF(A700="","",'Outro banco'!B700)</f>
        <v/>
      </c>
      <c r="C700" s="7" t="str">
        <f aca="false">IF(A700="","",'Outro banco'!C700)</f>
        <v/>
      </c>
      <c r="D700" s="7" t="str">
        <f aca="false">IF(A700="","",'Outro banco'!D700)</f>
        <v/>
      </c>
      <c r="E700" s="9"/>
      <c r="F700" s="9"/>
      <c r="G700" s="7" t="str">
        <f aca="false">IF(A700="","",IF(COUNTIF(Tabelas!$A:$A,IF(E700="",A700,E700))&gt;0,"sim","não"))</f>
        <v/>
      </c>
      <c r="H700" s="7" t="str">
        <f aca="false">IF(A700="","",IF(E700="",A700,E700)&amp;"."&amp;IF(F700="",B700,F700))</f>
        <v/>
      </c>
      <c r="I700" s="7" t="str">
        <f aca="false">IF(A700="","",IFERROR(INDEX('Campos Growths'!$F:$F,MATCH(H700,'Campos Growths'!$A:$A,0)),""))</f>
        <v/>
      </c>
      <c r="J700" s="7" t="str">
        <f aca="false">IF(A700="","",IFERROR(VLOOKUP(IF(ISNUMBER(SEARCH("(",C700)),LEFT(C700,SEARCH("(",C700)-1),C700),Tipos!$A:$B,2,FALSE()),"outro"))</f>
        <v/>
      </c>
      <c r="K700" s="7" t="str">
        <f aca="false">IF(I700="","",IFERROR(INDEX('Campos Growths'!$L:$L,MATCH(H700,'Campos Growths'!$A:$A,0)),""))</f>
        <v/>
      </c>
      <c r="L700" s="7" t="str">
        <f aca="false">IF(A700="","",IF(G700="não","Sem tabela no Growths",IF(I700="","Sem campo no Growths",IF(J700=K700,"Importa direto","Ajustar tipo"))))</f>
        <v/>
      </c>
      <c r="M700" s="9"/>
    </row>
    <row r="701" customFormat="false" ht="15" hidden="false" customHeight="false" outlineLevel="0" collapsed="false">
      <c r="A701" s="7" t="str">
        <f aca="false">IF('Outro banco'!A701="","",IF(LEFT('Outro banco'!A701,1)="(","",'Outro banco'!A701))</f>
        <v/>
      </c>
      <c r="B701" s="7" t="str">
        <f aca="false">IF(A701="","",'Outro banco'!B701)</f>
        <v/>
      </c>
      <c r="C701" s="7" t="str">
        <f aca="false">IF(A701="","",'Outro banco'!C701)</f>
        <v/>
      </c>
      <c r="D701" s="7" t="str">
        <f aca="false">IF(A701="","",'Outro banco'!D701)</f>
        <v/>
      </c>
      <c r="E701" s="9"/>
      <c r="F701" s="9"/>
      <c r="G701" s="7" t="str">
        <f aca="false">IF(A701="","",IF(COUNTIF(Tabelas!$A:$A,IF(E701="",A701,E701))&gt;0,"sim","não"))</f>
        <v/>
      </c>
      <c r="H701" s="7" t="str">
        <f aca="false">IF(A701="","",IF(E701="",A701,E701)&amp;"."&amp;IF(F701="",B701,F701))</f>
        <v/>
      </c>
      <c r="I701" s="7" t="str">
        <f aca="false">IF(A701="","",IFERROR(INDEX('Campos Growths'!$F:$F,MATCH(H701,'Campos Growths'!$A:$A,0)),""))</f>
        <v/>
      </c>
      <c r="J701" s="7" t="str">
        <f aca="false">IF(A701="","",IFERROR(VLOOKUP(IF(ISNUMBER(SEARCH("(",C701)),LEFT(C701,SEARCH("(",C701)-1),C701),Tipos!$A:$B,2,FALSE()),"outro"))</f>
        <v/>
      </c>
      <c r="K701" s="7" t="str">
        <f aca="false">IF(I701="","",IFERROR(INDEX('Campos Growths'!$L:$L,MATCH(H701,'Campos Growths'!$A:$A,0)),""))</f>
        <v/>
      </c>
      <c r="L701" s="7" t="str">
        <f aca="false">IF(A701="","",IF(G701="não","Sem tabela no Growths",IF(I701="","Sem campo no Growths",IF(J701=K701,"Importa direto","Ajustar tipo"))))</f>
        <v/>
      </c>
      <c r="M701" s="9"/>
    </row>
    <row r="702" customFormat="false" ht="15" hidden="false" customHeight="false" outlineLevel="0" collapsed="false">
      <c r="A702" s="7" t="str">
        <f aca="false">IF('Outro banco'!A702="","",IF(LEFT('Outro banco'!A702,1)="(","",'Outro banco'!A702))</f>
        <v/>
      </c>
      <c r="B702" s="7" t="str">
        <f aca="false">IF(A702="","",'Outro banco'!B702)</f>
        <v/>
      </c>
      <c r="C702" s="7" t="str">
        <f aca="false">IF(A702="","",'Outro banco'!C702)</f>
        <v/>
      </c>
      <c r="D702" s="7" t="str">
        <f aca="false">IF(A702="","",'Outro banco'!D702)</f>
        <v/>
      </c>
      <c r="E702" s="9"/>
      <c r="F702" s="9"/>
      <c r="G702" s="7" t="str">
        <f aca="false">IF(A702="","",IF(COUNTIF(Tabelas!$A:$A,IF(E702="",A702,E702))&gt;0,"sim","não"))</f>
        <v/>
      </c>
      <c r="H702" s="7" t="str">
        <f aca="false">IF(A702="","",IF(E702="",A702,E702)&amp;"."&amp;IF(F702="",B702,F702))</f>
        <v/>
      </c>
      <c r="I702" s="7" t="str">
        <f aca="false">IF(A702="","",IFERROR(INDEX('Campos Growths'!$F:$F,MATCH(H702,'Campos Growths'!$A:$A,0)),""))</f>
        <v/>
      </c>
      <c r="J702" s="7" t="str">
        <f aca="false">IF(A702="","",IFERROR(VLOOKUP(IF(ISNUMBER(SEARCH("(",C702)),LEFT(C702,SEARCH("(",C702)-1),C702),Tipos!$A:$B,2,FALSE()),"outro"))</f>
        <v/>
      </c>
      <c r="K702" s="7" t="str">
        <f aca="false">IF(I702="","",IFERROR(INDEX('Campos Growths'!$L:$L,MATCH(H702,'Campos Growths'!$A:$A,0)),""))</f>
        <v/>
      </c>
      <c r="L702" s="7" t="str">
        <f aca="false">IF(A702="","",IF(G702="não","Sem tabela no Growths",IF(I702="","Sem campo no Growths",IF(J702=K702,"Importa direto","Ajustar tipo"))))</f>
        <v/>
      </c>
      <c r="M702" s="9"/>
    </row>
    <row r="703" customFormat="false" ht="15" hidden="false" customHeight="false" outlineLevel="0" collapsed="false">
      <c r="A703" s="7" t="str">
        <f aca="false">IF('Outro banco'!A703="","",IF(LEFT('Outro banco'!A703,1)="(","",'Outro banco'!A703))</f>
        <v/>
      </c>
      <c r="B703" s="7" t="str">
        <f aca="false">IF(A703="","",'Outro banco'!B703)</f>
        <v/>
      </c>
      <c r="C703" s="7" t="str">
        <f aca="false">IF(A703="","",'Outro banco'!C703)</f>
        <v/>
      </c>
      <c r="D703" s="7" t="str">
        <f aca="false">IF(A703="","",'Outro banco'!D703)</f>
        <v/>
      </c>
      <c r="E703" s="9"/>
      <c r="F703" s="9"/>
      <c r="G703" s="7" t="str">
        <f aca="false">IF(A703="","",IF(COUNTIF(Tabelas!$A:$A,IF(E703="",A703,E703))&gt;0,"sim","não"))</f>
        <v/>
      </c>
      <c r="H703" s="7" t="str">
        <f aca="false">IF(A703="","",IF(E703="",A703,E703)&amp;"."&amp;IF(F703="",B703,F703))</f>
        <v/>
      </c>
      <c r="I703" s="7" t="str">
        <f aca="false">IF(A703="","",IFERROR(INDEX('Campos Growths'!$F:$F,MATCH(H703,'Campos Growths'!$A:$A,0)),""))</f>
        <v/>
      </c>
      <c r="J703" s="7" t="str">
        <f aca="false">IF(A703="","",IFERROR(VLOOKUP(IF(ISNUMBER(SEARCH("(",C703)),LEFT(C703,SEARCH("(",C703)-1),C703),Tipos!$A:$B,2,FALSE()),"outro"))</f>
        <v/>
      </c>
      <c r="K703" s="7" t="str">
        <f aca="false">IF(I703="","",IFERROR(INDEX('Campos Growths'!$L:$L,MATCH(H703,'Campos Growths'!$A:$A,0)),""))</f>
        <v/>
      </c>
      <c r="L703" s="7" t="str">
        <f aca="false">IF(A703="","",IF(G703="não","Sem tabela no Growths",IF(I703="","Sem campo no Growths",IF(J703=K703,"Importa direto","Ajustar tipo"))))</f>
        <v/>
      </c>
      <c r="M703" s="9"/>
    </row>
    <row r="704" customFormat="false" ht="15" hidden="false" customHeight="false" outlineLevel="0" collapsed="false">
      <c r="A704" s="7" t="str">
        <f aca="false">IF('Outro banco'!A704="","",IF(LEFT('Outro banco'!A704,1)="(","",'Outro banco'!A704))</f>
        <v/>
      </c>
      <c r="B704" s="7" t="str">
        <f aca="false">IF(A704="","",'Outro banco'!B704)</f>
        <v/>
      </c>
      <c r="C704" s="7" t="str">
        <f aca="false">IF(A704="","",'Outro banco'!C704)</f>
        <v/>
      </c>
      <c r="D704" s="7" t="str">
        <f aca="false">IF(A704="","",'Outro banco'!D704)</f>
        <v/>
      </c>
      <c r="E704" s="9"/>
      <c r="F704" s="9"/>
      <c r="G704" s="7" t="str">
        <f aca="false">IF(A704="","",IF(COUNTIF(Tabelas!$A:$A,IF(E704="",A704,E704))&gt;0,"sim","não"))</f>
        <v/>
      </c>
      <c r="H704" s="7" t="str">
        <f aca="false">IF(A704="","",IF(E704="",A704,E704)&amp;"."&amp;IF(F704="",B704,F704))</f>
        <v/>
      </c>
      <c r="I704" s="7" t="str">
        <f aca="false">IF(A704="","",IFERROR(INDEX('Campos Growths'!$F:$F,MATCH(H704,'Campos Growths'!$A:$A,0)),""))</f>
        <v/>
      </c>
      <c r="J704" s="7" t="str">
        <f aca="false">IF(A704="","",IFERROR(VLOOKUP(IF(ISNUMBER(SEARCH("(",C704)),LEFT(C704,SEARCH("(",C704)-1),C704),Tipos!$A:$B,2,FALSE()),"outro"))</f>
        <v/>
      </c>
      <c r="K704" s="7" t="str">
        <f aca="false">IF(I704="","",IFERROR(INDEX('Campos Growths'!$L:$L,MATCH(H704,'Campos Growths'!$A:$A,0)),""))</f>
        <v/>
      </c>
      <c r="L704" s="7" t="str">
        <f aca="false">IF(A704="","",IF(G704="não","Sem tabela no Growths",IF(I704="","Sem campo no Growths",IF(J704=K704,"Importa direto","Ajustar tipo"))))</f>
        <v/>
      </c>
      <c r="M704" s="9"/>
    </row>
    <row r="705" customFormat="false" ht="15" hidden="false" customHeight="false" outlineLevel="0" collapsed="false">
      <c r="A705" s="7" t="str">
        <f aca="false">IF('Outro banco'!A705="","",IF(LEFT('Outro banco'!A705,1)="(","",'Outro banco'!A705))</f>
        <v/>
      </c>
      <c r="B705" s="7" t="str">
        <f aca="false">IF(A705="","",'Outro banco'!B705)</f>
        <v/>
      </c>
      <c r="C705" s="7" t="str">
        <f aca="false">IF(A705="","",'Outro banco'!C705)</f>
        <v/>
      </c>
      <c r="D705" s="7" t="str">
        <f aca="false">IF(A705="","",'Outro banco'!D705)</f>
        <v/>
      </c>
      <c r="E705" s="9"/>
      <c r="F705" s="9"/>
      <c r="G705" s="7" t="str">
        <f aca="false">IF(A705="","",IF(COUNTIF(Tabelas!$A:$A,IF(E705="",A705,E705))&gt;0,"sim","não"))</f>
        <v/>
      </c>
      <c r="H705" s="7" t="str">
        <f aca="false">IF(A705="","",IF(E705="",A705,E705)&amp;"."&amp;IF(F705="",B705,F705))</f>
        <v/>
      </c>
      <c r="I705" s="7" t="str">
        <f aca="false">IF(A705="","",IFERROR(INDEX('Campos Growths'!$F:$F,MATCH(H705,'Campos Growths'!$A:$A,0)),""))</f>
        <v/>
      </c>
      <c r="J705" s="7" t="str">
        <f aca="false">IF(A705="","",IFERROR(VLOOKUP(IF(ISNUMBER(SEARCH("(",C705)),LEFT(C705,SEARCH("(",C705)-1),C705),Tipos!$A:$B,2,FALSE()),"outro"))</f>
        <v/>
      </c>
      <c r="K705" s="7" t="str">
        <f aca="false">IF(I705="","",IFERROR(INDEX('Campos Growths'!$L:$L,MATCH(H705,'Campos Growths'!$A:$A,0)),""))</f>
        <v/>
      </c>
      <c r="L705" s="7" t="str">
        <f aca="false">IF(A705="","",IF(G705="não","Sem tabela no Growths",IF(I705="","Sem campo no Growths",IF(J705=K705,"Importa direto","Ajustar tipo"))))</f>
        <v/>
      </c>
      <c r="M705" s="9"/>
    </row>
    <row r="706" customFormat="false" ht="15" hidden="false" customHeight="false" outlineLevel="0" collapsed="false">
      <c r="A706" s="7" t="str">
        <f aca="false">IF('Outro banco'!A706="","",IF(LEFT('Outro banco'!A706,1)="(","",'Outro banco'!A706))</f>
        <v/>
      </c>
      <c r="B706" s="7" t="str">
        <f aca="false">IF(A706="","",'Outro banco'!B706)</f>
        <v/>
      </c>
      <c r="C706" s="7" t="str">
        <f aca="false">IF(A706="","",'Outro banco'!C706)</f>
        <v/>
      </c>
      <c r="D706" s="7" t="str">
        <f aca="false">IF(A706="","",'Outro banco'!D706)</f>
        <v/>
      </c>
      <c r="E706" s="9"/>
      <c r="F706" s="9"/>
      <c r="G706" s="7" t="str">
        <f aca="false">IF(A706="","",IF(COUNTIF(Tabelas!$A:$A,IF(E706="",A706,E706))&gt;0,"sim","não"))</f>
        <v/>
      </c>
      <c r="H706" s="7" t="str">
        <f aca="false">IF(A706="","",IF(E706="",A706,E706)&amp;"."&amp;IF(F706="",B706,F706))</f>
        <v/>
      </c>
      <c r="I706" s="7" t="str">
        <f aca="false">IF(A706="","",IFERROR(INDEX('Campos Growths'!$F:$F,MATCH(H706,'Campos Growths'!$A:$A,0)),""))</f>
        <v/>
      </c>
      <c r="J706" s="7" t="str">
        <f aca="false">IF(A706="","",IFERROR(VLOOKUP(IF(ISNUMBER(SEARCH("(",C706)),LEFT(C706,SEARCH("(",C706)-1),C706),Tipos!$A:$B,2,FALSE()),"outro"))</f>
        <v/>
      </c>
      <c r="K706" s="7" t="str">
        <f aca="false">IF(I706="","",IFERROR(INDEX('Campos Growths'!$L:$L,MATCH(H706,'Campos Growths'!$A:$A,0)),""))</f>
        <v/>
      </c>
      <c r="L706" s="7" t="str">
        <f aca="false">IF(A706="","",IF(G706="não","Sem tabela no Growths",IF(I706="","Sem campo no Growths",IF(J706=K706,"Importa direto","Ajustar tipo"))))</f>
        <v/>
      </c>
      <c r="M706" s="9"/>
    </row>
    <row r="707" customFormat="false" ht="15" hidden="false" customHeight="false" outlineLevel="0" collapsed="false">
      <c r="A707" s="7" t="str">
        <f aca="false">IF('Outro banco'!A707="","",IF(LEFT('Outro banco'!A707,1)="(","",'Outro banco'!A707))</f>
        <v/>
      </c>
      <c r="B707" s="7" t="str">
        <f aca="false">IF(A707="","",'Outro banco'!B707)</f>
        <v/>
      </c>
      <c r="C707" s="7" t="str">
        <f aca="false">IF(A707="","",'Outro banco'!C707)</f>
        <v/>
      </c>
      <c r="D707" s="7" t="str">
        <f aca="false">IF(A707="","",'Outro banco'!D707)</f>
        <v/>
      </c>
      <c r="E707" s="9"/>
      <c r="F707" s="9"/>
      <c r="G707" s="7" t="str">
        <f aca="false">IF(A707="","",IF(COUNTIF(Tabelas!$A:$A,IF(E707="",A707,E707))&gt;0,"sim","não"))</f>
        <v/>
      </c>
      <c r="H707" s="7" t="str">
        <f aca="false">IF(A707="","",IF(E707="",A707,E707)&amp;"."&amp;IF(F707="",B707,F707))</f>
        <v/>
      </c>
      <c r="I707" s="7" t="str">
        <f aca="false">IF(A707="","",IFERROR(INDEX('Campos Growths'!$F:$F,MATCH(H707,'Campos Growths'!$A:$A,0)),""))</f>
        <v/>
      </c>
      <c r="J707" s="7" t="str">
        <f aca="false">IF(A707="","",IFERROR(VLOOKUP(IF(ISNUMBER(SEARCH("(",C707)),LEFT(C707,SEARCH("(",C707)-1),C707),Tipos!$A:$B,2,FALSE()),"outro"))</f>
        <v/>
      </c>
      <c r="K707" s="7" t="str">
        <f aca="false">IF(I707="","",IFERROR(INDEX('Campos Growths'!$L:$L,MATCH(H707,'Campos Growths'!$A:$A,0)),""))</f>
        <v/>
      </c>
      <c r="L707" s="7" t="str">
        <f aca="false">IF(A707="","",IF(G707="não","Sem tabela no Growths",IF(I707="","Sem campo no Growths",IF(J707=K707,"Importa direto","Ajustar tipo"))))</f>
        <v/>
      </c>
      <c r="M707" s="9"/>
    </row>
    <row r="708" customFormat="false" ht="15" hidden="false" customHeight="false" outlineLevel="0" collapsed="false">
      <c r="A708" s="7" t="str">
        <f aca="false">IF('Outro banco'!A708="","",IF(LEFT('Outro banco'!A708,1)="(","",'Outro banco'!A708))</f>
        <v/>
      </c>
      <c r="B708" s="7" t="str">
        <f aca="false">IF(A708="","",'Outro banco'!B708)</f>
        <v/>
      </c>
      <c r="C708" s="7" t="str">
        <f aca="false">IF(A708="","",'Outro banco'!C708)</f>
        <v/>
      </c>
      <c r="D708" s="7" t="str">
        <f aca="false">IF(A708="","",'Outro banco'!D708)</f>
        <v/>
      </c>
      <c r="E708" s="9"/>
      <c r="F708" s="9"/>
      <c r="G708" s="7" t="str">
        <f aca="false">IF(A708="","",IF(COUNTIF(Tabelas!$A:$A,IF(E708="",A708,E708))&gt;0,"sim","não"))</f>
        <v/>
      </c>
      <c r="H708" s="7" t="str">
        <f aca="false">IF(A708="","",IF(E708="",A708,E708)&amp;"."&amp;IF(F708="",B708,F708))</f>
        <v/>
      </c>
      <c r="I708" s="7" t="str">
        <f aca="false">IF(A708="","",IFERROR(INDEX('Campos Growths'!$F:$F,MATCH(H708,'Campos Growths'!$A:$A,0)),""))</f>
        <v/>
      </c>
      <c r="J708" s="7" t="str">
        <f aca="false">IF(A708="","",IFERROR(VLOOKUP(IF(ISNUMBER(SEARCH("(",C708)),LEFT(C708,SEARCH("(",C708)-1),C708),Tipos!$A:$B,2,FALSE()),"outro"))</f>
        <v/>
      </c>
      <c r="K708" s="7" t="str">
        <f aca="false">IF(I708="","",IFERROR(INDEX('Campos Growths'!$L:$L,MATCH(H708,'Campos Growths'!$A:$A,0)),""))</f>
        <v/>
      </c>
      <c r="L708" s="7" t="str">
        <f aca="false">IF(A708="","",IF(G708="não","Sem tabela no Growths",IF(I708="","Sem campo no Growths",IF(J708=K708,"Importa direto","Ajustar tipo"))))</f>
        <v/>
      </c>
      <c r="M708" s="9"/>
    </row>
    <row r="709" customFormat="false" ht="15" hidden="false" customHeight="false" outlineLevel="0" collapsed="false">
      <c r="A709" s="7" t="str">
        <f aca="false">IF('Outro banco'!A709="","",IF(LEFT('Outro banco'!A709,1)="(","",'Outro banco'!A709))</f>
        <v/>
      </c>
      <c r="B709" s="7" t="str">
        <f aca="false">IF(A709="","",'Outro banco'!B709)</f>
        <v/>
      </c>
      <c r="C709" s="7" t="str">
        <f aca="false">IF(A709="","",'Outro banco'!C709)</f>
        <v/>
      </c>
      <c r="D709" s="7" t="str">
        <f aca="false">IF(A709="","",'Outro banco'!D709)</f>
        <v/>
      </c>
      <c r="E709" s="9"/>
      <c r="F709" s="9"/>
      <c r="G709" s="7" t="str">
        <f aca="false">IF(A709="","",IF(COUNTIF(Tabelas!$A:$A,IF(E709="",A709,E709))&gt;0,"sim","não"))</f>
        <v/>
      </c>
      <c r="H709" s="7" t="str">
        <f aca="false">IF(A709="","",IF(E709="",A709,E709)&amp;"."&amp;IF(F709="",B709,F709))</f>
        <v/>
      </c>
      <c r="I709" s="7" t="str">
        <f aca="false">IF(A709="","",IFERROR(INDEX('Campos Growths'!$F:$F,MATCH(H709,'Campos Growths'!$A:$A,0)),""))</f>
        <v/>
      </c>
      <c r="J709" s="7" t="str">
        <f aca="false">IF(A709="","",IFERROR(VLOOKUP(IF(ISNUMBER(SEARCH("(",C709)),LEFT(C709,SEARCH("(",C709)-1),C709),Tipos!$A:$B,2,FALSE()),"outro"))</f>
        <v/>
      </c>
      <c r="K709" s="7" t="str">
        <f aca="false">IF(I709="","",IFERROR(INDEX('Campos Growths'!$L:$L,MATCH(H709,'Campos Growths'!$A:$A,0)),""))</f>
        <v/>
      </c>
      <c r="L709" s="7" t="str">
        <f aca="false">IF(A709="","",IF(G709="não","Sem tabela no Growths",IF(I709="","Sem campo no Growths",IF(J709=K709,"Importa direto","Ajustar tipo"))))</f>
        <v/>
      </c>
      <c r="M709" s="9"/>
    </row>
    <row r="710" customFormat="false" ht="15" hidden="false" customHeight="false" outlineLevel="0" collapsed="false">
      <c r="A710" s="7" t="str">
        <f aca="false">IF('Outro banco'!A710="","",IF(LEFT('Outro banco'!A710,1)="(","",'Outro banco'!A710))</f>
        <v/>
      </c>
      <c r="B710" s="7" t="str">
        <f aca="false">IF(A710="","",'Outro banco'!B710)</f>
        <v/>
      </c>
      <c r="C710" s="7" t="str">
        <f aca="false">IF(A710="","",'Outro banco'!C710)</f>
        <v/>
      </c>
      <c r="D710" s="7" t="str">
        <f aca="false">IF(A710="","",'Outro banco'!D710)</f>
        <v/>
      </c>
      <c r="E710" s="9"/>
      <c r="F710" s="9"/>
      <c r="G710" s="7" t="str">
        <f aca="false">IF(A710="","",IF(COUNTIF(Tabelas!$A:$A,IF(E710="",A710,E710))&gt;0,"sim","não"))</f>
        <v/>
      </c>
      <c r="H710" s="7" t="str">
        <f aca="false">IF(A710="","",IF(E710="",A710,E710)&amp;"."&amp;IF(F710="",B710,F710))</f>
        <v/>
      </c>
      <c r="I710" s="7" t="str">
        <f aca="false">IF(A710="","",IFERROR(INDEX('Campos Growths'!$F:$F,MATCH(H710,'Campos Growths'!$A:$A,0)),""))</f>
        <v/>
      </c>
      <c r="J710" s="7" t="str">
        <f aca="false">IF(A710="","",IFERROR(VLOOKUP(IF(ISNUMBER(SEARCH("(",C710)),LEFT(C710,SEARCH("(",C710)-1),C710),Tipos!$A:$B,2,FALSE()),"outro"))</f>
        <v/>
      </c>
      <c r="K710" s="7" t="str">
        <f aca="false">IF(I710="","",IFERROR(INDEX('Campos Growths'!$L:$L,MATCH(H710,'Campos Growths'!$A:$A,0)),""))</f>
        <v/>
      </c>
      <c r="L710" s="7" t="str">
        <f aca="false">IF(A710="","",IF(G710="não","Sem tabela no Growths",IF(I710="","Sem campo no Growths",IF(J710=K710,"Importa direto","Ajustar tipo"))))</f>
        <v/>
      </c>
      <c r="M710" s="9"/>
    </row>
    <row r="711" customFormat="false" ht="15" hidden="false" customHeight="false" outlineLevel="0" collapsed="false">
      <c r="A711" s="7" t="str">
        <f aca="false">IF('Outro banco'!A711="","",IF(LEFT('Outro banco'!A711,1)="(","",'Outro banco'!A711))</f>
        <v/>
      </c>
      <c r="B711" s="7" t="str">
        <f aca="false">IF(A711="","",'Outro banco'!B711)</f>
        <v/>
      </c>
      <c r="C711" s="7" t="str">
        <f aca="false">IF(A711="","",'Outro banco'!C711)</f>
        <v/>
      </c>
      <c r="D711" s="7" t="str">
        <f aca="false">IF(A711="","",'Outro banco'!D711)</f>
        <v/>
      </c>
      <c r="E711" s="9"/>
      <c r="F711" s="9"/>
      <c r="G711" s="7" t="str">
        <f aca="false">IF(A711="","",IF(COUNTIF(Tabelas!$A:$A,IF(E711="",A711,E711))&gt;0,"sim","não"))</f>
        <v/>
      </c>
      <c r="H711" s="7" t="str">
        <f aca="false">IF(A711="","",IF(E711="",A711,E711)&amp;"."&amp;IF(F711="",B711,F711))</f>
        <v/>
      </c>
      <c r="I711" s="7" t="str">
        <f aca="false">IF(A711="","",IFERROR(INDEX('Campos Growths'!$F:$F,MATCH(H711,'Campos Growths'!$A:$A,0)),""))</f>
        <v/>
      </c>
      <c r="J711" s="7" t="str">
        <f aca="false">IF(A711="","",IFERROR(VLOOKUP(IF(ISNUMBER(SEARCH("(",C711)),LEFT(C711,SEARCH("(",C711)-1),C711),Tipos!$A:$B,2,FALSE()),"outro"))</f>
        <v/>
      </c>
      <c r="K711" s="7" t="str">
        <f aca="false">IF(I711="","",IFERROR(INDEX('Campos Growths'!$L:$L,MATCH(H711,'Campos Growths'!$A:$A,0)),""))</f>
        <v/>
      </c>
      <c r="L711" s="7" t="str">
        <f aca="false">IF(A711="","",IF(G711="não","Sem tabela no Growths",IF(I711="","Sem campo no Growths",IF(J711=K711,"Importa direto","Ajustar tipo"))))</f>
        <v/>
      </c>
      <c r="M711" s="9"/>
    </row>
    <row r="712" customFormat="false" ht="15" hidden="false" customHeight="false" outlineLevel="0" collapsed="false">
      <c r="A712" s="7" t="str">
        <f aca="false">IF('Outro banco'!A712="","",IF(LEFT('Outro banco'!A712,1)="(","",'Outro banco'!A712))</f>
        <v/>
      </c>
      <c r="B712" s="7" t="str">
        <f aca="false">IF(A712="","",'Outro banco'!B712)</f>
        <v/>
      </c>
      <c r="C712" s="7" t="str">
        <f aca="false">IF(A712="","",'Outro banco'!C712)</f>
        <v/>
      </c>
      <c r="D712" s="7" t="str">
        <f aca="false">IF(A712="","",'Outro banco'!D712)</f>
        <v/>
      </c>
      <c r="E712" s="9"/>
      <c r="F712" s="9"/>
      <c r="G712" s="7" t="str">
        <f aca="false">IF(A712="","",IF(COUNTIF(Tabelas!$A:$A,IF(E712="",A712,E712))&gt;0,"sim","não"))</f>
        <v/>
      </c>
      <c r="H712" s="7" t="str">
        <f aca="false">IF(A712="","",IF(E712="",A712,E712)&amp;"."&amp;IF(F712="",B712,F712))</f>
        <v/>
      </c>
      <c r="I712" s="7" t="str">
        <f aca="false">IF(A712="","",IFERROR(INDEX('Campos Growths'!$F:$F,MATCH(H712,'Campos Growths'!$A:$A,0)),""))</f>
        <v/>
      </c>
      <c r="J712" s="7" t="str">
        <f aca="false">IF(A712="","",IFERROR(VLOOKUP(IF(ISNUMBER(SEARCH("(",C712)),LEFT(C712,SEARCH("(",C712)-1),C712),Tipos!$A:$B,2,FALSE()),"outro"))</f>
        <v/>
      </c>
      <c r="K712" s="7" t="str">
        <f aca="false">IF(I712="","",IFERROR(INDEX('Campos Growths'!$L:$L,MATCH(H712,'Campos Growths'!$A:$A,0)),""))</f>
        <v/>
      </c>
      <c r="L712" s="7" t="str">
        <f aca="false">IF(A712="","",IF(G712="não","Sem tabela no Growths",IF(I712="","Sem campo no Growths",IF(J712=K712,"Importa direto","Ajustar tipo"))))</f>
        <v/>
      </c>
      <c r="M712" s="9"/>
    </row>
    <row r="713" customFormat="false" ht="15" hidden="false" customHeight="false" outlineLevel="0" collapsed="false">
      <c r="A713" s="7" t="str">
        <f aca="false">IF('Outro banco'!A713="","",IF(LEFT('Outro banco'!A713,1)="(","",'Outro banco'!A713))</f>
        <v/>
      </c>
      <c r="B713" s="7" t="str">
        <f aca="false">IF(A713="","",'Outro banco'!B713)</f>
        <v/>
      </c>
      <c r="C713" s="7" t="str">
        <f aca="false">IF(A713="","",'Outro banco'!C713)</f>
        <v/>
      </c>
      <c r="D713" s="7" t="str">
        <f aca="false">IF(A713="","",'Outro banco'!D713)</f>
        <v/>
      </c>
      <c r="E713" s="9"/>
      <c r="F713" s="9"/>
      <c r="G713" s="7" t="str">
        <f aca="false">IF(A713="","",IF(COUNTIF(Tabelas!$A:$A,IF(E713="",A713,E713))&gt;0,"sim","não"))</f>
        <v/>
      </c>
      <c r="H713" s="7" t="str">
        <f aca="false">IF(A713="","",IF(E713="",A713,E713)&amp;"."&amp;IF(F713="",B713,F713))</f>
        <v/>
      </c>
      <c r="I713" s="7" t="str">
        <f aca="false">IF(A713="","",IFERROR(INDEX('Campos Growths'!$F:$F,MATCH(H713,'Campos Growths'!$A:$A,0)),""))</f>
        <v/>
      </c>
      <c r="J713" s="7" t="str">
        <f aca="false">IF(A713="","",IFERROR(VLOOKUP(IF(ISNUMBER(SEARCH("(",C713)),LEFT(C713,SEARCH("(",C713)-1),C713),Tipos!$A:$B,2,FALSE()),"outro"))</f>
        <v/>
      </c>
      <c r="K713" s="7" t="str">
        <f aca="false">IF(I713="","",IFERROR(INDEX('Campos Growths'!$L:$L,MATCH(H713,'Campos Growths'!$A:$A,0)),""))</f>
        <v/>
      </c>
      <c r="L713" s="7" t="str">
        <f aca="false">IF(A713="","",IF(G713="não","Sem tabela no Growths",IF(I713="","Sem campo no Growths",IF(J713=K713,"Importa direto","Ajustar tipo"))))</f>
        <v/>
      </c>
      <c r="M713" s="9"/>
    </row>
    <row r="714" customFormat="false" ht="15" hidden="false" customHeight="false" outlineLevel="0" collapsed="false">
      <c r="A714" s="7" t="str">
        <f aca="false">IF('Outro banco'!A714="","",IF(LEFT('Outro banco'!A714,1)="(","",'Outro banco'!A714))</f>
        <v/>
      </c>
      <c r="B714" s="7" t="str">
        <f aca="false">IF(A714="","",'Outro banco'!B714)</f>
        <v/>
      </c>
      <c r="C714" s="7" t="str">
        <f aca="false">IF(A714="","",'Outro banco'!C714)</f>
        <v/>
      </c>
      <c r="D714" s="7" t="str">
        <f aca="false">IF(A714="","",'Outro banco'!D714)</f>
        <v/>
      </c>
      <c r="E714" s="9"/>
      <c r="F714" s="9"/>
      <c r="G714" s="7" t="str">
        <f aca="false">IF(A714="","",IF(COUNTIF(Tabelas!$A:$A,IF(E714="",A714,E714))&gt;0,"sim","não"))</f>
        <v/>
      </c>
      <c r="H714" s="7" t="str">
        <f aca="false">IF(A714="","",IF(E714="",A714,E714)&amp;"."&amp;IF(F714="",B714,F714))</f>
        <v/>
      </c>
      <c r="I714" s="7" t="str">
        <f aca="false">IF(A714="","",IFERROR(INDEX('Campos Growths'!$F:$F,MATCH(H714,'Campos Growths'!$A:$A,0)),""))</f>
        <v/>
      </c>
      <c r="J714" s="7" t="str">
        <f aca="false">IF(A714="","",IFERROR(VLOOKUP(IF(ISNUMBER(SEARCH("(",C714)),LEFT(C714,SEARCH("(",C714)-1),C714),Tipos!$A:$B,2,FALSE()),"outro"))</f>
        <v/>
      </c>
      <c r="K714" s="7" t="str">
        <f aca="false">IF(I714="","",IFERROR(INDEX('Campos Growths'!$L:$L,MATCH(H714,'Campos Growths'!$A:$A,0)),""))</f>
        <v/>
      </c>
      <c r="L714" s="7" t="str">
        <f aca="false">IF(A714="","",IF(G714="não","Sem tabela no Growths",IF(I714="","Sem campo no Growths",IF(J714=K714,"Importa direto","Ajustar tipo"))))</f>
        <v/>
      </c>
      <c r="M714" s="9"/>
    </row>
    <row r="715" customFormat="false" ht="15" hidden="false" customHeight="false" outlineLevel="0" collapsed="false">
      <c r="A715" s="7" t="str">
        <f aca="false">IF('Outro banco'!A715="","",IF(LEFT('Outro banco'!A715,1)="(","",'Outro banco'!A715))</f>
        <v/>
      </c>
      <c r="B715" s="7" t="str">
        <f aca="false">IF(A715="","",'Outro banco'!B715)</f>
        <v/>
      </c>
      <c r="C715" s="7" t="str">
        <f aca="false">IF(A715="","",'Outro banco'!C715)</f>
        <v/>
      </c>
      <c r="D715" s="7" t="str">
        <f aca="false">IF(A715="","",'Outro banco'!D715)</f>
        <v/>
      </c>
      <c r="E715" s="9"/>
      <c r="F715" s="9"/>
      <c r="G715" s="7" t="str">
        <f aca="false">IF(A715="","",IF(COUNTIF(Tabelas!$A:$A,IF(E715="",A715,E715))&gt;0,"sim","não"))</f>
        <v/>
      </c>
      <c r="H715" s="7" t="str">
        <f aca="false">IF(A715="","",IF(E715="",A715,E715)&amp;"."&amp;IF(F715="",B715,F715))</f>
        <v/>
      </c>
      <c r="I715" s="7" t="str">
        <f aca="false">IF(A715="","",IFERROR(INDEX('Campos Growths'!$F:$F,MATCH(H715,'Campos Growths'!$A:$A,0)),""))</f>
        <v/>
      </c>
      <c r="J715" s="7" t="str">
        <f aca="false">IF(A715="","",IFERROR(VLOOKUP(IF(ISNUMBER(SEARCH("(",C715)),LEFT(C715,SEARCH("(",C715)-1),C715),Tipos!$A:$B,2,FALSE()),"outro"))</f>
        <v/>
      </c>
      <c r="K715" s="7" t="str">
        <f aca="false">IF(I715="","",IFERROR(INDEX('Campos Growths'!$L:$L,MATCH(H715,'Campos Growths'!$A:$A,0)),""))</f>
        <v/>
      </c>
      <c r="L715" s="7" t="str">
        <f aca="false">IF(A715="","",IF(G715="não","Sem tabela no Growths",IF(I715="","Sem campo no Growths",IF(J715=K715,"Importa direto","Ajustar tipo"))))</f>
        <v/>
      </c>
      <c r="M715" s="9"/>
    </row>
    <row r="716" customFormat="false" ht="15" hidden="false" customHeight="false" outlineLevel="0" collapsed="false">
      <c r="A716" s="7" t="str">
        <f aca="false">IF('Outro banco'!A716="","",IF(LEFT('Outro banco'!A716,1)="(","",'Outro banco'!A716))</f>
        <v/>
      </c>
      <c r="B716" s="7" t="str">
        <f aca="false">IF(A716="","",'Outro banco'!B716)</f>
        <v/>
      </c>
      <c r="C716" s="7" t="str">
        <f aca="false">IF(A716="","",'Outro banco'!C716)</f>
        <v/>
      </c>
      <c r="D716" s="7" t="str">
        <f aca="false">IF(A716="","",'Outro banco'!D716)</f>
        <v/>
      </c>
      <c r="E716" s="9"/>
      <c r="F716" s="9"/>
      <c r="G716" s="7" t="str">
        <f aca="false">IF(A716="","",IF(COUNTIF(Tabelas!$A:$A,IF(E716="",A716,E716))&gt;0,"sim","não"))</f>
        <v/>
      </c>
      <c r="H716" s="7" t="str">
        <f aca="false">IF(A716="","",IF(E716="",A716,E716)&amp;"."&amp;IF(F716="",B716,F716))</f>
        <v/>
      </c>
      <c r="I716" s="7" t="str">
        <f aca="false">IF(A716="","",IFERROR(INDEX('Campos Growths'!$F:$F,MATCH(H716,'Campos Growths'!$A:$A,0)),""))</f>
        <v/>
      </c>
      <c r="J716" s="7" t="str">
        <f aca="false">IF(A716="","",IFERROR(VLOOKUP(IF(ISNUMBER(SEARCH("(",C716)),LEFT(C716,SEARCH("(",C716)-1),C716),Tipos!$A:$B,2,FALSE()),"outro"))</f>
        <v/>
      </c>
      <c r="K716" s="7" t="str">
        <f aca="false">IF(I716="","",IFERROR(INDEX('Campos Growths'!$L:$L,MATCH(H716,'Campos Growths'!$A:$A,0)),""))</f>
        <v/>
      </c>
      <c r="L716" s="7" t="str">
        <f aca="false">IF(A716="","",IF(G716="não","Sem tabela no Growths",IF(I716="","Sem campo no Growths",IF(J716=K716,"Importa direto","Ajustar tipo"))))</f>
        <v/>
      </c>
      <c r="M716" s="9"/>
    </row>
    <row r="717" customFormat="false" ht="15" hidden="false" customHeight="false" outlineLevel="0" collapsed="false">
      <c r="A717" s="7" t="str">
        <f aca="false">IF('Outro banco'!A717="","",IF(LEFT('Outro banco'!A717,1)="(","",'Outro banco'!A717))</f>
        <v/>
      </c>
      <c r="B717" s="7" t="str">
        <f aca="false">IF(A717="","",'Outro banco'!B717)</f>
        <v/>
      </c>
      <c r="C717" s="7" t="str">
        <f aca="false">IF(A717="","",'Outro banco'!C717)</f>
        <v/>
      </c>
      <c r="D717" s="7" t="str">
        <f aca="false">IF(A717="","",'Outro banco'!D717)</f>
        <v/>
      </c>
      <c r="E717" s="9"/>
      <c r="F717" s="9"/>
      <c r="G717" s="7" t="str">
        <f aca="false">IF(A717="","",IF(COUNTIF(Tabelas!$A:$A,IF(E717="",A717,E717))&gt;0,"sim","não"))</f>
        <v/>
      </c>
      <c r="H717" s="7" t="str">
        <f aca="false">IF(A717="","",IF(E717="",A717,E717)&amp;"."&amp;IF(F717="",B717,F717))</f>
        <v/>
      </c>
      <c r="I717" s="7" t="str">
        <f aca="false">IF(A717="","",IFERROR(INDEX('Campos Growths'!$F:$F,MATCH(H717,'Campos Growths'!$A:$A,0)),""))</f>
        <v/>
      </c>
      <c r="J717" s="7" t="str">
        <f aca="false">IF(A717="","",IFERROR(VLOOKUP(IF(ISNUMBER(SEARCH("(",C717)),LEFT(C717,SEARCH("(",C717)-1),C717),Tipos!$A:$B,2,FALSE()),"outro"))</f>
        <v/>
      </c>
      <c r="K717" s="7" t="str">
        <f aca="false">IF(I717="","",IFERROR(INDEX('Campos Growths'!$L:$L,MATCH(H717,'Campos Growths'!$A:$A,0)),""))</f>
        <v/>
      </c>
      <c r="L717" s="7" t="str">
        <f aca="false">IF(A717="","",IF(G717="não","Sem tabela no Growths",IF(I717="","Sem campo no Growths",IF(J717=K717,"Importa direto","Ajustar tipo"))))</f>
        <v/>
      </c>
      <c r="M717" s="9"/>
    </row>
    <row r="718" customFormat="false" ht="15" hidden="false" customHeight="false" outlineLevel="0" collapsed="false">
      <c r="A718" s="7" t="str">
        <f aca="false">IF('Outro banco'!A718="","",IF(LEFT('Outro banco'!A718,1)="(","",'Outro banco'!A718))</f>
        <v/>
      </c>
      <c r="B718" s="7" t="str">
        <f aca="false">IF(A718="","",'Outro banco'!B718)</f>
        <v/>
      </c>
      <c r="C718" s="7" t="str">
        <f aca="false">IF(A718="","",'Outro banco'!C718)</f>
        <v/>
      </c>
      <c r="D718" s="7" t="str">
        <f aca="false">IF(A718="","",'Outro banco'!D718)</f>
        <v/>
      </c>
      <c r="E718" s="9"/>
      <c r="F718" s="9"/>
      <c r="G718" s="7" t="str">
        <f aca="false">IF(A718="","",IF(COUNTIF(Tabelas!$A:$A,IF(E718="",A718,E718))&gt;0,"sim","não"))</f>
        <v/>
      </c>
      <c r="H718" s="7" t="str">
        <f aca="false">IF(A718="","",IF(E718="",A718,E718)&amp;"."&amp;IF(F718="",B718,F718))</f>
        <v/>
      </c>
      <c r="I718" s="7" t="str">
        <f aca="false">IF(A718="","",IFERROR(INDEX('Campos Growths'!$F:$F,MATCH(H718,'Campos Growths'!$A:$A,0)),""))</f>
        <v/>
      </c>
      <c r="J718" s="7" t="str">
        <f aca="false">IF(A718="","",IFERROR(VLOOKUP(IF(ISNUMBER(SEARCH("(",C718)),LEFT(C718,SEARCH("(",C718)-1),C718),Tipos!$A:$B,2,FALSE()),"outro"))</f>
        <v/>
      </c>
      <c r="K718" s="7" t="str">
        <f aca="false">IF(I718="","",IFERROR(INDEX('Campos Growths'!$L:$L,MATCH(H718,'Campos Growths'!$A:$A,0)),""))</f>
        <v/>
      </c>
      <c r="L718" s="7" t="str">
        <f aca="false">IF(A718="","",IF(G718="não","Sem tabela no Growths",IF(I718="","Sem campo no Growths",IF(J718=K718,"Importa direto","Ajustar tipo"))))</f>
        <v/>
      </c>
      <c r="M718" s="9"/>
    </row>
    <row r="719" customFormat="false" ht="15" hidden="false" customHeight="false" outlineLevel="0" collapsed="false">
      <c r="A719" s="7" t="str">
        <f aca="false">IF('Outro banco'!A719="","",IF(LEFT('Outro banco'!A719,1)="(","",'Outro banco'!A719))</f>
        <v/>
      </c>
      <c r="B719" s="7" t="str">
        <f aca="false">IF(A719="","",'Outro banco'!B719)</f>
        <v/>
      </c>
      <c r="C719" s="7" t="str">
        <f aca="false">IF(A719="","",'Outro banco'!C719)</f>
        <v/>
      </c>
      <c r="D719" s="7" t="str">
        <f aca="false">IF(A719="","",'Outro banco'!D719)</f>
        <v/>
      </c>
      <c r="E719" s="9"/>
      <c r="F719" s="9"/>
      <c r="G719" s="7" t="str">
        <f aca="false">IF(A719="","",IF(COUNTIF(Tabelas!$A:$A,IF(E719="",A719,E719))&gt;0,"sim","não"))</f>
        <v/>
      </c>
      <c r="H719" s="7" t="str">
        <f aca="false">IF(A719="","",IF(E719="",A719,E719)&amp;"."&amp;IF(F719="",B719,F719))</f>
        <v/>
      </c>
      <c r="I719" s="7" t="str">
        <f aca="false">IF(A719="","",IFERROR(INDEX('Campos Growths'!$F:$F,MATCH(H719,'Campos Growths'!$A:$A,0)),""))</f>
        <v/>
      </c>
      <c r="J719" s="7" t="str">
        <f aca="false">IF(A719="","",IFERROR(VLOOKUP(IF(ISNUMBER(SEARCH("(",C719)),LEFT(C719,SEARCH("(",C719)-1),C719),Tipos!$A:$B,2,FALSE()),"outro"))</f>
        <v/>
      </c>
      <c r="K719" s="7" t="str">
        <f aca="false">IF(I719="","",IFERROR(INDEX('Campos Growths'!$L:$L,MATCH(H719,'Campos Growths'!$A:$A,0)),""))</f>
        <v/>
      </c>
      <c r="L719" s="7" t="str">
        <f aca="false">IF(A719="","",IF(G719="não","Sem tabela no Growths",IF(I719="","Sem campo no Growths",IF(J719=K719,"Importa direto","Ajustar tipo"))))</f>
        <v/>
      </c>
      <c r="M719" s="9"/>
    </row>
    <row r="720" customFormat="false" ht="15" hidden="false" customHeight="false" outlineLevel="0" collapsed="false">
      <c r="A720" s="7" t="str">
        <f aca="false">IF('Outro banco'!A720="","",IF(LEFT('Outro banco'!A720,1)="(","",'Outro banco'!A720))</f>
        <v/>
      </c>
      <c r="B720" s="7" t="str">
        <f aca="false">IF(A720="","",'Outro banco'!B720)</f>
        <v/>
      </c>
      <c r="C720" s="7" t="str">
        <f aca="false">IF(A720="","",'Outro banco'!C720)</f>
        <v/>
      </c>
      <c r="D720" s="7" t="str">
        <f aca="false">IF(A720="","",'Outro banco'!D720)</f>
        <v/>
      </c>
      <c r="E720" s="9"/>
      <c r="F720" s="9"/>
      <c r="G720" s="7" t="str">
        <f aca="false">IF(A720="","",IF(COUNTIF(Tabelas!$A:$A,IF(E720="",A720,E720))&gt;0,"sim","não"))</f>
        <v/>
      </c>
      <c r="H720" s="7" t="str">
        <f aca="false">IF(A720="","",IF(E720="",A720,E720)&amp;"."&amp;IF(F720="",B720,F720))</f>
        <v/>
      </c>
      <c r="I720" s="7" t="str">
        <f aca="false">IF(A720="","",IFERROR(INDEX('Campos Growths'!$F:$F,MATCH(H720,'Campos Growths'!$A:$A,0)),""))</f>
        <v/>
      </c>
      <c r="J720" s="7" t="str">
        <f aca="false">IF(A720="","",IFERROR(VLOOKUP(IF(ISNUMBER(SEARCH("(",C720)),LEFT(C720,SEARCH("(",C720)-1),C720),Tipos!$A:$B,2,FALSE()),"outro"))</f>
        <v/>
      </c>
      <c r="K720" s="7" t="str">
        <f aca="false">IF(I720="","",IFERROR(INDEX('Campos Growths'!$L:$L,MATCH(H720,'Campos Growths'!$A:$A,0)),""))</f>
        <v/>
      </c>
      <c r="L720" s="7" t="str">
        <f aca="false">IF(A720="","",IF(G720="não","Sem tabela no Growths",IF(I720="","Sem campo no Growths",IF(J720=K720,"Importa direto","Ajustar tipo"))))</f>
        <v/>
      </c>
      <c r="M720" s="9"/>
    </row>
    <row r="721" customFormat="false" ht="15" hidden="false" customHeight="false" outlineLevel="0" collapsed="false">
      <c r="A721" s="7" t="str">
        <f aca="false">IF('Outro banco'!A721="","",IF(LEFT('Outro banco'!A721,1)="(","",'Outro banco'!A721))</f>
        <v/>
      </c>
      <c r="B721" s="7" t="str">
        <f aca="false">IF(A721="","",'Outro banco'!B721)</f>
        <v/>
      </c>
      <c r="C721" s="7" t="str">
        <f aca="false">IF(A721="","",'Outro banco'!C721)</f>
        <v/>
      </c>
      <c r="D721" s="7" t="str">
        <f aca="false">IF(A721="","",'Outro banco'!D721)</f>
        <v/>
      </c>
      <c r="E721" s="9"/>
      <c r="F721" s="9"/>
      <c r="G721" s="7" t="str">
        <f aca="false">IF(A721="","",IF(COUNTIF(Tabelas!$A:$A,IF(E721="",A721,E721))&gt;0,"sim","não"))</f>
        <v/>
      </c>
      <c r="H721" s="7" t="str">
        <f aca="false">IF(A721="","",IF(E721="",A721,E721)&amp;"."&amp;IF(F721="",B721,F721))</f>
        <v/>
      </c>
      <c r="I721" s="7" t="str">
        <f aca="false">IF(A721="","",IFERROR(INDEX('Campos Growths'!$F:$F,MATCH(H721,'Campos Growths'!$A:$A,0)),""))</f>
        <v/>
      </c>
      <c r="J721" s="7" t="str">
        <f aca="false">IF(A721="","",IFERROR(VLOOKUP(IF(ISNUMBER(SEARCH("(",C721)),LEFT(C721,SEARCH("(",C721)-1),C721),Tipos!$A:$B,2,FALSE()),"outro"))</f>
        <v/>
      </c>
      <c r="K721" s="7" t="str">
        <f aca="false">IF(I721="","",IFERROR(INDEX('Campos Growths'!$L:$L,MATCH(H721,'Campos Growths'!$A:$A,0)),""))</f>
        <v/>
      </c>
      <c r="L721" s="7" t="str">
        <f aca="false">IF(A721="","",IF(G721="não","Sem tabela no Growths",IF(I721="","Sem campo no Growths",IF(J721=K721,"Importa direto","Ajustar tipo"))))</f>
        <v/>
      </c>
      <c r="M721" s="9"/>
    </row>
    <row r="722" customFormat="false" ht="15" hidden="false" customHeight="false" outlineLevel="0" collapsed="false">
      <c r="A722" s="7" t="str">
        <f aca="false">IF('Outro banco'!A722="","",IF(LEFT('Outro banco'!A722,1)="(","",'Outro banco'!A722))</f>
        <v/>
      </c>
      <c r="B722" s="7" t="str">
        <f aca="false">IF(A722="","",'Outro banco'!B722)</f>
        <v/>
      </c>
      <c r="C722" s="7" t="str">
        <f aca="false">IF(A722="","",'Outro banco'!C722)</f>
        <v/>
      </c>
      <c r="D722" s="7" t="str">
        <f aca="false">IF(A722="","",'Outro banco'!D722)</f>
        <v/>
      </c>
      <c r="E722" s="9"/>
      <c r="F722" s="9"/>
      <c r="G722" s="7" t="str">
        <f aca="false">IF(A722="","",IF(COUNTIF(Tabelas!$A:$A,IF(E722="",A722,E722))&gt;0,"sim","não"))</f>
        <v/>
      </c>
      <c r="H722" s="7" t="str">
        <f aca="false">IF(A722="","",IF(E722="",A722,E722)&amp;"."&amp;IF(F722="",B722,F722))</f>
        <v/>
      </c>
      <c r="I722" s="7" t="str">
        <f aca="false">IF(A722="","",IFERROR(INDEX('Campos Growths'!$F:$F,MATCH(H722,'Campos Growths'!$A:$A,0)),""))</f>
        <v/>
      </c>
      <c r="J722" s="7" t="str">
        <f aca="false">IF(A722="","",IFERROR(VLOOKUP(IF(ISNUMBER(SEARCH("(",C722)),LEFT(C722,SEARCH("(",C722)-1),C722),Tipos!$A:$B,2,FALSE()),"outro"))</f>
        <v/>
      </c>
      <c r="K722" s="7" t="str">
        <f aca="false">IF(I722="","",IFERROR(INDEX('Campos Growths'!$L:$L,MATCH(H722,'Campos Growths'!$A:$A,0)),""))</f>
        <v/>
      </c>
      <c r="L722" s="7" t="str">
        <f aca="false">IF(A722="","",IF(G722="não","Sem tabela no Growths",IF(I722="","Sem campo no Growths",IF(J722=K722,"Importa direto","Ajustar tipo"))))</f>
        <v/>
      </c>
      <c r="M722" s="9"/>
    </row>
    <row r="723" customFormat="false" ht="15" hidden="false" customHeight="false" outlineLevel="0" collapsed="false">
      <c r="A723" s="7" t="str">
        <f aca="false">IF('Outro banco'!A723="","",IF(LEFT('Outro banco'!A723,1)="(","",'Outro banco'!A723))</f>
        <v/>
      </c>
      <c r="B723" s="7" t="str">
        <f aca="false">IF(A723="","",'Outro banco'!B723)</f>
        <v/>
      </c>
      <c r="C723" s="7" t="str">
        <f aca="false">IF(A723="","",'Outro banco'!C723)</f>
        <v/>
      </c>
      <c r="D723" s="7" t="str">
        <f aca="false">IF(A723="","",'Outro banco'!D723)</f>
        <v/>
      </c>
      <c r="E723" s="9"/>
      <c r="F723" s="9"/>
      <c r="G723" s="7" t="str">
        <f aca="false">IF(A723="","",IF(COUNTIF(Tabelas!$A:$A,IF(E723="",A723,E723))&gt;0,"sim","não"))</f>
        <v/>
      </c>
      <c r="H723" s="7" t="str">
        <f aca="false">IF(A723="","",IF(E723="",A723,E723)&amp;"."&amp;IF(F723="",B723,F723))</f>
        <v/>
      </c>
      <c r="I723" s="7" t="str">
        <f aca="false">IF(A723="","",IFERROR(INDEX('Campos Growths'!$F:$F,MATCH(H723,'Campos Growths'!$A:$A,0)),""))</f>
        <v/>
      </c>
      <c r="J723" s="7" t="str">
        <f aca="false">IF(A723="","",IFERROR(VLOOKUP(IF(ISNUMBER(SEARCH("(",C723)),LEFT(C723,SEARCH("(",C723)-1),C723),Tipos!$A:$B,2,FALSE()),"outro"))</f>
        <v/>
      </c>
      <c r="K723" s="7" t="str">
        <f aca="false">IF(I723="","",IFERROR(INDEX('Campos Growths'!$L:$L,MATCH(H723,'Campos Growths'!$A:$A,0)),""))</f>
        <v/>
      </c>
      <c r="L723" s="7" t="str">
        <f aca="false">IF(A723="","",IF(G723="não","Sem tabela no Growths",IF(I723="","Sem campo no Growths",IF(J723=K723,"Importa direto","Ajustar tipo"))))</f>
        <v/>
      </c>
      <c r="M723" s="9"/>
    </row>
    <row r="724" customFormat="false" ht="15" hidden="false" customHeight="false" outlineLevel="0" collapsed="false">
      <c r="A724" s="7" t="str">
        <f aca="false">IF('Outro banco'!A724="","",IF(LEFT('Outro banco'!A724,1)="(","",'Outro banco'!A724))</f>
        <v/>
      </c>
      <c r="B724" s="7" t="str">
        <f aca="false">IF(A724="","",'Outro banco'!B724)</f>
        <v/>
      </c>
      <c r="C724" s="7" t="str">
        <f aca="false">IF(A724="","",'Outro banco'!C724)</f>
        <v/>
      </c>
      <c r="D724" s="7" t="str">
        <f aca="false">IF(A724="","",'Outro banco'!D724)</f>
        <v/>
      </c>
      <c r="E724" s="9"/>
      <c r="F724" s="9"/>
      <c r="G724" s="7" t="str">
        <f aca="false">IF(A724="","",IF(COUNTIF(Tabelas!$A:$A,IF(E724="",A724,E724))&gt;0,"sim","não"))</f>
        <v/>
      </c>
      <c r="H724" s="7" t="str">
        <f aca="false">IF(A724="","",IF(E724="",A724,E724)&amp;"."&amp;IF(F724="",B724,F724))</f>
        <v/>
      </c>
      <c r="I724" s="7" t="str">
        <f aca="false">IF(A724="","",IFERROR(INDEX('Campos Growths'!$F:$F,MATCH(H724,'Campos Growths'!$A:$A,0)),""))</f>
        <v/>
      </c>
      <c r="J724" s="7" t="str">
        <f aca="false">IF(A724="","",IFERROR(VLOOKUP(IF(ISNUMBER(SEARCH("(",C724)),LEFT(C724,SEARCH("(",C724)-1),C724),Tipos!$A:$B,2,FALSE()),"outro"))</f>
        <v/>
      </c>
      <c r="K724" s="7" t="str">
        <f aca="false">IF(I724="","",IFERROR(INDEX('Campos Growths'!$L:$L,MATCH(H724,'Campos Growths'!$A:$A,0)),""))</f>
        <v/>
      </c>
      <c r="L724" s="7" t="str">
        <f aca="false">IF(A724="","",IF(G724="não","Sem tabela no Growths",IF(I724="","Sem campo no Growths",IF(J724=K724,"Importa direto","Ajustar tipo"))))</f>
        <v/>
      </c>
      <c r="M724" s="9"/>
    </row>
    <row r="725" customFormat="false" ht="15" hidden="false" customHeight="false" outlineLevel="0" collapsed="false">
      <c r="A725" s="7" t="str">
        <f aca="false">IF('Outro banco'!A725="","",IF(LEFT('Outro banco'!A725,1)="(","",'Outro banco'!A725))</f>
        <v/>
      </c>
      <c r="B725" s="7" t="str">
        <f aca="false">IF(A725="","",'Outro banco'!B725)</f>
        <v/>
      </c>
      <c r="C725" s="7" t="str">
        <f aca="false">IF(A725="","",'Outro banco'!C725)</f>
        <v/>
      </c>
      <c r="D725" s="7" t="str">
        <f aca="false">IF(A725="","",'Outro banco'!D725)</f>
        <v/>
      </c>
      <c r="E725" s="9"/>
      <c r="F725" s="9"/>
      <c r="G725" s="7" t="str">
        <f aca="false">IF(A725="","",IF(COUNTIF(Tabelas!$A:$A,IF(E725="",A725,E725))&gt;0,"sim","não"))</f>
        <v/>
      </c>
      <c r="H725" s="7" t="str">
        <f aca="false">IF(A725="","",IF(E725="",A725,E725)&amp;"."&amp;IF(F725="",B725,F725))</f>
        <v/>
      </c>
      <c r="I725" s="7" t="str">
        <f aca="false">IF(A725="","",IFERROR(INDEX('Campos Growths'!$F:$F,MATCH(H725,'Campos Growths'!$A:$A,0)),""))</f>
        <v/>
      </c>
      <c r="J725" s="7" t="str">
        <f aca="false">IF(A725="","",IFERROR(VLOOKUP(IF(ISNUMBER(SEARCH("(",C725)),LEFT(C725,SEARCH("(",C725)-1),C725),Tipos!$A:$B,2,FALSE()),"outro"))</f>
        <v/>
      </c>
      <c r="K725" s="7" t="str">
        <f aca="false">IF(I725="","",IFERROR(INDEX('Campos Growths'!$L:$L,MATCH(H725,'Campos Growths'!$A:$A,0)),""))</f>
        <v/>
      </c>
      <c r="L725" s="7" t="str">
        <f aca="false">IF(A725="","",IF(G725="não","Sem tabela no Growths",IF(I725="","Sem campo no Growths",IF(J725=K725,"Importa direto","Ajustar tipo"))))</f>
        <v/>
      </c>
      <c r="M725" s="9"/>
    </row>
    <row r="726" customFormat="false" ht="15" hidden="false" customHeight="false" outlineLevel="0" collapsed="false">
      <c r="A726" s="7" t="str">
        <f aca="false">IF('Outro banco'!A726="","",IF(LEFT('Outro banco'!A726,1)="(","",'Outro banco'!A726))</f>
        <v/>
      </c>
      <c r="B726" s="7" t="str">
        <f aca="false">IF(A726="","",'Outro banco'!B726)</f>
        <v/>
      </c>
      <c r="C726" s="7" t="str">
        <f aca="false">IF(A726="","",'Outro banco'!C726)</f>
        <v/>
      </c>
      <c r="D726" s="7" t="str">
        <f aca="false">IF(A726="","",'Outro banco'!D726)</f>
        <v/>
      </c>
      <c r="E726" s="9"/>
      <c r="F726" s="9"/>
      <c r="G726" s="7" t="str">
        <f aca="false">IF(A726="","",IF(COUNTIF(Tabelas!$A:$A,IF(E726="",A726,E726))&gt;0,"sim","não"))</f>
        <v/>
      </c>
      <c r="H726" s="7" t="str">
        <f aca="false">IF(A726="","",IF(E726="",A726,E726)&amp;"."&amp;IF(F726="",B726,F726))</f>
        <v/>
      </c>
      <c r="I726" s="7" t="str">
        <f aca="false">IF(A726="","",IFERROR(INDEX('Campos Growths'!$F:$F,MATCH(H726,'Campos Growths'!$A:$A,0)),""))</f>
        <v/>
      </c>
      <c r="J726" s="7" t="str">
        <f aca="false">IF(A726="","",IFERROR(VLOOKUP(IF(ISNUMBER(SEARCH("(",C726)),LEFT(C726,SEARCH("(",C726)-1),C726),Tipos!$A:$B,2,FALSE()),"outro"))</f>
        <v/>
      </c>
      <c r="K726" s="7" t="str">
        <f aca="false">IF(I726="","",IFERROR(INDEX('Campos Growths'!$L:$L,MATCH(H726,'Campos Growths'!$A:$A,0)),""))</f>
        <v/>
      </c>
      <c r="L726" s="7" t="str">
        <f aca="false">IF(A726="","",IF(G726="não","Sem tabela no Growths",IF(I726="","Sem campo no Growths",IF(J726=K726,"Importa direto","Ajustar tipo"))))</f>
        <v/>
      </c>
      <c r="M726" s="9"/>
    </row>
    <row r="727" customFormat="false" ht="15" hidden="false" customHeight="false" outlineLevel="0" collapsed="false">
      <c r="A727" s="7" t="str">
        <f aca="false">IF('Outro banco'!A727="","",IF(LEFT('Outro banco'!A727,1)="(","",'Outro banco'!A727))</f>
        <v/>
      </c>
      <c r="B727" s="7" t="str">
        <f aca="false">IF(A727="","",'Outro banco'!B727)</f>
        <v/>
      </c>
      <c r="C727" s="7" t="str">
        <f aca="false">IF(A727="","",'Outro banco'!C727)</f>
        <v/>
      </c>
      <c r="D727" s="7" t="str">
        <f aca="false">IF(A727="","",'Outro banco'!D727)</f>
        <v/>
      </c>
      <c r="E727" s="9"/>
      <c r="F727" s="9"/>
      <c r="G727" s="7" t="str">
        <f aca="false">IF(A727="","",IF(COUNTIF(Tabelas!$A:$A,IF(E727="",A727,E727))&gt;0,"sim","não"))</f>
        <v/>
      </c>
      <c r="H727" s="7" t="str">
        <f aca="false">IF(A727="","",IF(E727="",A727,E727)&amp;"."&amp;IF(F727="",B727,F727))</f>
        <v/>
      </c>
      <c r="I727" s="7" t="str">
        <f aca="false">IF(A727="","",IFERROR(INDEX('Campos Growths'!$F:$F,MATCH(H727,'Campos Growths'!$A:$A,0)),""))</f>
        <v/>
      </c>
      <c r="J727" s="7" t="str">
        <f aca="false">IF(A727="","",IFERROR(VLOOKUP(IF(ISNUMBER(SEARCH("(",C727)),LEFT(C727,SEARCH("(",C727)-1),C727),Tipos!$A:$B,2,FALSE()),"outro"))</f>
        <v/>
      </c>
      <c r="K727" s="7" t="str">
        <f aca="false">IF(I727="","",IFERROR(INDEX('Campos Growths'!$L:$L,MATCH(H727,'Campos Growths'!$A:$A,0)),""))</f>
        <v/>
      </c>
      <c r="L727" s="7" t="str">
        <f aca="false">IF(A727="","",IF(G727="não","Sem tabela no Growths",IF(I727="","Sem campo no Growths",IF(J727=K727,"Importa direto","Ajustar tipo"))))</f>
        <v/>
      </c>
      <c r="M727" s="9"/>
    </row>
    <row r="728" customFormat="false" ht="15" hidden="false" customHeight="false" outlineLevel="0" collapsed="false">
      <c r="A728" s="7" t="str">
        <f aca="false">IF('Outro banco'!A728="","",IF(LEFT('Outro banco'!A728,1)="(","",'Outro banco'!A728))</f>
        <v/>
      </c>
      <c r="B728" s="7" t="str">
        <f aca="false">IF(A728="","",'Outro banco'!B728)</f>
        <v/>
      </c>
      <c r="C728" s="7" t="str">
        <f aca="false">IF(A728="","",'Outro banco'!C728)</f>
        <v/>
      </c>
      <c r="D728" s="7" t="str">
        <f aca="false">IF(A728="","",'Outro banco'!D728)</f>
        <v/>
      </c>
      <c r="E728" s="9"/>
      <c r="F728" s="9"/>
      <c r="G728" s="7" t="str">
        <f aca="false">IF(A728="","",IF(COUNTIF(Tabelas!$A:$A,IF(E728="",A728,E728))&gt;0,"sim","não"))</f>
        <v/>
      </c>
      <c r="H728" s="7" t="str">
        <f aca="false">IF(A728="","",IF(E728="",A728,E728)&amp;"."&amp;IF(F728="",B728,F728))</f>
        <v/>
      </c>
      <c r="I728" s="7" t="str">
        <f aca="false">IF(A728="","",IFERROR(INDEX('Campos Growths'!$F:$F,MATCH(H728,'Campos Growths'!$A:$A,0)),""))</f>
        <v/>
      </c>
      <c r="J728" s="7" t="str">
        <f aca="false">IF(A728="","",IFERROR(VLOOKUP(IF(ISNUMBER(SEARCH("(",C728)),LEFT(C728,SEARCH("(",C728)-1),C728),Tipos!$A:$B,2,FALSE()),"outro"))</f>
        <v/>
      </c>
      <c r="K728" s="7" t="str">
        <f aca="false">IF(I728="","",IFERROR(INDEX('Campos Growths'!$L:$L,MATCH(H728,'Campos Growths'!$A:$A,0)),""))</f>
        <v/>
      </c>
      <c r="L728" s="7" t="str">
        <f aca="false">IF(A728="","",IF(G728="não","Sem tabela no Growths",IF(I728="","Sem campo no Growths",IF(J728=K728,"Importa direto","Ajustar tipo"))))</f>
        <v/>
      </c>
      <c r="M728" s="9"/>
    </row>
    <row r="729" customFormat="false" ht="15" hidden="false" customHeight="false" outlineLevel="0" collapsed="false">
      <c r="A729" s="7" t="str">
        <f aca="false">IF('Outro banco'!A729="","",IF(LEFT('Outro banco'!A729,1)="(","",'Outro banco'!A729))</f>
        <v/>
      </c>
      <c r="B729" s="7" t="str">
        <f aca="false">IF(A729="","",'Outro banco'!B729)</f>
        <v/>
      </c>
      <c r="C729" s="7" t="str">
        <f aca="false">IF(A729="","",'Outro banco'!C729)</f>
        <v/>
      </c>
      <c r="D729" s="7" t="str">
        <f aca="false">IF(A729="","",'Outro banco'!D729)</f>
        <v/>
      </c>
      <c r="E729" s="9"/>
      <c r="F729" s="9"/>
      <c r="G729" s="7" t="str">
        <f aca="false">IF(A729="","",IF(COUNTIF(Tabelas!$A:$A,IF(E729="",A729,E729))&gt;0,"sim","não"))</f>
        <v/>
      </c>
      <c r="H729" s="7" t="str">
        <f aca="false">IF(A729="","",IF(E729="",A729,E729)&amp;"."&amp;IF(F729="",B729,F729))</f>
        <v/>
      </c>
      <c r="I729" s="7" t="str">
        <f aca="false">IF(A729="","",IFERROR(INDEX('Campos Growths'!$F:$F,MATCH(H729,'Campos Growths'!$A:$A,0)),""))</f>
        <v/>
      </c>
      <c r="J729" s="7" t="str">
        <f aca="false">IF(A729="","",IFERROR(VLOOKUP(IF(ISNUMBER(SEARCH("(",C729)),LEFT(C729,SEARCH("(",C729)-1),C729),Tipos!$A:$B,2,FALSE()),"outro"))</f>
        <v/>
      </c>
      <c r="K729" s="7" t="str">
        <f aca="false">IF(I729="","",IFERROR(INDEX('Campos Growths'!$L:$L,MATCH(H729,'Campos Growths'!$A:$A,0)),""))</f>
        <v/>
      </c>
      <c r="L729" s="7" t="str">
        <f aca="false">IF(A729="","",IF(G729="não","Sem tabela no Growths",IF(I729="","Sem campo no Growths",IF(J729=K729,"Importa direto","Ajustar tipo"))))</f>
        <v/>
      </c>
      <c r="M729" s="9"/>
    </row>
    <row r="730" customFormat="false" ht="15" hidden="false" customHeight="false" outlineLevel="0" collapsed="false">
      <c r="A730" s="7" t="str">
        <f aca="false">IF('Outro banco'!A730="","",IF(LEFT('Outro banco'!A730,1)="(","",'Outro banco'!A730))</f>
        <v/>
      </c>
      <c r="B730" s="7" t="str">
        <f aca="false">IF(A730="","",'Outro banco'!B730)</f>
        <v/>
      </c>
      <c r="C730" s="7" t="str">
        <f aca="false">IF(A730="","",'Outro banco'!C730)</f>
        <v/>
      </c>
      <c r="D730" s="7" t="str">
        <f aca="false">IF(A730="","",'Outro banco'!D730)</f>
        <v/>
      </c>
      <c r="E730" s="9"/>
      <c r="F730" s="9"/>
      <c r="G730" s="7" t="str">
        <f aca="false">IF(A730="","",IF(COUNTIF(Tabelas!$A:$A,IF(E730="",A730,E730))&gt;0,"sim","não"))</f>
        <v/>
      </c>
      <c r="H730" s="7" t="str">
        <f aca="false">IF(A730="","",IF(E730="",A730,E730)&amp;"."&amp;IF(F730="",B730,F730))</f>
        <v/>
      </c>
      <c r="I730" s="7" t="str">
        <f aca="false">IF(A730="","",IFERROR(INDEX('Campos Growths'!$F:$F,MATCH(H730,'Campos Growths'!$A:$A,0)),""))</f>
        <v/>
      </c>
      <c r="J730" s="7" t="str">
        <f aca="false">IF(A730="","",IFERROR(VLOOKUP(IF(ISNUMBER(SEARCH("(",C730)),LEFT(C730,SEARCH("(",C730)-1),C730),Tipos!$A:$B,2,FALSE()),"outro"))</f>
        <v/>
      </c>
      <c r="K730" s="7" t="str">
        <f aca="false">IF(I730="","",IFERROR(INDEX('Campos Growths'!$L:$L,MATCH(H730,'Campos Growths'!$A:$A,0)),""))</f>
        <v/>
      </c>
      <c r="L730" s="7" t="str">
        <f aca="false">IF(A730="","",IF(G730="não","Sem tabela no Growths",IF(I730="","Sem campo no Growths",IF(J730=K730,"Importa direto","Ajustar tipo"))))</f>
        <v/>
      </c>
      <c r="M730" s="9"/>
    </row>
    <row r="731" customFormat="false" ht="15" hidden="false" customHeight="false" outlineLevel="0" collapsed="false">
      <c r="A731" s="7" t="str">
        <f aca="false">IF('Outro banco'!A731="","",IF(LEFT('Outro banco'!A731,1)="(","",'Outro banco'!A731))</f>
        <v/>
      </c>
      <c r="B731" s="7" t="str">
        <f aca="false">IF(A731="","",'Outro banco'!B731)</f>
        <v/>
      </c>
      <c r="C731" s="7" t="str">
        <f aca="false">IF(A731="","",'Outro banco'!C731)</f>
        <v/>
      </c>
      <c r="D731" s="7" t="str">
        <f aca="false">IF(A731="","",'Outro banco'!D731)</f>
        <v/>
      </c>
      <c r="E731" s="9"/>
      <c r="F731" s="9"/>
      <c r="G731" s="7" t="str">
        <f aca="false">IF(A731="","",IF(COUNTIF(Tabelas!$A:$A,IF(E731="",A731,E731))&gt;0,"sim","não"))</f>
        <v/>
      </c>
      <c r="H731" s="7" t="str">
        <f aca="false">IF(A731="","",IF(E731="",A731,E731)&amp;"."&amp;IF(F731="",B731,F731))</f>
        <v/>
      </c>
      <c r="I731" s="7" t="str">
        <f aca="false">IF(A731="","",IFERROR(INDEX('Campos Growths'!$F:$F,MATCH(H731,'Campos Growths'!$A:$A,0)),""))</f>
        <v/>
      </c>
      <c r="J731" s="7" t="str">
        <f aca="false">IF(A731="","",IFERROR(VLOOKUP(IF(ISNUMBER(SEARCH("(",C731)),LEFT(C731,SEARCH("(",C731)-1),C731),Tipos!$A:$B,2,FALSE()),"outro"))</f>
        <v/>
      </c>
      <c r="K731" s="7" t="str">
        <f aca="false">IF(I731="","",IFERROR(INDEX('Campos Growths'!$L:$L,MATCH(H731,'Campos Growths'!$A:$A,0)),""))</f>
        <v/>
      </c>
      <c r="L731" s="7" t="str">
        <f aca="false">IF(A731="","",IF(G731="não","Sem tabela no Growths",IF(I731="","Sem campo no Growths",IF(J731=K731,"Importa direto","Ajustar tipo"))))</f>
        <v/>
      </c>
      <c r="M731" s="9"/>
    </row>
    <row r="732" customFormat="false" ht="15" hidden="false" customHeight="false" outlineLevel="0" collapsed="false">
      <c r="A732" s="7" t="str">
        <f aca="false">IF('Outro banco'!A732="","",IF(LEFT('Outro banco'!A732,1)="(","",'Outro banco'!A732))</f>
        <v/>
      </c>
      <c r="B732" s="7" t="str">
        <f aca="false">IF(A732="","",'Outro banco'!B732)</f>
        <v/>
      </c>
      <c r="C732" s="7" t="str">
        <f aca="false">IF(A732="","",'Outro banco'!C732)</f>
        <v/>
      </c>
      <c r="D732" s="7" t="str">
        <f aca="false">IF(A732="","",'Outro banco'!D732)</f>
        <v/>
      </c>
      <c r="E732" s="9"/>
      <c r="F732" s="9"/>
      <c r="G732" s="7" t="str">
        <f aca="false">IF(A732="","",IF(COUNTIF(Tabelas!$A:$A,IF(E732="",A732,E732))&gt;0,"sim","não"))</f>
        <v/>
      </c>
      <c r="H732" s="7" t="str">
        <f aca="false">IF(A732="","",IF(E732="",A732,E732)&amp;"."&amp;IF(F732="",B732,F732))</f>
        <v/>
      </c>
      <c r="I732" s="7" t="str">
        <f aca="false">IF(A732="","",IFERROR(INDEX('Campos Growths'!$F:$F,MATCH(H732,'Campos Growths'!$A:$A,0)),""))</f>
        <v/>
      </c>
      <c r="J732" s="7" t="str">
        <f aca="false">IF(A732="","",IFERROR(VLOOKUP(IF(ISNUMBER(SEARCH("(",C732)),LEFT(C732,SEARCH("(",C732)-1),C732),Tipos!$A:$B,2,FALSE()),"outro"))</f>
        <v/>
      </c>
      <c r="K732" s="7" t="str">
        <f aca="false">IF(I732="","",IFERROR(INDEX('Campos Growths'!$L:$L,MATCH(H732,'Campos Growths'!$A:$A,0)),""))</f>
        <v/>
      </c>
      <c r="L732" s="7" t="str">
        <f aca="false">IF(A732="","",IF(G732="não","Sem tabela no Growths",IF(I732="","Sem campo no Growths",IF(J732=K732,"Importa direto","Ajustar tipo"))))</f>
        <v/>
      </c>
      <c r="M732" s="9"/>
    </row>
    <row r="733" customFormat="false" ht="15" hidden="false" customHeight="false" outlineLevel="0" collapsed="false">
      <c r="A733" s="7" t="str">
        <f aca="false">IF('Outro banco'!A733="","",IF(LEFT('Outro banco'!A733,1)="(","",'Outro banco'!A733))</f>
        <v/>
      </c>
      <c r="B733" s="7" t="str">
        <f aca="false">IF(A733="","",'Outro banco'!B733)</f>
        <v/>
      </c>
      <c r="C733" s="7" t="str">
        <f aca="false">IF(A733="","",'Outro banco'!C733)</f>
        <v/>
      </c>
      <c r="D733" s="7" t="str">
        <f aca="false">IF(A733="","",'Outro banco'!D733)</f>
        <v/>
      </c>
      <c r="E733" s="9"/>
      <c r="F733" s="9"/>
      <c r="G733" s="7" t="str">
        <f aca="false">IF(A733="","",IF(COUNTIF(Tabelas!$A:$A,IF(E733="",A733,E733))&gt;0,"sim","não"))</f>
        <v/>
      </c>
      <c r="H733" s="7" t="str">
        <f aca="false">IF(A733="","",IF(E733="",A733,E733)&amp;"."&amp;IF(F733="",B733,F733))</f>
        <v/>
      </c>
      <c r="I733" s="7" t="str">
        <f aca="false">IF(A733="","",IFERROR(INDEX('Campos Growths'!$F:$F,MATCH(H733,'Campos Growths'!$A:$A,0)),""))</f>
        <v/>
      </c>
      <c r="J733" s="7" t="str">
        <f aca="false">IF(A733="","",IFERROR(VLOOKUP(IF(ISNUMBER(SEARCH("(",C733)),LEFT(C733,SEARCH("(",C733)-1),C733),Tipos!$A:$B,2,FALSE()),"outro"))</f>
        <v/>
      </c>
      <c r="K733" s="7" t="str">
        <f aca="false">IF(I733="","",IFERROR(INDEX('Campos Growths'!$L:$L,MATCH(H733,'Campos Growths'!$A:$A,0)),""))</f>
        <v/>
      </c>
      <c r="L733" s="7" t="str">
        <f aca="false">IF(A733="","",IF(G733="não","Sem tabela no Growths",IF(I733="","Sem campo no Growths",IF(J733=K733,"Importa direto","Ajustar tipo"))))</f>
        <v/>
      </c>
      <c r="M733" s="9"/>
    </row>
    <row r="734" customFormat="false" ht="15" hidden="false" customHeight="false" outlineLevel="0" collapsed="false">
      <c r="A734" s="7" t="str">
        <f aca="false">IF('Outro banco'!A734="","",IF(LEFT('Outro banco'!A734,1)="(","",'Outro banco'!A734))</f>
        <v/>
      </c>
      <c r="B734" s="7" t="str">
        <f aca="false">IF(A734="","",'Outro banco'!B734)</f>
        <v/>
      </c>
      <c r="C734" s="7" t="str">
        <f aca="false">IF(A734="","",'Outro banco'!C734)</f>
        <v/>
      </c>
      <c r="D734" s="7" t="str">
        <f aca="false">IF(A734="","",'Outro banco'!D734)</f>
        <v/>
      </c>
      <c r="E734" s="9"/>
      <c r="F734" s="9"/>
      <c r="G734" s="7" t="str">
        <f aca="false">IF(A734="","",IF(COUNTIF(Tabelas!$A:$A,IF(E734="",A734,E734))&gt;0,"sim","não"))</f>
        <v/>
      </c>
      <c r="H734" s="7" t="str">
        <f aca="false">IF(A734="","",IF(E734="",A734,E734)&amp;"."&amp;IF(F734="",B734,F734))</f>
        <v/>
      </c>
      <c r="I734" s="7" t="str">
        <f aca="false">IF(A734="","",IFERROR(INDEX('Campos Growths'!$F:$F,MATCH(H734,'Campos Growths'!$A:$A,0)),""))</f>
        <v/>
      </c>
      <c r="J734" s="7" t="str">
        <f aca="false">IF(A734="","",IFERROR(VLOOKUP(IF(ISNUMBER(SEARCH("(",C734)),LEFT(C734,SEARCH("(",C734)-1),C734),Tipos!$A:$B,2,FALSE()),"outro"))</f>
        <v/>
      </c>
      <c r="K734" s="7" t="str">
        <f aca="false">IF(I734="","",IFERROR(INDEX('Campos Growths'!$L:$L,MATCH(H734,'Campos Growths'!$A:$A,0)),""))</f>
        <v/>
      </c>
      <c r="L734" s="7" t="str">
        <f aca="false">IF(A734="","",IF(G734="não","Sem tabela no Growths",IF(I734="","Sem campo no Growths",IF(J734=K734,"Importa direto","Ajustar tipo"))))</f>
        <v/>
      </c>
      <c r="M734" s="9"/>
    </row>
    <row r="735" customFormat="false" ht="15" hidden="false" customHeight="false" outlineLevel="0" collapsed="false">
      <c r="A735" s="7" t="str">
        <f aca="false">IF('Outro banco'!A735="","",IF(LEFT('Outro banco'!A735,1)="(","",'Outro banco'!A735))</f>
        <v/>
      </c>
      <c r="B735" s="7" t="str">
        <f aca="false">IF(A735="","",'Outro banco'!B735)</f>
        <v/>
      </c>
      <c r="C735" s="7" t="str">
        <f aca="false">IF(A735="","",'Outro banco'!C735)</f>
        <v/>
      </c>
      <c r="D735" s="7" t="str">
        <f aca="false">IF(A735="","",'Outro banco'!D735)</f>
        <v/>
      </c>
      <c r="E735" s="9"/>
      <c r="F735" s="9"/>
      <c r="G735" s="7" t="str">
        <f aca="false">IF(A735="","",IF(COUNTIF(Tabelas!$A:$A,IF(E735="",A735,E735))&gt;0,"sim","não"))</f>
        <v/>
      </c>
      <c r="H735" s="7" t="str">
        <f aca="false">IF(A735="","",IF(E735="",A735,E735)&amp;"."&amp;IF(F735="",B735,F735))</f>
        <v/>
      </c>
      <c r="I735" s="7" t="str">
        <f aca="false">IF(A735="","",IFERROR(INDEX('Campos Growths'!$F:$F,MATCH(H735,'Campos Growths'!$A:$A,0)),""))</f>
        <v/>
      </c>
      <c r="J735" s="7" t="str">
        <f aca="false">IF(A735="","",IFERROR(VLOOKUP(IF(ISNUMBER(SEARCH("(",C735)),LEFT(C735,SEARCH("(",C735)-1),C735),Tipos!$A:$B,2,FALSE()),"outro"))</f>
        <v/>
      </c>
      <c r="K735" s="7" t="str">
        <f aca="false">IF(I735="","",IFERROR(INDEX('Campos Growths'!$L:$L,MATCH(H735,'Campos Growths'!$A:$A,0)),""))</f>
        <v/>
      </c>
      <c r="L735" s="7" t="str">
        <f aca="false">IF(A735="","",IF(G735="não","Sem tabela no Growths",IF(I735="","Sem campo no Growths",IF(J735=K735,"Importa direto","Ajustar tipo"))))</f>
        <v/>
      </c>
      <c r="M735" s="9"/>
    </row>
    <row r="736" customFormat="false" ht="15" hidden="false" customHeight="false" outlineLevel="0" collapsed="false">
      <c r="A736" s="7" t="str">
        <f aca="false">IF('Outro banco'!A736="","",IF(LEFT('Outro banco'!A736,1)="(","",'Outro banco'!A736))</f>
        <v/>
      </c>
      <c r="B736" s="7" t="str">
        <f aca="false">IF(A736="","",'Outro banco'!B736)</f>
        <v/>
      </c>
      <c r="C736" s="7" t="str">
        <f aca="false">IF(A736="","",'Outro banco'!C736)</f>
        <v/>
      </c>
      <c r="D736" s="7" t="str">
        <f aca="false">IF(A736="","",'Outro banco'!D736)</f>
        <v/>
      </c>
      <c r="E736" s="9"/>
      <c r="F736" s="9"/>
      <c r="G736" s="7" t="str">
        <f aca="false">IF(A736="","",IF(COUNTIF(Tabelas!$A:$A,IF(E736="",A736,E736))&gt;0,"sim","não"))</f>
        <v/>
      </c>
      <c r="H736" s="7" t="str">
        <f aca="false">IF(A736="","",IF(E736="",A736,E736)&amp;"."&amp;IF(F736="",B736,F736))</f>
        <v/>
      </c>
      <c r="I736" s="7" t="str">
        <f aca="false">IF(A736="","",IFERROR(INDEX('Campos Growths'!$F:$F,MATCH(H736,'Campos Growths'!$A:$A,0)),""))</f>
        <v/>
      </c>
      <c r="J736" s="7" t="str">
        <f aca="false">IF(A736="","",IFERROR(VLOOKUP(IF(ISNUMBER(SEARCH("(",C736)),LEFT(C736,SEARCH("(",C736)-1),C736),Tipos!$A:$B,2,FALSE()),"outro"))</f>
        <v/>
      </c>
      <c r="K736" s="7" t="str">
        <f aca="false">IF(I736="","",IFERROR(INDEX('Campos Growths'!$L:$L,MATCH(H736,'Campos Growths'!$A:$A,0)),""))</f>
        <v/>
      </c>
      <c r="L736" s="7" t="str">
        <f aca="false">IF(A736="","",IF(G736="não","Sem tabela no Growths",IF(I736="","Sem campo no Growths",IF(J736=K736,"Importa direto","Ajustar tipo"))))</f>
        <v/>
      </c>
      <c r="M736" s="9"/>
    </row>
    <row r="737" customFormat="false" ht="15" hidden="false" customHeight="false" outlineLevel="0" collapsed="false">
      <c r="A737" s="7" t="str">
        <f aca="false">IF('Outro banco'!A737="","",IF(LEFT('Outro banco'!A737,1)="(","",'Outro banco'!A737))</f>
        <v/>
      </c>
      <c r="B737" s="7" t="str">
        <f aca="false">IF(A737="","",'Outro banco'!B737)</f>
        <v/>
      </c>
      <c r="C737" s="7" t="str">
        <f aca="false">IF(A737="","",'Outro banco'!C737)</f>
        <v/>
      </c>
      <c r="D737" s="7" t="str">
        <f aca="false">IF(A737="","",'Outro banco'!D737)</f>
        <v/>
      </c>
      <c r="E737" s="9"/>
      <c r="F737" s="9"/>
      <c r="G737" s="7" t="str">
        <f aca="false">IF(A737="","",IF(COUNTIF(Tabelas!$A:$A,IF(E737="",A737,E737))&gt;0,"sim","não"))</f>
        <v/>
      </c>
      <c r="H737" s="7" t="str">
        <f aca="false">IF(A737="","",IF(E737="",A737,E737)&amp;"."&amp;IF(F737="",B737,F737))</f>
        <v/>
      </c>
      <c r="I737" s="7" t="str">
        <f aca="false">IF(A737="","",IFERROR(INDEX('Campos Growths'!$F:$F,MATCH(H737,'Campos Growths'!$A:$A,0)),""))</f>
        <v/>
      </c>
      <c r="J737" s="7" t="str">
        <f aca="false">IF(A737="","",IFERROR(VLOOKUP(IF(ISNUMBER(SEARCH("(",C737)),LEFT(C737,SEARCH("(",C737)-1),C737),Tipos!$A:$B,2,FALSE()),"outro"))</f>
        <v/>
      </c>
      <c r="K737" s="7" t="str">
        <f aca="false">IF(I737="","",IFERROR(INDEX('Campos Growths'!$L:$L,MATCH(H737,'Campos Growths'!$A:$A,0)),""))</f>
        <v/>
      </c>
      <c r="L737" s="7" t="str">
        <f aca="false">IF(A737="","",IF(G737="não","Sem tabela no Growths",IF(I737="","Sem campo no Growths",IF(J737=K737,"Importa direto","Ajustar tipo"))))</f>
        <v/>
      </c>
      <c r="M737" s="9"/>
    </row>
    <row r="738" customFormat="false" ht="15" hidden="false" customHeight="false" outlineLevel="0" collapsed="false">
      <c r="A738" s="7" t="str">
        <f aca="false">IF('Outro banco'!A738="","",IF(LEFT('Outro banco'!A738,1)="(","",'Outro banco'!A738))</f>
        <v/>
      </c>
      <c r="B738" s="7" t="str">
        <f aca="false">IF(A738="","",'Outro banco'!B738)</f>
        <v/>
      </c>
      <c r="C738" s="7" t="str">
        <f aca="false">IF(A738="","",'Outro banco'!C738)</f>
        <v/>
      </c>
      <c r="D738" s="7" t="str">
        <f aca="false">IF(A738="","",'Outro banco'!D738)</f>
        <v/>
      </c>
      <c r="E738" s="9"/>
      <c r="F738" s="9"/>
      <c r="G738" s="7" t="str">
        <f aca="false">IF(A738="","",IF(COUNTIF(Tabelas!$A:$A,IF(E738="",A738,E738))&gt;0,"sim","não"))</f>
        <v/>
      </c>
      <c r="H738" s="7" t="str">
        <f aca="false">IF(A738="","",IF(E738="",A738,E738)&amp;"."&amp;IF(F738="",B738,F738))</f>
        <v/>
      </c>
      <c r="I738" s="7" t="str">
        <f aca="false">IF(A738="","",IFERROR(INDEX('Campos Growths'!$F:$F,MATCH(H738,'Campos Growths'!$A:$A,0)),""))</f>
        <v/>
      </c>
      <c r="J738" s="7" t="str">
        <f aca="false">IF(A738="","",IFERROR(VLOOKUP(IF(ISNUMBER(SEARCH("(",C738)),LEFT(C738,SEARCH("(",C738)-1),C738),Tipos!$A:$B,2,FALSE()),"outro"))</f>
        <v/>
      </c>
      <c r="K738" s="7" t="str">
        <f aca="false">IF(I738="","",IFERROR(INDEX('Campos Growths'!$L:$L,MATCH(H738,'Campos Growths'!$A:$A,0)),""))</f>
        <v/>
      </c>
      <c r="L738" s="7" t="str">
        <f aca="false">IF(A738="","",IF(G738="não","Sem tabela no Growths",IF(I738="","Sem campo no Growths",IF(J738=K738,"Importa direto","Ajustar tipo"))))</f>
        <v/>
      </c>
      <c r="M738" s="9"/>
    </row>
    <row r="739" customFormat="false" ht="15" hidden="false" customHeight="false" outlineLevel="0" collapsed="false">
      <c r="A739" s="7" t="str">
        <f aca="false">IF('Outro banco'!A739="","",IF(LEFT('Outro banco'!A739,1)="(","",'Outro banco'!A739))</f>
        <v/>
      </c>
      <c r="B739" s="7" t="str">
        <f aca="false">IF(A739="","",'Outro banco'!B739)</f>
        <v/>
      </c>
      <c r="C739" s="7" t="str">
        <f aca="false">IF(A739="","",'Outro banco'!C739)</f>
        <v/>
      </c>
      <c r="D739" s="7" t="str">
        <f aca="false">IF(A739="","",'Outro banco'!D739)</f>
        <v/>
      </c>
      <c r="E739" s="9"/>
      <c r="F739" s="9"/>
      <c r="G739" s="7" t="str">
        <f aca="false">IF(A739="","",IF(COUNTIF(Tabelas!$A:$A,IF(E739="",A739,E739))&gt;0,"sim","não"))</f>
        <v/>
      </c>
      <c r="H739" s="7" t="str">
        <f aca="false">IF(A739="","",IF(E739="",A739,E739)&amp;"."&amp;IF(F739="",B739,F739))</f>
        <v/>
      </c>
      <c r="I739" s="7" t="str">
        <f aca="false">IF(A739="","",IFERROR(INDEX('Campos Growths'!$F:$F,MATCH(H739,'Campos Growths'!$A:$A,0)),""))</f>
        <v/>
      </c>
      <c r="J739" s="7" t="str">
        <f aca="false">IF(A739="","",IFERROR(VLOOKUP(IF(ISNUMBER(SEARCH("(",C739)),LEFT(C739,SEARCH("(",C739)-1),C739),Tipos!$A:$B,2,FALSE()),"outro"))</f>
        <v/>
      </c>
      <c r="K739" s="7" t="str">
        <f aca="false">IF(I739="","",IFERROR(INDEX('Campos Growths'!$L:$L,MATCH(H739,'Campos Growths'!$A:$A,0)),""))</f>
        <v/>
      </c>
      <c r="L739" s="7" t="str">
        <f aca="false">IF(A739="","",IF(G739="não","Sem tabela no Growths",IF(I739="","Sem campo no Growths",IF(J739=K739,"Importa direto","Ajustar tipo"))))</f>
        <v/>
      </c>
      <c r="M739" s="9"/>
    </row>
    <row r="740" customFormat="false" ht="15" hidden="false" customHeight="false" outlineLevel="0" collapsed="false">
      <c r="A740" s="7" t="str">
        <f aca="false">IF('Outro banco'!A740="","",IF(LEFT('Outro banco'!A740,1)="(","",'Outro banco'!A740))</f>
        <v/>
      </c>
      <c r="B740" s="7" t="str">
        <f aca="false">IF(A740="","",'Outro banco'!B740)</f>
        <v/>
      </c>
      <c r="C740" s="7" t="str">
        <f aca="false">IF(A740="","",'Outro banco'!C740)</f>
        <v/>
      </c>
      <c r="D740" s="7" t="str">
        <f aca="false">IF(A740="","",'Outro banco'!D740)</f>
        <v/>
      </c>
      <c r="E740" s="9"/>
      <c r="F740" s="9"/>
      <c r="G740" s="7" t="str">
        <f aca="false">IF(A740="","",IF(COUNTIF(Tabelas!$A:$A,IF(E740="",A740,E740))&gt;0,"sim","não"))</f>
        <v/>
      </c>
      <c r="H740" s="7" t="str">
        <f aca="false">IF(A740="","",IF(E740="",A740,E740)&amp;"."&amp;IF(F740="",B740,F740))</f>
        <v/>
      </c>
      <c r="I740" s="7" t="str">
        <f aca="false">IF(A740="","",IFERROR(INDEX('Campos Growths'!$F:$F,MATCH(H740,'Campos Growths'!$A:$A,0)),""))</f>
        <v/>
      </c>
      <c r="J740" s="7" t="str">
        <f aca="false">IF(A740="","",IFERROR(VLOOKUP(IF(ISNUMBER(SEARCH("(",C740)),LEFT(C740,SEARCH("(",C740)-1),C740),Tipos!$A:$B,2,FALSE()),"outro"))</f>
        <v/>
      </c>
      <c r="K740" s="7" t="str">
        <f aca="false">IF(I740="","",IFERROR(INDEX('Campos Growths'!$L:$L,MATCH(H740,'Campos Growths'!$A:$A,0)),""))</f>
        <v/>
      </c>
      <c r="L740" s="7" t="str">
        <f aca="false">IF(A740="","",IF(G740="não","Sem tabela no Growths",IF(I740="","Sem campo no Growths",IF(J740=K740,"Importa direto","Ajustar tipo"))))</f>
        <v/>
      </c>
      <c r="M740" s="9"/>
    </row>
    <row r="741" customFormat="false" ht="15" hidden="false" customHeight="false" outlineLevel="0" collapsed="false">
      <c r="A741" s="7" t="str">
        <f aca="false">IF('Outro banco'!A741="","",IF(LEFT('Outro banco'!A741,1)="(","",'Outro banco'!A741))</f>
        <v/>
      </c>
      <c r="B741" s="7" t="str">
        <f aca="false">IF(A741="","",'Outro banco'!B741)</f>
        <v/>
      </c>
      <c r="C741" s="7" t="str">
        <f aca="false">IF(A741="","",'Outro banco'!C741)</f>
        <v/>
      </c>
      <c r="D741" s="7" t="str">
        <f aca="false">IF(A741="","",'Outro banco'!D741)</f>
        <v/>
      </c>
      <c r="E741" s="9"/>
      <c r="F741" s="9"/>
      <c r="G741" s="7" t="str">
        <f aca="false">IF(A741="","",IF(COUNTIF(Tabelas!$A:$A,IF(E741="",A741,E741))&gt;0,"sim","não"))</f>
        <v/>
      </c>
      <c r="H741" s="7" t="str">
        <f aca="false">IF(A741="","",IF(E741="",A741,E741)&amp;"."&amp;IF(F741="",B741,F741))</f>
        <v/>
      </c>
      <c r="I741" s="7" t="str">
        <f aca="false">IF(A741="","",IFERROR(INDEX('Campos Growths'!$F:$F,MATCH(H741,'Campos Growths'!$A:$A,0)),""))</f>
        <v/>
      </c>
      <c r="J741" s="7" t="str">
        <f aca="false">IF(A741="","",IFERROR(VLOOKUP(IF(ISNUMBER(SEARCH("(",C741)),LEFT(C741,SEARCH("(",C741)-1),C741),Tipos!$A:$B,2,FALSE()),"outro"))</f>
        <v/>
      </c>
      <c r="K741" s="7" t="str">
        <f aca="false">IF(I741="","",IFERROR(INDEX('Campos Growths'!$L:$L,MATCH(H741,'Campos Growths'!$A:$A,0)),""))</f>
        <v/>
      </c>
      <c r="L741" s="7" t="str">
        <f aca="false">IF(A741="","",IF(G741="não","Sem tabela no Growths",IF(I741="","Sem campo no Growths",IF(J741=K741,"Importa direto","Ajustar tipo"))))</f>
        <v/>
      </c>
      <c r="M741" s="9"/>
    </row>
    <row r="742" customFormat="false" ht="15" hidden="false" customHeight="false" outlineLevel="0" collapsed="false">
      <c r="A742" s="7" t="str">
        <f aca="false">IF('Outro banco'!A742="","",IF(LEFT('Outro banco'!A742,1)="(","",'Outro banco'!A742))</f>
        <v/>
      </c>
      <c r="B742" s="7" t="str">
        <f aca="false">IF(A742="","",'Outro banco'!B742)</f>
        <v/>
      </c>
      <c r="C742" s="7" t="str">
        <f aca="false">IF(A742="","",'Outro banco'!C742)</f>
        <v/>
      </c>
      <c r="D742" s="7" t="str">
        <f aca="false">IF(A742="","",'Outro banco'!D742)</f>
        <v/>
      </c>
      <c r="E742" s="9"/>
      <c r="F742" s="9"/>
      <c r="G742" s="7" t="str">
        <f aca="false">IF(A742="","",IF(COUNTIF(Tabelas!$A:$A,IF(E742="",A742,E742))&gt;0,"sim","não"))</f>
        <v/>
      </c>
      <c r="H742" s="7" t="str">
        <f aca="false">IF(A742="","",IF(E742="",A742,E742)&amp;"."&amp;IF(F742="",B742,F742))</f>
        <v/>
      </c>
      <c r="I742" s="7" t="str">
        <f aca="false">IF(A742="","",IFERROR(INDEX('Campos Growths'!$F:$F,MATCH(H742,'Campos Growths'!$A:$A,0)),""))</f>
        <v/>
      </c>
      <c r="J742" s="7" t="str">
        <f aca="false">IF(A742="","",IFERROR(VLOOKUP(IF(ISNUMBER(SEARCH("(",C742)),LEFT(C742,SEARCH("(",C742)-1),C742),Tipos!$A:$B,2,FALSE()),"outro"))</f>
        <v/>
      </c>
      <c r="K742" s="7" t="str">
        <f aca="false">IF(I742="","",IFERROR(INDEX('Campos Growths'!$L:$L,MATCH(H742,'Campos Growths'!$A:$A,0)),""))</f>
        <v/>
      </c>
      <c r="L742" s="7" t="str">
        <f aca="false">IF(A742="","",IF(G742="não","Sem tabela no Growths",IF(I742="","Sem campo no Growths",IF(J742=K742,"Importa direto","Ajustar tipo"))))</f>
        <v/>
      </c>
      <c r="M742" s="9"/>
    </row>
    <row r="743" customFormat="false" ht="15" hidden="false" customHeight="false" outlineLevel="0" collapsed="false">
      <c r="A743" s="7" t="str">
        <f aca="false">IF('Outro banco'!A743="","",IF(LEFT('Outro banco'!A743,1)="(","",'Outro banco'!A743))</f>
        <v/>
      </c>
      <c r="B743" s="7" t="str">
        <f aca="false">IF(A743="","",'Outro banco'!B743)</f>
        <v/>
      </c>
      <c r="C743" s="7" t="str">
        <f aca="false">IF(A743="","",'Outro banco'!C743)</f>
        <v/>
      </c>
      <c r="D743" s="7" t="str">
        <f aca="false">IF(A743="","",'Outro banco'!D743)</f>
        <v/>
      </c>
      <c r="E743" s="9"/>
      <c r="F743" s="9"/>
      <c r="G743" s="7" t="str">
        <f aca="false">IF(A743="","",IF(COUNTIF(Tabelas!$A:$A,IF(E743="",A743,E743))&gt;0,"sim","não"))</f>
        <v/>
      </c>
      <c r="H743" s="7" t="str">
        <f aca="false">IF(A743="","",IF(E743="",A743,E743)&amp;"."&amp;IF(F743="",B743,F743))</f>
        <v/>
      </c>
      <c r="I743" s="7" t="str">
        <f aca="false">IF(A743="","",IFERROR(INDEX('Campos Growths'!$F:$F,MATCH(H743,'Campos Growths'!$A:$A,0)),""))</f>
        <v/>
      </c>
      <c r="J743" s="7" t="str">
        <f aca="false">IF(A743="","",IFERROR(VLOOKUP(IF(ISNUMBER(SEARCH("(",C743)),LEFT(C743,SEARCH("(",C743)-1),C743),Tipos!$A:$B,2,FALSE()),"outro"))</f>
        <v/>
      </c>
      <c r="K743" s="7" t="str">
        <f aca="false">IF(I743="","",IFERROR(INDEX('Campos Growths'!$L:$L,MATCH(H743,'Campos Growths'!$A:$A,0)),""))</f>
        <v/>
      </c>
      <c r="L743" s="7" t="str">
        <f aca="false">IF(A743="","",IF(G743="não","Sem tabela no Growths",IF(I743="","Sem campo no Growths",IF(J743=K743,"Importa direto","Ajustar tipo"))))</f>
        <v/>
      </c>
      <c r="M743" s="9"/>
    </row>
    <row r="744" customFormat="false" ht="15" hidden="false" customHeight="false" outlineLevel="0" collapsed="false">
      <c r="A744" s="7" t="str">
        <f aca="false">IF('Outro banco'!A744="","",IF(LEFT('Outro banco'!A744,1)="(","",'Outro banco'!A744))</f>
        <v/>
      </c>
      <c r="B744" s="7" t="str">
        <f aca="false">IF(A744="","",'Outro banco'!B744)</f>
        <v/>
      </c>
      <c r="C744" s="7" t="str">
        <f aca="false">IF(A744="","",'Outro banco'!C744)</f>
        <v/>
      </c>
      <c r="D744" s="7" t="str">
        <f aca="false">IF(A744="","",'Outro banco'!D744)</f>
        <v/>
      </c>
      <c r="E744" s="9"/>
      <c r="F744" s="9"/>
      <c r="G744" s="7" t="str">
        <f aca="false">IF(A744="","",IF(COUNTIF(Tabelas!$A:$A,IF(E744="",A744,E744))&gt;0,"sim","não"))</f>
        <v/>
      </c>
      <c r="H744" s="7" t="str">
        <f aca="false">IF(A744="","",IF(E744="",A744,E744)&amp;"."&amp;IF(F744="",B744,F744))</f>
        <v/>
      </c>
      <c r="I744" s="7" t="str">
        <f aca="false">IF(A744="","",IFERROR(INDEX('Campos Growths'!$F:$F,MATCH(H744,'Campos Growths'!$A:$A,0)),""))</f>
        <v/>
      </c>
      <c r="J744" s="7" t="str">
        <f aca="false">IF(A744="","",IFERROR(VLOOKUP(IF(ISNUMBER(SEARCH("(",C744)),LEFT(C744,SEARCH("(",C744)-1),C744),Tipos!$A:$B,2,FALSE()),"outro"))</f>
        <v/>
      </c>
      <c r="K744" s="7" t="str">
        <f aca="false">IF(I744="","",IFERROR(INDEX('Campos Growths'!$L:$L,MATCH(H744,'Campos Growths'!$A:$A,0)),""))</f>
        <v/>
      </c>
      <c r="L744" s="7" t="str">
        <f aca="false">IF(A744="","",IF(G744="não","Sem tabela no Growths",IF(I744="","Sem campo no Growths",IF(J744=K744,"Importa direto","Ajustar tipo"))))</f>
        <v/>
      </c>
      <c r="M744" s="9"/>
    </row>
    <row r="745" customFormat="false" ht="15" hidden="false" customHeight="false" outlineLevel="0" collapsed="false">
      <c r="A745" s="7" t="str">
        <f aca="false">IF('Outro banco'!A745="","",IF(LEFT('Outro banco'!A745,1)="(","",'Outro banco'!A745))</f>
        <v/>
      </c>
      <c r="B745" s="7" t="str">
        <f aca="false">IF(A745="","",'Outro banco'!B745)</f>
        <v/>
      </c>
      <c r="C745" s="7" t="str">
        <f aca="false">IF(A745="","",'Outro banco'!C745)</f>
        <v/>
      </c>
      <c r="D745" s="7" t="str">
        <f aca="false">IF(A745="","",'Outro banco'!D745)</f>
        <v/>
      </c>
      <c r="E745" s="9"/>
      <c r="F745" s="9"/>
      <c r="G745" s="7" t="str">
        <f aca="false">IF(A745="","",IF(COUNTIF(Tabelas!$A:$A,IF(E745="",A745,E745))&gt;0,"sim","não"))</f>
        <v/>
      </c>
      <c r="H745" s="7" t="str">
        <f aca="false">IF(A745="","",IF(E745="",A745,E745)&amp;"."&amp;IF(F745="",B745,F745))</f>
        <v/>
      </c>
      <c r="I745" s="7" t="str">
        <f aca="false">IF(A745="","",IFERROR(INDEX('Campos Growths'!$F:$F,MATCH(H745,'Campos Growths'!$A:$A,0)),""))</f>
        <v/>
      </c>
      <c r="J745" s="7" t="str">
        <f aca="false">IF(A745="","",IFERROR(VLOOKUP(IF(ISNUMBER(SEARCH("(",C745)),LEFT(C745,SEARCH("(",C745)-1),C745),Tipos!$A:$B,2,FALSE()),"outro"))</f>
        <v/>
      </c>
      <c r="K745" s="7" t="str">
        <f aca="false">IF(I745="","",IFERROR(INDEX('Campos Growths'!$L:$L,MATCH(H745,'Campos Growths'!$A:$A,0)),""))</f>
        <v/>
      </c>
      <c r="L745" s="7" t="str">
        <f aca="false">IF(A745="","",IF(G745="não","Sem tabela no Growths",IF(I745="","Sem campo no Growths",IF(J745=K745,"Importa direto","Ajustar tipo"))))</f>
        <v/>
      </c>
      <c r="M745" s="9"/>
    </row>
    <row r="746" customFormat="false" ht="15" hidden="false" customHeight="false" outlineLevel="0" collapsed="false">
      <c r="A746" s="7" t="str">
        <f aca="false">IF('Outro banco'!A746="","",IF(LEFT('Outro banco'!A746,1)="(","",'Outro banco'!A746))</f>
        <v/>
      </c>
      <c r="B746" s="7" t="str">
        <f aca="false">IF(A746="","",'Outro banco'!B746)</f>
        <v/>
      </c>
      <c r="C746" s="7" t="str">
        <f aca="false">IF(A746="","",'Outro banco'!C746)</f>
        <v/>
      </c>
      <c r="D746" s="7" t="str">
        <f aca="false">IF(A746="","",'Outro banco'!D746)</f>
        <v/>
      </c>
      <c r="E746" s="9"/>
      <c r="F746" s="9"/>
      <c r="G746" s="7" t="str">
        <f aca="false">IF(A746="","",IF(COUNTIF(Tabelas!$A:$A,IF(E746="",A746,E746))&gt;0,"sim","não"))</f>
        <v/>
      </c>
      <c r="H746" s="7" t="str">
        <f aca="false">IF(A746="","",IF(E746="",A746,E746)&amp;"."&amp;IF(F746="",B746,F746))</f>
        <v/>
      </c>
      <c r="I746" s="7" t="str">
        <f aca="false">IF(A746="","",IFERROR(INDEX('Campos Growths'!$F:$F,MATCH(H746,'Campos Growths'!$A:$A,0)),""))</f>
        <v/>
      </c>
      <c r="J746" s="7" t="str">
        <f aca="false">IF(A746="","",IFERROR(VLOOKUP(IF(ISNUMBER(SEARCH("(",C746)),LEFT(C746,SEARCH("(",C746)-1),C746),Tipos!$A:$B,2,FALSE()),"outro"))</f>
        <v/>
      </c>
      <c r="K746" s="7" t="str">
        <f aca="false">IF(I746="","",IFERROR(INDEX('Campos Growths'!$L:$L,MATCH(H746,'Campos Growths'!$A:$A,0)),""))</f>
        <v/>
      </c>
      <c r="L746" s="7" t="str">
        <f aca="false">IF(A746="","",IF(G746="não","Sem tabela no Growths",IF(I746="","Sem campo no Growths",IF(J746=K746,"Importa direto","Ajustar tipo"))))</f>
        <v/>
      </c>
      <c r="M746" s="9"/>
    </row>
    <row r="747" customFormat="false" ht="15" hidden="false" customHeight="false" outlineLevel="0" collapsed="false">
      <c r="A747" s="7" t="str">
        <f aca="false">IF('Outro banco'!A747="","",IF(LEFT('Outro banco'!A747,1)="(","",'Outro banco'!A747))</f>
        <v/>
      </c>
      <c r="B747" s="7" t="str">
        <f aca="false">IF(A747="","",'Outro banco'!B747)</f>
        <v/>
      </c>
      <c r="C747" s="7" t="str">
        <f aca="false">IF(A747="","",'Outro banco'!C747)</f>
        <v/>
      </c>
      <c r="D747" s="7" t="str">
        <f aca="false">IF(A747="","",'Outro banco'!D747)</f>
        <v/>
      </c>
      <c r="E747" s="9"/>
      <c r="F747" s="9"/>
      <c r="G747" s="7" t="str">
        <f aca="false">IF(A747="","",IF(COUNTIF(Tabelas!$A:$A,IF(E747="",A747,E747))&gt;0,"sim","não"))</f>
        <v/>
      </c>
      <c r="H747" s="7" t="str">
        <f aca="false">IF(A747="","",IF(E747="",A747,E747)&amp;"."&amp;IF(F747="",B747,F747))</f>
        <v/>
      </c>
      <c r="I747" s="7" t="str">
        <f aca="false">IF(A747="","",IFERROR(INDEX('Campos Growths'!$F:$F,MATCH(H747,'Campos Growths'!$A:$A,0)),""))</f>
        <v/>
      </c>
      <c r="J747" s="7" t="str">
        <f aca="false">IF(A747="","",IFERROR(VLOOKUP(IF(ISNUMBER(SEARCH("(",C747)),LEFT(C747,SEARCH("(",C747)-1),C747),Tipos!$A:$B,2,FALSE()),"outro"))</f>
        <v/>
      </c>
      <c r="K747" s="7" t="str">
        <f aca="false">IF(I747="","",IFERROR(INDEX('Campos Growths'!$L:$L,MATCH(H747,'Campos Growths'!$A:$A,0)),""))</f>
        <v/>
      </c>
      <c r="L747" s="7" t="str">
        <f aca="false">IF(A747="","",IF(G747="não","Sem tabela no Growths",IF(I747="","Sem campo no Growths",IF(J747=K747,"Importa direto","Ajustar tipo"))))</f>
        <v/>
      </c>
      <c r="M747" s="9"/>
    </row>
    <row r="748" customFormat="false" ht="15" hidden="false" customHeight="false" outlineLevel="0" collapsed="false">
      <c r="A748" s="7" t="str">
        <f aca="false">IF('Outro banco'!A748="","",IF(LEFT('Outro banco'!A748,1)="(","",'Outro banco'!A748))</f>
        <v/>
      </c>
      <c r="B748" s="7" t="str">
        <f aca="false">IF(A748="","",'Outro banco'!B748)</f>
        <v/>
      </c>
      <c r="C748" s="7" t="str">
        <f aca="false">IF(A748="","",'Outro banco'!C748)</f>
        <v/>
      </c>
      <c r="D748" s="7" t="str">
        <f aca="false">IF(A748="","",'Outro banco'!D748)</f>
        <v/>
      </c>
      <c r="E748" s="9"/>
      <c r="F748" s="9"/>
      <c r="G748" s="7" t="str">
        <f aca="false">IF(A748="","",IF(COUNTIF(Tabelas!$A:$A,IF(E748="",A748,E748))&gt;0,"sim","não"))</f>
        <v/>
      </c>
      <c r="H748" s="7" t="str">
        <f aca="false">IF(A748="","",IF(E748="",A748,E748)&amp;"."&amp;IF(F748="",B748,F748))</f>
        <v/>
      </c>
      <c r="I748" s="7" t="str">
        <f aca="false">IF(A748="","",IFERROR(INDEX('Campos Growths'!$F:$F,MATCH(H748,'Campos Growths'!$A:$A,0)),""))</f>
        <v/>
      </c>
      <c r="J748" s="7" t="str">
        <f aca="false">IF(A748="","",IFERROR(VLOOKUP(IF(ISNUMBER(SEARCH("(",C748)),LEFT(C748,SEARCH("(",C748)-1),C748),Tipos!$A:$B,2,FALSE()),"outro"))</f>
        <v/>
      </c>
      <c r="K748" s="7" t="str">
        <f aca="false">IF(I748="","",IFERROR(INDEX('Campos Growths'!$L:$L,MATCH(H748,'Campos Growths'!$A:$A,0)),""))</f>
        <v/>
      </c>
      <c r="L748" s="7" t="str">
        <f aca="false">IF(A748="","",IF(G748="não","Sem tabela no Growths",IF(I748="","Sem campo no Growths",IF(J748=K748,"Importa direto","Ajustar tipo"))))</f>
        <v/>
      </c>
      <c r="M748" s="9"/>
    </row>
    <row r="749" customFormat="false" ht="15" hidden="false" customHeight="false" outlineLevel="0" collapsed="false">
      <c r="A749" s="7" t="str">
        <f aca="false">IF('Outro banco'!A749="","",IF(LEFT('Outro banco'!A749,1)="(","",'Outro banco'!A749))</f>
        <v/>
      </c>
      <c r="B749" s="7" t="str">
        <f aca="false">IF(A749="","",'Outro banco'!B749)</f>
        <v/>
      </c>
      <c r="C749" s="7" t="str">
        <f aca="false">IF(A749="","",'Outro banco'!C749)</f>
        <v/>
      </c>
      <c r="D749" s="7" t="str">
        <f aca="false">IF(A749="","",'Outro banco'!D749)</f>
        <v/>
      </c>
      <c r="E749" s="9"/>
      <c r="F749" s="9"/>
      <c r="G749" s="7" t="str">
        <f aca="false">IF(A749="","",IF(COUNTIF(Tabelas!$A:$A,IF(E749="",A749,E749))&gt;0,"sim","não"))</f>
        <v/>
      </c>
      <c r="H749" s="7" t="str">
        <f aca="false">IF(A749="","",IF(E749="",A749,E749)&amp;"."&amp;IF(F749="",B749,F749))</f>
        <v/>
      </c>
      <c r="I749" s="7" t="str">
        <f aca="false">IF(A749="","",IFERROR(INDEX('Campos Growths'!$F:$F,MATCH(H749,'Campos Growths'!$A:$A,0)),""))</f>
        <v/>
      </c>
      <c r="J749" s="7" t="str">
        <f aca="false">IF(A749="","",IFERROR(VLOOKUP(IF(ISNUMBER(SEARCH("(",C749)),LEFT(C749,SEARCH("(",C749)-1),C749),Tipos!$A:$B,2,FALSE()),"outro"))</f>
        <v/>
      </c>
      <c r="K749" s="7" t="str">
        <f aca="false">IF(I749="","",IFERROR(INDEX('Campos Growths'!$L:$L,MATCH(H749,'Campos Growths'!$A:$A,0)),""))</f>
        <v/>
      </c>
      <c r="L749" s="7" t="str">
        <f aca="false">IF(A749="","",IF(G749="não","Sem tabela no Growths",IF(I749="","Sem campo no Growths",IF(J749=K749,"Importa direto","Ajustar tipo"))))</f>
        <v/>
      </c>
      <c r="M749" s="9"/>
    </row>
    <row r="750" customFormat="false" ht="15" hidden="false" customHeight="false" outlineLevel="0" collapsed="false">
      <c r="A750" s="7" t="str">
        <f aca="false">IF('Outro banco'!A750="","",IF(LEFT('Outro banco'!A750,1)="(","",'Outro banco'!A750))</f>
        <v/>
      </c>
      <c r="B750" s="7" t="str">
        <f aca="false">IF(A750="","",'Outro banco'!B750)</f>
        <v/>
      </c>
      <c r="C750" s="7" t="str">
        <f aca="false">IF(A750="","",'Outro banco'!C750)</f>
        <v/>
      </c>
      <c r="D750" s="7" t="str">
        <f aca="false">IF(A750="","",'Outro banco'!D750)</f>
        <v/>
      </c>
      <c r="E750" s="9"/>
      <c r="F750" s="9"/>
      <c r="G750" s="7" t="str">
        <f aca="false">IF(A750="","",IF(COUNTIF(Tabelas!$A:$A,IF(E750="",A750,E750))&gt;0,"sim","não"))</f>
        <v/>
      </c>
      <c r="H750" s="7" t="str">
        <f aca="false">IF(A750="","",IF(E750="",A750,E750)&amp;"."&amp;IF(F750="",B750,F750))</f>
        <v/>
      </c>
      <c r="I750" s="7" t="str">
        <f aca="false">IF(A750="","",IFERROR(INDEX('Campos Growths'!$F:$F,MATCH(H750,'Campos Growths'!$A:$A,0)),""))</f>
        <v/>
      </c>
      <c r="J750" s="7" t="str">
        <f aca="false">IF(A750="","",IFERROR(VLOOKUP(IF(ISNUMBER(SEARCH("(",C750)),LEFT(C750,SEARCH("(",C750)-1),C750),Tipos!$A:$B,2,FALSE()),"outro"))</f>
        <v/>
      </c>
      <c r="K750" s="7" t="str">
        <f aca="false">IF(I750="","",IFERROR(INDEX('Campos Growths'!$L:$L,MATCH(H750,'Campos Growths'!$A:$A,0)),""))</f>
        <v/>
      </c>
      <c r="L750" s="7" t="str">
        <f aca="false">IF(A750="","",IF(G750="não","Sem tabela no Growths",IF(I750="","Sem campo no Growths",IF(J750=K750,"Importa direto","Ajustar tipo"))))</f>
        <v/>
      </c>
      <c r="M750" s="9"/>
    </row>
    <row r="751" customFormat="false" ht="15" hidden="false" customHeight="false" outlineLevel="0" collapsed="false">
      <c r="A751" s="7" t="str">
        <f aca="false">IF('Outro banco'!A751="","",IF(LEFT('Outro banco'!A751,1)="(","",'Outro banco'!A751))</f>
        <v/>
      </c>
      <c r="B751" s="7" t="str">
        <f aca="false">IF(A751="","",'Outro banco'!B751)</f>
        <v/>
      </c>
      <c r="C751" s="7" t="str">
        <f aca="false">IF(A751="","",'Outro banco'!C751)</f>
        <v/>
      </c>
      <c r="D751" s="7" t="str">
        <f aca="false">IF(A751="","",'Outro banco'!D751)</f>
        <v/>
      </c>
      <c r="E751" s="9"/>
      <c r="F751" s="9"/>
      <c r="G751" s="7" t="str">
        <f aca="false">IF(A751="","",IF(COUNTIF(Tabelas!$A:$A,IF(E751="",A751,E751))&gt;0,"sim","não"))</f>
        <v/>
      </c>
      <c r="H751" s="7" t="str">
        <f aca="false">IF(A751="","",IF(E751="",A751,E751)&amp;"."&amp;IF(F751="",B751,F751))</f>
        <v/>
      </c>
      <c r="I751" s="7" t="str">
        <f aca="false">IF(A751="","",IFERROR(INDEX('Campos Growths'!$F:$F,MATCH(H751,'Campos Growths'!$A:$A,0)),""))</f>
        <v/>
      </c>
      <c r="J751" s="7" t="str">
        <f aca="false">IF(A751="","",IFERROR(VLOOKUP(IF(ISNUMBER(SEARCH("(",C751)),LEFT(C751,SEARCH("(",C751)-1),C751),Tipos!$A:$B,2,FALSE()),"outro"))</f>
        <v/>
      </c>
      <c r="K751" s="7" t="str">
        <f aca="false">IF(I751="","",IFERROR(INDEX('Campos Growths'!$L:$L,MATCH(H751,'Campos Growths'!$A:$A,0)),""))</f>
        <v/>
      </c>
      <c r="L751" s="7" t="str">
        <f aca="false">IF(A751="","",IF(G751="não","Sem tabela no Growths",IF(I751="","Sem campo no Growths",IF(J751=K751,"Importa direto","Ajustar tipo"))))</f>
        <v/>
      </c>
      <c r="M751" s="9"/>
    </row>
    <row r="752" customFormat="false" ht="15" hidden="false" customHeight="false" outlineLevel="0" collapsed="false">
      <c r="A752" s="7" t="str">
        <f aca="false">IF('Outro banco'!A752="","",IF(LEFT('Outro banco'!A752,1)="(","",'Outro banco'!A752))</f>
        <v/>
      </c>
      <c r="B752" s="7" t="str">
        <f aca="false">IF(A752="","",'Outro banco'!B752)</f>
        <v/>
      </c>
      <c r="C752" s="7" t="str">
        <f aca="false">IF(A752="","",'Outro banco'!C752)</f>
        <v/>
      </c>
      <c r="D752" s="7" t="str">
        <f aca="false">IF(A752="","",'Outro banco'!D752)</f>
        <v/>
      </c>
      <c r="E752" s="9"/>
      <c r="F752" s="9"/>
      <c r="G752" s="7" t="str">
        <f aca="false">IF(A752="","",IF(COUNTIF(Tabelas!$A:$A,IF(E752="",A752,E752))&gt;0,"sim","não"))</f>
        <v/>
      </c>
      <c r="H752" s="7" t="str">
        <f aca="false">IF(A752="","",IF(E752="",A752,E752)&amp;"."&amp;IF(F752="",B752,F752))</f>
        <v/>
      </c>
      <c r="I752" s="7" t="str">
        <f aca="false">IF(A752="","",IFERROR(INDEX('Campos Growths'!$F:$F,MATCH(H752,'Campos Growths'!$A:$A,0)),""))</f>
        <v/>
      </c>
      <c r="J752" s="7" t="str">
        <f aca="false">IF(A752="","",IFERROR(VLOOKUP(IF(ISNUMBER(SEARCH("(",C752)),LEFT(C752,SEARCH("(",C752)-1),C752),Tipos!$A:$B,2,FALSE()),"outro"))</f>
        <v/>
      </c>
      <c r="K752" s="7" t="str">
        <f aca="false">IF(I752="","",IFERROR(INDEX('Campos Growths'!$L:$L,MATCH(H752,'Campos Growths'!$A:$A,0)),""))</f>
        <v/>
      </c>
      <c r="L752" s="7" t="str">
        <f aca="false">IF(A752="","",IF(G752="não","Sem tabela no Growths",IF(I752="","Sem campo no Growths",IF(J752=K752,"Importa direto","Ajustar tipo"))))</f>
        <v/>
      </c>
      <c r="M752" s="9"/>
    </row>
    <row r="753" customFormat="false" ht="15" hidden="false" customHeight="false" outlineLevel="0" collapsed="false">
      <c r="A753" s="7" t="str">
        <f aca="false">IF('Outro banco'!A753="","",IF(LEFT('Outro banco'!A753,1)="(","",'Outro banco'!A753))</f>
        <v/>
      </c>
      <c r="B753" s="7" t="str">
        <f aca="false">IF(A753="","",'Outro banco'!B753)</f>
        <v/>
      </c>
      <c r="C753" s="7" t="str">
        <f aca="false">IF(A753="","",'Outro banco'!C753)</f>
        <v/>
      </c>
      <c r="D753" s="7" t="str">
        <f aca="false">IF(A753="","",'Outro banco'!D753)</f>
        <v/>
      </c>
      <c r="E753" s="9"/>
      <c r="F753" s="9"/>
      <c r="G753" s="7" t="str">
        <f aca="false">IF(A753="","",IF(COUNTIF(Tabelas!$A:$A,IF(E753="",A753,E753))&gt;0,"sim","não"))</f>
        <v/>
      </c>
      <c r="H753" s="7" t="str">
        <f aca="false">IF(A753="","",IF(E753="",A753,E753)&amp;"."&amp;IF(F753="",B753,F753))</f>
        <v/>
      </c>
      <c r="I753" s="7" t="str">
        <f aca="false">IF(A753="","",IFERROR(INDEX('Campos Growths'!$F:$F,MATCH(H753,'Campos Growths'!$A:$A,0)),""))</f>
        <v/>
      </c>
      <c r="J753" s="7" t="str">
        <f aca="false">IF(A753="","",IFERROR(VLOOKUP(IF(ISNUMBER(SEARCH("(",C753)),LEFT(C753,SEARCH("(",C753)-1),C753),Tipos!$A:$B,2,FALSE()),"outro"))</f>
        <v/>
      </c>
      <c r="K753" s="7" t="str">
        <f aca="false">IF(I753="","",IFERROR(INDEX('Campos Growths'!$L:$L,MATCH(H753,'Campos Growths'!$A:$A,0)),""))</f>
        <v/>
      </c>
      <c r="L753" s="7" t="str">
        <f aca="false">IF(A753="","",IF(G753="não","Sem tabela no Growths",IF(I753="","Sem campo no Growths",IF(J753=K753,"Importa direto","Ajustar tipo"))))</f>
        <v/>
      </c>
      <c r="M753" s="9"/>
    </row>
    <row r="754" customFormat="false" ht="15" hidden="false" customHeight="false" outlineLevel="0" collapsed="false">
      <c r="A754" s="7" t="str">
        <f aca="false">IF('Outro banco'!A754="","",IF(LEFT('Outro banco'!A754,1)="(","",'Outro banco'!A754))</f>
        <v/>
      </c>
      <c r="B754" s="7" t="str">
        <f aca="false">IF(A754="","",'Outro banco'!B754)</f>
        <v/>
      </c>
      <c r="C754" s="7" t="str">
        <f aca="false">IF(A754="","",'Outro banco'!C754)</f>
        <v/>
      </c>
      <c r="D754" s="7" t="str">
        <f aca="false">IF(A754="","",'Outro banco'!D754)</f>
        <v/>
      </c>
      <c r="E754" s="9"/>
      <c r="F754" s="9"/>
      <c r="G754" s="7" t="str">
        <f aca="false">IF(A754="","",IF(COUNTIF(Tabelas!$A:$A,IF(E754="",A754,E754))&gt;0,"sim","não"))</f>
        <v/>
      </c>
      <c r="H754" s="7" t="str">
        <f aca="false">IF(A754="","",IF(E754="",A754,E754)&amp;"."&amp;IF(F754="",B754,F754))</f>
        <v/>
      </c>
      <c r="I754" s="7" t="str">
        <f aca="false">IF(A754="","",IFERROR(INDEX('Campos Growths'!$F:$F,MATCH(H754,'Campos Growths'!$A:$A,0)),""))</f>
        <v/>
      </c>
      <c r="J754" s="7" t="str">
        <f aca="false">IF(A754="","",IFERROR(VLOOKUP(IF(ISNUMBER(SEARCH("(",C754)),LEFT(C754,SEARCH("(",C754)-1),C754),Tipos!$A:$B,2,FALSE()),"outro"))</f>
        <v/>
      </c>
      <c r="K754" s="7" t="str">
        <f aca="false">IF(I754="","",IFERROR(INDEX('Campos Growths'!$L:$L,MATCH(H754,'Campos Growths'!$A:$A,0)),""))</f>
        <v/>
      </c>
      <c r="L754" s="7" t="str">
        <f aca="false">IF(A754="","",IF(G754="não","Sem tabela no Growths",IF(I754="","Sem campo no Growths",IF(J754=K754,"Importa direto","Ajustar tipo"))))</f>
        <v/>
      </c>
      <c r="M754" s="9"/>
    </row>
    <row r="755" customFormat="false" ht="15" hidden="false" customHeight="false" outlineLevel="0" collapsed="false">
      <c r="A755" s="7" t="str">
        <f aca="false">IF('Outro banco'!A755="","",IF(LEFT('Outro banco'!A755,1)="(","",'Outro banco'!A755))</f>
        <v/>
      </c>
      <c r="B755" s="7" t="str">
        <f aca="false">IF(A755="","",'Outro banco'!B755)</f>
        <v/>
      </c>
      <c r="C755" s="7" t="str">
        <f aca="false">IF(A755="","",'Outro banco'!C755)</f>
        <v/>
      </c>
      <c r="D755" s="7" t="str">
        <f aca="false">IF(A755="","",'Outro banco'!D755)</f>
        <v/>
      </c>
      <c r="E755" s="9"/>
      <c r="F755" s="9"/>
      <c r="G755" s="7" t="str">
        <f aca="false">IF(A755="","",IF(COUNTIF(Tabelas!$A:$A,IF(E755="",A755,E755))&gt;0,"sim","não"))</f>
        <v/>
      </c>
      <c r="H755" s="7" t="str">
        <f aca="false">IF(A755="","",IF(E755="",A755,E755)&amp;"."&amp;IF(F755="",B755,F755))</f>
        <v/>
      </c>
      <c r="I755" s="7" t="str">
        <f aca="false">IF(A755="","",IFERROR(INDEX('Campos Growths'!$F:$F,MATCH(H755,'Campos Growths'!$A:$A,0)),""))</f>
        <v/>
      </c>
      <c r="J755" s="7" t="str">
        <f aca="false">IF(A755="","",IFERROR(VLOOKUP(IF(ISNUMBER(SEARCH("(",C755)),LEFT(C755,SEARCH("(",C755)-1),C755),Tipos!$A:$B,2,FALSE()),"outro"))</f>
        <v/>
      </c>
      <c r="K755" s="7" t="str">
        <f aca="false">IF(I755="","",IFERROR(INDEX('Campos Growths'!$L:$L,MATCH(H755,'Campos Growths'!$A:$A,0)),""))</f>
        <v/>
      </c>
      <c r="L755" s="7" t="str">
        <f aca="false">IF(A755="","",IF(G755="não","Sem tabela no Growths",IF(I755="","Sem campo no Growths",IF(J755=K755,"Importa direto","Ajustar tipo"))))</f>
        <v/>
      </c>
      <c r="M755" s="9"/>
    </row>
    <row r="756" customFormat="false" ht="15" hidden="false" customHeight="false" outlineLevel="0" collapsed="false">
      <c r="A756" s="7" t="str">
        <f aca="false">IF('Outro banco'!A756="","",IF(LEFT('Outro banco'!A756,1)="(","",'Outro banco'!A756))</f>
        <v/>
      </c>
      <c r="B756" s="7" t="str">
        <f aca="false">IF(A756="","",'Outro banco'!B756)</f>
        <v/>
      </c>
      <c r="C756" s="7" t="str">
        <f aca="false">IF(A756="","",'Outro banco'!C756)</f>
        <v/>
      </c>
      <c r="D756" s="7" t="str">
        <f aca="false">IF(A756="","",'Outro banco'!D756)</f>
        <v/>
      </c>
      <c r="E756" s="9"/>
      <c r="F756" s="9"/>
      <c r="G756" s="7" t="str">
        <f aca="false">IF(A756="","",IF(COUNTIF(Tabelas!$A:$A,IF(E756="",A756,E756))&gt;0,"sim","não"))</f>
        <v/>
      </c>
      <c r="H756" s="7" t="str">
        <f aca="false">IF(A756="","",IF(E756="",A756,E756)&amp;"."&amp;IF(F756="",B756,F756))</f>
        <v/>
      </c>
      <c r="I756" s="7" t="str">
        <f aca="false">IF(A756="","",IFERROR(INDEX('Campos Growths'!$F:$F,MATCH(H756,'Campos Growths'!$A:$A,0)),""))</f>
        <v/>
      </c>
      <c r="J756" s="7" t="str">
        <f aca="false">IF(A756="","",IFERROR(VLOOKUP(IF(ISNUMBER(SEARCH("(",C756)),LEFT(C756,SEARCH("(",C756)-1),C756),Tipos!$A:$B,2,FALSE()),"outro"))</f>
        <v/>
      </c>
      <c r="K756" s="7" t="str">
        <f aca="false">IF(I756="","",IFERROR(INDEX('Campos Growths'!$L:$L,MATCH(H756,'Campos Growths'!$A:$A,0)),""))</f>
        <v/>
      </c>
      <c r="L756" s="7" t="str">
        <f aca="false">IF(A756="","",IF(G756="não","Sem tabela no Growths",IF(I756="","Sem campo no Growths",IF(J756=K756,"Importa direto","Ajustar tipo"))))</f>
        <v/>
      </c>
      <c r="M756" s="9"/>
    </row>
    <row r="757" customFormat="false" ht="15" hidden="false" customHeight="false" outlineLevel="0" collapsed="false">
      <c r="A757" s="7" t="str">
        <f aca="false">IF('Outro banco'!A757="","",IF(LEFT('Outro banco'!A757,1)="(","",'Outro banco'!A757))</f>
        <v/>
      </c>
      <c r="B757" s="7" t="str">
        <f aca="false">IF(A757="","",'Outro banco'!B757)</f>
        <v/>
      </c>
      <c r="C757" s="7" t="str">
        <f aca="false">IF(A757="","",'Outro banco'!C757)</f>
        <v/>
      </c>
      <c r="D757" s="7" t="str">
        <f aca="false">IF(A757="","",'Outro banco'!D757)</f>
        <v/>
      </c>
      <c r="E757" s="9"/>
      <c r="F757" s="9"/>
      <c r="G757" s="7" t="str">
        <f aca="false">IF(A757="","",IF(COUNTIF(Tabelas!$A:$A,IF(E757="",A757,E757))&gt;0,"sim","não"))</f>
        <v/>
      </c>
      <c r="H757" s="7" t="str">
        <f aca="false">IF(A757="","",IF(E757="",A757,E757)&amp;"."&amp;IF(F757="",B757,F757))</f>
        <v/>
      </c>
      <c r="I757" s="7" t="str">
        <f aca="false">IF(A757="","",IFERROR(INDEX('Campos Growths'!$F:$F,MATCH(H757,'Campos Growths'!$A:$A,0)),""))</f>
        <v/>
      </c>
      <c r="J757" s="7" t="str">
        <f aca="false">IF(A757="","",IFERROR(VLOOKUP(IF(ISNUMBER(SEARCH("(",C757)),LEFT(C757,SEARCH("(",C757)-1),C757),Tipos!$A:$B,2,FALSE()),"outro"))</f>
        <v/>
      </c>
      <c r="K757" s="7" t="str">
        <f aca="false">IF(I757="","",IFERROR(INDEX('Campos Growths'!$L:$L,MATCH(H757,'Campos Growths'!$A:$A,0)),""))</f>
        <v/>
      </c>
      <c r="L757" s="7" t="str">
        <f aca="false">IF(A757="","",IF(G757="não","Sem tabela no Growths",IF(I757="","Sem campo no Growths",IF(J757=K757,"Importa direto","Ajustar tipo"))))</f>
        <v/>
      </c>
      <c r="M757" s="9"/>
    </row>
    <row r="758" customFormat="false" ht="15" hidden="false" customHeight="false" outlineLevel="0" collapsed="false">
      <c r="A758" s="7" t="str">
        <f aca="false">IF('Outro banco'!A758="","",IF(LEFT('Outro banco'!A758,1)="(","",'Outro banco'!A758))</f>
        <v/>
      </c>
      <c r="B758" s="7" t="str">
        <f aca="false">IF(A758="","",'Outro banco'!B758)</f>
        <v/>
      </c>
      <c r="C758" s="7" t="str">
        <f aca="false">IF(A758="","",'Outro banco'!C758)</f>
        <v/>
      </c>
      <c r="D758" s="7" t="str">
        <f aca="false">IF(A758="","",'Outro banco'!D758)</f>
        <v/>
      </c>
      <c r="E758" s="9"/>
      <c r="F758" s="9"/>
      <c r="G758" s="7" t="str">
        <f aca="false">IF(A758="","",IF(COUNTIF(Tabelas!$A:$A,IF(E758="",A758,E758))&gt;0,"sim","não"))</f>
        <v/>
      </c>
      <c r="H758" s="7" t="str">
        <f aca="false">IF(A758="","",IF(E758="",A758,E758)&amp;"."&amp;IF(F758="",B758,F758))</f>
        <v/>
      </c>
      <c r="I758" s="7" t="str">
        <f aca="false">IF(A758="","",IFERROR(INDEX('Campos Growths'!$F:$F,MATCH(H758,'Campos Growths'!$A:$A,0)),""))</f>
        <v/>
      </c>
      <c r="J758" s="7" t="str">
        <f aca="false">IF(A758="","",IFERROR(VLOOKUP(IF(ISNUMBER(SEARCH("(",C758)),LEFT(C758,SEARCH("(",C758)-1),C758),Tipos!$A:$B,2,FALSE()),"outro"))</f>
        <v/>
      </c>
      <c r="K758" s="7" t="str">
        <f aca="false">IF(I758="","",IFERROR(INDEX('Campos Growths'!$L:$L,MATCH(H758,'Campos Growths'!$A:$A,0)),""))</f>
        <v/>
      </c>
      <c r="L758" s="7" t="str">
        <f aca="false">IF(A758="","",IF(G758="não","Sem tabela no Growths",IF(I758="","Sem campo no Growths",IF(J758=K758,"Importa direto","Ajustar tipo"))))</f>
        <v/>
      </c>
      <c r="M758" s="9"/>
    </row>
    <row r="759" customFormat="false" ht="15" hidden="false" customHeight="false" outlineLevel="0" collapsed="false">
      <c r="A759" s="7" t="str">
        <f aca="false">IF('Outro banco'!A759="","",IF(LEFT('Outro banco'!A759,1)="(","",'Outro banco'!A759))</f>
        <v/>
      </c>
      <c r="B759" s="7" t="str">
        <f aca="false">IF(A759="","",'Outro banco'!B759)</f>
        <v/>
      </c>
      <c r="C759" s="7" t="str">
        <f aca="false">IF(A759="","",'Outro banco'!C759)</f>
        <v/>
      </c>
      <c r="D759" s="7" t="str">
        <f aca="false">IF(A759="","",'Outro banco'!D759)</f>
        <v/>
      </c>
      <c r="E759" s="9"/>
      <c r="F759" s="9"/>
      <c r="G759" s="7" t="str">
        <f aca="false">IF(A759="","",IF(COUNTIF(Tabelas!$A:$A,IF(E759="",A759,E759))&gt;0,"sim","não"))</f>
        <v/>
      </c>
      <c r="H759" s="7" t="str">
        <f aca="false">IF(A759="","",IF(E759="",A759,E759)&amp;"."&amp;IF(F759="",B759,F759))</f>
        <v/>
      </c>
      <c r="I759" s="7" t="str">
        <f aca="false">IF(A759="","",IFERROR(INDEX('Campos Growths'!$F:$F,MATCH(H759,'Campos Growths'!$A:$A,0)),""))</f>
        <v/>
      </c>
      <c r="J759" s="7" t="str">
        <f aca="false">IF(A759="","",IFERROR(VLOOKUP(IF(ISNUMBER(SEARCH("(",C759)),LEFT(C759,SEARCH("(",C759)-1),C759),Tipos!$A:$B,2,FALSE()),"outro"))</f>
        <v/>
      </c>
      <c r="K759" s="7" t="str">
        <f aca="false">IF(I759="","",IFERROR(INDEX('Campos Growths'!$L:$L,MATCH(H759,'Campos Growths'!$A:$A,0)),""))</f>
        <v/>
      </c>
      <c r="L759" s="7" t="str">
        <f aca="false">IF(A759="","",IF(G759="não","Sem tabela no Growths",IF(I759="","Sem campo no Growths",IF(J759=K759,"Importa direto","Ajustar tipo"))))</f>
        <v/>
      </c>
      <c r="M759" s="9"/>
    </row>
    <row r="760" customFormat="false" ht="15" hidden="false" customHeight="false" outlineLevel="0" collapsed="false">
      <c r="A760" s="7" t="str">
        <f aca="false">IF('Outro banco'!A760="","",IF(LEFT('Outro banco'!A760,1)="(","",'Outro banco'!A760))</f>
        <v/>
      </c>
      <c r="B760" s="7" t="str">
        <f aca="false">IF(A760="","",'Outro banco'!B760)</f>
        <v/>
      </c>
      <c r="C760" s="7" t="str">
        <f aca="false">IF(A760="","",'Outro banco'!C760)</f>
        <v/>
      </c>
      <c r="D760" s="7" t="str">
        <f aca="false">IF(A760="","",'Outro banco'!D760)</f>
        <v/>
      </c>
      <c r="E760" s="9"/>
      <c r="F760" s="9"/>
      <c r="G760" s="7" t="str">
        <f aca="false">IF(A760="","",IF(COUNTIF(Tabelas!$A:$A,IF(E760="",A760,E760))&gt;0,"sim","não"))</f>
        <v/>
      </c>
      <c r="H760" s="7" t="str">
        <f aca="false">IF(A760="","",IF(E760="",A760,E760)&amp;"."&amp;IF(F760="",B760,F760))</f>
        <v/>
      </c>
      <c r="I760" s="7" t="str">
        <f aca="false">IF(A760="","",IFERROR(INDEX('Campos Growths'!$F:$F,MATCH(H760,'Campos Growths'!$A:$A,0)),""))</f>
        <v/>
      </c>
      <c r="J760" s="7" t="str">
        <f aca="false">IF(A760="","",IFERROR(VLOOKUP(IF(ISNUMBER(SEARCH("(",C760)),LEFT(C760,SEARCH("(",C760)-1),C760),Tipos!$A:$B,2,FALSE()),"outro"))</f>
        <v/>
      </c>
      <c r="K760" s="7" t="str">
        <f aca="false">IF(I760="","",IFERROR(INDEX('Campos Growths'!$L:$L,MATCH(H760,'Campos Growths'!$A:$A,0)),""))</f>
        <v/>
      </c>
      <c r="L760" s="7" t="str">
        <f aca="false">IF(A760="","",IF(G760="não","Sem tabela no Growths",IF(I760="","Sem campo no Growths",IF(J760=K760,"Importa direto","Ajustar tipo"))))</f>
        <v/>
      </c>
      <c r="M760" s="9"/>
    </row>
    <row r="761" customFormat="false" ht="15" hidden="false" customHeight="false" outlineLevel="0" collapsed="false">
      <c r="A761" s="7" t="str">
        <f aca="false">IF('Outro banco'!A761="","",IF(LEFT('Outro banco'!A761,1)="(","",'Outro banco'!A761))</f>
        <v/>
      </c>
      <c r="B761" s="7" t="str">
        <f aca="false">IF(A761="","",'Outro banco'!B761)</f>
        <v/>
      </c>
      <c r="C761" s="7" t="str">
        <f aca="false">IF(A761="","",'Outro banco'!C761)</f>
        <v/>
      </c>
      <c r="D761" s="7" t="str">
        <f aca="false">IF(A761="","",'Outro banco'!D761)</f>
        <v/>
      </c>
      <c r="E761" s="9"/>
      <c r="F761" s="9"/>
      <c r="G761" s="7" t="str">
        <f aca="false">IF(A761="","",IF(COUNTIF(Tabelas!$A:$A,IF(E761="",A761,E761))&gt;0,"sim","não"))</f>
        <v/>
      </c>
      <c r="H761" s="7" t="str">
        <f aca="false">IF(A761="","",IF(E761="",A761,E761)&amp;"."&amp;IF(F761="",B761,F761))</f>
        <v/>
      </c>
      <c r="I761" s="7" t="str">
        <f aca="false">IF(A761="","",IFERROR(INDEX('Campos Growths'!$F:$F,MATCH(H761,'Campos Growths'!$A:$A,0)),""))</f>
        <v/>
      </c>
      <c r="J761" s="7" t="str">
        <f aca="false">IF(A761="","",IFERROR(VLOOKUP(IF(ISNUMBER(SEARCH("(",C761)),LEFT(C761,SEARCH("(",C761)-1),C761),Tipos!$A:$B,2,FALSE()),"outro"))</f>
        <v/>
      </c>
      <c r="K761" s="7" t="str">
        <f aca="false">IF(I761="","",IFERROR(INDEX('Campos Growths'!$L:$L,MATCH(H761,'Campos Growths'!$A:$A,0)),""))</f>
        <v/>
      </c>
      <c r="L761" s="7" t="str">
        <f aca="false">IF(A761="","",IF(G761="não","Sem tabela no Growths",IF(I761="","Sem campo no Growths",IF(J761=K761,"Importa direto","Ajustar tipo"))))</f>
        <v/>
      </c>
      <c r="M761" s="9"/>
    </row>
    <row r="762" customFormat="false" ht="15" hidden="false" customHeight="false" outlineLevel="0" collapsed="false">
      <c r="A762" s="7" t="str">
        <f aca="false">IF('Outro banco'!A762="","",IF(LEFT('Outro banco'!A762,1)="(","",'Outro banco'!A762))</f>
        <v/>
      </c>
      <c r="B762" s="7" t="str">
        <f aca="false">IF(A762="","",'Outro banco'!B762)</f>
        <v/>
      </c>
      <c r="C762" s="7" t="str">
        <f aca="false">IF(A762="","",'Outro banco'!C762)</f>
        <v/>
      </c>
      <c r="D762" s="7" t="str">
        <f aca="false">IF(A762="","",'Outro banco'!D762)</f>
        <v/>
      </c>
      <c r="E762" s="9"/>
      <c r="F762" s="9"/>
      <c r="G762" s="7" t="str">
        <f aca="false">IF(A762="","",IF(COUNTIF(Tabelas!$A:$A,IF(E762="",A762,E762))&gt;0,"sim","não"))</f>
        <v/>
      </c>
      <c r="H762" s="7" t="str">
        <f aca="false">IF(A762="","",IF(E762="",A762,E762)&amp;"."&amp;IF(F762="",B762,F762))</f>
        <v/>
      </c>
      <c r="I762" s="7" t="str">
        <f aca="false">IF(A762="","",IFERROR(INDEX('Campos Growths'!$F:$F,MATCH(H762,'Campos Growths'!$A:$A,0)),""))</f>
        <v/>
      </c>
      <c r="J762" s="7" t="str">
        <f aca="false">IF(A762="","",IFERROR(VLOOKUP(IF(ISNUMBER(SEARCH("(",C762)),LEFT(C762,SEARCH("(",C762)-1),C762),Tipos!$A:$B,2,FALSE()),"outro"))</f>
        <v/>
      </c>
      <c r="K762" s="7" t="str">
        <f aca="false">IF(I762="","",IFERROR(INDEX('Campos Growths'!$L:$L,MATCH(H762,'Campos Growths'!$A:$A,0)),""))</f>
        <v/>
      </c>
      <c r="L762" s="7" t="str">
        <f aca="false">IF(A762="","",IF(G762="não","Sem tabela no Growths",IF(I762="","Sem campo no Growths",IF(J762=K762,"Importa direto","Ajustar tipo"))))</f>
        <v/>
      </c>
      <c r="M762" s="9"/>
    </row>
    <row r="763" customFormat="false" ht="15" hidden="false" customHeight="false" outlineLevel="0" collapsed="false">
      <c r="A763" s="7" t="str">
        <f aca="false">IF('Outro banco'!A763="","",IF(LEFT('Outro banco'!A763,1)="(","",'Outro banco'!A763))</f>
        <v/>
      </c>
      <c r="B763" s="7" t="str">
        <f aca="false">IF(A763="","",'Outro banco'!B763)</f>
        <v/>
      </c>
      <c r="C763" s="7" t="str">
        <f aca="false">IF(A763="","",'Outro banco'!C763)</f>
        <v/>
      </c>
      <c r="D763" s="7" t="str">
        <f aca="false">IF(A763="","",'Outro banco'!D763)</f>
        <v/>
      </c>
      <c r="E763" s="9"/>
      <c r="F763" s="9"/>
      <c r="G763" s="7" t="str">
        <f aca="false">IF(A763="","",IF(COUNTIF(Tabelas!$A:$A,IF(E763="",A763,E763))&gt;0,"sim","não"))</f>
        <v/>
      </c>
      <c r="H763" s="7" t="str">
        <f aca="false">IF(A763="","",IF(E763="",A763,E763)&amp;"."&amp;IF(F763="",B763,F763))</f>
        <v/>
      </c>
      <c r="I763" s="7" t="str">
        <f aca="false">IF(A763="","",IFERROR(INDEX('Campos Growths'!$F:$F,MATCH(H763,'Campos Growths'!$A:$A,0)),""))</f>
        <v/>
      </c>
      <c r="J763" s="7" t="str">
        <f aca="false">IF(A763="","",IFERROR(VLOOKUP(IF(ISNUMBER(SEARCH("(",C763)),LEFT(C763,SEARCH("(",C763)-1),C763),Tipos!$A:$B,2,FALSE()),"outro"))</f>
        <v/>
      </c>
      <c r="K763" s="7" t="str">
        <f aca="false">IF(I763="","",IFERROR(INDEX('Campos Growths'!$L:$L,MATCH(H763,'Campos Growths'!$A:$A,0)),""))</f>
        <v/>
      </c>
      <c r="L763" s="7" t="str">
        <f aca="false">IF(A763="","",IF(G763="não","Sem tabela no Growths",IF(I763="","Sem campo no Growths",IF(J763=K763,"Importa direto","Ajustar tipo"))))</f>
        <v/>
      </c>
      <c r="M763" s="9"/>
    </row>
    <row r="764" customFormat="false" ht="15" hidden="false" customHeight="false" outlineLevel="0" collapsed="false">
      <c r="A764" s="7" t="str">
        <f aca="false">IF('Outro banco'!A764="","",IF(LEFT('Outro banco'!A764,1)="(","",'Outro banco'!A764))</f>
        <v/>
      </c>
      <c r="B764" s="7" t="str">
        <f aca="false">IF(A764="","",'Outro banco'!B764)</f>
        <v/>
      </c>
      <c r="C764" s="7" t="str">
        <f aca="false">IF(A764="","",'Outro banco'!C764)</f>
        <v/>
      </c>
      <c r="D764" s="7" t="str">
        <f aca="false">IF(A764="","",'Outro banco'!D764)</f>
        <v/>
      </c>
      <c r="E764" s="9"/>
      <c r="F764" s="9"/>
      <c r="G764" s="7" t="str">
        <f aca="false">IF(A764="","",IF(COUNTIF(Tabelas!$A:$A,IF(E764="",A764,E764))&gt;0,"sim","não"))</f>
        <v/>
      </c>
      <c r="H764" s="7" t="str">
        <f aca="false">IF(A764="","",IF(E764="",A764,E764)&amp;"."&amp;IF(F764="",B764,F764))</f>
        <v/>
      </c>
      <c r="I764" s="7" t="str">
        <f aca="false">IF(A764="","",IFERROR(INDEX('Campos Growths'!$F:$F,MATCH(H764,'Campos Growths'!$A:$A,0)),""))</f>
        <v/>
      </c>
      <c r="J764" s="7" t="str">
        <f aca="false">IF(A764="","",IFERROR(VLOOKUP(IF(ISNUMBER(SEARCH("(",C764)),LEFT(C764,SEARCH("(",C764)-1),C764),Tipos!$A:$B,2,FALSE()),"outro"))</f>
        <v/>
      </c>
      <c r="K764" s="7" t="str">
        <f aca="false">IF(I764="","",IFERROR(INDEX('Campos Growths'!$L:$L,MATCH(H764,'Campos Growths'!$A:$A,0)),""))</f>
        <v/>
      </c>
      <c r="L764" s="7" t="str">
        <f aca="false">IF(A764="","",IF(G764="não","Sem tabela no Growths",IF(I764="","Sem campo no Growths",IF(J764=K764,"Importa direto","Ajustar tipo"))))</f>
        <v/>
      </c>
      <c r="M764" s="9"/>
    </row>
    <row r="765" customFormat="false" ht="15" hidden="false" customHeight="false" outlineLevel="0" collapsed="false">
      <c r="A765" s="7" t="str">
        <f aca="false">IF('Outro banco'!A765="","",IF(LEFT('Outro banco'!A765,1)="(","",'Outro banco'!A765))</f>
        <v/>
      </c>
      <c r="B765" s="7" t="str">
        <f aca="false">IF(A765="","",'Outro banco'!B765)</f>
        <v/>
      </c>
      <c r="C765" s="7" t="str">
        <f aca="false">IF(A765="","",'Outro banco'!C765)</f>
        <v/>
      </c>
      <c r="D765" s="7" t="str">
        <f aca="false">IF(A765="","",'Outro banco'!D765)</f>
        <v/>
      </c>
      <c r="E765" s="9"/>
      <c r="F765" s="9"/>
      <c r="G765" s="7" t="str">
        <f aca="false">IF(A765="","",IF(COUNTIF(Tabelas!$A:$A,IF(E765="",A765,E765))&gt;0,"sim","não"))</f>
        <v/>
      </c>
      <c r="H765" s="7" t="str">
        <f aca="false">IF(A765="","",IF(E765="",A765,E765)&amp;"."&amp;IF(F765="",B765,F765))</f>
        <v/>
      </c>
      <c r="I765" s="7" t="str">
        <f aca="false">IF(A765="","",IFERROR(INDEX('Campos Growths'!$F:$F,MATCH(H765,'Campos Growths'!$A:$A,0)),""))</f>
        <v/>
      </c>
      <c r="J765" s="7" t="str">
        <f aca="false">IF(A765="","",IFERROR(VLOOKUP(IF(ISNUMBER(SEARCH("(",C765)),LEFT(C765,SEARCH("(",C765)-1),C765),Tipos!$A:$B,2,FALSE()),"outro"))</f>
        <v/>
      </c>
      <c r="K765" s="7" t="str">
        <f aca="false">IF(I765="","",IFERROR(INDEX('Campos Growths'!$L:$L,MATCH(H765,'Campos Growths'!$A:$A,0)),""))</f>
        <v/>
      </c>
      <c r="L765" s="7" t="str">
        <f aca="false">IF(A765="","",IF(G765="não","Sem tabela no Growths",IF(I765="","Sem campo no Growths",IF(J765=K765,"Importa direto","Ajustar tipo"))))</f>
        <v/>
      </c>
      <c r="M765" s="9"/>
    </row>
    <row r="766" customFormat="false" ht="15" hidden="false" customHeight="false" outlineLevel="0" collapsed="false">
      <c r="A766" s="7" t="str">
        <f aca="false">IF('Outro banco'!A766="","",IF(LEFT('Outro banco'!A766,1)="(","",'Outro banco'!A766))</f>
        <v/>
      </c>
      <c r="B766" s="7" t="str">
        <f aca="false">IF(A766="","",'Outro banco'!B766)</f>
        <v/>
      </c>
      <c r="C766" s="7" t="str">
        <f aca="false">IF(A766="","",'Outro banco'!C766)</f>
        <v/>
      </c>
      <c r="D766" s="7" t="str">
        <f aca="false">IF(A766="","",'Outro banco'!D766)</f>
        <v/>
      </c>
      <c r="E766" s="9"/>
      <c r="F766" s="9"/>
      <c r="G766" s="7" t="str">
        <f aca="false">IF(A766="","",IF(COUNTIF(Tabelas!$A:$A,IF(E766="",A766,E766))&gt;0,"sim","não"))</f>
        <v/>
      </c>
      <c r="H766" s="7" t="str">
        <f aca="false">IF(A766="","",IF(E766="",A766,E766)&amp;"."&amp;IF(F766="",B766,F766))</f>
        <v/>
      </c>
      <c r="I766" s="7" t="str">
        <f aca="false">IF(A766="","",IFERROR(INDEX('Campos Growths'!$F:$F,MATCH(H766,'Campos Growths'!$A:$A,0)),""))</f>
        <v/>
      </c>
      <c r="J766" s="7" t="str">
        <f aca="false">IF(A766="","",IFERROR(VLOOKUP(IF(ISNUMBER(SEARCH("(",C766)),LEFT(C766,SEARCH("(",C766)-1),C766),Tipos!$A:$B,2,FALSE()),"outro"))</f>
        <v/>
      </c>
      <c r="K766" s="7" t="str">
        <f aca="false">IF(I766="","",IFERROR(INDEX('Campos Growths'!$L:$L,MATCH(H766,'Campos Growths'!$A:$A,0)),""))</f>
        <v/>
      </c>
      <c r="L766" s="7" t="str">
        <f aca="false">IF(A766="","",IF(G766="não","Sem tabela no Growths",IF(I766="","Sem campo no Growths",IF(J766=K766,"Importa direto","Ajustar tipo"))))</f>
        <v/>
      </c>
      <c r="M766" s="9"/>
    </row>
    <row r="767" customFormat="false" ht="15" hidden="false" customHeight="false" outlineLevel="0" collapsed="false">
      <c r="A767" s="7" t="str">
        <f aca="false">IF('Outro banco'!A767="","",IF(LEFT('Outro banco'!A767,1)="(","",'Outro banco'!A767))</f>
        <v/>
      </c>
      <c r="B767" s="7" t="str">
        <f aca="false">IF(A767="","",'Outro banco'!B767)</f>
        <v/>
      </c>
      <c r="C767" s="7" t="str">
        <f aca="false">IF(A767="","",'Outro banco'!C767)</f>
        <v/>
      </c>
      <c r="D767" s="7" t="str">
        <f aca="false">IF(A767="","",'Outro banco'!D767)</f>
        <v/>
      </c>
      <c r="E767" s="9"/>
      <c r="F767" s="9"/>
      <c r="G767" s="7" t="str">
        <f aca="false">IF(A767="","",IF(COUNTIF(Tabelas!$A:$A,IF(E767="",A767,E767))&gt;0,"sim","não"))</f>
        <v/>
      </c>
      <c r="H767" s="7" t="str">
        <f aca="false">IF(A767="","",IF(E767="",A767,E767)&amp;"."&amp;IF(F767="",B767,F767))</f>
        <v/>
      </c>
      <c r="I767" s="7" t="str">
        <f aca="false">IF(A767="","",IFERROR(INDEX('Campos Growths'!$F:$F,MATCH(H767,'Campos Growths'!$A:$A,0)),""))</f>
        <v/>
      </c>
      <c r="J767" s="7" t="str">
        <f aca="false">IF(A767="","",IFERROR(VLOOKUP(IF(ISNUMBER(SEARCH("(",C767)),LEFT(C767,SEARCH("(",C767)-1),C767),Tipos!$A:$B,2,FALSE()),"outro"))</f>
        <v/>
      </c>
      <c r="K767" s="7" t="str">
        <f aca="false">IF(I767="","",IFERROR(INDEX('Campos Growths'!$L:$L,MATCH(H767,'Campos Growths'!$A:$A,0)),""))</f>
        <v/>
      </c>
      <c r="L767" s="7" t="str">
        <f aca="false">IF(A767="","",IF(G767="não","Sem tabela no Growths",IF(I767="","Sem campo no Growths",IF(J767=K767,"Importa direto","Ajustar tipo"))))</f>
        <v/>
      </c>
      <c r="M767" s="9"/>
    </row>
    <row r="768" customFormat="false" ht="15" hidden="false" customHeight="false" outlineLevel="0" collapsed="false">
      <c r="A768" s="7" t="str">
        <f aca="false">IF('Outro banco'!A768="","",IF(LEFT('Outro banco'!A768,1)="(","",'Outro banco'!A768))</f>
        <v/>
      </c>
      <c r="B768" s="7" t="str">
        <f aca="false">IF(A768="","",'Outro banco'!B768)</f>
        <v/>
      </c>
      <c r="C768" s="7" t="str">
        <f aca="false">IF(A768="","",'Outro banco'!C768)</f>
        <v/>
      </c>
      <c r="D768" s="7" t="str">
        <f aca="false">IF(A768="","",'Outro banco'!D768)</f>
        <v/>
      </c>
      <c r="E768" s="9"/>
      <c r="F768" s="9"/>
      <c r="G768" s="7" t="str">
        <f aca="false">IF(A768="","",IF(COUNTIF(Tabelas!$A:$A,IF(E768="",A768,E768))&gt;0,"sim","não"))</f>
        <v/>
      </c>
      <c r="H768" s="7" t="str">
        <f aca="false">IF(A768="","",IF(E768="",A768,E768)&amp;"."&amp;IF(F768="",B768,F768))</f>
        <v/>
      </c>
      <c r="I768" s="7" t="str">
        <f aca="false">IF(A768="","",IFERROR(INDEX('Campos Growths'!$F:$F,MATCH(H768,'Campos Growths'!$A:$A,0)),""))</f>
        <v/>
      </c>
      <c r="J768" s="7" t="str">
        <f aca="false">IF(A768="","",IFERROR(VLOOKUP(IF(ISNUMBER(SEARCH("(",C768)),LEFT(C768,SEARCH("(",C768)-1),C768),Tipos!$A:$B,2,FALSE()),"outro"))</f>
        <v/>
      </c>
      <c r="K768" s="7" t="str">
        <f aca="false">IF(I768="","",IFERROR(INDEX('Campos Growths'!$L:$L,MATCH(H768,'Campos Growths'!$A:$A,0)),""))</f>
        <v/>
      </c>
      <c r="L768" s="7" t="str">
        <f aca="false">IF(A768="","",IF(G768="não","Sem tabela no Growths",IF(I768="","Sem campo no Growths",IF(J768=K768,"Importa direto","Ajustar tipo"))))</f>
        <v/>
      </c>
      <c r="M768" s="9"/>
    </row>
    <row r="769" customFormat="false" ht="15" hidden="false" customHeight="false" outlineLevel="0" collapsed="false">
      <c r="A769" s="7" t="str">
        <f aca="false">IF('Outro banco'!A769="","",IF(LEFT('Outro banco'!A769,1)="(","",'Outro banco'!A769))</f>
        <v/>
      </c>
      <c r="B769" s="7" t="str">
        <f aca="false">IF(A769="","",'Outro banco'!B769)</f>
        <v/>
      </c>
      <c r="C769" s="7" t="str">
        <f aca="false">IF(A769="","",'Outro banco'!C769)</f>
        <v/>
      </c>
      <c r="D769" s="7" t="str">
        <f aca="false">IF(A769="","",'Outro banco'!D769)</f>
        <v/>
      </c>
      <c r="E769" s="9"/>
      <c r="F769" s="9"/>
      <c r="G769" s="7" t="str">
        <f aca="false">IF(A769="","",IF(COUNTIF(Tabelas!$A:$A,IF(E769="",A769,E769))&gt;0,"sim","não"))</f>
        <v/>
      </c>
      <c r="H769" s="7" t="str">
        <f aca="false">IF(A769="","",IF(E769="",A769,E769)&amp;"."&amp;IF(F769="",B769,F769))</f>
        <v/>
      </c>
      <c r="I769" s="7" t="str">
        <f aca="false">IF(A769="","",IFERROR(INDEX('Campos Growths'!$F:$F,MATCH(H769,'Campos Growths'!$A:$A,0)),""))</f>
        <v/>
      </c>
      <c r="J769" s="7" t="str">
        <f aca="false">IF(A769="","",IFERROR(VLOOKUP(IF(ISNUMBER(SEARCH("(",C769)),LEFT(C769,SEARCH("(",C769)-1),C769),Tipos!$A:$B,2,FALSE()),"outro"))</f>
        <v/>
      </c>
      <c r="K769" s="7" t="str">
        <f aca="false">IF(I769="","",IFERROR(INDEX('Campos Growths'!$L:$L,MATCH(H769,'Campos Growths'!$A:$A,0)),""))</f>
        <v/>
      </c>
      <c r="L769" s="7" t="str">
        <f aca="false">IF(A769="","",IF(G769="não","Sem tabela no Growths",IF(I769="","Sem campo no Growths",IF(J769=K769,"Importa direto","Ajustar tipo"))))</f>
        <v/>
      </c>
      <c r="M769" s="9"/>
    </row>
    <row r="770" customFormat="false" ht="15" hidden="false" customHeight="false" outlineLevel="0" collapsed="false">
      <c r="A770" s="7" t="str">
        <f aca="false">IF('Outro banco'!A770="","",IF(LEFT('Outro banco'!A770,1)="(","",'Outro banco'!A770))</f>
        <v/>
      </c>
      <c r="B770" s="7" t="str">
        <f aca="false">IF(A770="","",'Outro banco'!B770)</f>
        <v/>
      </c>
      <c r="C770" s="7" t="str">
        <f aca="false">IF(A770="","",'Outro banco'!C770)</f>
        <v/>
      </c>
      <c r="D770" s="7" t="str">
        <f aca="false">IF(A770="","",'Outro banco'!D770)</f>
        <v/>
      </c>
      <c r="E770" s="9"/>
      <c r="F770" s="9"/>
      <c r="G770" s="7" t="str">
        <f aca="false">IF(A770="","",IF(COUNTIF(Tabelas!$A:$A,IF(E770="",A770,E770))&gt;0,"sim","não"))</f>
        <v/>
      </c>
      <c r="H770" s="7" t="str">
        <f aca="false">IF(A770="","",IF(E770="",A770,E770)&amp;"."&amp;IF(F770="",B770,F770))</f>
        <v/>
      </c>
      <c r="I770" s="7" t="str">
        <f aca="false">IF(A770="","",IFERROR(INDEX('Campos Growths'!$F:$F,MATCH(H770,'Campos Growths'!$A:$A,0)),""))</f>
        <v/>
      </c>
      <c r="J770" s="7" t="str">
        <f aca="false">IF(A770="","",IFERROR(VLOOKUP(IF(ISNUMBER(SEARCH("(",C770)),LEFT(C770,SEARCH("(",C770)-1),C770),Tipos!$A:$B,2,FALSE()),"outro"))</f>
        <v/>
      </c>
      <c r="K770" s="7" t="str">
        <f aca="false">IF(I770="","",IFERROR(INDEX('Campos Growths'!$L:$L,MATCH(H770,'Campos Growths'!$A:$A,0)),""))</f>
        <v/>
      </c>
      <c r="L770" s="7" t="str">
        <f aca="false">IF(A770="","",IF(G770="não","Sem tabela no Growths",IF(I770="","Sem campo no Growths",IF(J770=K770,"Importa direto","Ajustar tipo"))))</f>
        <v/>
      </c>
      <c r="M770" s="9"/>
    </row>
    <row r="771" customFormat="false" ht="15" hidden="false" customHeight="false" outlineLevel="0" collapsed="false">
      <c r="A771" s="7" t="str">
        <f aca="false">IF('Outro banco'!A771="","",IF(LEFT('Outro banco'!A771,1)="(","",'Outro banco'!A771))</f>
        <v/>
      </c>
      <c r="B771" s="7" t="str">
        <f aca="false">IF(A771="","",'Outro banco'!B771)</f>
        <v/>
      </c>
      <c r="C771" s="7" t="str">
        <f aca="false">IF(A771="","",'Outro banco'!C771)</f>
        <v/>
      </c>
      <c r="D771" s="7" t="str">
        <f aca="false">IF(A771="","",'Outro banco'!D771)</f>
        <v/>
      </c>
      <c r="E771" s="9"/>
      <c r="F771" s="9"/>
      <c r="G771" s="7" t="str">
        <f aca="false">IF(A771="","",IF(COUNTIF(Tabelas!$A:$A,IF(E771="",A771,E771))&gt;0,"sim","não"))</f>
        <v/>
      </c>
      <c r="H771" s="7" t="str">
        <f aca="false">IF(A771="","",IF(E771="",A771,E771)&amp;"."&amp;IF(F771="",B771,F771))</f>
        <v/>
      </c>
      <c r="I771" s="7" t="str">
        <f aca="false">IF(A771="","",IFERROR(INDEX('Campos Growths'!$F:$F,MATCH(H771,'Campos Growths'!$A:$A,0)),""))</f>
        <v/>
      </c>
      <c r="J771" s="7" t="str">
        <f aca="false">IF(A771="","",IFERROR(VLOOKUP(IF(ISNUMBER(SEARCH("(",C771)),LEFT(C771,SEARCH("(",C771)-1),C771),Tipos!$A:$B,2,FALSE()),"outro"))</f>
        <v/>
      </c>
      <c r="K771" s="7" t="str">
        <f aca="false">IF(I771="","",IFERROR(INDEX('Campos Growths'!$L:$L,MATCH(H771,'Campos Growths'!$A:$A,0)),""))</f>
        <v/>
      </c>
      <c r="L771" s="7" t="str">
        <f aca="false">IF(A771="","",IF(G771="não","Sem tabela no Growths",IF(I771="","Sem campo no Growths",IF(J771=K771,"Importa direto","Ajustar tipo"))))</f>
        <v/>
      </c>
      <c r="M771" s="9"/>
    </row>
    <row r="772" customFormat="false" ht="15" hidden="false" customHeight="false" outlineLevel="0" collapsed="false">
      <c r="A772" s="7" t="str">
        <f aca="false">IF('Outro banco'!A772="","",IF(LEFT('Outro banco'!A772,1)="(","",'Outro banco'!A772))</f>
        <v/>
      </c>
      <c r="B772" s="7" t="str">
        <f aca="false">IF(A772="","",'Outro banco'!B772)</f>
        <v/>
      </c>
      <c r="C772" s="7" t="str">
        <f aca="false">IF(A772="","",'Outro banco'!C772)</f>
        <v/>
      </c>
      <c r="D772" s="7" t="str">
        <f aca="false">IF(A772="","",'Outro banco'!D772)</f>
        <v/>
      </c>
      <c r="E772" s="9"/>
      <c r="F772" s="9"/>
      <c r="G772" s="7" t="str">
        <f aca="false">IF(A772="","",IF(COUNTIF(Tabelas!$A:$A,IF(E772="",A772,E772))&gt;0,"sim","não"))</f>
        <v/>
      </c>
      <c r="H772" s="7" t="str">
        <f aca="false">IF(A772="","",IF(E772="",A772,E772)&amp;"."&amp;IF(F772="",B772,F772))</f>
        <v/>
      </c>
      <c r="I772" s="7" t="str">
        <f aca="false">IF(A772="","",IFERROR(INDEX('Campos Growths'!$F:$F,MATCH(H772,'Campos Growths'!$A:$A,0)),""))</f>
        <v/>
      </c>
      <c r="J772" s="7" t="str">
        <f aca="false">IF(A772="","",IFERROR(VLOOKUP(IF(ISNUMBER(SEARCH("(",C772)),LEFT(C772,SEARCH("(",C772)-1),C772),Tipos!$A:$B,2,FALSE()),"outro"))</f>
        <v/>
      </c>
      <c r="K772" s="7" t="str">
        <f aca="false">IF(I772="","",IFERROR(INDEX('Campos Growths'!$L:$L,MATCH(H772,'Campos Growths'!$A:$A,0)),""))</f>
        <v/>
      </c>
      <c r="L772" s="7" t="str">
        <f aca="false">IF(A772="","",IF(G772="não","Sem tabela no Growths",IF(I772="","Sem campo no Growths",IF(J772=K772,"Importa direto","Ajustar tipo"))))</f>
        <v/>
      </c>
      <c r="M772" s="9"/>
    </row>
    <row r="773" customFormat="false" ht="15" hidden="false" customHeight="false" outlineLevel="0" collapsed="false">
      <c r="A773" s="7" t="str">
        <f aca="false">IF('Outro banco'!A773="","",IF(LEFT('Outro banco'!A773,1)="(","",'Outro banco'!A773))</f>
        <v/>
      </c>
      <c r="B773" s="7" t="str">
        <f aca="false">IF(A773="","",'Outro banco'!B773)</f>
        <v/>
      </c>
      <c r="C773" s="7" t="str">
        <f aca="false">IF(A773="","",'Outro banco'!C773)</f>
        <v/>
      </c>
      <c r="D773" s="7" t="str">
        <f aca="false">IF(A773="","",'Outro banco'!D773)</f>
        <v/>
      </c>
      <c r="E773" s="9"/>
      <c r="F773" s="9"/>
      <c r="G773" s="7" t="str">
        <f aca="false">IF(A773="","",IF(COUNTIF(Tabelas!$A:$A,IF(E773="",A773,E773))&gt;0,"sim","não"))</f>
        <v/>
      </c>
      <c r="H773" s="7" t="str">
        <f aca="false">IF(A773="","",IF(E773="",A773,E773)&amp;"."&amp;IF(F773="",B773,F773))</f>
        <v/>
      </c>
      <c r="I773" s="7" t="str">
        <f aca="false">IF(A773="","",IFERROR(INDEX('Campos Growths'!$F:$F,MATCH(H773,'Campos Growths'!$A:$A,0)),""))</f>
        <v/>
      </c>
      <c r="J773" s="7" t="str">
        <f aca="false">IF(A773="","",IFERROR(VLOOKUP(IF(ISNUMBER(SEARCH("(",C773)),LEFT(C773,SEARCH("(",C773)-1),C773),Tipos!$A:$B,2,FALSE()),"outro"))</f>
        <v/>
      </c>
      <c r="K773" s="7" t="str">
        <f aca="false">IF(I773="","",IFERROR(INDEX('Campos Growths'!$L:$L,MATCH(H773,'Campos Growths'!$A:$A,0)),""))</f>
        <v/>
      </c>
      <c r="L773" s="7" t="str">
        <f aca="false">IF(A773="","",IF(G773="não","Sem tabela no Growths",IF(I773="","Sem campo no Growths",IF(J773=K773,"Importa direto","Ajustar tipo"))))</f>
        <v/>
      </c>
      <c r="M773" s="9"/>
    </row>
    <row r="774" customFormat="false" ht="15" hidden="false" customHeight="false" outlineLevel="0" collapsed="false">
      <c r="A774" s="7" t="str">
        <f aca="false">IF('Outro banco'!A774="","",IF(LEFT('Outro banco'!A774,1)="(","",'Outro banco'!A774))</f>
        <v/>
      </c>
      <c r="B774" s="7" t="str">
        <f aca="false">IF(A774="","",'Outro banco'!B774)</f>
        <v/>
      </c>
      <c r="C774" s="7" t="str">
        <f aca="false">IF(A774="","",'Outro banco'!C774)</f>
        <v/>
      </c>
      <c r="D774" s="7" t="str">
        <f aca="false">IF(A774="","",'Outro banco'!D774)</f>
        <v/>
      </c>
      <c r="E774" s="9"/>
      <c r="F774" s="9"/>
      <c r="G774" s="7" t="str">
        <f aca="false">IF(A774="","",IF(COUNTIF(Tabelas!$A:$A,IF(E774="",A774,E774))&gt;0,"sim","não"))</f>
        <v/>
      </c>
      <c r="H774" s="7" t="str">
        <f aca="false">IF(A774="","",IF(E774="",A774,E774)&amp;"."&amp;IF(F774="",B774,F774))</f>
        <v/>
      </c>
      <c r="I774" s="7" t="str">
        <f aca="false">IF(A774="","",IFERROR(INDEX('Campos Growths'!$F:$F,MATCH(H774,'Campos Growths'!$A:$A,0)),""))</f>
        <v/>
      </c>
      <c r="J774" s="7" t="str">
        <f aca="false">IF(A774="","",IFERROR(VLOOKUP(IF(ISNUMBER(SEARCH("(",C774)),LEFT(C774,SEARCH("(",C774)-1),C774),Tipos!$A:$B,2,FALSE()),"outro"))</f>
        <v/>
      </c>
      <c r="K774" s="7" t="str">
        <f aca="false">IF(I774="","",IFERROR(INDEX('Campos Growths'!$L:$L,MATCH(H774,'Campos Growths'!$A:$A,0)),""))</f>
        <v/>
      </c>
      <c r="L774" s="7" t="str">
        <f aca="false">IF(A774="","",IF(G774="não","Sem tabela no Growths",IF(I774="","Sem campo no Growths",IF(J774=K774,"Importa direto","Ajustar tipo"))))</f>
        <v/>
      </c>
      <c r="M774" s="9"/>
    </row>
    <row r="775" customFormat="false" ht="15" hidden="false" customHeight="false" outlineLevel="0" collapsed="false">
      <c r="A775" s="7" t="str">
        <f aca="false">IF('Outro banco'!A775="","",IF(LEFT('Outro banco'!A775,1)="(","",'Outro banco'!A775))</f>
        <v/>
      </c>
      <c r="B775" s="7" t="str">
        <f aca="false">IF(A775="","",'Outro banco'!B775)</f>
        <v/>
      </c>
      <c r="C775" s="7" t="str">
        <f aca="false">IF(A775="","",'Outro banco'!C775)</f>
        <v/>
      </c>
      <c r="D775" s="7" t="str">
        <f aca="false">IF(A775="","",'Outro banco'!D775)</f>
        <v/>
      </c>
      <c r="E775" s="9"/>
      <c r="F775" s="9"/>
      <c r="G775" s="7" t="str">
        <f aca="false">IF(A775="","",IF(COUNTIF(Tabelas!$A:$A,IF(E775="",A775,E775))&gt;0,"sim","não"))</f>
        <v/>
      </c>
      <c r="H775" s="7" t="str">
        <f aca="false">IF(A775="","",IF(E775="",A775,E775)&amp;"."&amp;IF(F775="",B775,F775))</f>
        <v/>
      </c>
      <c r="I775" s="7" t="str">
        <f aca="false">IF(A775="","",IFERROR(INDEX('Campos Growths'!$F:$F,MATCH(H775,'Campos Growths'!$A:$A,0)),""))</f>
        <v/>
      </c>
      <c r="J775" s="7" t="str">
        <f aca="false">IF(A775="","",IFERROR(VLOOKUP(IF(ISNUMBER(SEARCH("(",C775)),LEFT(C775,SEARCH("(",C775)-1),C775),Tipos!$A:$B,2,FALSE()),"outro"))</f>
        <v/>
      </c>
      <c r="K775" s="7" t="str">
        <f aca="false">IF(I775="","",IFERROR(INDEX('Campos Growths'!$L:$L,MATCH(H775,'Campos Growths'!$A:$A,0)),""))</f>
        <v/>
      </c>
      <c r="L775" s="7" t="str">
        <f aca="false">IF(A775="","",IF(G775="não","Sem tabela no Growths",IF(I775="","Sem campo no Growths",IF(J775=K775,"Importa direto","Ajustar tipo"))))</f>
        <v/>
      </c>
      <c r="M775" s="9"/>
    </row>
    <row r="776" customFormat="false" ht="15" hidden="false" customHeight="false" outlineLevel="0" collapsed="false">
      <c r="A776" s="7" t="str">
        <f aca="false">IF('Outro banco'!A776="","",IF(LEFT('Outro banco'!A776,1)="(","",'Outro banco'!A776))</f>
        <v/>
      </c>
      <c r="B776" s="7" t="str">
        <f aca="false">IF(A776="","",'Outro banco'!B776)</f>
        <v/>
      </c>
      <c r="C776" s="7" t="str">
        <f aca="false">IF(A776="","",'Outro banco'!C776)</f>
        <v/>
      </c>
      <c r="D776" s="7" t="str">
        <f aca="false">IF(A776="","",'Outro banco'!D776)</f>
        <v/>
      </c>
      <c r="E776" s="9"/>
      <c r="F776" s="9"/>
      <c r="G776" s="7" t="str">
        <f aca="false">IF(A776="","",IF(COUNTIF(Tabelas!$A:$A,IF(E776="",A776,E776))&gt;0,"sim","não"))</f>
        <v/>
      </c>
      <c r="H776" s="7" t="str">
        <f aca="false">IF(A776="","",IF(E776="",A776,E776)&amp;"."&amp;IF(F776="",B776,F776))</f>
        <v/>
      </c>
      <c r="I776" s="7" t="str">
        <f aca="false">IF(A776="","",IFERROR(INDEX('Campos Growths'!$F:$F,MATCH(H776,'Campos Growths'!$A:$A,0)),""))</f>
        <v/>
      </c>
      <c r="J776" s="7" t="str">
        <f aca="false">IF(A776="","",IFERROR(VLOOKUP(IF(ISNUMBER(SEARCH("(",C776)),LEFT(C776,SEARCH("(",C776)-1),C776),Tipos!$A:$B,2,FALSE()),"outro"))</f>
        <v/>
      </c>
      <c r="K776" s="7" t="str">
        <f aca="false">IF(I776="","",IFERROR(INDEX('Campos Growths'!$L:$L,MATCH(H776,'Campos Growths'!$A:$A,0)),""))</f>
        <v/>
      </c>
      <c r="L776" s="7" t="str">
        <f aca="false">IF(A776="","",IF(G776="não","Sem tabela no Growths",IF(I776="","Sem campo no Growths",IF(J776=K776,"Importa direto","Ajustar tipo"))))</f>
        <v/>
      </c>
      <c r="M776" s="9"/>
    </row>
    <row r="777" customFormat="false" ht="15" hidden="false" customHeight="false" outlineLevel="0" collapsed="false">
      <c r="A777" s="7" t="str">
        <f aca="false">IF('Outro banco'!A777="","",IF(LEFT('Outro banco'!A777,1)="(","",'Outro banco'!A777))</f>
        <v/>
      </c>
      <c r="B777" s="7" t="str">
        <f aca="false">IF(A777="","",'Outro banco'!B777)</f>
        <v/>
      </c>
      <c r="C777" s="7" t="str">
        <f aca="false">IF(A777="","",'Outro banco'!C777)</f>
        <v/>
      </c>
      <c r="D777" s="7" t="str">
        <f aca="false">IF(A777="","",'Outro banco'!D777)</f>
        <v/>
      </c>
      <c r="E777" s="9"/>
      <c r="F777" s="9"/>
      <c r="G777" s="7" t="str">
        <f aca="false">IF(A777="","",IF(COUNTIF(Tabelas!$A:$A,IF(E777="",A777,E777))&gt;0,"sim","não"))</f>
        <v/>
      </c>
      <c r="H777" s="7" t="str">
        <f aca="false">IF(A777="","",IF(E777="",A777,E777)&amp;"."&amp;IF(F777="",B777,F777))</f>
        <v/>
      </c>
      <c r="I777" s="7" t="str">
        <f aca="false">IF(A777="","",IFERROR(INDEX('Campos Growths'!$F:$F,MATCH(H777,'Campos Growths'!$A:$A,0)),""))</f>
        <v/>
      </c>
      <c r="J777" s="7" t="str">
        <f aca="false">IF(A777="","",IFERROR(VLOOKUP(IF(ISNUMBER(SEARCH("(",C777)),LEFT(C777,SEARCH("(",C777)-1),C777),Tipos!$A:$B,2,FALSE()),"outro"))</f>
        <v/>
      </c>
      <c r="K777" s="7" t="str">
        <f aca="false">IF(I777="","",IFERROR(INDEX('Campos Growths'!$L:$L,MATCH(H777,'Campos Growths'!$A:$A,0)),""))</f>
        <v/>
      </c>
      <c r="L777" s="7" t="str">
        <f aca="false">IF(A777="","",IF(G777="não","Sem tabela no Growths",IF(I777="","Sem campo no Growths",IF(J777=K777,"Importa direto","Ajustar tipo"))))</f>
        <v/>
      </c>
      <c r="M777" s="9"/>
    </row>
    <row r="778" customFormat="false" ht="15" hidden="false" customHeight="false" outlineLevel="0" collapsed="false">
      <c r="A778" s="7" t="str">
        <f aca="false">IF('Outro banco'!A778="","",IF(LEFT('Outro banco'!A778,1)="(","",'Outro banco'!A778))</f>
        <v/>
      </c>
      <c r="B778" s="7" t="str">
        <f aca="false">IF(A778="","",'Outro banco'!B778)</f>
        <v/>
      </c>
      <c r="C778" s="7" t="str">
        <f aca="false">IF(A778="","",'Outro banco'!C778)</f>
        <v/>
      </c>
      <c r="D778" s="7" t="str">
        <f aca="false">IF(A778="","",'Outro banco'!D778)</f>
        <v/>
      </c>
      <c r="E778" s="9"/>
      <c r="F778" s="9"/>
      <c r="G778" s="7" t="str">
        <f aca="false">IF(A778="","",IF(COUNTIF(Tabelas!$A:$A,IF(E778="",A778,E778))&gt;0,"sim","não"))</f>
        <v/>
      </c>
      <c r="H778" s="7" t="str">
        <f aca="false">IF(A778="","",IF(E778="",A778,E778)&amp;"."&amp;IF(F778="",B778,F778))</f>
        <v/>
      </c>
      <c r="I778" s="7" t="str">
        <f aca="false">IF(A778="","",IFERROR(INDEX('Campos Growths'!$F:$F,MATCH(H778,'Campos Growths'!$A:$A,0)),""))</f>
        <v/>
      </c>
      <c r="J778" s="7" t="str">
        <f aca="false">IF(A778="","",IFERROR(VLOOKUP(IF(ISNUMBER(SEARCH("(",C778)),LEFT(C778,SEARCH("(",C778)-1),C778),Tipos!$A:$B,2,FALSE()),"outro"))</f>
        <v/>
      </c>
      <c r="K778" s="7" t="str">
        <f aca="false">IF(I778="","",IFERROR(INDEX('Campos Growths'!$L:$L,MATCH(H778,'Campos Growths'!$A:$A,0)),""))</f>
        <v/>
      </c>
      <c r="L778" s="7" t="str">
        <f aca="false">IF(A778="","",IF(G778="não","Sem tabela no Growths",IF(I778="","Sem campo no Growths",IF(J778=K778,"Importa direto","Ajustar tipo"))))</f>
        <v/>
      </c>
      <c r="M778" s="9"/>
    </row>
    <row r="779" customFormat="false" ht="15" hidden="false" customHeight="false" outlineLevel="0" collapsed="false">
      <c r="A779" s="7" t="str">
        <f aca="false">IF('Outro banco'!A779="","",IF(LEFT('Outro banco'!A779,1)="(","",'Outro banco'!A779))</f>
        <v/>
      </c>
      <c r="B779" s="7" t="str">
        <f aca="false">IF(A779="","",'Outro banco'!B779)</f>
        <v/>
      </c>
      <c r="C779" s="7" t="str">
        <f aca="false">IF(A779="","",'Outro banco'!C779)</f>
        <v/>
      </c>
      <c r="D779" s="7" t="str">
        <f aca="false">IF(A779="","",'Outro banco'!D779)</f>
        <v/>
      </c>
      <c r="E779" s="9"/>
      <c r="F779" s="9"/>
      <c r="G779" s="7" t="str">
        <f aca="false">IF(A779="","",IF(COUNTIF(Tabelas!$A:$A,IF(E779="",A779,E779))&gt;0,"sim","não"))</f>
        <v/>
      </c>
      <c r="H779" s="7" t="str">
        <f aca="false">IF(A779="","",IF(E779="",A779,E779)&amp;"."&amp;IF(F779="",B779,F779))</f>
        <v/>
      </c>
      <c r="I779" s="7" t="str">
        <f aca="false">IF(A779="","",IFERROR(INDEX('Campos Growths'!$F:$F,MATCH(H779,'Campos Growths'!$A:$A,0)),""))</f>
        <v/>
      </c>
      <c r="J779" s="7" t="str">
        <f aca="false">IF(A779="","",IFERROR(VLOOKUP(IF(ISNUMBER(SEARCH("(",C779)),LEFT(C779,SEARCH("(",C779)-1),C779),Tipos!$A:$B,2,FALSE()),"outro"))</f>
        <v/>
      </c>
      <c r="K779" s="7" t="str">
        <f aca="false">IF(I779="","",IFERROR(INDEX('Campos Growths'!$L:$L,MATCH(H779,'Campos Growths'!$A:$A,0)),""))</f>
        <v/>
      </c>
      <c r="L779" s="7" t="str">
        <f aca="false">IF(A779="","",IF(G779="não","Sem tabela no Growths",IF(I779="","Sem campo no Growths",IF(J779=K779,"Importa direto","Ajustar tipo"))))</f>
        <v/>
      </c>
      <c r="M779" s="9"/>
    </row>
    <row r="780" customFormat="false" ht="15" hidden="false" customHeight="false" outlineLevel="0" collapsed="false">
      <c r="A780" s="7" t="str">
        <f aca="false">IF('Outro banco'!A780="","",IF(LEFT('Outro banco'!A780,1)="(","",'Outro banco'!A780))</f>
        <v/>
      </c>
      <c r="B780" s="7" t="str">
        <f aca="false">IF(A780="","",'Outro banco'!B780)</f>
        <v/>
      </c>
      <c r="C780" s="7" t="str">
        <f aca="false">IF(A780="","",'Outro banco'!C780)</f>
        <v/>
      </c>
      <c r="D780" s="7" t="str">
        <f aca="false">IF(A780="","",'Outro banco'!D780)</f>
        <v/>
      </c>
      <c r="E780" s="9"/>
      <c r="F780" s="9"/>
      <c r="G780" s="7" t="str">
        <f aca="false">IF(A780="","",IF(COUNTIF(Tabelas!$A:$A,IF(E780="",A780,E780))&gt;0,"sim","não"))</f>
        <v/>
      </c>
      <c r="H780" s="7" t="str">
        <f aca="false">IF(A780="","",IF(E780="",A780,E780)&amp;"."&amp;IF(F780="",B780,F780))</f>
        <v/>
      </c>
      <c r="I780" s="7" t="str">
        <f aca="false">IF(A780="","",IFERROR(INDEX('Campos Growths'!$F:$F,MATCH(H780,'Campos Growths'!$A:$A,0)),""))</f>
        <v/>
      </c>
      <c r="J780" s="7" t="str">
        <f aca="false">IF(A780="","",IFERROR(VLOOKUP(IF(ISNUMBER(SEARCH("(",C780)),LEFT(C780,SEARCH("(",C780)-1),C780),Tipos!$A:$B,2,FALSE()),"outro"))</f>
        <v/>
      </c>
      <c r="K780" s="7" t="str">
        <f aca="false">IF(I780="","",IFERROR(INDEX('Campos Growths'!$L:$L,MATCH(H780,'Campos Growths'!$A:$A,0)),""))</f>
        <v/>
      </c>
      <c r="L780" s="7" t="str">
        <f aca="false">IF(A780="","",IF(G780="não","Sem tabela no Growths",IF(I780="","Sem campo no Growths",IF(J780=K780,"Importa direto","Ajustar tipo"))))</f>
        <v/>
      </c>
      <c r="M780" s="9"/>
    </row>
    <row r="781" customFormat="false" ht="15" hidden="false" customHeight="false" outlineLevel="0" collapsed="false">
      <c r="A781" s="7" t="str">
        <f aca="false">IF('Outro banco'!A781="","",IF(LEFT('Outro banco'!A781,1)="(","",'Outro banco'!A781))</f>
        <v/>
      </c>
      <c r="B781" s="7" t="str">
        <f aca="false">IF(A781="","",'Outro banco'!B781)</f>
        <v/>
      </c>
      <c r="C781" s="7" t="str">
        <f aca="false">IF(A781="","",'Outro banco'!C781)</f>
        <v/>
      </c>
      <c r="D781" s="7" t="str">
        <f aca="false">IF(A781="","",'Outro banco'!D781)</f>
        <v/>
      </c>
      <c r="E781" s="9"/>
      <c r="F781" s="9"/>
      <c r="G781" s="7" t="str">
        <f aca="false">IF(A781="","",IF(COUNTIF(Tabelas!$A:$A,IF(E781="",A781,E781))&gt;0,"sim","não"))</f>
        <v/>
      </c>
      <c r="H781" s="7" t="str">
        <f aca="false">IF(A781="","",IF(E781="",A781,E781)&amp;"."&amp;IF(F781="",B781,F781))</f>
        <v/>
      </c>
      <c r="I781" s="7" t="str">
        <f aca="false">IF(A781="","",IFERROR(INDEX('Campos Growths'!$F:$F,MATCH(H781,'Campos Growths'!$A:$A,0)),""))</f>
        <v/>
      </c>
      <c r="J781" s="7" t="str">
        <f aca="false">IF(A781="","",IFERROR(VLOOKUP(IF(ISNUMBER(SEARCH("(",C781)),LEFT(C781,SEARCH("(",C781)-1),C781),Tipos!$A:$B,2,FALSE()),"outro"))</f>
        <v/>
      </c>
      <c r="K781" s="7" t="str">
        <f aca="false">IF(I781="","",IFERROR(INDEX('Campos Growths'!$L:$L,MATCH(H781,'Campos Growths'!$A:$A,0)),""))</f>
        <v/>
      </c>
      <c r="L781" s="7" t="str">
        <f aca="false">IF(A781="","",IF(G781="não","Sem tabela no Growths",IF(I781="","Sem campo no Growths",IF(J781=K781,"Importa direto","Ajustar tipo"))))</f>
        <v/>
      </c>
      <c r="M781" s="9"/>
    </row>
    <row r="782" customFormat="false" ht="15" hidden="false" customHeight="false" outlineLevel="0" collapsed="false">
      <c r="A782" s="7" t="str">
        <f aca="false">IF('Outro banco'!A782="","",IF(LEFT('Outro banco'!A782,1)="(","",'Outro banco'!A782))</f>
        <v/>
      </c>
      <c r="B782" s="7" t="str">
        <f aca="false">IF(A782="","",'Outro banco'!B782)</f>
        <v/>
      </c>
      <c r="C782" s="7" t="str">
        <f aca="false">IF(A782="","",'Outro banco'!C782)</f>
        <v/>
      </c>
      <c r="D782" s="7" t="str">
        <f aca="false">IF(A782="","",'Outro banco'!D782)</f>
        <v/>
      </c>
      <c r="E782" s="9"/>
      <c r="F782" s="9"/>
      <c r="G782" s="7" t="str">
        <f aca="false">IF(A782="","",IF(COUNTIF(Tabelas!$A:$A,IF(E782="",A782,E782))&gt;0,"sim","não"))</f>
        <v/>
      </c>
      <c r="H782" s="7" t="str">
        <f aca="false">IF(A782="","",IF(E782="",A782,E782)&amp;"."&amp;IF(F782="",B782,F782))</f>
        <v/>
      </c>
      <c r="I782" s="7" t="str">
        <f aca="false">IF(A782="","",IFERROR(INDEX('Campos Growths'!$F:$F,MATCH(H782,'Campos Growths'!$A:$A,0)),""))</f>
        <v/>
      </c>
      <c r="J782" s="7" t="str">
        <f aca="false">IF(A782="","",IFERROR(VLOOKUP(IF(ISNUMBER(SEARCH("(",C782)),LEFT(C782,SEARCH("(",C782)-1),C782),Tipos!$A:$B,2,FALSE()),"outro"))</f>
        <v/>
      </c>
      <c r="K782" s="7" t="str">
        <f aca="false">IF(I782="","",IFERROR(INDEX('Campos Growths'!$L:$L,MATCH(H782,'Campos Growths'!$A:$A,0)),""))</f>
        <v/>
      </c>
      <c r="L782" s="7" t="str">
        <f aca="false">IF(A782="","",IF(G782="não","Sem tabela no Growths",IF(I782="","Sem campo no Growths",IF(J782=K782,"Importa direto","Ajustar tipo"))))</f>
        <v/>
      </c>
      <c r="M782" s="9"/>
    </row>
    <row r="783" customFormat="false" ht="15" hidden="false" customHeight="false" outlineLevel="0" collapsed="false">
      <c r="A783" s="7" t="str">
        <f aca="false">IF('Outro banco'!A783="","",IF(LEFT('Outro banco'!A783,1)="(","",'Outro banco'!A783))</f>
        <v/>
      </c>
      <c r="B783" s="7" t="str">
        <f aca="false">IF(A783="","",'Outro banco'!B783)</f>
        <v/>
      </c>
      <c r="C783" s="7" t="str">
        <f aca="false">IF(A783="","",'Outro banco'!C783)</f>
        <v/>
      </c>
      <c r="D783" s="7" t="str">
        <f aca="false">IF(A783="","",'Outro banco'!D783)</f>
        <v/>
      </c>
      <c r="E783" s="9"/>
      <c r="F783" s="9"/>
      <c r="G783" s="7" t="str">
        <f aca="false">IF(A783="","",IF(COUNTIF(Tabelas!$A:$A,IF(E783="",A783,E783))&gt;0,"sim","não"))</f>
        <v/>
      </c>
      <c r="H783" s="7" t="str">
        <f aca="false">IF(A783="","",IF(E783="",A783,E783)&amp;"."&amp;IF(F783="",B783,F783))</f>
        <v/>
      </c>
      <c r="I783" s="7" t="str">
        <f aca="false">IF(A783="","",IFERROR(INDEX('Campos Growths'!$F:$F,MATCH(H783,'Campos Growths'!$A:$A,0)),""))</f>
        <v/>
      </c>
      <c r="J783" s="7" t="str">
        <f aca="false">IF(A783="","",IFERROR(VLOOKUP(IF(ISNUMBER(SEARCH("(",C783)),LEFT(C783,SEARCH("(",C783)-1),C783),Tipos!$A:$B,2,FALSE()),"outro"))</f>
        <v/>
      </c>
      <c r="K783" s="7" t="str">
        <f aca="false">IF(I783="","",IFERROR(INDEX('Campos Growths'!$L:$L,MATCH(H783,'Campos Growths'!$A:$A,0)),""))</f>
        <v/>
      </c>
      <c r="L783" s="7" t="str">
        <f aca="false">IF(A783="","",IF(G783="não","Sem tabela no Growths",IF(I783="","Sem campo no Growths",IF(J783=K783,"Importa direto","Ajustar tipo"))))</f>
        <v/>
      </c>
      <c r="M783" s="9"/>
    </row>
    <row r="784" customFormat="false" ht="15" hidden="false" customHeight="false" outlineLevel="0" collapsed="false">
      <c r="A784" s="7" t="str">
        <f aca="false">IF('Outro banco'!A784="","",IF(LEFT('Outro banco'!A784,1)="(","",'Outro banco'!A784))</f>
        <v/>
      </c>
      <c r="B784" s="7" t="str">
        <f aca="false">IF(A784="","",'Outro banco'!B784)</f>
        <v/>
      </c>
      <c r="C784" s="7" t="str">
        <f aca="false">IF(A784="","",'Outro banco'!C784)</f>
        <v/>
      </c>
      <c r="D784" s="7" t="str">
        <f aca="false">IF(A784="","",'Outro banco'!D784)</f>
        <v/>
      </c>
      <c r="E784" s="9"/>
      <c r="F784" s="9"/>
      <c r="G784" s="7" t="str">
        <f aca="false">IF(A784="","",IF(COUNTIF(Tabelas!$A:$A,IF(E784="",A784,E784))&gt;0,"sim","não"))</f>
        <v/>
      </c>
      <c r="H784" s="7" t="str">
        <f aca="false">IF(A784="","",IF(E784="",A784,E784)&amp;"."&amp;IF(F784="",B784,F784))</f>
        <v/>
      </c>
      <c r="I784" s="7" t="str">
        <f aca="false">IF(A784="","",IFERROR(INDEX('Campos Growths'!$F:$F,MATCH(H784,'Campos Growths'!$A:$A,0)),""))</f>
        <v/>
      </c>
      <c r="J784" s="7" t="str">
        <f aca="false">IF(A784="","",IFERROR(VLOOKUP(IF(ISNUMBER(SEARCH("(",C784)),LEFT(C784,SEARCH("(",C784)-1),C784),Tipos!$A:$B,2,FALSE()),"outro"))</f>
        <v/>
      </c>
      <c r="K784" s="7" t="str">
        <f aca="false">IF(I784="","",IFERROR(INDEX('Campos Growths'!$L:$L,MATCH(H784,'Campos Growths'!$A:$A,0)),""))</f>
        <v/>
      </c>
      <c r="L784" s="7" t="str">
        <f aca="false">IF(A784="","",IF(G784="não","Sem tabela no Growths",IF(I784="","Sem campo no Growths",IF(J784=K784,"Importa direto","Ajustar tipo"))))</f>
        <v/>
      </c>
      <c r="M784" s="9"/>
    </row>
    <row r="785" customFormat="false" ht="15" hidden="false" customHeight="false" outlineLevel="0" collapsed="false">
      <c r="A785" s="7" t="str">
        <f aca="false">IF('Outro banco'!A785="","",IF(LEFT('Outro banco'!A785,1)="(","",'Outro banco'!A785))</f>
        <v/>
      </c>
      <c r="B785" s="7" t="str">
        <f aca="false">IF(A785="","",'Outro banco'!B785)</f>
        <v/>
      </c>
      <c r="C785" s="7" t="str">
        <f aca="false">IF(A785="","",'Outro banco'!C785)</f>
        <v/>
      </c>
      <c r="D785" s="7" t="str">
        <f aca="false">IF(A785="","",'Outro banco'!D785)</f>
        <v/>
      </c>
      <c r="E785" s="9"/>
      <c r="F785" s="9"/>
      <c r="G785" s="7" t="str">
        <f aca="false">IF(A785="","",IF(COUNTIF(Tabelas!$A:$A,IF(E785="",A785,E785))&gt;0,"sim","não"))</f>
        <v/>
      </c>
      <c r="H785" s="7" t="str">
        <f aca="false">IF(A785="","",IF(E785="",A785,E785)&amp;"."&amp;IF(F785="",B785,F785))</f>
        <v/>
      </c>
      <c r="I785" s="7" t="str">
        <f aca="false">IF(A785="","",IFERROR(INDEX('Campos Growths'!$F:$F,MATCH(H785,'Campos Growths'!$A:$A,0)),""))</f>
        <v/>
      </c>
      <c r="J785" s="7" t="str">
        <f aca="false">IF(A785="","",IFERROR(VLOOKUP(IF(ISNUMBER(SEARCH("(",C785)),LEFT(C785,SEARCH("(",C785)-1),C785),Tipos!$A:$B,2,FALSE()),"outro"))</f>
        <v/>
      </c>
      <c r="K785" s="7" t="str">
        <f aca="false">IF(I785="","",IFERROR(INDEX('Campos Growths'!$L:$L,MATCH(H785,'Campos Growths'!$A:$A,0)),""))</f>
        <v/>
      </c>
      <c r="L785" s="7" t="str">
        <f aca="false">IF(A785="","",IF(G785="não","Sem tabela no Growths",IF(I785="","Sem campo no Growths",IF(J785=K785,"Importa direto","Ajustar tipo"))))</f>
        <v/>
      </c>
      <c r="M785" s="9"/>
    </row>
    <row r="786" customFormat="false" ht="15" hidden="false" customHeight="false" outlineLevel="0" collapsed="false">
      <c r="A786" s="7" t="str">
        <f aca="false">IF('Outro banco'!A786="","",IF(LEFT('Outro banco'!A786,1)="(","",'Outro banco'!A786))</f>
        <v/>
      </c>
      <c r="B786" s="7" t="str">
        <f aca="false">IF(A786="","",'Outro banco'!B786)</f>
        <v/>
      </c>
      <c r="C786" s="7" t="str">
        <f aca="false">IF(A786="","",'Outro banco'!C786)</f>
        <v/>
      </c>
      <c r="D786" s="7" t="str">
        <f aca="false">IF(A786="","",'Outro banco'!D786)</f>
        <v/>
      </c>
      <c r="E786" s="9"/>
      <c r="F786" s="9"/>
      <c r="G786" s="7" t="str">
        <f aca="false">IF(A786="","",IF(COUNTIF(Tabelas!$A:$A,IF(E786="",A786,E786))&gt;0,"sim","não"))</f>
        <v/>
      </c>
      <c r="H786" s="7" t="str">
        <f aca="false">IF(A786="","",IF(E786="",A786,E786)&amp;"."&amp;IF(F786="",B786,F786))</f>
        <v/>
      </c>
      <c r="I786" s="7" t="str">
        <f aca="false">IF(A786="","",IFERROR(INDEX('Campos Growths'!$F:$F,MATCH(H786,'Campos Growths'!$A:$A,0)),""))</f>
        <v/>
      </c>
      <c r="J786" s="7" t="str">
        <f aca="false">IF(A786="","",IFERROR(VLOOKUP(IF(ISNUMBER(SEARCH("(",C786)),LEFT(C786,SEARCH("(",C786)-1),C786),Tipos!$A:$B,2,FALSE()),"outro"))</f>
        <v/>
      </c>
      <c r="K786" s="7" t="str">
        <f aca="false">IF(I786="","",IFERROR(INDEX('Campos Growths'!$L:$L,MATCH(H786,'Campos Growths'!$A:$A,0)),""))</f>
        <v/>
      </c>
      <c r="L786" s="7" t="str">
        <f aca="false">IF(A786="","",IF(G786="não","Sem tabela no Growths",IF(I786="","Sem campo no Growths",IF(J786=K786,"Importa direto","Ajustar tipo"))))</f>
        <v/>
      </c>
      <c r="M786" s="9"/>
    </row>
    <row r="787" customFormat="false" ht="15" hidden="false" customHeight="false" outlineLevel="0" collapsed="false">
      <c r="A787" s="7" t="str">
        <f aca="false">IF('Outro banco'!A787="","",IF(LEFT('Outro banco'!A787,1)="(","",'Outro banco'!A787))</f>
        <v/>
      </c>
      <c r="B787" s="7" t="str">
        <f aca="false">IF(A787="","",'Outro banco'!B787)</f>
        <v/>
      </c>
      <c r="C787" s="7" t="str">
        <f aca="false">IF(A787="","",'Outro banco'!C787)</f>
        <v/>
      </c>
      <c r="D787" s="7" t="str">
        <f aca="false">IF(A787="","",'Outro banco'!D787)</f>
        <v/>
      </c>
      <c r="E787" s="9"/>
      <c r="F787" s="9"/>
      <c r="G787" s="7" t="str">
        <f aca="false">IF(A787="","",IF(COUNTIF(Tabelas!$A:$A,IF(E787="",A787,E787))&gt;0,"sim","não"))</f>
        <v/>
      </c>
      <c r="H787" s="7" t="str">
        <f aca="false">IF(A787="","",IF(E787="",A787,E787)&amp;"."&amp;IF(F787="",B787,F787))</f>
        <v/>
      </c>
      <c r="I787" s="7" t="str">
        <f aca="false">IF(A787="","",IFERROR(INDEX('Campos Growths'!$F:$F,MATCH(H787,'Campos Growths'!$A:$A,0)),""))</f>
        <v/>
      </c>
      <c r="J787" s="7" t="str">
        <f aca="false">IF(A787="","",IFERROR(VLOOKUP(IF(ISNUMBER(SEARCH("(",C787)),LEFT(C787,SEARCH("(",C787)-1),C787),Tipos!$A:$B,2,FALSE()),"outro"))</f>
        <v/>
      </c>
      <c r="K787" s="7" t="str">
        <f aca="false">IF(I787="","",IFERROR(INDEX('Campos Growths'!$L:$L,MATCH(H787,'Campos Growths'!$A:$A,0)),""))</f>
        <v/>
      </c>
      <c r="L787" s="7" t="str">
        <f aca="false">IF(A787="","",IF(G787="não","Sem tabela no Growths",IF(I787="","Sem campo no Growths",IF(J787=K787,"Importa direto","Ajustar tipo"))))</f>
        <v/>
      </c>
      <c r="M787" s="9"/>
    </row>
    <row r="788" customFormat="false" ht="15" hidden="false" customHeight="false" outlineLevel="0" collapsed="false">
      <c r="A788" s="7" t="str">
        <f aca="false">IF('Outro banco'!A788="","",IF(LEFT('Outro banco'!A788,1)="(","",'Outro banco'!A788))</f>
        <v/>
      </c>
      <c r="B788" s="7" t="str">
        <f aca="false">IF(A788="","",'Outro banco'!B788)</f>
        <v/>
      </c>
      <c r="C788" s="7" t="str">
        <f aca="false">IF(A788="","",'Outro banco'!C788)</f>
        <v/>
      </c>
      <c r="D788" s="7" t="str">
        <f aca="false">IF(A788="","",'Outro banco'!D788)</f>
        <v/>
      </c>
      <c r="E788" s="9"/>
      <c r="F788" s="9"/>
      <c r="G788" s="7" t="str">
        <f aca="false">IF(A788="","",IF(COUNTIF(Tabelas!$A:$A,IF(E788="",A788,E788))&gt;0,"sim","não"))</f>
        <v/>
      </c>
      <c r="H788" s="7" t="str">
        <f aca="false">IF(A788="","",IF(E788="",A788,E788)&amp;"."&amp;IF(F788="",B788,F788))</f>
        <v/>
      </c>
      <c r="I788" s="7" t="str">
        <f aca="false">IF(A788="","",IFERROR(INDEX('Campos Growths'!$F:$F,MATCH(H788,'Campos Growths'!$A:$A,0)),""))</f>
        <v/>
      </c>
      <c r="J788" s="7" t="str">
        <f aca="false">IF(A788="","",IFERROR(VLOOKUP(IF(ISNUMBER(SEARCH("(",C788)),LEFT(C788,SEARCH("(",C788)-1),C788),Tipos!$A:$B,2,FALSE()),"outro"))</f>
        <v/>
      </c>
      <c r="K788" s="7" t="str">
        <f aca="false">IF(I788="","",IFERROR(INDEX('Campos Growths'!$L:$L,MATCH(H788,'Campos Growths'!$A:$A,0)),""))</f>
        <v/>
      </c>
      <c r="L788" s="7" t="str">
        <f aca="false">IF(A788="","",IF(G788="não","Sem tabela no Growths",IF(I788="","Sem campo no Growths",IF(J788=K788,"Importa direto","Ajustar tipo"))))</f>
        <v/>
      </c>
      <c r="M788" s="9"/>
    </row>
    <row r="789" customFormat="false" ht="15" hidden="false" customHeight="false" outlineLevel="0" collapsed="false">
      <c r="A789" s="7" t="str">
        <f aca="false">IF('Outro banco'!A789="","",IF(LEFT('Outro banco'!A789,1)="(","",'Outro banco'!A789))</f>
        <v/>
      </c>
      <c r="B789" s="7" t="str">
        <f aca="false">IF(A789="","",'Outro banco'!B789)</f>
        <v/>
      </c>
      <c r="C789" s="7" t="str">
        <f aca="false">IF(A789="","",'Outro banco'!C789)</f>
        <v/>
      </c>
      <c r="D789" s="7" t="str">
        <f aca="false">IF(A789="","",'Outro banco'!D789)</f>
        <v/>
      </c>
      <c r="E789" s="9"/>
      <c r="F789" s="9"/>
      <c r="G789" s="7" t="str">
        <f aca="false">IF(A789="","",IF(COUNTIF(Tabelas!$A:$A,IF(E789="",A789,E789))&gt;0,"sim","não"))</f>
        <v/>
      </c>
      <c r="H789" s="7" t="str">
        <f aca="false">IF(A789="","",IF(E789="",A789,E789)&amp;"."&amp;IF(F789="",B789,F789))</f>
        <v/>
      </c>
      <c r="I789" s="7" t="str">
        <f aca="false">IF(A789="","",IFERROR(INDEX('Campos Growths'!$F:$F,MATCH(H789,'Campos Growths'!$A:$A,0)),""))</f>
        <v/>
      </c>
      <c r="J789" s="7" t="str">
        <f aca="false">IF(A789="","",IFERROR(VLOOKUP(IF(ISNUMBER(SEARCH("(",C789)),LEFT(C789,SEARCH("(",C789)-1),C789),Tipos!$A:$B,2,FALSE()),"outro"))</f>
        <v/>
      </c>
      <c r="K789" s="7" t="str">
        <f aca="false">IF(I789="","",IFERROR(INDEX('Campos Growths'!$L:$L,MATCH(H789,'Campos Growths'!$A:$A,0)),""))</f>
        <v/>
      </c>
      <c r="L789" s="7" t="str">
        <f aca="false">IF(A789="","",IF(G789="não","Sem tabela no Growths",IF(I789="","Sem campo no Growths",IF(J789=K789,"Importa direto","Ajustar tipo"))))</f>
        <v/>
      </c>
      <c r="M789" s="9"/>
    </row>
    <row r="790" customFormat="false" ht="15" hidden="false" customHeight="false" outlineLevel="0" collapsed="false">
      <c r="A790" s="7" t="str">
        <f aca="false">IF('Outro banco'!A790="","",IF(LEFT('Outro banco'!A790,1)="(","",'Outro banco'!A790))</f>
        <v/>
      </c>
      <c r="B790" s="7" t="str">
        <f aca="false">IF(A790="","",'Outro banco'!B790)</f>
        <v/>
      </c>
      <c r="C790" s="7" t="str">
        <f aca="false">IF(A790="","",'Outro banco'!C790)</f>
        <v/>
      </c>
      <c r="D790" s="7" t="str">
        <f aca="false">IF(A790="","",'Outro banco'!D790)</f>
        <v/>
      </c>
      <c r="E790" s="9"/>
      <c r="F790" s="9"/>
      <c r="G790" s="7" t="str">
        <f aca="false">IF(A790="","",IF(COUNTIF(Tabelas!$A:$A,IF(E790="",A790,E790))&gt;0,"sim","não"))</f>
        <v/>
      </c>
      <c r="H790" s="7" t="str">
        <f aca="false">IF(A790="","",IF(E790="",A790,E790)&amp;"."&amp;IF(F790="",B790,F790))</f>
        <v/>
      </c>
      <c r="I790" s="7" t="str">
        <f aca="false">IF(A790="","",IFERROR(INDEX('Campos Growths'!$F:$F,MATCH(H790,'Campos Growths'!$A:$A,0)),""))</f>
        <v/>
      </c>
      <c r="J790" s="7" t="str">
        <f aca="false">IF(A790="","",IFERROR(VLOOKUP(IF(ISNUMBER(SEARCH("(",C790)),LEFT(C790,SEARCH("(",C790)-1),C790),Tipos!$A:$B,2,FALSE()),"outro"))</f>
        <v/>
      </c>
      <c r="K790" s="7" t="str">
        <f aca="false">IF(I790="","",IFERROR(INDEX('Campos Growths'!$L:$L,MATCH(H790,'Campos Growths'!$A:$A,0)),""))</f>
        <v/>
      </c>
      <c r="L790" s="7" t="str">
        <f aca="false">IF(A790="","",IF(G790="não","Sem tabela no Growths",IF(I790="","Sem campo no Growths",IF(J790=K790,"Importa direto","Ajustar tipo"))))</f>
        <v/>
      </c>
      <c r="M790" s="9"/>
    </row>
    <row r="791" customFormat="false" ht="15" hidden="false" customHeight="false" outlineLevel="0" collapsed="false">
      <c r="A791" s="7" t="str">
        <f aca="false">IF('Outro banco'!A791="","",IF(LEFT('Outro banco'!A791,1)="(","",'Outro banco'!A791))</f>
        <v/>
      </c>
      <c r="B791" s="7" t="str">
        <f aca="false">IF(A791="","",'Outro banco'!B791)</f>
        <v/>
      </c>
      <c r="C791" s="7" t="str">
        <f aca="false">IF(A791="","",'Outro banco'!C791)</f>
        <v/>
      </c>
      <c r="D791" s="7" t="str">
        <f aca="false">IF(A791="","",'Outro banco'!D791)</f>
        <v/>
      </c>
      <c r="E791" s="9"/>
      <c r="F791" s="9"/>
      <c r="G791" s="7" t="str">
        <f aca="false">IF(A791="","",IF(COUNTIF(Tabelas!$A:$A,IF(E791="",A791,E791))&gt;0,"sim","não"))</f>
        <v/>
      </c>
      <c r="H791" s="7" t="str">
        <f aca="false">IF(A791="","",IF(E791="",A791,E791)&amp;"."&amp;IF(F791="",B791,F791))</f>
        <v/>
      </c>
      <c r="I791" s="7" t="str">
        <f aca="false">IF(A791="","",IFERROR(INDEX('Campos Growths'!$F:$F,MATCH(H791,'Campos Growths'!$A:$A,0)),""))</f>
        <v/>
      </c>
      <c r="J791" s="7" t="str">
        <f aca="false">IF(A791="","",IFERROR(VLOOKUP(IF(ISNUMBER(SEARCH("(",C791)),LEFT(C791,SEARCH("(",C791)-1),C791),Tipos!$A:$B,2,FALSE()),"outro"))</f>
        <v/>
      </c>
      <c r="K791" s="7" t="str">
        <f aca="false">IF(I791="","",IFERROR(INDEX('Campos Growths'!$L:$L,MATCH(H791,'Campos Growths'!$A:$A,0)),""))</f>
        <v/>
      </c>
      <c r="L791" s="7" t="str">
        <f aca="false">IF(A791="","",IF(G791="não","Sem tabela no Growths",IF(I791="","Sem campo no Growths",IF(J791=K791,"Importa direto","Ajustar tipo"))))</f>
        <v/>
      </c>
      <c r="M791" s="9"/>
    </row>
    <row r="792" customFormat="false" ht="15" hidden="false" customHeight="false" outlineLevel="0" collapsed="false">
      <c r="A792" s="7" t="str">
        <f aca="false">IF('Outro banco'!A792="","",IF(LEFT('Outro banco'!A792,1)="(","",'Outro banco'!A792))</f>
        <v/>
      </c>
      <c r="B792" s="7" t="str">
        <f aca="false">IF(A792="","",'Outro banco'!B792)</f>
        <v/>
      </c>
      <c r="C792" s="7" t="str">
        <f aca="false">IF(A792="","",'Outro banco'!C792)</f>
        <v/>
      </c>
      <c r="D792" s="7" t="str">
        <f aca="false">IF(A792="","",'Outro banco'!D792)</f>
        <v/>
      </c>
      <c r="E792" s="9"/>
      <c r="F792" s="9"/>
      <c r="G792" s="7" t="str">
        <f aca="false">IF(A792="","",IF(COUNTIF(Tabelas!$A:$A,IF(E792="",A792,E792))&gt;0,"sim","não"))</f>
        <v/>
      </c>
      <c r="H792" s="7" t="str">
        <f aca="false">IF(A792="","",IF(E792="",A792,E792)&amp;"."&amp;IF(F792="",B792,F792))</f>
        <v/>
      </c>
      <c r="I792" s="7" t="str">
        <f aca="false">IF(A792="","",IFERROR(INDEX('Campos Growths'!$F:$F,MATCH(H792,'Campos Growths'!$A:$A,0)),""))</f>
        <v/>
      </c>
      <c r="J792" s="7" t="str">
        <f aca="false">IF(A792="","",IFERROR(VLOOKUP(IF(ISNUMBER(SEARCH("(",C792)),LEFT(C792,SEARCH("(",C792)-1),C792),Tipos!$A:$B,2,FALSE()),"outro"))</f>
        <v/>
      </c>
      <c r="K792" s="7" t="str">
        <f aca="false">IF(I792="","",IFERROR(INDEX('Campos Growths'!$L:$L,MATCH(H792,'Campos Growths'!$A:$A,0)),""))</f>
        <v/>
      </c>
      <c r="L792" s="7" t="str">
        <f aca="false">IF(A792="","",IF(G792="não","Sem tabela no Growths",IF(I792="","Sem campo no Growths",IF(J792=K792,"Importa direto","Ajustar tipo"))))</f>
        <v/>
      </c>
      <c r="M792" s="9"/>
    </row>
    <row r="793" customFormat="false" ht="15" hidden="false" customHeight="false" outlineLevel="0" collapsed="false">
      <c r="A793" s="7" t="str">
        <f aca="false">IF('Outro banco'!A793="","",IF(LEFT('Outro banco'!A793,1)="(","",'Outro banco'!A793))</f>
        <v/>
      </c>
      <c r="B793" s="7" t="str">
        <f aca="false">IF(A793="","",'Outro banco'!B793)</f>
        <v/>
      </c>
      <c r="C793" s="7" t="str">
        <f aca="false">IF(A793="","",'Outro banco'!C793)</f>
        <v/>
      </c>
      <c r="D793" s="7" t="str">
        <f aca="false">IF(A793="","",'Outro banco'!D793)</f>
        <v/>
      </c>
      <c r="E793" s="9"/>
      <c r="F793" s="9"/>
      <c r="G793" s="7" t="str">
        <f aca="false">IF(A793="","",IF(COUNTIF(Tabelas!$A:$A,IF(E793="",A793,E793))&gt;0,"sim","não"))</f>
        <v/>
      </c>
      <c r="H793" s="7" t="str">
        <f aca="false">IF(A793="","",IF(E793="",A793,E793)&amp;"."&amp;IF(F793="",B793,F793))</f>
        <v/>
      </c>
      <c r="I793" s="7" t="str">
        <f aca="false">IF(A793="","",IFERROR(INDEX('Campos Growths'!$F:$F,MATCH(H793,'Campos Growths'!$A:$A,0)),""))</f>
        <v/>
      </c>
      <c r="J793" s="7" t="str">
        <f aca="false">IF(A793="","",IFERROR(VLOOKUP(IF(ISNUMBER(SEARCH("(",C793)),LEFT(C793,SEARCH("(",C793)-1),C793),Tipos!$A:$B,2,FALSE()),"outro"))</f>
        <v/>
      </c>
      <c r="K793" s="7" t="str">
        <f aca="false">IF(I793="","",IFERROR(INDEX('Campos Growths'!$L:$L,MATCH(H793,'Campos Growths'!$A:$A,0)),""))</f>
        <v/>
      </c>
      <c r="L793" s="7" t="str">
        <f aca="false">IF(A793="","",IF(G793="não","Sem tabela no Growths",IF(I793="","Sem campo no Growths",IF(J793=K793,"Importa direto","Ajustar tipo"))))</f>
        <v/>
      </c>
      <c r="M793" s="9"/>
    </row>
    <row r="794" customFormat="false" ht="15" hidden="false" customHeight="false" outlineLevel="0" collapsed="false">
      <c r="A794" s="7" t="str">
        <f aca="false">IF('Outro banco'!A794="","",IF(LEFT('Outro banco'!A794,1)="(","",'Outro banco'!A794))</f>
        <v/>
      </c>
      <c r="B794" s="7" t="str">
        <f aca="false">IF(A794="","",'Outro banco'!B794)</f>
        <v/>
      </c>
      <c r="C794" s="7" t="str">
        <f aca="false">IF(A794="","",'Outro banco'!C794)</f>
        <v/>
      </c>
      <c r="D794" s="7" t="str">
        <f aca="false">IF(A794="","",'Outro banco'!D794)</f>
        <v/>
      </c>
      <c r="E794" s="9"/>
      <c r="F794" s="9"/>
      <c r="G794" s="7" t="str">
        <f aca="false">IF(A794="","",IF(COUNTIF(Tabelas!$A:$A,IF(E794="",A794,E794))&gt;0,"sim","não"))</f>
        <v/>
      </c>
      <c r="H794" s="7" t="str">
        <f aca="false">IF(A794="","",IF(E794="",A794,E794)&amp;"."&amp;IF(F794="",B794,F794))</f>
        <v/>
      </c>
      <c r="I794" s="7" t="str">
        <f aca="false">IF(A794="","",IFERROR(INDEX('Campos Growths'!$F:$F,MATCH(H794,'Campos Growths'!$A:$A,0)),""))</f>
        <v/>
      </c>
      <c r="J794" s="7" t="str">
        <f aca="false">IF(A794="","",IFERROR(VLOOKUP(IF(ISNUMBER(SEARCH("(",C794)),LEFT(C794,SEARCH("(",C794)-1),C794),Tipos!$A:$B,2,FALSE()),"outro"))</f>
        <v/>
      </c>
      <c r="K794" s="7" t="str">
        <f aca="false">IF(I794="","",IFERROR(INDEX('Campos Growths'!$L:$L,MATCH(H794,'Campos Growths'!$A:$A,0)),""))</f>
        <v/>
      </c>
      <c r="L794" s="7" t="str">
        <f aca="false">IF(A794="","",IF(G794="não","Sem tabela no Growths",IF(I794="","Sem campo no Growths",IF(J794=K794,"Importa direto","Ajustar tipo"))))</f>
        <v/>
      </c>
      <c r="M794" s="9"/>
    </row>
    <row r="795" customFormat="false" ht="15" hidden="false" customHeight="false" outlineLevel="0" collapsed="false">
      <c r="A795" s="7" t="str">
        <f aca="false">IF('Outro banco'!A795="","",IF(LEFT('Outro banco'!A795,1)="(","",'Outro banco'!A795))</f>
        <v/>
      </c>
      <c r="B795" s="7" t="str">
        <f aca="false">IF(A795="","",'Outro banco'!B795)</f>
        <v/>
      </c>
      <c r="C795" s="7" t="str">
        <f aca="false">IF(A795="","",'Outro banco'!C795)</f>
        <v/>
      </c>
      <c r="D795" s="7" t="str">
        <f aca="false">IF(A795="","",'Outro banco'!D795)</f>
        <v/>
      </c>
      <c r="E795" s="9"/>
      <c r="F795" s="9"/>
      <c r="G795" s="7" t="str">
        <f aca="false">IF(A795="","",IF(COUNTIF(Tabelas!$A:$A,IF(E795="",A795,E795))&gt;0,"sim","não"))</f>
        <v/>
      </c>
      <c r="H795" s="7" t="str">
        <f aca="false">IF(A795="","",IF(E795="",A795,E795)&amp;"."&amp;IF(F795="",B795,F795))</f>
        <v/>
      </c>
      <c r="I795" s="7" t="str">
        <f aca="false">IF(A795="","",IFERROR(INDEX('Campos Growths'!$F:$F,MATCH(H795,'Campos Growths'!$A:$A,0)),""))</f>
        <v/>
      </c>
      <c r="J795" s="7" t="str">
        <f aca="false">IF(A795="","",IFERROR(VLOOKUP(IF(ISNUMBER(SEARCH("(",C795)),LEFT(C795,SEARCH("(",C795)-1),C795),Tipos!$A:$B,2,FALSE()),"outro"))</f>
        <v/>
      </c>
      <c r="K795" s="7" t="str">
        <f aca="false">IF(I795="","",IFERROR(INDEX('Campos Growths'!$L:$L,MATCH(H795,'Campos Growths'!$A:$A,0)),""))</f>
        <v/>
      </c>
      <c r="L795" s="7" t="str">
        <f aca="false">IF(A795="","",IF(G795="não","Sem tabela no Growths",IF(I795="","Sem campo no Growths",IF(J795=K795,"Importa direto","Ajustar tipo"))))</f>
        <v/>
      </c>
      <c r="M795" s="9"/>
    </row>
    <row r="796" customFormat="false" ht="15" hidden="false" customHeight="false" outlineLevel="0" collapsed="false">
      <c r="A796" s="7" t="str">
        <f aca="false">IF('Outro banco'!A796="","",IF(LEFT('Outro banco'!A796,1)="(","",'Outro banco'!A796))</f>
        <v/>
      </c>
      <c r="B796" s="7" t="str">
        <f aca="false">IF(A796="","",'Outro banco'!B796)</f>
        <v/>
      </c>
      <c r="C796" s="7" t="str">
        <f aca="false">IF(A796="","",'Outro banco'!C796)</f>
        <v/>
      </c>
      <c r="D796" s="7" t="str">
        <f aca="false">IF(A796="","",'Outro banco'!D796)</f>
        <v/>
      </c>
      <c r="E796" s="9"/>
      <c r="F796" s="9"/>
      <c r="G796" s="7" t="str">
        <f aca="false">IF(A796="","",IF(COUNTIF(Tabelas!$A:$A,IF(E796="",A796,E796))&gt;0,"sim","não"))</f>
        <v/>
      </c>
      <c r="H796" s="7" t="str">
        <f aca="false">IF(A796="","",IF(E796="",A796,E796)&amp;"."&amp;IF(F796="",B796,F796))</f>
        <v/>
      </c>
      <c r="I796" s="7" t="str">
        <f aca="false">IF(A796="","",IFERROR(INDEX('Campos Growths'!$F:$F,MATCH(H796,'Campos Growths'!$A:$A,0)),""))</f>
        <v/>
      </c>
      <c r="J796" s="7" t="str">
        <f aca="false">IF(A796="","",IFERROR(VLOOKUP(IF(ISNUMBER(SEARCH("(",C796)),LEFT(C796,SEARCH("(",C796)-1),C796),Tipos!$A:$B,2,FALSE()),"outro"))</f>
        <v/>
      </c>
      <c r="K796" s="7" t="str">
        <f aca="false">IF(I796="","",IFERROR(INDEX('Campos Growths'!$L:$L,MATCH(H796,'Campos Growths'!$A:$A,0)),""))</f>
        <v/>
      </c>
      <c r="L796" s="7" t="str">
        <f aca="false">IF(A796="","",IF(G796="não","Sem tabela no Growths",IF(I796="","Sem campo no Growths",IF(J796=K796,"Importa direto","Ajustar tipo"))))</f>
        <v/>
      </c>
      <c r="M796" s="9"/>
    </row>
    <row r="797" customFormat="false" ht="15" hidden="false" customHeight="false" outlineLevel="0" collapsed="false">
      <c r="A797" s="7" t="str">
        <f aca="false">IF('Outro banco'!A797="","",IF(LEFT('Outro banco'!A797,1)="(","",'Outro banco'!A797))</f>
        <v/>
      </c>
      <c r="B797" s="7" t="str">
        <f aca="false">IF(A797="","",'Outro banco'!B797)</f>
        <v/>
      </c>
      <c r="C797" s="7" t="str">
        <f aca="false">IF(A797="","",'Outro banco'!C797)</f>
        <v/>
      </c>
      <c r="D797" s="7" t="str">
        <f aca="false">IF(A797="","",'Outro banco'!D797)</f>
        <v/>
      </c>
      <c r="E797" s="9"/>
      <c r="F797" s="9"/>
      <c r="G797" s="7" t="str">
        <f aca="false">IF(A797="","",IF(COUNTIF(Tabelas!$A:$A,IF(E797="",A797,E797))&gt;0,"sim","não"))</f>
        <v/>
      </c>
      <c r="H797" s="7" t="str">
        <f aca="false">IF(A797="","",IF(E797="",A797,E797)&amp;"."&amp;IF(F797="",B797,F797))</f>
        <v/>
      </c>
      <c r="I797" s="7" t="str">
        <f aca="false">IF(A797="","",IFERROR(INDEX('Campos Growths'!$F:$F,MATCH(H797,'Campos Growths'!$A:$A,0)),""))</f>
        <v/>
      </c>
      <c r="J797" s="7" t="str">
        <f aca="false">IF(A797="","",IFERROR(VLOOKUP(IF(ISNUMBER(SEARCH("(",C797)),LEFT(C797,SEARCH("(",C797)-1),C797),Tipos!$A:$B,2,FALSE()),"outro"))</f>
        <v/>
      </c>
      <c r="K797" s="7" t="str">
        <f aca="false">IF(I797="","",IFERROR(INDEX('Campos Growths'!$L:$L,MATCH(H797,'Campos Growths'!$A:$A,0)),""))</f>
        <v/>
      </c>
      <c r="L797" s="7" t="str">
        <f aca="false">IF(A797="","",IF(G797="não","Sem tabela no Growths",IF(I797="","Sem campo no Growths",IF(J797=K797,"Importa direto","Ajustar tipo"))))</f>
        <v/>
      </c>
      <c r="M797" s="9"/>
    </row>
    <row r="798" customFormat="false" ht="15" hidden="false" customHeight="false" outlineLevel="0" collapsed="false">
      <c r="A798" s="7" t="str">
        <f aca="false">IF('Outro banco'!A798="","",IF(LEFT('Outro banco'!A798,1)="(","",'Outro banco'!A798))</f>
        <v/>
      </c>
      <c r="B798" s="7" t="str">
        <f aca="false">IF(A798="","",'Outro banco'!B798)</f>
        <v/>
      </c>
      <c r="C798" s="7" t="str">
        <f aca="false">IF(A798="","",'Outro banco'!C798)</f>
        <v/>
      </c>
      <c r="D798" s="7" t="str">
        <f aca="false">IF(A798="","",'Outro banco'!D798)</f>
        <v/>
      </c>
      <c r="E798" s="9"/>
      <c r="F798" s="9"/>
      <c r="G798" s="7" t="str">
        <f aca="false">IF(A798="","",IF(COUNTIF(Tabelas!$A:$A,IF(E798="",A798,E798))&gt;0,"sim","não"))</f>
        <v/>
      </c>
      <c r="H798" s="7" t="str">
        <f aca="false">IF(A798="","",IF(E798="",A798,E798)&amp;"."&amp;IF(F798="",B798,F798))</f>
        <v/>
      </c>
      <c r="I798" s="7" t="str">
        <f aca="false">IF(A798="","",IFERROR(INDEX('Campos Growths'!$F:$F,MATCH(H798,'Campos Growths'!$A:$A,0)),""))</f>
        <v/>
      </c>
      <c r="J798" s="7" t="str">
        <f aca="false">IF(A798="","",IFERROR(VLOOKUP(IF(ISNUMBER(SEARCH("(",C798)),LEFT(C798,SEARCH("(",C798)-1),C798),Tipos!$A:$B,2,FALSE()),"outro"))</f>
        <v/>
      </c>
      <c r="K798" s="7" t="str">
        <f aca="false">IF(I798="","",IFERROR(INDEX('Campos Growths'!$L:$L,MATCH(H798,'Campos Growths'!$A:$A,0)),""))</f>
        <v/>
      </c>
      <c r="L798" s="7" t="str">
        <f aca="false">IF(A798="","",IF(G798="não","Sem tabela no Growths",IF(I798="","Sem campo no Growths",IF(J798=K798,"Importa direto","Ajustar tipo"))))</f>
        <v/>
      </c>
      <c r="M798" s="9"/>
    </row>
    <row r="799" customFormat="false" ht="15" hidden="false" customHeight="false" outlineLevel="0" collapsed="false">
      <c r="A799" s="7" t="str">
        <f aca="false">IF('Outro banco'!A799="","",IF(LEFT('Outro banco'!A799,1)="(","",'Outro banco'!A799))</f>
        <v/>
      </c>
      <c r="B799" s="7" t="str">
        <f aca="false">IF(A799="","",'Outro banco'!B799)</f>
        <v/>
      </c>
      <c r="C799" s="7" t="str">
        <f aca="false">IF(A799="","",'Outro banco'!C799)</f>
        <v/>
      </c>
      <c r="D799" s="7" t="str">
        <f aca="false">IF(A799="","",'Outro banco'!D799)</f>
        <v/>
      </c>
      <c r="E799" s="9"/>
      <c r="F799" s="9"/>
      <c r="G799" s="7" t="str">
        <f aca="false">IF(A799="","",IF(COUNTIF(Tabelas!$A:$A,IF(E799="",A799,E799))&gt;0,"sim","não"))</f>
        <v/>
      </c>
      <c r="H799" s="7" t="str">
        <f aca="false">IF(A799="","",IF(E799="",A799,E799)&amp;"."&amp;IF(F799="",B799,F799))</f>
        <v/>
      </c>
      <c r="I799" s="7" t="str">
        <f aca="false">IF(A799="","",IFERROR(INDEX('Campos Growths'!$F:$F,MATCH(H799,'Campos Growths'!$A:$A,0)),""))</f>
        <v/>
      </c>
      <c r="J799" s="7" t="str">
        <f aca="false">IF(A799="","",IFERROR(VLOOKUP(IF(ISNUMBER(SEARCH("(",C799)),LEFT(C799,SEARCH("(",C799)-1),C799),Tipos!$A:$B,2,FALSE()),"outro"))</f>
        <v/>
      </c>
      <c r="K799" s="7" t="str">
        <f aca="false">IF(I799="","",IFERROR(INDEX('Campos Growths'!$L:$L,MATCH(H799,'Campos Growths'!$A:$A,0)),""))</f>
        <v/>
      </c>
      <c r="L799" s="7" t="str">
        <f aca="false">IF(A799="","",IF(G799="não","Sem tabela no Growths",IF(I799="","Sem campo no Growths",IF(J799=K799,"Importa direto","Ajustar tipo"))))</f>
        <v/>
      </c>
      <c r="M799" s="9"/>
    </row>
    <row r="800" customFormat="false" ht="15" hidden="false" customHeight="false" outlineLevel="0" collapsed="false">
      <c r="A800" s="7" t="str">
        <f aca="false">IF('Outro banco'!A800="","",IF(LEFT('Outro banco'!A800,1)="(","",'Outro banco'!A800))</f>
        <v/>
      </c>
      <c r="B800" s="7" t="str">
        <f aca="false">IF(A800="","",'Outro banco'!B800)</f>
        <v/>
      </c>
      <c r="C800" s="7" t="str">
        <f aca="false">IF(A800="","",'Outro banco'!C800)</f>
        <v/>
      </c>
      <c r="D800" s="7" t="str">
        <f aca="false">IF(A800="","",'Outro banco'!D800)</f>
        <v/>
      </c>
      <c r="E800" s="9"/>
      <c r="F800" s="9"/>
      <c r="G800" s="7" t="str">
        <f aca="false">IF(A800="","",IF(COUNTIF(Tabelas!$A:$A,IF(E800="",A800,E800))&gt;0,"sim","não"))</f>
        <v/>
      </c>
      <c r="H800" s="7" t="str">
        <f aca="false">IF(A800="","",IF(E800="",A800,E800)&amp;"."&amp;IF(F800="",B800,F800))</f>
        <v/>
      </c>
      <c r="I800" s="7" t="str">
        <f aca="false">IF(A800="","",IFERROR(INDEX('Campos Growths'!$F:$F,MATCH(H800,'Campos Growths'!$A:$A,0)),""))</f>
        <v/>
      </c>
      <c r="J800" s="7" t="str">
        <f aca="false">IF(A800="","",IFERROR(VLOOKUP(IF(ISNUMBER(SEARCH("(",C800)),LEFT(C800,SEARCH("(",C800)-1),C800),Tipos!$A:$B,2,FALSE()),"outro"))</f>
        <v/>
      </c>
      <c r="K800" s="7" t="str">
        <f aca="false">IF(I800="","",IFERROR(INDEX('Campos Growths'!$L:$L,MATCH(H800,'Campos Growths'!$A:$A,0)),""))</f>
        <v/>
      </c>
      <c r="L800" s="7" t="str">
        <f aca="false">IF(A800="","",IF(G800="não","Sem tabela no Growths",IF(I800="","Sem campo no Growths",IF(J800=K800,"Importa direto","Ajustar tipo"))))</f>
        <v/>
      </c>
      <c r="M800" s="9"/>
    </row>
    <row r="801" customFormat="false" ht="15" hidden="false" customHeight="false" outlineLevel="0" collapsed="false">
      <c r="A801" s="7" t="str">
        <f aca="false">IF('Outro banco'!A801="","",IF(LEFT('Outro banco'!A801,1)="(","",'Outro banco'!A801))</f>
        <v/>
      </c>
      <c r="B801" s="7" t="str">
        <f aca="false">IF(A801="","",'Outro banco'!B801)</f>
        <v/>
      </c>
      <c r="C801" s="7" t="str">
        <f aca="false">IF(A801="","",'Outro banco'!C801)</f>
        <v/>
      </c>
      <c r="D801" s="7" t="str">
        <f aca="false">IF(A801="","",'Outro banco'!D801)</f>
        <v/>
      </c>
      <c r="E801" s="9"/>
      <c r="F801" s="9"/>
      <c r="G801" s="7" t="str">
        <f aca="false">IF(A801="","",IF(COUNTIF(Tabelas!$A:$A,IF(E801="",A801,E801))&gt;0,"sim","não"))</f>
        <v/>
      </c>
      <c r="H801" s="7" t="str">
        <f aca="false">IF(A801="","",IF(E801="",A801,E801)&amp;"."&amp;IF(F801="",B801,F801))</f>
        <v/>
      </c>
      <c r="I801" s="7" t="str">
        <f aca="false">IF(A801="","",IFERROR(INDEX('Campos Growths'!$F:$F,MATCH(H801,'Campos Growths'!$A:$A,0)),""))</f>
        <v/>
      </c>
      <c r="J801" s="7" t="str">
        <f aca="false">IF(A801="","",IFERROR(VLOOKUP(IF(ISNUMBER(SEARCH("(",C801)),LEFT(C801,SEARCH("(",C801)-1),C801),Tipos!$A:$B,2,FALSE()),"outro"))</f>
        <v/>
      </c>
      <c r="K801" s="7" t="str">
        <f aca="false">IF(I801="","",IFERROR(INDEX('Campos Growths'!$L:$L,MATCH(H801,'Campos Growths'!$A:$A,0)),""))</f>
        <v/>
      </c>
      <c r="L801" s="7" t="str">
        <f aca="false">IF(A801="","",IF(G801="não","Sem tabela no Growths",IF(I801="","Sem campo no Growths",IF(J801=K801,"Importa direto","Ajustar tipo"))))</f>
        <v/>
      </c>
      <c r="M801" s="9"/>
    </row>
    <row r="802" customFormat="false" ht="15" hidden="false" customHeight="false" outlineLevel="0" collapsed="false">
      <c r="A802" s="7" t="str">
        <f aca="false">IF('Outro banco'!A802="","",IF(LEFT('Outro banco'!A802,1)="(","",'Outro banco'!A802))</f>
        <v/>
      </c>
      <c r="B802" s="7" t="str">
        <f aca="false">IF(A802="","",'Outro banco'!B802)</f>
        <v/>
      </c>
      <c r="C802" s="7" t="str">
        <f aca="false">IF(A802="","",'Outro banco'!C802)</f>
        <v/>
      </c>
      <c r="D802" s="7" t="str">
        <f aca="false">IF(A802="","",'Outro banco'!D802)</f>
        <v/>
      </c>
      <c r="E802" s="9"/>
      <c r="F802" s="9"/>
      <c r="G802" s="7" t="str">
        <f aca="false">IF(A802="","",IF(COUNTIF(Tabelas!$A:$A,IF(E802="",A802,E802))&gt;0,"sim","não"))</f>
        <v/>
      </c>
      <c r="H802" s="7" t="str">
        <f aca="false">IF(A802="","",IF(E802="",A802,E802)&amp;"."&amp;IF(F802="",B802,F802))</f>
        <v/>
      </c>
      <c r="I802" s="7" t="str">
        <f aca="false">IF(A802="","",IFERROR(INDEX('Campos Growths'!$F:$F,MATCH(H802,'Campos Growths'!$A:$A,0)),""))</f>
        <v/>
      </c>
      <c r="J802" s="7" t="str">
        <f aca="false">IF(A802="","",IFERROR(VLOOKUP(IF(ISNUMBER(SEARCH("(",C802)),LEFT(C802,SEARCH("(",C802)-1),C802),Tipos!$A:$B,2,FALSE()),"outro"))</f>
        <v/>
      </c>
      <c r="K802" s="7" t="str">
        <f aca="false">IF(I802="","",IFERROR(INDEX('Campos Growths'!$L:$L,MATCH(H802,'Campos Growths'!$A:$A,0)),""))</f>
        <v/>
      </c>
      <c r="L802" s="7" t="str">
        <f aca="false">IF(A802="","",IF(G802="não","Sem tabela no Growths",IF(I802="","Sem campo no Growths",IF(J802=K802,"Importa direto","Ajustar tipo"))))</f>
        <v/>
      </c>
      <c r="M802" s="9"/>
    </row>
    <row r="803" customFormat="false" ht="15" hidden="false" customHeight="false" outlineLevel="0" collapsed="false">
      <c r="A803" s="7" t="str">
        <f aca="false">IF('Outro banco'!A803="","",IF(LEFT('Outro banco'!A803,1)="(","",'Outro banco'!A803))</f>
        <v/>
      </c>
      <c r="B803" s="7" t="str">
        <f aca="false">IF(A803="","",'Outro banco'!B803)</f>
        <v/>
      </c>
      <c r="C803" s="7" t="str">
        <f aca="false">IF(A803="","",'Outro banco'!C803)</f>
        <v/>
      </c>
      <c r="D803" s="7" t="str">
        <f aca="false">IF(A803="","",'Outro banco'!D803)</f>
        <v/>
      </c>
      <c r="E803" s="9"/>
      <c r="F803" s="9"/>
      <c r="G803" s="7" t="str">
        <f aca="false">IF(A803="","",IF(COUNTIF(Tabelas!$A:$A,IF(E803="",A803,E803))&gt;0,"sim","não"))</f>
        <v/>
      </c>
      <c r="H803" s="7" t="str">
        <f aca="false">IF(A803="","",IF(E803="",A803,E803)&amp;"."&amp;IF(F803="",B803,F803))</f>
        <v/>
      </c>
      <c r="I803" s="7" t="str">
        <f aca="false">IF(A803="","",IFERROR(INDEX('Campos Growths'!$F:$F,MATCH(H803,'Campos Growths'!$A:$A,0)),""))</f>
        <v/>
      </c>
      <c r="J803" s="7" t="str">
        <f aca="false">IF(A803="","",IFERROR(VLOOKUP(IF(ISNUMBER(SEARCH("(",C803)),LEFT(C803,SEARCH("(",C803)-1),C803),Tipos!$A:$B,2,FALSE()),"outro"))</f>
        <v/>
      </c>
      <c r="K803" s="7" t="str">
        <f aca="false">IF(I803="","",IFERROR(INDEX('Campos Growths'!$L:$L,MATCH(H803,'Campos Growths'!$A:$A,0)),""))</f>
        <v/>
      </c>
      <c r="L803" s="7" t="str">
        <f aca="false">IF(A803="","",IF(G803="não","Sem tabela no Growths",IF(I803="","Sem campo no Growths",IF(J803=K803,"Importa direto","Ajustar tipo"))))</f>
        <v/>
      </c>
      <c r="M803" s="9"/>
    </row>
    <row r="804" customFormat="false" ht="15" hidden="false" customHeight="false" outlineLevel="0" collapsed="false">
      <c r="A804" s="7" t="str">
        <f aca="false">IF('Outro banco'!A804="","",IF(LEFT('Outro banco'!A804,1)="(","",'Outro banco'!A804))</f>
        <v/>
      </c>
      <c r="B804" s="7" t="str">
        <f aca="false">IF(A804="","",'Outro banco'!B804)</f>
        <v/>
      </c>
      <c r="C804" s="7" t="str">
        <f aca="false">IF(A804="","",'Outro banco'!C804)</f>
        <v/>
      </c>
      <c r="D804" s="7" t="str">
        <f aca="false">IF(A804="","",'Outro banco'!D804)</f>
        <v/>
      </c>
      <c r="E804" s="9"/>
      <c r="F804" s="9"/>
      <c r="G804" s="7" t="str">
        <f aca="false">IF(A804="","",IF(COUNTIF(Tabelas!$A:$A,IF(E804="",A804,E804))&gt;0,"sim","não"))</f>
        <v/>
      </c>
      <c r="H804" s="7" t="str">
        <f aca="false">IF(A804="","",IF(E804="",A804,E804)&amp;"."&amp;IF(F804="",B804,F804))</f>
        <v/>
      </c>
      <c r="I804" s="7" t="str">
        <f aca="false">IF(A804="","",IFERROR(INDEX('Campos Growths'!$F:$F,MATCH(H804,'Campos Growths'!$A:$A,0)),""))</f>
        <v/>
      </c>
      <c r="J804" s="7" t="str">
        <f aca="false">IF(A804="","",IFERROR(VLOOKUP(IF(ISNUMBER(SEARCH("(",C804)),LEFT(C804,SEARCH("(",C804)-1),C804),Tipos!$A:$B,2,FALSE()),"outro"))</f>
        <v/>
      </c>
      <c r="K804" s="7" t="str">
        <f aca="false">IF(I804="","",IFERROR(INDEX('Campos Growths'!$L:$L,MATCH(H804,'Campos Growths'!$A:$A,0)),""))</f>
        <v/>
      </c>
      <c r="L804" s="7" t="str">
        <f aca="false">IF(A804="","",IF(G804="não","Sem tabela no Growths",IF(I804="","Sem campo no Growths",IF(J804=K804,"Importa direto","Ajustar tipo"))))</f>
        <v/>
      </c>
      <c r="M804" s="9"/>
    </row>
    <row r="805" customFormat="false" ht="15" hidden="false" customHeight="false" outlineLevel="0" collapsed="false">
      <c r="A805" s="7" t="str">
        <f aca="false">IF('Outro banco'!A805="","",IF(LEFT('Outro banco'!A805,1)="(","",'Outro banco'!A805))</f>
        <v/>
      </c>
      <c r="B805" s="7" t="str">
        <f aca="false">IF(A805="","",'Outro banco'!B805)</f>
        <v/>
      </c>
      <c r="C805" s="7" t="str">
        <f aca="false">IF(A805="","",'Outro banco'!C805)</f>
        <v/>
      </c>
      <c r="D805" s="7" t="str">
        <f aca="false">IF(A805="","",'Outro banco'!D805)</f>
        <v/>
      </c>
      <c r="E805" s="9"/>
      <c r="F805" s="9"/>
      <c r="G805" s="7" t="str">
        <f aca="false">IF(A805="","",IF(COUNTIF(Tabelas!$A:$A,IF(E805="",A805,E805))&gt;0,"sim","não"))</f>
        <v/>
      </c>
      <c r="H805" s="7" t="str">
        <f aca="false">IF(A805="","",IF(E805="",A805,E805)&amp;"."&amp;IF(F805="",B805,F805))</f>
        <v/>
      </c>
      <c r="I805" s="7" t="str">
        <f aca="false">IF(A805="","",IFERROR(INDEX('Campos Growths'!$F:$F,MATCH(H805,'Campos Growths'!$A:$A,0)),""))</f>
        <v/>
      </c>
      <c r="J805" s="7" t="str">
        <f aca="false">IF(A805="","",IFERROR(VLOOKUP(IF(ISNUMBER(SEARCH("(",C805)),LEFT(C805,SEARCH("(",C805)-1),C805),Tipos!$A:$B,2,FALSE()),"outro"))</f>
        <v/>
      </c>
      <c r="K805" s="7" t="str">
        <f aca="false">IF(I805="","",IFERROR(INDEX('Campos Growths'!$L:$L,MATCH(H805,'Campos Growths'!$A:$A,0)),""))</f>
        <v/>
      </c>
      <c r="L805" s="7" t="str">
        <f aca="false">IF(A805="","",IF(G805="não","Sem tabela no Growths",IF(I805="","Sem campo no Growths",IF(J805=K805,"Importa direto","Ajustar tipo"))))</f>
        <v/>
      </c>
      <c r="M805" s="9"/>
    </row>
    <row r="806" customFormat="false" ht="15" hidden="false" customHeight="false" outlineLevel="0" collapsed="false">
      <c r="A806" s="7" t="str">
        <f aca="false">IF('Outro banco'!A806="","",IF(LEFT('Outro banco'!A806,1)="(","",'Outro banco'!A806))</f>
        <v/>
      </c>
      <c r="B806" s="7" t="str">
        <f aca="false">IF(A806="","",'Outro banco'!B806)</f>
        <v/>
      </c>
      <c r="C806" s="7" t="str">
        <f aca="false">IF(A806="","",'Outro banco'!C806)</f>
        <v/>
      </c>
      <c r="D806" s="7" t="str">
        <f aca="false">IF(A806="","",'Outro banco'!D806)</f>
        <v/>
      </c>
      <c r="E806" s="9"/>
      <c r="F806" s="9"/>
      <c r="G806" s="7" t="str">
        <f aca="false">IF(A806="","",IF(COUNTIF(Tabelas!$A:$A,IF(E806="",A806,E806))&gt;0,"sim","não"))</f>
        <v/>
      </c>
      <c r="H806" s="7" t="str">
        <f aca="false">IF(A806="","",IF(E806="",A806,E806)&amp;"."&amp;IF(F806="",B806,F806))</f>
        <v/>
      </c>
      <c r="I806" s="7" t="str">
        <f aca="false">IF(A806="","",IFERROR(INDEX('Campos Growths'!$F:$F,MATCH(H806,'Campos Growths'!$A:$A,0)),""))</f>
        <v/>
      </c>
      <c r="J806" s="7" t="str">
        <f aca="false">IF(A806="","",IFERROR(VLOOKUP(IF(ISNUMBER(SEARCH("(",C806)),LEFT(C806,SEARCH("(",C806)-1),C806),Tipos!$A:$B,2,FALSE()),"outro"))</f>
        <v/>
      </c>
      <c r="K806" s="7" t="str">
        <f aca="false">IF(I806="","",IFERROR(INDEX('Campos Growths'!$L:$L,MATCH(H806,'Campos Growths'!$A:$A,0)),""))</f>
        <v/>
      </c>
      <c r="L806" s="7" t="str">
        <f aca="false">IF(A806="","",IF(G806="não","Sem tabela no Growths",IF(I806="","Sem campo no Growths",IF(J806=K806,"Importa direto","Ajustar tipo"))))</f>
        <v/>
      </c>
      <c r="M806" s="9"/>
    </row>
    <row r="807" customFormat="false" ht="15" hidden="false" customHeight="false" outlineLevel="0" collapsed="false">
      <c r="A807" s="7" t="str">
        <f aca="false">IF('Outro banco'!A807="","",IF(LEFT('Outro banco'!A807,1)="(","",'Outro banco'!A807))</f>
        <v/>
      </c>
      <c r="B807" s="7" t="str">
        <f aca="false">IF(A807="","",'Outro banco'!B807)</f>
        <v/>
      </c>
      <c r="C807" s="7" t="str">
        <f aca="false">IF(A807="","",'Outro banco'!C807)</f>
        <v/>
      </c>
      <c r="D807" s="7" t="str">
        <f aca="false">IF(A807="","",'Outro banco'!D807)</f>
        <v/>
      </c>
      <c r="E807" s="9"/>
      <c r="F807" s="9"/>
      <c r="G807" s="7" t="str">
        <f aca="false">IF(A807="","",IF(COUNTIF(Tabelas!$A:$A,IF(E807="",A807,E807))&gt;0,"sim","não"))</f>
        <v/>
      </c>
      <c r="H807" s="7" t="str">
        <f aca="false">IF(A807="","",IF(E807="",A807,E807)&amp;"."&amp;IF(F807="",B807,F807))</f>
        <v/>
      </c>
      <c r="I807" s="7" t="str">
        <f aca="false">IF(A807="","",IFERROR(INDEX('Campos Growths'!$F:$F,MATCH(H807,'Campos Growths'!$A:$A,0)),""))</f>
        <v/>
      </c>
      <c r="J807" s="7" t="str">
        <f aca="false">IF(A807="","",IFERROR(VLOOKUP(IF(ISNUMBER(SEARCH("(",C807)),LEFT(C807,SEARCH("(",C807)-1),C807),Tipos!$A:$B,2,FALSE()),"outro"))</f>
        <v/>
      </c>
      <c r="K807" s="7" t="str">
        <f aca="false">IF(I807="","",IFERROR(INDEX('Campos Growths'!$L:$L,MATCH(H807,'Campos Growths'!$A:$A,0)),""))</f>
        <v/>
      </c>
      <c r="L807" s="7" t="str">
        <f aca="false">IF(A807="","",IF(G807="não","Sem tabela no Growths",IF(I807="","Sem campo no Growths",IF(J807=K807,"Importa direto","Ajustar tipo"))))</f>
        <v/>
      </c>
      <c r="M807" s="9"/>
    </row>
    <row r="808" customFormat="false" ht="15" hidden="false" customHeight="false" outlineLevel="0" collapsed="false">
      <c r="A808" s="7" t="str">
        <f aca="false">IF('Outro banco'!A808="","",IF(LEFT('Outro banco'!A808,1)="(","",'Outro banco'!A808))</f>
        <v/>
      </c>
      <c r="B808" s="7" t="str">
        <f aca="false">IF(A808="","",'Outro banco'!B808)</f>
        <v/>
      </c>
      <c r="C808" s="7" t="str">
        <f aca="false">IF(A808="","",'Outro banco'!C808)</f>
        <v/>
      </c>
      <c r="D808" s="7" t="str">
        <f aca="false">IF(A808="","",'Outro banco'!D808)</f>
        <v/>
      </c>
      <c r="E808" s="9"/>
      <c r="F808" s="9"/>
      <c r="G808" s="7" t="str">
        <f aca="false">IF(A808="","",IF(COUNTIF(Tabelas!$A:$A,IF(E808="",A808,E808))&gt;0,"sim","não"))</f>
        <v/>
      </c>
      <c r="H808" s="7" t="str">
        <f aca="false">IF(A808="","",IF(E808="",A808,E808)&amp;"."&amp;IF(F808="",B808,F808))</f>
        <v/>
      </c>
      <c r="I808" s="7" t="str">
        <f aca="false">IF(A808="","",IFERROR(INDEX('Campos Growths'!$F:$F,MATCH(H808,'Campos Growths'!$A:$A,0)),""))</f>
        <v/>
      </c>
      <c r="J808" s="7" t="str">
        <f aca="false">IF(A808="","",IFERROR(VLOOKUP(IF(ISNUMBER(SEARCH("(",C808)),LEFT(C808,SEARCH("(",C808)-1),C808),Tipos!$A:$B,2,FALSE()),"outro"))</f>
        <v/>
      </c>
      <c r="K808" s="7" t="str">
        <f aca="false">IF(I808="","",IFERROR(INDEX('Campos Growths'!$L:$L,MATCH(H808,'Campos Growths'!$A:$A,0)),""))</f>
        <v/>
      </c>
      <c r="L808" s="7" t="str">
        <f aca="false">IF(A808="","",IF(G808="não","Sem tabela no Growths",IF(I808="","Sem campo no Growths",IF(J808=K808,"Importa direto","Ajustar tipo"))))</f>
        <v/>
      </c>
      <c r="M808" s="9"/>
    </row>
    <row r="809" customFormat="false" ht="15" hidden="false" customHeight="false" outlineLevel="0" collapsed="false">
      <c r="A809" s="7" t="str">
        <f aca="false">IF('Outro banco'!A809="","",IF(LEFT('Outro banco'!A809,1)="(","",'Outro banco'!A809))</f>
        <v/>
      </c>
      <c r="B809" s="7" t="str">
        <f aca="false">IF(A809="","",'Outro banco'!B809)</f>
        <v/>
      </c>
      <c r="C809" s="7" t="str">
        <f aca="false">IF(A809="","",'Outro banco'!C809)</f>
        <v/>
      </c>
      <c r="D809" s="7" t="str">
        <f aca="false">IF(A809="","",'Outro banco'!D809)</f>
        <v/>
      </c>
      <c r="E809" s="9"/>
      <c r="F809" s="9"/>
      <c r="G809" s="7" t="str">
        <f aca="false">IF(A809="","",IF(COUNTIF(Tabelas!$A:$A,IF(E809="",A809,E809))&gt;0,"sim","não"))</f>
        <v/>
      </c>
      <c r="H809" s="7" t="str">
        <f aca="false">IF(A809="","",IF(E809="",A809,E809)&amp;"."&amp;IF(F809="",B809,F809))</f>
        <v/>
      </c>
      <c r="I809" s="7" t="str">
        <f aca="false">IF(A809="","",IFERROR(INDEX('Campos Growths'!$F:$F,MATCH(H809,'Campos Growths'!$A:$A,0)),""))</f>
        <v/>
      </c>
      <c r="J809" s="7" t="str">
        <f aca="false">IF(A809="","",IFERROR(VLOOKUP(IF(ISNUMBER(SEARCH("(",C809)),LEFT(C809,SEARCH("(",C809)-1),C809),Tipos!$A:$B,2,FALSE()),"outro"))</f>
        <v/>
      </c>
      <c r="K809" s="7" t="str">
        <f aca="false">IF(I809="","",IFERROR(INDEX('Campos Growths'!$L:$L,MATCH(H809,'Campos Growths'!$A:$A,0)),""))</f>
        <v/>
      </c>
      <c r="L809" s="7" t="str">
        <f aca="false">IF(A809="","",IF(G809="não","Sem tabela no Growths",IF(I809="","Sem campo no Growths",IF(J809=K809,"Importa direto","Ajustar tipo"))))</f>
        <v/>
      </c>
      <c r="M809" s="9"/>
    </row>
    <row r="810" customFormat="false" ht="15" hidden="false" customHeight="false" outlineLevel="0" collapsed="false">
      <c r="A810" s="7" t="str">
        <f aca="false">IF('Outro banco'!A810="","",IF(LEFT('Outro banco'!A810,1)="(","",'Outro banco'!A810))</f>
        <v/>
      </c>
      <c r="B810" s="7" t="str">
        <f aca="false">IF(A810="","",'Outro banco'!B810)</f>
        <v/>
      </c>
      <c r="C810" s="7" t="str">
        <f aca="false">IF(A810="","",'Outro banco'!C810)</f>
        <v/>
      </c>
      <c r="D810" s="7" t="str">
        <f aca="false">IF(A810="","",'Outro banco'!D810)</f>
        <v/>
      </c>
      <c r="E810" s="9"/>
      <c r="F810" s="9"/>
      <c r="G810" s="7" t="str">
        <f aca="false">IF(A810="","",IF(COUNTIF(Tabelas!$A:$A,IF(E810="",A810,E810))&gt;0,"sim","não"))</f>
        <v/>
      </c>
      <c r="H810" s="7" t="str">
        <f aca="false">IF(A810="","",IF(E810="",A810,E810)&amp;"."&amp;IF(F810="",B810,F810))</f>
        <v/>
      </c>
      <c r="I810" s="7" t="str">
        <f aca="false">IF(A810="","",IFERROR(INDEX('Campos Growths'!$F:$F,MATCH(H810,'Campos Growths'!$A:$A,0)),""))</f>
        <v/>
      </c>
      <c r="J810" s="7" t="str">
        <f aca="false">IF(A810="","",IFERROR(VLOOKUP(IF(ISNUMBER(SEARCH("(",C810)),LEFT(C810,SEARCH("(",C810)-1),C810),Tipos!$A:$B,2,FALSE()),"outro"))</f>
        <v/>
      </c>
      <c r="K810" s="7" t="str">
        <f aca="false">IF(I810="","",IFERROR(INDEX('Campos Growths'!$L:$L,MATCH(H810,'Campos Growths'!$A:$A,0)),""))</f>
        <v/>
      </c>
      <c r="L810" s="7" t="str">
        <f aca="false">IF(A810="","",IF(G810="não","Sem tabela no Growths",IF(I810="","Sem campo no Growths",IF(J810=K810,"Importa direto","Ajustar tipo"))))</f>
        <v/>
      </c>
      <c r="M810" s="9"/>
    </row>
    <row r="811" customFormat="false" ht="15" hidden="false" customHeight="false" outlineLevel="0" collapsed="false">
      <c r="A811" s="7" t="str">
        <f aca="false">IF('Outro banco'!A811="","",IF(LEFT('Outro banco'!A811,1)="(","",'Outro banco'!A811))</f>
        <v/>
      </c>
      <c r="B811" s="7" t="str">
        <f aca="false">IF(A811="","",'Outro banco'!B811)</f>
        <v/>
      </c>
      <c r="C811" s="7" t="str">
        <f aca="false">IF(A811="","",'Outro banco'!C811)</f>
        <v/>
      </c>
      <c r="D811" s="7" t="str">
        <f aca="false">IF(A811="","",'Outro banco'!D811)</f>
        <v/>
      </c>
      <c r="E811" s="9"/>
      <c r="F811" s="9"/>
      <c r="G811" s="7" t="str">
        <f aca="false">IF(A811="","",IF(COUNTIF(Tabelas!$A:$A,IF(E811="",A811,E811))&gt;0,"sim","não"))</f>
        <v/>
      </c>
      <c r="H811" s="7" t="str">
        <f aca="false">IF(A811="","",IF(E811="",A811,E811)&amp;"."&amp;IF(F811="",B811,F811))</f>
        <v/>
      </c>
      <c r="I811" s="7" t="str">
        <f aca="false">IF(A811="","",IFERROR(INDEX('Campos Growths'!$F:$F,MATCH(H811,'Campos Growths'!$A:$A,0)),""))</f>
        <v/>
      </c>
      <c r="J811" s="7" t="str">
        <f aca="false">IF(A811="","",IFERROR(VLOOKUP(IF(ISNUMBER(SEARCH("(",C811)),LEFT(C811,SEARCH("(",C811)-1),C811),Tipos!$A:$B,2,FALSE()),"outro"))</f>
        <v/>
      </c>
      <c r="K811" s="7" t="str">
        <f aca="false">IF(I811="","",IFERROR(INDEX('Campos Growths'!$L:$L,MATCH(H811,'Campos Growths'!$A:$A,0)),""))</f>
        <v/>
      </c>
      <c r="L811" s="7" t="str">
        <f aca="false">IF(A811="","",IF(G811="não","Sem tabela no Growths",IF(I811="","Sem campo no Growths",IF(J811=K811,"Importa direto","Ajustar tipo"))))</f>
        <v/>
      </c>
      <c r="M811" s="9"/>
    </row>
    <row r="812" customFormat="false" ht="15" hidden="false" customHeight="false" outlineLevel="0" collapsed="false">
      <c r="A812" s="7" t="str">
        <f aca="false">IF('Outro banco'!A812="","",IF(LEFT('Outro banco'!A812,1)="(","",'Outro banco'!A812))</f>
        <v/>
      </c>
      <c r="B812" s="7" t="str">
        <f aca="false">IF(A812="","",'Outro banco'!B812)</f>
        <v/>
      </c>
      <c r="C812" s="7" t="str">
        <f aca="false">IF(A812="","",'Outro banco'!C812)</f>
        <v/>
      </c>
      <c r="D812" s="7" t="str">
        <f aca="false">IF(A812="","",'Outro banco'!D812)</f>
        <v/>
      </c>
      <c r="E812" s="9"/>
      <c r="F812" s="9"/>
      <c r="G812" s="7" t="str">
        <f aca="false">IF(A812="","",IF(COUNTIF(Tabelas!$A:$A,IF(E812="",A812,E812))&gt;0,"sim","não"))</f>
        <v/>
      </c>
      <c r="H812" s="7" t="str">
        <f aca="false">IF(A812="","",IF(E812="",A812,E812)&amp;"."&amp;IF(F812="",B812,F812))</f>
        <v/>
      </c>
      <c r="I812" s="7" t="str">
        <f aca="false">IF(A812="","",IFERROR(INDEX('Campos Growths'!$F:$F,MATCH(H812,'Campos Growths'!$A:$A,0)),""))</f>
        <v/>
      </c>
      <c r="J812" s="7" t="str">
        <f aca="false">IF(A812="","",IFERROR(VLOOKUP(IF(ISNUMBER(SEARCH("(",C812)),LEFT(C812,SEARCH("(",C812)-1),C812),Tipos!$A:$B,2,FALSE()),"outro"))</f>
        <v/>
      </c>
      <c r="K812" s="7" t="str">
        <f aca="false">IF(I812="","",IFERROR(INDEX('Campos Growths'!$L:$L,MATCH(H812,'Campos Growths'!$A:$A,0)),""))</f>
        <v/>
      </c>
      <c r="L812" s="7" t="str">
        <f aca="false">IF(A812="","",IF(G812="não","Sem tabela no Growths",IF(I812="","Sem campo no Growths",IF(J812=K812,"Importa direto","Ajustar tipo"))))</f>
        <v/>
      </c>
      <c r="M812" s="9"/>
    </row>
    <row r="813" customFormat="false" ht="15" hidden="false" customHeight="false" outlineLevel="0" collapsed="false">
      <c r="A813" s="7" t="str">
        <f aca="false">IF('Outro banco'!A813="","",IF(LEFT('Outro banco'!A813,1)="(","",'Outro banco'!A813))</f>
        <v/>
      </c>
      <c r="B813" s="7" t="str">
        <f aca="false">IF(A813="","",'Outro banco'!B813)</f>
        <v/>
      </c>
      <c r="C813" s="7" t="str">
        <f aca="false">IF(A813="","",'Outro banco'!C813)</f>
        <v/>
      </c>
      <c r="D813" s="7" t="str">
        <f aca="false">IF(A813="","",'Outro banco'!D813)</f>
        <v/>
      </c>
      <c r="E813" s="9"/>
      <c r="F813" s="9"/>
      <c r="G813" s="7" t="str">
        <f aca="false">IF(A813="","",IF(COUNTIF(Tabelas!$A:$A,IF(E813="",A813,E813))&gt;0,"sim","não"))</f>
        <v/>
      </c>
      <c r="H813" s="7" t="str">
        <f aca="false">IF(A813="","",IF(E813="",A813,E813)&amp;"."&amp;IF(F813="",B813,F813))</f>
        <v/>
      </c>
      <c r="I813" s="7" t="str">
        <f aca="false">IF(A813="","",IFERROR(INDEX('Campos Growths'!$F:$F,MATCH(H813,'Campos Growths'!$A:$A,0)),""))</f>
        <v/>
      </c>
      <c r="J813" s="7" t="str">
        <f aca="false">IF(A813="","",IFERROR(VLOOKUP(IF(ISNUMBER(SEARCH("(",C813)),LEFT(C813,SEARCH("(",C813)-1),C813),Tipos!$A:$B,2,FALSE()),"outro"))</f>
        <v/>
      </c>
      <c r="K813" s="7" t="str">
        <f aca="false">IF(I813="","",IFERROR(INDEX('Campos Growths'!$L:$L,MATCH(H813,'Campos Growths'!$A:$A,0)),""))</f>
        <v/>
      </c>
      <c r="L813" s="7" t="str">
        <f aca="false">IF(A813="","",IF(G813="não","Sem tabela no Growths",IF(I813="","Sem campo no Growths",IF(J813=K813,"Importa direto","Ajustar tipo"))))</f>
        <v/>
      </c>
      <c r="M813" s="9"/>
    </row>
    <row r="814" customFormat="false" ht="15" hidden="false" customHeight="false" outlineLevel="0" collapsed="false">
      <c r="A814" s="7" t="str">
        <f aca="false">IF('Outro banco'!A814="","",IF(LEFT('Outro banco'!A814,1)="(","",'Outro banco'!A814))</f>
        <v/>
      </c>
      <c r="B814" s="7" t="str">
        <f aca="false">IF(A814="","",'Outro banco'!B814)</f>
        <v/>
      </c>
      <c r="C814" s="7" t="str">
        <f aca="false">IF(A814="","",'Outro banco'!C814)</f>
        <v/>
      </c>
      <c r="D814" s="7" t="str">
        <f aca="false">IF(A814="","",'Outro banco'!D814)</f>
        <v/>
      </c>
      <c r="E814" s="9"/>
      <c r="F814" s="9"/>
      <c r="G814" s="7" t="str">
        <f aca="false">IF(A814="","",IF(COUNTIF(Tabelas!$A:$A,IF(E814="",A814,E814))&gt;0,"sim","não"))</f>
        <v/>
      </c>
      <c r="H814" s="7" t="str">
        <f aca="false">IF(A814="","",IF(E814="",A814,E814)&amp;"."&amp;IF(F814="",B814,F814))</f>
        <v/>
      </c>
      <c r="I814" s="7" t="str">
        <f aca="false">IF(A814="","",IFERROR(INDEX('Campos Growths'!$F:$F,MATCH(H814,'Campos Growths'!$A:$A,0)),""))</f>
        <v/>
      </c>
      <c r="J814" s="7" t="str">
        <f aca="false">IF(A814="","",IFERROR(VLOOKUP(IF(ISNUMBER(SEARCH("(",C814)),LEFT(C814,SEARCH("(",C814)-1),C814),Tipos!$A:$B,2,FALSE()),"outro"))</f>
        <v/>
      </c>
      <c r="K814" s="7" t="str">
        <f aca="false">IF(I814="","",IFERROR(INDEX('Campos Growths'!$L:$L,MATCH(H814,'Campos Growths'!$A:$A,0)),""))</f>
        <v/>
      </c>
      <c r="L814" s="7" t="str">
        <f aca="false">IF(A814="","",IF(G814="não","Sem tabela no Growths",IF(I814="","Sem campo no Growths",IF(J814=K814,"Importa direto","Ajustar tipo"))))</f>
        <v/>
      </c>
      <c r="M814" s="9"/>
    </row>
    <row r="815" customFormat="false" ht="15" hidden="false" customHeight="false" outlineLevel="0" collapsed="false">
      <c r="A815" s="7" t="str">
        <f aca="false">IF('Outro banco'!A815="","",IF(LEFT('Outro banco'!A815,1)="(","",'Outro banco'!A815))</f>
        <v/>
      </c>
      <c r="B815" s="7" t="str">
        <f aca="false">IF(A815="","",'Outro banco'!B815)</f>
        <v/>
      </c>
      <c r="C815" s="7" t="str">
        <f aca="false">IF(A815="","",'Outro banco'!C815)</f>
        <v/>
      </c>
      <c r="D815" s="7" t="str">
        <f aca="false">IF(A815="","",'Outro banco'!D815)</f>
        <v/>
      </c>
      <c r="E815" s="9"/>
      <c r="F815" s="9"/>
      <c r="G815" s="7" t="str">
        <f aca="false">IF(A815="","",IF(COUNTIF(Tabelas!$A:$A,IF(E815="",A815,E815))&gt;0,"sim","não"))</f>
        <v/>
      </c>
      <c r="H815" s="7" t="str">
        <f aca="false">IF(A815="","",IF(E815="",A815,E815)&amp;"."&amp;IF(F815="",B815,F815))</f>
        <v/>
      </c>
      <c r="I815" s="7" t="str">
        <f aca="false">IF(A815="","",IFERROR(INDEX('Campos Growths'!$F:$F,MATCH(H815,'Campos Growths'!$A:$A,0)),""))</f>
        <v/>
      </c>
      <c r="J815" s="7" t="str">
        <f aca="false">IF(A815="","",IFERROR(VLOOKUP(IF(ISNUMBER(SEARCH("(",C815)),LEFT(C815,SEARCH("(",C815)-1),C815),Tipos!$A:$B,2,FALSE()),"outro"))</f>
        <v/>
      </c>
      <c r="K815" s="7" t="str">
        <f aca="false">IF(I815="","",IFERROR(INDEX('Campos Growths'!$L:$L,MATCH(H815,'Campos Growths'!$A:$A,0)),""))</f>
        <v/>
      </c>
      <c r="L815" s="7" t="str">
        <f aca="false">IF(A815="","",IF(G815="não","Sem tabela no Growths",IF(I815="","Sem campo no Growths",IF(J815=K815,"Importa direto","Ajustar tipo"))))</f>
        <v/>
      </c>
      <c r="M815" s="9"/>
    </row>
    <row r="816" customFormat="false" ht="15" hidden="false" customHeight="false" outlineLevel="0" collapsed="false">
      <c r="A816" s="7" t="str">
        <f aca="false">IF('Outro banco'!A816="","",IF(LEFT('Outro banco'!A816,1)="(","",'Outro banco'!A816))</f>
        <v/>
      </c>
      <c r="B816" s="7" t="str">
        <f aca="false">IF(A816="","",'Outro banco'!B816)</f>
        <v/>
      </c>
      <c r="C816" s="7" t="str">
        <f aca="false">IF(A816="","",'Outro banco'!C816)</f>
        <v/>
      </c>
      <c r="D816" s="7" t="str">
        <f aca="false">IF(A816="","",'Outro banco'!D816)</f>
        <v/>
      </c>
      <c r="E816" s="9"/>
      <c r="F816" s="9"/>
      <c r="G816" s="7" t="str">
        <f aca="false">IF(A816="","",IF(COUNTIF(Tabelas!$A:$A,IF(E816="",A816,E816))&gt;0,"sim","não"))</f>
        <v/>
      </c>
      <c r="H816" s="7" t="str">
        <f aca="false">IF(A816="","",IF(E816="",A816,E816)&amp;"."&amp;IF(F816="",B816,F816))</f>
        <v/>
      </c>
      <c r="I816" s="7" t="str">
        <f aca="false">IF(A816="","",IFERROR(INDEX('Campos Growths'!$F:$F,MATCH(H816,'Campos Growths'!$A:$A,0)),""))</f>
        <v/>
      </c>
      <c r="J816" s="7" t="str">
        <f aca="false">IF(A816="","",IFERROR(VLOOKUP(IF(ISNUMBER(SEARCH("(",C816)),LEFT(C816,SEARCH("(",C816)-1),C816),Tipos!$A:$B,2,FALSE()),"outro"))</f>
        <v/>
      </c>
      <c r="K816" s="7" t="str">
        <f aca="false">IF(I816="","",IFERROR(INDEX('Campos Growths'!$L:$L,MATCH(H816,'Campos Growths'!$A:$A,0)),""))</f>
        <v/>
      </c>
      <c r="L816" s="7" t="str">
        <f aca="false">IF(A816="","",IF(G816="não","Sem tabela no Growths",IF(I816="","Sem campo no Growths",IF(J816=K816,"Importa direto","Ajustar tipo"))))</f>
        <v/>
      </c>
      <c r="M816" s="9"/>
    </row>
    <row r="817" customFormat="false" ht="15" hidden="false" customHeight="false" outlineLevel="0" collapsed="false">
      <c r="A817" s="7" t="str">
        <f aca="false">IF('Outro banco'!A817="","",IF(LEFT('Outro banco'!A817,1)="(","",'Outro banco'!A817))</f>
        <v/>
      </c>
      <c r="B817" s="7" t="str">
        <f aca="false">IF(A817="","",'Outro banco'!B817)</f>
        <v/>
      </c>
      <c r="C817" s="7" t="str">
        <f aca="false">IF(A817="","",'Outro banco'!C817)</f>
        <v/>
      </c>
      <c r="D817" s="7" t="str">
        <f aca="false">IF(A817="","",'Outro banco'!D817)</f>
        <v/>
      </c>
      <c r="E817" s="9"/>
      <c r="F817" s="9"/>
      <c r="G817" s="7" t="str">
        <f aca="false">IF(A817="","",IF(COUNTIF(Tabelas!$A:$A,IF(E817="",A817,E817))&gt;0,"sim","não"))</f>
        <v/>
      </c>
      <c r="H817" s="7" t="str">
        <f aca="false">IF(A817="","",IF(E817="",A817,E817)&amp;"."&amp;IF(F817="",B817,F817))</f>
        <v/>
      </c>
      <c r="I817" s="7" t="str">
        <f aca="false">IF(A817="","",IFERROR(INDEX('Campos Growths'!$F:$F,MATCH(H817,'Campos Growths'!$A:$A,0)),""))</f>
        <v/>
      </c>
      <c r="J817" s="7" t="str">
        <f aca="false">IF(A817="","",IFERROR(VLOOKUP(IF(ISNUMBER(SEARCH("(",C817)),LEFT(C817,SEARCH("(",C817)-1),C817),Tipos!$A:$B,2,FALSE()),"outro"))</f>
        <v/>
      </c>
      <c r="K817" s="7" t="str">
        <f aca="false">IF(I817="","",IFERROR(INDEX('Campos Growths'!$L:$L,MATCH(H817,'Campos Growths'!$A:$A,0)),""))</f>
        <v/>
      </c>
      <c r="L817" s="7" t="str">
        <f aca="false">IF(A817="","",IF(G817="não","Sem tabela no Growths",IF(I817="","Sem campo no Growths",IF(J817=K817,"Importa direto","Ajustar tipo"))))</f>
        <v/>
      </c>
      <c r="M817" s="9"/>
    </row>
    <row r="818" customFormat="false" ht="15" hidden="false" customHeight="false" outlineLevel="0" collapsed="false">
      <c r="A818" s="7" t="str">
        <f aca="false">IF('Outro banco'!A818="","",IF(LEFT('Outro banco'!A818,1)="(","",'Outro banco'!A818))</f>
        <v/>
      </c>
      <c r="B818" s="7" t="str">
        <f aca="false">IF(A818="","",'Outro banco'!B818)</f>
        <v/>
      </c>
      <c r="C818" s="7" t="str">
        <f aca="false">IF(A818="","",'Outro banco'!C818)</f>
        <v/>
      </c>
      <c r="D818" s="7" t="str">
        <f aca="false">IF(A818="","",'Outro banco'!D818)</f>
        <v/>
      </c>
      <c r="E818" s="9"/>
      <c r="F818" s="9"/>
      <c r="G818" s="7" t="str">
        <f aca="false">IF(A818="","",IF(COUNTIF(Tabelas!$A:$A,IF(E818="",A818,E818))&gt;0,"sim","não"))</f>
        <v/>
      </c>
      <c r="H818" s="7" t="str">
        <f aca="false">IF(A818="","",IF(E818="",A818,E818)&amp;"."&amp;IF(F818="",B818,F818))</f>
        <v/>
      </c>
      <c r="I818" s="7" t="str">
        <f aca="false">IF(A818="","",IFERROR(INDEX('Campos Growths'!$F:$F,MATCH(H818,'Campos Growths'!$A:$A,0)),""))</f>
        <v/>
      </c>
      <c r="J818" s="7" t="str">
        <f aca="false">IF(A818="","",IFERROR(VLOOKUP(IF(ISNUMBER(SEARCH("(",C818)),LEFT(C818,SEARCH("(",C818)-1),C818),Tipos!$A:$B,2,FALSE()),"outro"))</f>
        <v/>
      </c>
      <c r="K818" s="7" t="str">
        <f aca="false">IF(I818="","",IFERROR(INDEX('Campos Growths'!$L:$L,MATCH(H818,'Campos Growths'!$A:$A,0)),""))</f>
        <v/>
      </c>
      <c r="L818" s="7" t="str">
        <f aca="false">IF(A818="","",IF(G818="não","Sem tabela no Growths",IF(I818="","Sem campo no Growths",IF(J818=K818,"Importa direto","Ajustar tipo"))))</f>
        <v/>
      </c>
      <c r="M818" s="9"/>
    </row>
    <row r="819" customFormat="false" ht="15" hidden="false" customHeight="false" outlineLevel="0" collapsed="false">
      <c r="A819" s="7" t="str">
        <f aca="false">IF('Outro banco'!A819="","",IF(LEFT('Outro banco'!A819,1)="(","",'Outro banco'!A819))</f>
        <v/>
      </c>
      <c r="B819" s="7" t="str">
        <f aca="false">IF(A819="","",'Outro banco'!B819)</f>
        <v/>
      </c>
      <c r="C819" s="7" t="str">
        <f aca="false">IF(A819="","",'Outro banco'!C819)</f>
        <v/>
      </c>
      <c r="D819" s="7" t="str">
        <f aca="false">IF(A819="","",'Outro banco'!D819)</f>
        <v/>
      </c>
      <c r="E819" s="9"/>
      <c r="F819" s="9"/>
      <c r="G819" s="7" t="str">
        <f aca="false">IF(A819="","",IF(COUNTIF(Tabelas!$A:$A,IF(E819="",A819,E819))&gt;0,"sim","não"))</f>
        <v/>
      </c>
      <c r="H819" s="7" t="str">
        <f aca="false">IF(A819="","",IF(E819="",A819,E819)&amp;"."&amp;IF(F819="",B819,F819))</f>
        <v/>
      </c>
      <c r="I819" s="7" t="str">
        <f aca="false">IF(A819="","",IFERROR(INDEX('Campos Growths'!$F:$F,MATCH(H819,'Campos Growths'!$A:$A,0)),""))</f>
        <v/>
      </c>
      <c r="J819" s="7" t="str">
        <f aca="false">IF(A819="","",IFERROR(VLOOKUP(IF(ISNUMBER(SEARCH("(",C819)),LEFT(C819,SEARCH("(",C819)-1),C819),Tipos!$A:$B,2,FALSE()),"outro"))</f>
        <v/>
      </c>
      <c r="K819" s="7" t="str">
        <f aca="false">IF(I819="","",IFERROR(INDEX('Campos Growths'!$L:$L,MATCH(H819,'Campos Growths'!$A:$A,0)),""))</f>
        <v/>
      </c>
      <c r="L819" s="7" t="str">
        <f aca="false">IF(A819="","",IF(G819="não","Sem tabela no Growths",IF(I819="","Sem campo no Growths",IF(J819=K819,"Importa direto","Ajustar tipo"))))</f>
        <v/>
      </c>
      <c r="M819" s="9"/>
    </row>
    <row r="820" customFormat="false" ht="15" hidden="false" customHeight="false" outlineLevel="0" collapsed="false">
      <c r="A820" s="7" t="str">
        <f aca="false">IF('Outro banco'!A820="","",IF(LEFT('Outro banco'!A820,1)="(","",'Outro banco'!A820))</f>
        <v/>
      </c>
      <c r="B820" s="7" t="str">
        <f aca="false">IF(A820="","",'Outro banco'!B820)</f>
        <v/>
      </c>
      <c r="C820" s="7" t="str">
        <f aca="false">IF(A820="","",'Outro banco'!C820)</f>
        <v/>
      </c>
      <c r="D820" s="7" t="str">
        <f aca="false">IF(A820="","",'Outro banco'!D820)</f>
        <v/>
      </c>
      <c r="E820" s="9"/>
      <c r="F820" s="9"/>
      <c r="G820" s="7" t="str">
        <f aca="false">IF(A820="","",IF(COUNTIF(Tabelas!$A:$A,IF(E820="",A820,E820))&gt;0,"sim","não"))</f>
        <v/>
      </c>
      <c r="H820" s="7" t="str">
        <f aca="false">IF(A820="","",IF(E820="",A820,E820)&amp;"."&amp;IF(F820="",B820,F820))</f>
        <v/>
      </c>
      <c r="I820" s="7" t="str">
        <f aca="false">IF(A820="","",IFERROR(INDEX('Campos Growths'!$F:$F,MATCH(H820,'Campos Growths'!$A:$A,0)),""))</f>
        <v/>
      </c>
      <c r="J820" s="7" t="str">
        <f aca="false">IF(A820="","",IFERROR(VLOOKUP(IF(ISNUMBER(SEARCH("(",C820)),LEFT(C820,SEARCH("(",C820)-1),C820),Tipos!$A:$B,2,FALSE()),"outro"))</f>
        <v/>
      </c>
      <c r="K820" s="7" t="str">
        <f aca="false">IF(I820="","",IFERROR(INDEX('Campos Growths'!$L:$L,MATCH(H820,'Campos Growths'!$A:$A,0)),""))</f>
        <v/>
      </c>
      <c r="L820" s="7" t="str">
        <f aca="false">IF(A820="","",IF(G820="não","Sem tabela no Growths",IF(I820="","Sem campo no Growths",IF(J820=K820,"Importa direto","Ajustar tipo"))))</f>
        <v/>
      </c>
      <c r="M820" s="9"/>
    </row>
    <row r="821" customFormat="false" ht="15" hidden="false" customHeight="false" outlineLevel="0" collapsed="false">
      <c r="A821" s="7" t="str">
        <f aca="false">IF('Outro banco'!A821="","",IF(LEFT('Outro banco'!A821,1)="(","",'Outro banco'!A821))</f>
        <v/>
      </c>
      <c r="B821" s="7" t="str">
        <f aca="false">IF(A821="","",'Outro banco'!B821)</f>
        <v/>
      </c>
      <c r="C821" s="7" t="str">
        <f aca="false">IF(A821="","",'Outro banco'!C821)</f>
        <v/>
      </c>
      <c r="D821" s="7" t="str">
        <f aca="false">IF(A821="","",'Outro banco'!D821)</f>
        <v/>
      </c>
      <c r="E821" s="9"/>
      <c r="F821" s="9"/>
      <c r="G821" s="7" t="str">
        <f aca="false">IF(A821="","",IF(COUNTIF(Tabelas!$A:$A,IF(E821="",A821,E821))&gt;0,"sim","não"))</f>
        <v/>
      </c>
      <c r="H821" s="7" t="str">
        <f aca="false">IF(A821="","",IF(E821="",A821,E821)&amp;"."&amp;IF(F821="",B821,F821))</f>
        <v/>
      </c>
      <c r="I821" s="7" t="str">
        <f aca="false">IF(A821="","",IFERROR(INDEX('Campos Growths'!$F:$F,MATCH(H821,'Campos Growths'!$A:$A,0)),""))</f>
        <v/>
      </c>
      <c r="J821" s="7" t="str">
        <f aca="false">IF(A821="","",IFERROR(VLOOKUP(IF(ISNUMBER(SEARCH("(",C821)),LEFT(C821,SEARCH("(",C821)-1),C821),Tipos!$A:$B,2,FALSE()),"outro"))</f>
        <v/>
      </c>
      <c r="K821" s="7" t="str">
        <f aca="false">IF(I821="","",IFERROR(INDEX('Campos Growths'!$L:$L,MATCH(H821,'Campos Growths'!$A:$A,0)),""))</f>
        <v/>
      </c>
      <c r="L821" s="7" t="str">
        <f aca="false">IF(A821="","",IF(G821="não","Sem tabela no Growths",IF(I821="","Sem campo no Growths",IF(J821=K821,"Importa direto","Ajustar tipo"))))</f>
        <v/>
      </c>
      <c r="M821" s="9"/>
    </row>
    <row r="822" customFormat="false" ht="15" hidden="false" customHeight="false" outlineLevel="0" collapsed="false">
      <c r="A822" s="7" t="str">
        <f aca="false">IF('Outro banco'!A822="","",IF(LEFT('Outro banco'!A822,1)="(","",'Outro banco'!A822))</f>
        <v/>
      </c>
      <c r="B822" s="7" t="str">
        <f aca="false">IF(A822="","",'Outro banco'!B822)</f>
        <v/>
      </c>
      <c r="C822" s="7" t="str">
        <f aca="false">IF(A822="","",'Outro banco'!C822)</f>
        <v/>
      </c>
      <c r="D822" s="7" t="str">
        <f aca="false">IF(A822="","",'Outro banco'!D822)</f>
        <v/>
      </c>
      <c r="E822" s="9"/>
      <c r="F822" s="9"/>
      <c r="G822" s="7" t="str">
        <f aca="false">IF(A822="","",IF(COUNTIF(Tabelas!$A:$A,IF(E822="",A822,E822))&gt;0,"sim","não"))</f>
        <v/>
      </c>
      <c r="H822" s="7" t="str">
        <f aca="false">IF(A822="","",IF(E822="",A822,E822)&amp;"."&amp;IF(F822="",B822,F822))</f>
        <v/>
      </c>
      <c r="I822" s="7" t="str">
        <f aca="false">IF(A822="","",IFERROR(INDEX('Campos Growths'!$F:$F,MATCH(H822,'Campos Growths'!$A:$A,0)),""))</f>
        <v/>
      </c>
      <c r="J822" s="7" t="str">
        <f aca="false">IF(A822="","",IFERROR(VLOOKUP(IF(ISNUMBER(SEARCH("(",C822)),LEFT(C822,SEARCH("(",C822)-1),C822),Tipos!$A:$B,2,FALSE()),"outro"))</f>
        <v/>
      </c>
      <c r="K822" s="7" t="str">
        <f aca="false">IF(I822="","",IFERROR(INDEX('Campos Growths'!$L:$L,MATCH(H822,'Campos Growths'!$A:$A,0)),""))</f>
        <v/>
      </c>
      <c r="L822" s="7" t="str">
        <f aca="false">IF(A822="","",IF(G822="não","Sem tabela no Growths",IF(I822="","Sem campo no Growths",IF(J822=K822,"Importa direto","Ajustar tipo"))))</f>
        <v/>
      </c>
      <c r="M822" s="9"/>
    </row>
    <row r="823" customFormat="false" ht="15" hidden="false" customHeight="false" outlineLevel="0" collapsed="false">
      <c r="A823" s="7" t="str">
        <f aca="false">IF('Outro banco'!A823="","",IF(LEFT('Outro banco'!A823,1)="(","",'Outro banco'!A823))</f>
        <v/>
      </c>
      <c r="B823" s="7" t="str">
        <f aca="false">IF(A823="","",'Outro banco'!B823)</f>
        <v/>
      </c>
      <c r="C823" s="7" t="str">
        <f aca="false">IF(A823="","",'Outro banco'!C823)</f>
        <v/>
      </c>
      <c r="D823" s="7" t="str">
        <f aca="false">IF(A823="","",'Outro banco'!D823)</f>
        <v/>
      </c>
      <c r="E823" s="9"/>
      <c r="F823" s="9"/>
      <c r="G823" s="7" t="str">
        <f aca="false">IF(A823="","",IF(COUNTIF(Tabelas!$A:$A,IF(E823="",A823,E823))&gt;0,"sim","não"))</f>
        <v/>
      </c>
      <c r="H823" s="7" t="str">
        <f aca="false">IF(A823="","",IF(E823="",A823,E823)&amp;"."&amp;IF(F823="",B823,F823))</f>
        <v/>
      </c>
      <c r="I823" s="7" t="str">
        <f aca="false">IF(A823="","",IFERROR(INDEX('Campos Growths'!$F:$F,MATCH(H823,'Campos Growths'!$A:$A,0)),""))</f>
        <v/>
      </c>
      <c r="J823" s="7" t="str">
        <f aca="false">IF(A823="","",IFERROR(VLOOKUP(IF(ISNUMBER(SEARCH("(",C823)),LEFT(C823,SEARCH("(",C823)-1),C823),Tipos!$A:$B,2,FALSE()),"outro"))</f>
        <v/>
      </c>
      <c r="K823" s="7" t="str">
        <f aca="false">IF(I823="","",IFERROR(INDEX('Campos Growths'!$L:$L,MATCH(H823,'Campos Growths'!$A:$A,0)),""))</f>
        <v/>
      </c>
      <c r="L823" s="7" t="str">
        <f aca="false">IF(A823="","",IF(G823="não","Sem tabela no Growths",IF(I823="","Sem campo no Growths",IF(J823=K823,"Importa direto","Ajustar tipo"))))</f>
        <v/>
      </c>
      <c r="M823" s="9"/>
    </row>
    <row r="824" customFormat="false" ht="15" hidden="false" customHeight="false" outlineLevel="0" collapsed="false">
      <c r="A824" s="7" t="str">
        <f aca="false">IF('Outro banco'!A824="","",IF(LEFT('Outro banco'!A824,1)="(","",'Outro banco'!A824))</f>
        <v/>
      </c>
      <c r="B824" s="7" t="str">
        <f aca="false">IF(A824="","",'Outro banco'!B824)</f>
        <v/>
      </c>
      <c r="C824" s="7" t="str">
        <f aca="false">IF(A824="","",'Outro banco'!C824)</f>
        <v/>
      </c>
      <c r="D824" s="7" t="str">
        <f aca="false">IF(A824="","",'Outro banco'!D824)</f>
        <v/>
      </c>
      <c r="E824" s="9"/>
      <c r="F824" s="9"/>
      <c r="G824" s="7" t="str">
        <f aca="false">IF(A824="","",IF(COUNTIF(Tabelas!$A:$A,IF(E824="",A824,E824))&gt;0,"sim","não"))</f>
        <v/>
      </c>
      <c r="H824" s="7" t="str">
        <f aca="false">IF(A824="","",IF(E824="",A824,E824)&amp;"."&amp;IF(F824="",B824,F824))</f>
        <v/>
      </c>
      <c r="I824" s="7" t="str">
        <f aca="false">IF(A824="","",IFERROR(INDEX('Campos Growths'!$F:$F,MATCH(H824,'Campos Growths'!$A:$A,0)),""))</f>
        <v/>
      </c>
      <c r="J824" s="7" t="str">
        <f aca="false">IF(A824="","",IFERROR(VLOOKUP(IF(ISNUMBER(SEARCH("(",C824)),LEFT(C824,SEARCH("(",C824)-1),C824),Tipos!$A:$B,2,FALSE()),"outro"))</f>
        <v/>
      </c>
      <c r="K824" s="7" t="str">
        <f aca="false">IF(I824="","",IFERROR(INDEX('Campos Growths'!$L:$L,MATCH(H824,'Campos Growths'!$A:$A,0)),""))</f>
        <v/>
      </c>
      <c r="L824" s="7" t="str">
        <f aca="false">IF(A824="","",IF(G824="não","Sem tabela no Growths",IF(I824="","Sem campo no Growths",IF(J824=K824,"Importa direto","Ajustar tipo"))))</f>
        <v/>
      </c>
      <c r="M824" s="9"/>
    </row>
    <row r="825" customFormat="false" ht="15" hidden="false" customHeight="false" outlineLevel="0" collapsed="false">
      <c r="A825" s="7" t="str">
        <f aca="false">IF('Outro banco'!A825="","",IF(LEFT('Outro banco'!A825,1)="(","",'Outro banco'!A825))</f>
        <v/>
      </c>
      <c r="B825" s="7" t="str">
        <f aca="false">IF(A825="","",'Outro banco'!B825)</f>
        <v/>
      </c>
      <c r="C825" s="7" t="str">
        <f aca="false">IF(A825="","",'Outro banco'!C825)</f>
        <v/>
      </c>
      <c r="D825" s="7" t="str">
        <f aca="false">IF(A825="","",'Outro banco'!D825)</f>
        <v/>
      </c>
      <c r="E825" s="9"/>
      <c r="F825" s="9"/>
      <c r="G825" s="7" t="str">
        <f aca="false">IF(A825="","",IF(COUNTIF(Tabelas!$A:$A,IF(E825="",A825,E825))&gt;0,"sim","não"))</f>
        <v/>
      </c>
      <c r="H825" s="7" t="str">
        <f aca="false">IF(A825="","",IF(E825="",A825,E825)&amp;"."&amp;IF(F825="",B825,F825))</f>
        <v/>
      </c>
      <c r="I825" s="7" t="str">
        <f aca="false">IF(A825="","",IFERROR(INDEX('Campos Growths'!$F:$F,MATCH(H825,'Campos Growths'!$A:$A,0)),""))</f>
        <v/>
      </c>
      <c r="J825" s="7" t="str">
        <f aca="false">IF(A825="","",IFERROR(VLOOKUP(IF(ISNUMBER(SEARCH("(",C825)),LEFT(C825,SEARCH("(",C825)-1),C825),Tipos!$A:$B,2,FALSE()),"outro"))</f>
        <v/>
      </c>
      <c r="K825" s="7" t="str">
        <f aca="false">IF(I825="","",IFERROR(INDEX('Campos Growths'!$L:$L,MATCH(H825,'Campos Growths'!$A:$A,0)),""))</f>
        <v/>
      </c>
      <c r="L825" s="7" t="str">
        <f aca="false">IF(A825="","",IF(G825="não","Sem tabela no Growths",IF(I825="","Sem campo no Growths",IF(J825=K825,"Importa direto","Ajustar tipo"))))</f>
        <v/>
      </c>
      <c r="M825" s="9"/>
    </row>
    <row r="826" customFormat="false" ht="15" hidden="false" customHeight="false" outlineLevel="0" collapsed="false">
      <c r="A826" s="7" t="str">
        <f aca="false">IF('Outro banco'!A826="","",IF(LEFT('Outro banco'!A826,1)="(","",'Outro banco'!A826))</f>
        <v/>
      </c>
      <c r="B826" s="7" t="str">
        <f aca="false">IF(A826="","",'Outro banco'!B826)</f>
        <v/>
      </c>
      <c r="C826" s="7" t="str">
        <f aca="false">IF(A826="","",'Outro banco'!C826)</f>
        <v/>
      </c>
      <c r="D826" s="7" t="str">
        <f aca="false">IF(A826="","",'Outro banco'!D826)</f>
        <v/>
      </c>
      <c r="E826" s="9"/>
      <c r="F826" s="9"/>
      <c r="G826" s="7" t="str">
        <f aca="false">IF(A826="","",IF(COUNTIF(Tabelas!$A:$A,IF(E826="",A826,E826))&gt;0,"sim","não"))</f>
        <v/>
      </c>
      <c r="H826" s="7" t="str">
        <f aca="false">IF(A826="","",IF(E826="",A826,E826)&amp;"."&amp;IF(F826="",B826,F826))</f>
        <v/>
      </c>
      <c r="I826" s="7" t="str">
        <f aca="false">IF(A826="","",IFERROR(INDEX('Campos Growths'!$F:$F,MATCH(H826,'Campos Growths'!$A:$A,0)),""))</f>
        <v/>
      </c>
      <c r="J826" s="7" t="str">
        <f aca="false">IF(A826="","",IFERROR(VLOOKUP(IF(ISNUMBER(SEARCH("(",C826)),LEFT(C826,SEARCH("(",C826)-1),C826),Tipos!$A:$B,2,FALSE()),"outro"))</f>
        <v/>
      </c>
      <c r="K826" s="7" t="str">
        <f aca="false">IF(I826="","",IFERROR(INDEX('Campos Growths'!$L:$L,MATCH(H826,'Campos Growths'!$A:$A,0)),""))</f>
        <v/>
      </c>
      <c r="L826" s="7" t="str">
        <f aca="false">IF(A826="","",IF(G826="não","Sem tabela no Growths",IF(I826="","Sem campo no Growths",IF(J826=K826,"Importa direto","Ajustar tipo"))))</f>
        <v/>
      </c>
      <c r="M826" s="9"/>
    </row>
    <row r="827" customFormat="false" ht="15" hidden="false" customHeight="false" outlineLevel="0" collapsed="false">
      <c r="A827" s="7" t="str">
        <f aca="false">IF('Outro banco'!A827="","",IF(LEFT('Outro banco'!A827,1)="(","",'Outro banco'!A827))</f>
        <v/>
      </c>
      <c r="B827" s="7" t="str">
        <f aca="false">IF(A827="","",'Outro banco'!B827)</f>
        <v/>
      </c>
      <c r="C827" s="7" t="str">
        <f aca="false">IF(A827="","",'Outro banco'!C827)</f>
        <v/>
      </c>
      <c r="D827" s="7" t="str">
        <f aca="false">IF(A827="","",'Outro banco'!D827)</f>
        <v/>
      </c>
      <c r="E827" s="9"/>
      <c r="F827" s="9"/>
      <c r="G827" s="7" t="str">
        <f aca="false">IF(A827="","",IF(COUNTIF(Tabelas!$A:$A,IF(E827="",A827,E827))&gt;0,"sim","não"))</f>
        <v/>
      </c>
      <c r="H827" s="7" t="str">
        <f aca="false">IF(A827="","",IF(E827="",A827,E827)&amp;"."&amp;IF(F827="",B827,F827))</f>
        <v/>
      </c>
      <c r="I827" s="7" t="str">
        <f aca="false">IF(A827="","",IFERROR(INDEX('Campos Growths'!$F:$F,MATCH(H827,'Campos Growths'!$A:$A,0)),""))</f>
        <v/>
      </c>
      <c r="J827" s="7" t="str">
        <f aca="false">IF(A827="","",IFERROR(VLOOKUP(IF(ISNUMBER(SEARCH("(",C827)),LEFT(C827,SEARCH("(",C827)-1),C827),Tipos!$A:$B,2,FALSE()),"outro"))</f>
        <v/>
      </c>
      <c r="K827" s="7" t="str">
        <f aca="false">IF(I827="","",IFERROR(INDEX('Campos Growths'!$L:$L,MATCH(H827,'Campos Growths'!$A:$A,0)),""))</f>
        <v/>
      </c>
      <c r="L827" s="7" t="str">
        <f aca="false">IF(A827="","",IF(G827="não","Sem tabela no Growths",IF(I827="","Sem campo no Growths",IF(J827=K827,"Importa direto","Ajustar tipo"))))</f>
        <v/>
      </c>
      <c r="M827" s="9"/>
    </row>
    <row r="828" customFormat="false" ht="15" hidden="false" customHeight="false" outlineLevel="0" collapsed="false">
      <c r="A828" s="7" t="str">
        <f aca="false">IF('Outro banco'!A828="","",IF(LEFT('Outro banco'!A828,1)="(","",'Outro banco'!A828))</f>
        <v/>
      </c>
      <c r="B828" s="7" t="str">
        <f aca="false">IF(A828="","",'Outro banco'!B828)</f>
        <v/>
      </c>
      <c r="C828" s="7" t="str">
        <f aca="false">IF(A828="","",'Outro banco'!C828)</f>
        <v/>
      </c>
      <c r="D828" s="7" t="str">
        <f aca="false">IF(A828="","",'Outro banco'!D828)</f>
        <v/>
      </c>
      <c r="E828" s="9"/>
      <c r="F828" s="9"/>
      <c r="G828" s="7" t="str">
        <f aca="false">IF(A828="","",IF(COUNTIF(Tabelas!$A:$A,IF(E828="",A828,E828))&gt;0,"sim","não"))</f>
        <v/>
      </c>
      <c r="H828" s="7" t="str">
        <f aca="false">IF(A828="","",IF(E828="",A828,E828)&amp;"."&amp;IF(F828="",B828,F828))</f>
        <v/>
      </c>
      <c r="I828" s="7" t="str">
        <f aca="false">IF(A828="","",IFERROR(INDEX('Campos Growths'!$F:$F,MATCH(H828,'Campos Growths'!$A:$A,0)),""))</f>
        <v/>
      </c>
      <c r="J828" s="7" t="str">
        <f aca="false">IF(A828="","",IFERROR(VLOOKUP(IF(ISNUMBER(SEARCH("(",C828)),LEFT(C828,SEARCH("(",C828)-1),C828),Tipos!$A:$B,2,FALSE()),"outro"))</f>
        <v/>
      </c>
      <c r="K828" s="7" t="str">
        <f aca="false">IF(I828="","",IFERROR(INDEX('Campos Growths'!$L:$L,MATCH(H828,'Campos Growths'!$A:$A,0)),""))</f>
        <v/>
      </c>
      <c r="L828" s="7" t="str">
        <f aca="false">IF(A828="","",IF(G828="não","Sem tabela no Growths",IF(I828="","Sem campo no Growths",IF(J828=K828,"Importa direto","Ajustar tipo"))))</f>
        <v/>
      </c>
      <c r="M828" s="9"/>
    </row>
    <row r="829" customFormat="false" ht="15" hidden="false" customHeight="false" outlineLevel="0" collapsed="false">
      <c r="A829" s="7" t="str">
        <f aca="false">IF('Outro banco'!A829="","",IF(LEFT('Outro banco'!A829,1)="(","",'Outro banco'!A829))</f>
        <v/>
      </c>
      <c r="B829" s="7" t="str">
        <f aca="false">IF(A829="","",'Outro banco'!B829)</f>
        <v/>
      </c>
      <c r="C829" s="7" t="str">
        <f aca="false">IF(A829="","",'Outro banco'!C829)</f>
        <v/>
      </c>
      <c r="D829" s="7" t="str">
        <f aca="false">IF(A829="","",'Outro banco'!D829)</f>
        <v/>
      </c>
      <c r="E829" s="9"/>
      <c r="F829" s="9"/>
      <c r="G829" s="7" t="str">
        <f aca="false">IF(A829="","",IF(COUNTIF(Tabelas!$A:$A,IF(E829="",A829,E829))&gt;0,"sim","não"))</f>
        <v/>
      </c>
      <c r="H829" s="7" t="str">
        <f aca="false">IF(A829="","",IF(E829="",A829,E829)&amp;"."&amp;IF(F829="",B829,F829))</f>
        <v/>
      </c>
      <c r="I829" s="7" t="str">
        <f aca="false">IF(A829="","",IFERROR(INDEX('Campos Growths'!$F:$F,MATCH(H829,'Campos Growths'!$A:$A,0)),""))</f>
        <v/>
      </c>
      <c r="J829" s="7" t="str">
        <f aca="false">IF(A829="","",IFERROR(VLOOKUP(IF(ISNUMBER(SEARCH("(",C829)),LEFT(C829,SEARCH("(",C829)-1),C829),Tipos!$A:$B,2,FALSE()),"outro"))</f>
        <v/>
      </c>
      <c r="K829" s="7" t="str">
        <f aca="false">IF(I829="","",IFERROR(INDEX('Campos Growths'!$L:$L,MATCH(H829,'Campos Growths'!$A:$A,0)),""))</f>
        <v/>
      </c>
      <c r="L829" s="7" t="str">
        <f aca="false">IF(A829="","",IF(G829="não","Sem tabela no Growths",IF(I829="","Sem campo no Growths",IF(J829=K829,"Importa direto","Ajustar tipo"))))</f>
        <v/>
      </c>
      <c r="M829" s="9"/>
    </row>
    <row r="830" customFormat="false" ht="15" hidden="false" customHeight="false" outlineLevel="0" collapsed="false">
      <c r="A830" s="7" t="str">
        <f aca="false">IF('Outro banco'!A830="","",IF(LEFT('Outro banco'!A830,1)="(","",'Outro banco'!A830))</f>
        <v/>
      </c>
      <c r="B830" s="7" t="str">
        <f aca="false">IF(A830="","",'Outro banco'!B830)</f>
        <v/>
      </c>
      <c r="C830" s="7" t="str">
        <f aca="false">IF(A830="","",'Outro banco'!C830)</f>
        <v/>
      </c>
      <c r="D830" s="7" t="str">
        <f aca="false">IF(A830="","",'Outro banco'!D830)</f>
        <v/>
      </c>
      <c r="E830" s="9"/>
      <c r="F830" s="9"/>
      <c r="G830" s="7" t="str">
        <f aca="false">IF(A830="","",IF(COUNTIF(Tabelas!$A:$A,IF(E830="",A830,E830))&gt;0,"sim","não"))</f>
        <v/>
      </c>
      <c r="H830" s="7" t="str">
        <f aca="false">IF(A830="","",IF(E830="",A830,E830)&amp;"."&amp;IF(F830="",B830,F830))</f>
        <v/>
      </c>
      <c r="I830" s="7" t="str">
        <f aca="false">IF(A830="","",IFERROR(INDEX('Campos Growths'!$F:$F,MATCH(H830,'Campos Growths'!$A:$A,0)),""))</f>
        <v/>
      </c>
      <c r="J830" s="7" t="str">
        <f aca="false">IF(A830="","",IFERROR(VLOOKUP(IF(ISNUMBER(SEARCH("(",C830)),LEFT(C830,SEARCH("(",C830)-1),C830),Tipos!$A:$B,2,FALSE()),"outro"))</f>
        <v/>
      </c>
      <c r="K830" s="7" t="str">
        <f aca="false">IF(I830="","",IFERROR(INDEX('Campos Growths'!$L:$L,MATCH(H830,'Campos Growths'!$A:$A,0)),""))</f>
        <v/>
      </c>
      <c r="L830" s="7" t="str">
        <f aca="false">IF(A830="","",IF(G830="não","Sem tabela no Growths",IF(I830="","Sem campo no Growths",IF(J830=K830,"Importa direto","Ajustar tipo"))))</f>
        <v/>
      </c>
      <c r="M830" s="9"/>
    </row>
    <row r="831" customFormat="false" ht="15" hidden="false" customHeight="false" outlineLevel="0" collapsed="false">
      <c r="A831" s="7" t="str">
        <f aca="false">IF('Outro banco'!A831="","",IF(LEFT('Outro banco'!A831,1)="(","",'Outro banco'!A831))</f>
        <v/>
      </c>
      <c r="B831" s="7" t="str">
        <f aca="false">IF(A831="","",'Outro banco'!B831)</f>
        <v/>
      </c>
      <c r="C831" s="7" t="str">
        <f aca="false">IF(A831="","",'Outro banco'!C831)</f>
        <v/>
      </c>
      <c r="D831" s="7" t="str">
        <f aca="false">IF(A831="","",'Outro banco'!D831)</f>
        <v/>
      </c>
      <c r="E831" s="9"/>
      <c r="F831" s="9"/>
      <c r="G831" s="7" t="str">
        <f aca="false">IF(A831="","",IF(COUNTIF(Tabelas!$A:$A,IF(E831="",A831,E831))&gt;0,"sim","não"))</f>
        <v/>
      </c>
      <c r="H831" s="7" t="str">
        <f aca="false">IF(A831="","",IF(E831="",A831,E831)&amp;"."&amp;IF(F831="",B831,F831))</f>
        <v/>
      </c>
      <c r="I831" s="7" t="str">
        <f aca="false">IF(A831="","",IFERROR(INDEX('Campos Growths'!$F:$F,MATCH(H831,'Campos Growths'!$A:$A,0)),""))</f>
        <v/>
      </c>
      <c r="J831" s="7" t="str">
        <f aca="false">IF(A831="","",IFERROR(VLOOKUP(IF(ISNUMBER(SEARCH("(",C831)),LEFT(C831,SEARCH("(",C831)-1),C831),Tipos!$A:$B,2,FALSE()),"outro"))</f>
        <v/>
      </c>
      <c r="K831" s="7" t="str">
        <f aca="false">IF(I831="","",IFERROR(INDEX('Campos Growths'!$L:$L,MATCH(H831,'Campos Growths'!$A:$A,0)),""))</f>
        <v/>
      </c>
      <c r="L831" s="7" t="str">
        <f aca="false">IF(A831="","",IF(G831="não","Sem tabela no Growths",IF(I831="","Sem campo no Growths",IF(J831=K831,"Importa direto","Ajustar tipo"))))</f>
        <v/>
      </c>
      <c r="M831" s="9"/>
    </row>
    <row r="832" customFormat="false" ht="15" hidden="false" customHeight="false" outlineLevel="0" collapsed="false">
      <c r="A832" s="7" t="str">
        <f aca="false">IF('Outro banco'!A832="","",IF(LEFT('Outro banco'!A832,1)="(","",'Outro banco'!A832))</f>
        <v/>
      </c>
      <c r="B832" s="7" t="str">
        <f aca="false">IF(A832="","",'Outro banco'!B832)</f>
        <v/>
      </c>
      <c r="C832" s="7" t="str">
        <f aca="false">IF(A832="","",'Outro banco'!C832)</f>
        <v/>
      </c>
      <c r="D832" s="7" t="str">
        <f aca="false">IF(A832="","",'Outro banco'!D832)</f>
        <v/>
      </c>
      <c r="E832" s="9"/>
      <c r="F832" s="9"/>
      <c r="G832" s="7" t="str">
        <f aca="false">IF(A832="","",IF(COUNTIF(Tabelas!$A:$A,IF(E832="",A832,E832))&gt;0,"sim","não"))</f>
        <v/>
      </c>
      <c r="H832" s="7" t="str">
        <f aca="false">IF(A832="","",IF(E832="",A832,E832)&amp;"."&amp;IF(F832="",B832,F832))</f>
        <v/>
      </c>
      <c r="I832" s="7" t="str">
        <f aca="false">IF(A832="","",IFERROR(INDEX('Campos Growths'!$F:$F,MATCH(H832,'Campos Growths'!$A:$A,0)),""))</f>
        <v/>
      </c>
      <c r="J832" s="7" t="str">
        <f aca="false">IF(A832="","",IFERROR(VLOOKUP(IF(ISNUMBER(SEARCH("(",C832)),LEFT(C832,SEARCH("(",C832)-1),C832),Tipos!$A:$B,2,FALSE()),"outro"))</f>
        <v/>
      </c>
      <c r="K832" s="7" t="str">
        <f aca="false">IF(I832="","",IFERROR(INDEX('Campos Growths'!$L:$L,MATCH(H832,'Campos Growths'!$A:$A,0)),""))</f>
        <v/>
      </c>
      <c r="L832" s="7" t="str">
        <f aca="false">IF(A832="","",IF(G832="não","Sem tabela no Growths",IF(I832="","Sem campo no Growths",IF(J832=K832,"Importa direto","Ajustar tipo"))))</f>
        <v/>
      </c>
      <c r="M832" s="9"/>
    </row>
    <row r="833" customFormat="false" ht="15" hidden="false" customHeight="false" outlineLevel="0" collapsed="false">
      <c r="A833" s="7" t="str">
        <f aca="false">IF('Outro banco'!A833="","",IF(LEFT('Outro banco'!A833,1)="(","",'Outro banco'!A833))</f>
        <v/>
      </c>
      <c r="B833" s="7" t="str">
        <f aca="false">IF(A833="","",'Outro banco'!B833)</f>
        <v/>
      </c>
      <c r="C833" s="7" t="str">
        <f aca="false">IF(A833="","",'Outro banco'!C833)</f>
        <v/>
      </c>
      <c r="D833" s="7" t="str">
        <f aca="false">IF(A833="","",'Outro banco'!D833)</f>
        <v/>
      </c>
      <c r="E833" s="9"/>
      <c r="F833" s="9"/>
      <c r="G833" s="7" t="str">
        <f aca="false">IF(A833="","",IF(COUNTIF(Tabelas!$A:$A,IF(E833="",A833,E833))&gt;0,"sim","não"))</f>
        <v/>
      </c>
      <c r="H833" s="7" t="str">
        <f aca="false">IF(A833="","",IF(E833="",A833,E833)&amp;"."&amp;IF(F833="",B833,F833))</f>
        <v/>
      </c>
      <c r="I833" s="7" t="str">
        <f aca="false">IF(A833="","",IFERROR(INDEX('Campos Growths'!$F:$F,MATCH(H833,'Campos Growths'!$A:$A,0)),""))</f>
        <v/>
      </c>
      <c r="J833" s="7" t="str">
        <f aca="false">IF(A833="","",IFERROR(VLOOKUP(IF(ISNUMBER(SEARCH("(",C833)),LEFT(C833,SEARCH("(",C833)-1),C833),Tipos!$A:$B,2,FALSE()),"outro"))</f>
        <v/>
      </c>
      <c r="K833" s="7" t="str">
        <f aca="false">IF(I833="","",IFERROR(INDEX('Campos Growths'!$L:$L,MATCH(H833,'Campos Growths'!$A:$A,0)),""))</f>
        <v/>
      </c>
      <c r="L833" s="7" t="str">
        <f aca="false">IF(A833="","",IF(G833="não","Sem tabela no Growths",IF(I833="","Sem campo no Growths",IF(J833=K833,"Importa direto","Ajustar tipo"))))</f>
        <v/>
      </c>
      <c r="M833" s="9"/>
    </row>
    <row r="834" customFormat="false" ht="15" hidden="false" customHeight="false" outlineLevel="0" collapsed="false">
      <c r="A834" s="7" t="str">
        <f aca="false">IF('Outro banco'!A834="","",IF(LEFT('Outro banco'!A834,1)="(","",'Outro banco'!A834))</f>
        <v/>
      </c>
      <c r="B834" s="7" t="str">
        <f aca="false">IF(A834="","",'Outro banco'!B834)</f>
        <v/>
      </c>
      <c r="C834" s="7" t="str">
        <f aca="false">IF(A834="","",'Outro banco'!C834)</f>
        <v/>
      </c>
      <c r="D834" s="7" t="str">
        <f aca="false">IF(A834="","",'Outro banco'!D834)</f>
        <v/>
      </c>
      <c r="E834" s="9"/>
      <c r="F834" s="9"/>
      <c r="G834" s="7" t="str">
        <f aca="false">IF(A834="","",IF(COUNTIF(Tabelas!$A:$A,IF(E834="",A834,E834))&gt;0,"sim","não"))</f>
        <v/>
      </c>
      <c r="H834" s="7" t="str">
        <f aca="false">IF(A834="","",IF(E834="",A834,E834)&amp;"."&amp;IF(F834="",B834,F834))</f>
        <v/>
      </c>
      <c r="I834" s="7" t="str">
        <f aca="false">IF(A834="","",IFERROR(INDEX('Campos Growths'!$F:$F,MATCH(H834,'Campos Growths'!$A:$A,0)),""))</f>
        <v/>
      </c>
      <c r="J834" s="7" t="str">
        <f aca="false">IF(A834="","",IFERROR(VLOOKUP(IF(ISNUMBER(SEARCH("(",C834)),LEFT(C834,SEARCH("(",C834)-1),C834),Tipos!$A:$B,2,FALSE()),"outro"))</f>
        <v/>
      </c>
      <c r="K834" s="7" t="str">
        <f aca="false">IF(I834="","",IFERROR(INDEX('Campos Growths'!$L:$L,MATCH(H834,'Campos Growths'!$A:$A,0)),""))</f>
        <v/>
      </c>
      <c r="L834" s="7" t="str">
        <f aca="false">IF(A834="","",IF(G834="não","Sem tabela no Growths",IF(I834="","Sem campo no Growths",IF(J834=K834,"Importa direto","Ajustar tipo"))))</f>
        <v/>
      </c>
      <c r="M834" s="9"/>
    </row>
    <row r="835" customFormat="false" ht="15" hidden="false" customHeight="false" outlineLevel="0" collapsed="false">
      <c r="A835" s="7" t="str">
        <f aca="false">IF('Outro banco'!A835="","",IF(LEFT('Outro banco'!A835,1)="(","",'Outro banco'!A835))</f>
        <v/>
      </c>
      <c r="B835" s="7" t="str">
        <f aca="false">IF(A835="","",'Outro banco'!B835)</f>
        <v/>
      </c>
      <c r="C835" s="7" t="str">
        <f aca="false">IF(A835="","",'Outro banco'!C835)</f>
        <v/>
      </c>
      <c r="D835" s="7" t="str">
        <f aca="false">IF(A835="","",'Outro banco'!D835)</f>
        <v/>
      </c>
      <c r="E835" s="9"/>
      <c r="F835" s="9"/>
      <c r="G835" s="7" t="str">
        <f aca="false">IF(A835="","",IF(COUNTIF(Tabelas!$A:$A,IF(E835="",A835,E835))&gt;0,"sim","não"))</f>
        <v/>
      </c>
      <c r="H835" s="7" t="str">
        <f aca="false">IF(A835="","",IF(E835="",A835,E835)&amp;"."&amp;IF(F835="",B835,F835))</f>
        <v/>
      </c>
      <c r="I835" s="7" t="str">
        <f aca="false">IF(A835="","",IFERROR(INDEX('Campos Growths'!$F:$F,MATCH(H835,'Campos Growths'!$A:$A,0)),""))</f>
        <v/>
      </c>
      <c r="J835" s="7" t="str">
        <f aca="false">IF(A835="","",IFERROR(VLOOKUP(IF(ISNUMBER(SEARCH("(",C835)),LEFT(C835,SEARCH("(",C835)-1),C835),Tipos!$A:$B,2,FALSE()),"outro"))</f>
        <v/>
      </c>
      <c r="K835" s="7" t="str">
        <f aca="false">IF(I835="","",IFERROR(INDEX('Campos Growths'!$L:$L,MATCH(H835,'Campos Growths'!$A:$A,0)),""))</f>
        <v/>
      </c>
      <c r="L835" s="7" t="str">
        <f aca="false">IF(A835="","",IF(G835="não","Sem tabela no Growths",IF(I835="","Sem campo no Growths",IF(J835=K835,"Importa direto","Ajustar tipo"))))</f>
        <v/>
      </c>
      <c r="M835" s="9"/>
    </row>
    <row r="836" customFormat="false" ht="15" hidden="false" customHeight="false" outlineLevel="0" collapsed="false">
      <c r="A836" s="7" t="str">
        <f aca="false">IF('Outro banco'!A836="","",IF(LEFT('Outro banco'!A836,1)="(","",'Outro banco'!A836))</f>
        <v/>
      </c>
      <c r="B836" s="7" t="str">
        <f aca="false">IF(A836="","",'Outro banco'!B836)</f>
        <v/>
      </c>
      <c r="C836" s="7" t="str">
        <f aca="false">IF(A836="","",'Outro banco'!C836)</f>
        <v/>
      </c>
      <c r="D836" s="7" t="str">
        <f aca="false">IF(A836="","",'Outro banco'!D836)</f>
        <v/>
      </c>
      <c r="E836" s="9"/>
      <c r="F836" s="9"/>
      <c r="G836" s="7" t="str">
        <f aca="false">IF(A836="","",IF(COUNTIF(Tabelas!$A:$A,IF(E836="",A836,E836))&gt;0,"sim","não"))</f>
        <v/>
      </c>
      <c r="H836" s="7" t="str">
        <f aca="false">IF(A836="","",IF(E836="",A836,E836)&amp;"."&amp;IF(F836="",B836,F836))</f>
        <v/>
      </c>
      <c r="I836" s="7" t="str">
        <f aca="false">IF(A836="","",IFERROR(INDEX('Campos Growths'!$F:$F,MATCH(H836,'Campos Growths'!$A:$A,0)),""))</f>
        <v/>
      </c>
      <c r="J836" s="7" t="str">
        <f aca="false">IF(A836="","",IFERROR(VLOOKUP(IF(ISNUMBER(SEARCH("(",C836)),LEFT(C836,SEARCH("(",C836)-1),C836),Tipos!$A:$B,2,FALSE()),"outro"))</f>
        <v/>
      </c>
      <c r="K836" s="7" t="str">
        <f aca="false">IF(I836="","",IFERROR(INDEX('Campos Growths'!$L:$L,MATCH(H836,'Campos Growths'!$A:$A,0)),""))</f>
        <v/>
      </c>
      <c r="L836" s="7" t="str">
        <f aca="false">IF(A836="","",IF(G836="não","Sem tabela no Growths",IF(I836="","Sem campo no Growths",IF(J836=K836,"Importa direto","Ajustar tipo"))))</f>
        <v/>
      </c>
      <c r="M836" s="9"/>
    </row>
    <row r="837" customFormat="false" ht="15" hidden="false" customHeight="false" outlineLevel="0" collapsed="false">
      <c r="A837" s="7" t="str">
        <f aca="false">IF('Outro banco'!A837="","",IF(LEFT('Outro banco'!A837,1)="(","",'Outro banco'!A837))</f>
        <v/>
      </c>
      <c r="B837" s="7" t="str">
        <f aca="false">IF(A837="","",'Outro banco'!B837)</f>
        <v/>
      </c>
      <c r="C837" s="7" t="str">
        <f aca="false">IF(A837="","",'Outro banco'!C837)</f>
        <v/>
      </c>
      <c r="D837" s="7" t="str">
        <f aca="false">IF(A837="","",'Outro banco'!D837)</f>
        <v/>
      </c>
      <c r="E837" s="9"/>
      <c r="F837" s="9"/>
      <c r="G837" s="7" t="str">
        <f aca="false">IF(A837="","",IF(COUNTIF(Tabelas!$A:$A,IF(E837="",A837,E837))&gt;0,"sim","não"))</f>
        <v/>
      </c>
      <c r="H837" s="7" t="str">
        <f aca="false">IF(A837="","",IF(E837="",A837,E837)&amp;"."&amp;IF(F837="",B837,F837))</f>
        <v/>
      </c>
      <c r="I837" s="7" t="str">
        <f aca="false">IF(A837="","",IFERROR(INDEX('Campos Growths'!$F:$F,MATCH(H837,'Campos Growths'!$A:$A,0)),""))</f>
        <v/>
      </c>
      <c r="J837" s="7" t="str">
        <f aca="false">IF(A837="","",IFERROR(VLOOKUP(IF(ISNUMBER(SEARCH("(",C837)),LEFT(C837,SEARCH("(",C837)-1),C837),Tipos!$A:$B,2,FALSE()),"outro"))</f>
        <v/>
      </c>
      <c r="K837" s="7" t="str">
        <f aca="false">IF(I837="","",IFERROR(INDEX('Campos Growths'!$L:$L,MATCH(H837,'Campos Growths'!$A:$A,0)),""))</f>
        <v/>
      </c>
      <c r="L837" s="7" t="str">
        <f aca="false">IF(A837="","",IF(G837="não","Sem tabela no Growths",IF(I837="","Sem campo no Growths",IF(J837=K837,"Importa direto","Ajustar tipo"))))</f>
        <v/>
      </c>
      <c r="M837" s="9"/>
    </row>
    <row r="838" customFormat="false" ht="15" hidden="false" customHeight="false" outlineLevel="0" collapsed="false">
      <c r="A838" s="7" t="str">
        <f aca="false">IF('Outro banco'!A838="","",IF(LEFT('Outro banco'!A838,1)="(","",'Outro banco'!A838))</f>
        <v/>
      </c>
      <c r="B838" s="7" t="str">
        <f aca="false">IF(A838="","",'Outro banco'!B838)</f>
        <v/>
      </c>
      <c r="C838" s="7" t="str">
        <f aca="false">IF(A838="","",'Outro banco'!C838)</f>
        <v/>
      </c>
      <c r="D838" s="7" t="str">
        <f aca="false">IF(A838="","",'Outro banco'!D838)</f>
        <v/>
      </c>
      <c r="E838" s="9"/>
      <c r="F838" s="9"/>
      <c r="G838" s="7" t="str">
        <f aca="false">IF(A838="","",IF(COUNTIF(Tabelas!$A:$A,IF(E838="",A838,E838))&gt;0,"sim","não"))</f>
        <v/>
      </c>
      <c r="H838" s="7" t="str">
        <f aca="false">IF(A838="","",IF(E838="",A838,E838)&amp;"."&amp;IF(F838="",B838,F838))</f>
        <v/>
      </c>
      <c r="I838" s="7" t="str">
        <f aca="false">IF(A838="","",IFERROR(INDEX('Campos Growths'!$F:$F,MATCH(H838,'Campos Growths'!$A:$A,0)),""))</f>
        <v/>
      </c>
      <c r="J838" s="7" t="str">
        <f aca="false">IF(A838="","",IFERROR(VLOOKUP(IF(ISNUMBER(SEARCH("(",C838)),LEFT(C838,SEARCH("(",C838)-1),C838),Tipos!$A:$B,2,FALSE()),"outro"))</f>
        <v/>
      </c>
      <c r="K838" s="7" t="str">
        <f aca="false">IF(I838="","",IFERROR(INDEX('Campos Growths'!$L:$L,MATCH(H838,'Campos Growths'!$A:$A,0)),""))</f>
        <v/>
      </c>
      <c r="L838" s="7" t="str">
        <f aca="false">IF(A838="","",IF(G838="não","Sem tabela no Growths",IF(I838="","Sem campo no Growths",IF(J838=K838,"Importa direto","Ajustar tipo"))))</f>
        <v/>
      </c>
      <c r="M838" s="9"/>
    </row>
    <row r="839" customFormat="false" ht="15" hidden="false" customHeight="false" outlineLevel="0" collapsed="false">
      <c r="A839" s="7" t="str">
        <f aca="false">IF('Outro banco'!A839="","",IF(LEFT('Outro banco'!A839,1)="(","",'Outro banco'!A839))</f>
        <v/>
      </c>
      <c r="B839" s="7" t="str">
        <f aca="false">IF(A839="","",'Outro banco'!B839)</f>
        <v/>
      </c>
      <c r="C839" s="7" t="str">
        <f aca="false">IF(A839="","",'Outro banco'!C839)</f>
        <v/>
      </c>
      <c r="D839" s="7" t="str">
        <f aca="false">IF(A839="","",'Outro banco'!D839)</f>
        <v/>
      </c>
      <c r="E839" s="9"/>
      <c r="F839" s="9"/>
      <c r="G839" s="7" t="str">
        <f aca="false">IF(A839="","",IF(COUNTIF(Tabelas!$A:$A,IF(E839="",A839,E839))&gt;0,"sim","não"))</f>
        <v/>
      </c>
      <c r="H839" s="7" t="str">
        <f aca="false">IF(A839="","",IF(E839="",A839,E839)&amp;"."&amp;IF(F839="",B839,F839))</f>
        <v/>
      </c>
      <c r="I839" s="7" t="str">
        <f aca="false">IF(A839="","",IFERROR(INDEX('Campos Growths'!$F:$F,MATCH(H839,'Campos Growths'!$A:$A,0)),""))</f>
        <v/>
      </c>
      <c r="J839" s="7" t="str">
        <f aca="false">IF(A839="","",IFERROR(VLOOKUP(IF(ISNUMBER(SEARCH("(",C839)),LEFT(C839,SEARCH("(",C839)-1),C839),Tipos!$A:$B,2,FALSE()),"outro"))</f>
        <v/>
      </c>
      <c r="K839" s="7" t="str">
        <f aca="false">IF(I839="","",IFERROR(INDEX('Campos Growths'!$L:$L,MATCH(H839,'Campos Growths'!$A:$A,0)),""))</f>
        <v/>
      </c>
      <c r="L839" s="7" t="str">
        <f aca="false">IF(A839="","",IF(G839="não","Sem tabela no Growths",IF(I839="","Sem campo no Growths",IF(J839=K839,"Importa direto","Ajustar tipo"))))</f>
        <v/>
      </c>
      <c r="M839" s="9"/>
    </row>
    <row r="840" customFormat="false" ht="15" hidden="false" customHeight="false" outlineLevel="0" collapsed="false">
      <c r="A840" s="7" t="str">
        <f aca="false">IF('Outro banco'!A840="","",IF(LEFT('Outro banco'!A840,1)="(","",'Outro banco'!A840))</f>
        <v/>
      </c>
      <c r="B840" s="7" t="str">
        <f aca="false">IF(A840="","",'Outro banco'!B840)</f>
        <v/>
      </c>
      <c r="C840" s="7" t="str">
        <f aca="false">IF(A840="","",'Outro banco'!C840)</f>
        <v/>
      </c>
      <c r="D840" s="7" t="str">
        <f aca="false">IF(A840="","",'Outro banco'!D840)</f>
        <v/>
      </c>
      <c r="E840" s="9"/>
      <c r="F840" s="9"/>
      <c r="G840" s="7" t="str">
        <f aca="false">IF(A840="","",IF(COUNTIF(Tabelas!$A:$A,IF(E840="",A840,E840))&gt;0,"sim","não"))</f>
        <v/>
      </c>
      <c r="H840" s="7" t="str">
        <f aca="false">IF(A840="","",IF(E840="",A840,E840)&amp;"."&amp;IF(F840="",B840,F840))</f>
        <v/>
      </c>
      <c r="I840" s="7" t="str">
        <f aca="false">IF(A840="","",IFERROR(INDEX('Campos Growths'!$F:$F,MATCH(H840,'Campos Growths'!$A:$A,0)),""))</f>
        <v/>
      </c>
      <c r="J840" s="7" t="str">
        <f aca="false">IF(A840="","",IFERROR(VLOOKUP(IF(ISNUMBER(SEARCH("(",C840)),LEFT(C840,SEARCH("(",C840)-1),C840),Tipos!$A:$B,2,FALSE()),"outro"))</f>
        <v/>
      </c>
      <c r="K840" s="7" t="str">
        <f aca="false">IF(I840="","",IFERROR(INDEX('Campos Growths'!$L:$L,MATCH(H840,'Campos Growths'!$A:$A,0)),""))</f>
        <v/>
      </c>
      <c r="L840" s="7" t="str">
        <f aca="false">IF(A840="","",IF(G840="não","Sem tabela no Growths",IF(I840="","Sem campo no Growths",IF(J840=K840,"Importa direto","Ajustar tipo"))))</f>
        <v/>
      </c>
      <c r="M840" s="9"/>
    </row>
    <row r="841" customFormat="false" ht="15" hidden="false" customHeight="false" outlineLevel="0" collapsed="false">
      <c r="A841" s="7" t="str">
        <f aca="false">IF('Outro banco'!A841="","",IF(LEFT('Outro banco'!A841,1)="(","",'Outro banco'!A841))</f>
        <v/>
      </c>
      <c r="B841" s="7" t="str">
        <f aca="false">IF(A841="","",'Outro banco'!B841)</f>
        <v/>
      </c>
      <c r="C841" s="7" t="str">
        <f aca="false">IF(A841="","",'Outro banco'!C841)</f>
        <v/>
      </c>
      <c r="D841" s="7" t="str">
        <f aca="false">IF(A841="","",'Outro banco'!D841)</f>
        <v/>
      </c>
      <c r="E841" s="9"/>
      <c r="F841" s="9"/>
      <c r="G841" s="7" t="str">
        <f aca="false">IF(A841="","",IF(COUNTIF(Tabelas!$A:$A,IF(E841="",A841,E841))&gt;0,"sim","não"))</f>
        <v/>
      </c>
      <c r="H841" s="7" t="str">
        <f aca="false">IF(A841="","",IF(E841="",A841,E841)&amp;"."&amp;IF(F841="",B841,F841))</f>
        <v/>
      </c>
      <c r="I841" s="7" t="str">
        <f aca="false">IF(A841="","",IFERROR(INDEX('Campos Growths'!$F:$F,MATCH(H841,'Campos Growths'!$A:$A,0)),""))</f>
        <v/>
      </c>
      <c r="J841" s="7" t="str">
        <f aca="false">IF(A841="","",IFERROR(VLOOKUP(IF(ISNUMBER(SEARCH("(",C841)),LEFT(C841,SEARCH("(",C841)-1),C841),Tipos!$A:$B,2,FALSE()),"outro"))</f>
        <v/>
      </c>
      <c r="K841" s="7" t="str">
        <f aca="false">IF(I841="","",IFERROR(INDEX('Campos Growths'!$L:$L,MATCH(H841,'Campos Growths'!$A:$A,0)),""))</f>
        <v/>
      </c>
      <c r="L841" s="7" t="str">
        <f aca="false">IF(A841="","",IF(G841="não","Sem tabela no Growths",IF(I841="","Sem campo no Growths",IF(J841=K841,"Importa direto","Ajustar tipo"))))</f>
        <v/>
      </c>
      <c r="M841" s="9"/>
    </row>
    <row r="842" customFormat="false" ht="15" hidden="false" customHeight="false" outlineLevel="0" collapsed="false">
      <c r="A842" s="7" t="str">
        <f aca="false">IF('Outro banco'!A842="","",IF(LEFT('Outro banco'!A842,1)="(","",'Outro banco'!A842))</f>
        <v/>
      </c>
      <c r="B842" s="7" t="str">
        <f aca="false">IF(A842="","",'Outro banco'!B842)</f>
        <v/>
      </c>
      <c r="C842" s="7" t="str">
        <f aca="false">IF(A842="","",'Outro banco'!C842)</f>
        <v/>
      </c>
      <c r="D842" s="7" t="str">
        <f aca="false">IF(A842="","",'Outro banco'!D842)</f>
        <v/>
      </c>
      <c r="E842" s="9"/>
      <c r="F842" s="9"/>
      <c r="G842" s="7" t="str">
        <f aca="false">IF(A842="","",IF(COUNTIF(Tabelas!$A:$A,IF(E842="",A842,E842))&gt;0,"sim","não"))</f>
        <v/>
      </c>
      <c r="H842" s="7" t="str">
        <f aca="false">IF(A842="","",IF(E842="",A842,E842)&amp;"."&amp;IF(F842="",B842,F842))</f>
        <v/>
      </c>
      <c r="I842" s="7" t="str">
        <f aca="false">IF(A842="","",IFERROR(INDEX('Campos Growths'!$F:$F,MATCH(H842,'Campos Growths'!$A:$A,0)),""))</f>
        <v/>
      </c>
      <c r="J842" s="7" t="str">
        <f aca="false">IF(A842="","",IFERROR(VLOOKUP(IF(ISNUMBER(SEARCH("(",C842)),LEFT(C842,SEARCH("(",C842)-1),C842),Tipos!$A:$B,2,FALSE()),"outro"))</f>
        <v/>
      </c>
      <c r="K842" s="7" t="str">
        <f aca="false">IF(I842="","",IFERROR(INDEX('Campos Growths'!$L:$L,MATCH(H842,'Campos Growths'!$A:$A,0)),""))</f>
        <v/>
      </c>
      <c r="L842" s="7" t="str">
        <f aca="false">IF(A842="","",IF(G842="não","Sem tabela no Growths",IF(I842="","Sem campo no Growths",IF(J842=K842,"Importa direto","Ajustar tipo"))))</f>
        <v/>
      </c>
      <c r="M842" s="9"/>
    </row>
    <row r="843" customFormat="false" ht="15" hidden="false" customHeight="false" outlineLevel="0" collapsed="false">
      <c r="A843" s="7" t="str">
        <f aca="false">IF('Outro banco'!A843="","",IF(LEFT('Outro banco'!A843,1)="(","",'Outro banco'!A843))</f>
        <v/>
      </c>
      <c r="B843" s="7" t="str">
        <f aca="false">IF(A843="","",'Outro banco'!B843)</f>
        <v/>
      </c>
      <c r="C843" s="7" t="str">
        <f aca="false">IF(A843="","",'Outro banco'!C843)</f>
        <v/>
      </c>
      <c r="D843" s="7" t="str">
        <f aca="false">IF(A843="","",'Outro banco'!D843)</f>
        <v/>
      </c>
      <c r="E843" s="9"/>
      <c r="F843" s="9"/>
      <c r="G843" s="7" t="str">
        <f aca="false">IF(A843="","",IF(COUNTIF(Tabelas!$A:$A,IF(E843="",A843,E843))&gt;0,"sim","não"))</f>
        <v/>
      </c>
      <c r="H843" s="7" t="str">
        <f aca="false">IF(A843="","",IF(E843="",A843,E843)&amp;"."&amp;IF(F843="",B843,F843))</f>
        <v/>
      </c>
      <c r="I843" s="7" t="str">
        <f aca="false">IF(A843="","",IFERROR(INDEX('Campos Growths'!$F:$F,MATCH(H843,'Campos Growths'!$A:$A,0)),""))</f>
        <v/>
      </c>
      <c r="J843" s="7" t="str">
        <f aca="false">IF(A843="","",IFERROR(VLOOKUP(IF(ISNUMBER(SEARCH("(",C843)),LEFT(C843,SEARCH("(",C843)-1),C843),Tipos!$A:$B,2,FALSE()),"outro"))</f>
        <v/>
      </c>
      <c r="K843" s="7" t="str">
        <f aca="false">IF(I843="","",IFERROR(INDEX('Campos Growths'!$L:$L,MATCH(H843,'Campos Growths'!$A:$A,0)),""))</f>
        <v/>
      </c>
      <c r="L843" s="7" t="str">
        <f aca="false">IF(A843="","",IF(G843="não","Sem tabela no Growths",IF(I843="","Sem campo no Growths",IF(J843=K843,"Importa direto","Ajustar tipo"))))</f>
        <v/>
      </c>
      <c r="M843" s="9"/>
    </row>
    <row r="844" customFormat="false" ht="15" hidden="false" customHeight="false" outlineLevel="0" collapsed="false">
      <c r="A844" s="7" t="str">
        <f aca="false">IF('Outro banco'!A844="","",IF(LEFT('Outro banco'!A844,1)="(","",'Outro banco'!A844))</f>
        <v/>
      </c>
      <c r="B844" s="7" t="str">
        <f aca="false">IF(A844="","",'Outro banco'!B844)</f>
        <v/>
      </c>
      <c r="C844" s="7" t="str">
        <f aca="false">IF(A844="","",'Outro banco'!C844)</f>
        <v/>
      </c>
      <c r="D844" s="7" t="str">
        <f aca="false">IF(A844="","",'Outro banco'!D844)</f>
        <v/>
      </c>
      <c r="E844" s="9"/>
      <c r="F844" s="9"/>
      <c r="G844" s="7" t="str">
        <f aca="false">IF(A844="","",IF(COUNTIF(Tabelas!$A:$A,IF(E844="",A844,E844))&gt;0,"sim","não"))</f>
        <v/>
      </c>
      <c r="H844" s="7" t="str">
        <f aca="false">IF(A844="","",IF(E844="",A844,E844)&amp;"."&amp;IF(F844="",B844,F844))</f>
        <v/>
      </c>
      <c r="I844" s="7" t="str">
        <f aca="false">IF(A844="","",IFERROR(INDEX('Campos Growths'!$F:$F,MATCH(H844,'Campos Growths'!$A:$A,0)),""))</f>
        <v/>
      </c>
      <c r="J844" s="7" t="str">
        <f aca="false">IF(A844="","",IFERROR(VLOOKUP(IF(ISNUMBER(SEARCH("(",C844)),LEFT(C844,SEARCH("(",C844)-1),C844),Tipos!$A:$B,2,FALSE()),"outro"))</f>
        <v/>
      </c>
      <c r="K844" s="7" t="str">
        <f aca="false">IF(I844="","",IFERROR(INDEX('Campos Growths'!$L:$L,MATCH(H844,'Campos Growths'!$A:$A,0)),""))</f>
        <v/>
      </c>
      <c r="L844" s="7" t="str">
        <f aca="false">IF(A844="","",IF(G844="não","Sem tabela no Growths",IF(I844="","Sem campo no Growths",IF(J844=K844,"Importa direto","Ajustar tipo"))))</f>
        <v/>
      </c>
      <c r="M844" s="9"/>
    </row>
    <row r="845" customFormat="false" ht="15" hidden="false" customHeight="false" outlineLevel="0" collapsed="false">
      <c r="A845" s="7" t="str">
        <f aca="false">IF('Outro banco'!A845="","",IF(LEFT('Outro banco'!A845,1)="(","",'Outro banco'!A845))</f>
        <v/>
      </c>
      <c r="B845" s="7" t="str">
        <f aca="false">IF(A845="","",'Outro banco'!B845)</f>
        <v/>
      </c>
      <c r="C845" s="7" t="str">
        <f aca="false">IF(A845="","",'Outro banco'!C845)</f>
        <v/>
      </c>
      <c r="D845" s="7" t="str">
        <f aca="false">IF(A845="","",'Outro banco'!D845)</f>
        <v/>
      </c>
      <c r="E845" s="9"/>
      <c r="F845" s="9"/>
      <c r="G845" s="7" t="str">
        <f aca="false">IF(A845="","",IF(COUNTIF(Tabelas!$A:$A,IF(E845="",A845,E845))&gt;0,"sim","não"))</f>
        <v/>
      </c>
      <c r="H845" s="7" t="str">
        <f aca="false">IF(A845="","",IF(E845="",A845,E845)&amp;"."&amp;IF(F845="",B845,F845))</f>
        <v/>
      </c>
      <c r="I845" s="7" t="str">
        <f aca="false">IF(A845="","",IFERROR(INDEX('Campos Growths'!$F:$F,MATCH(H845,'Campos Growths'!$A:$A,0)),""))</f>
        <v/>
      </c>
      <c r="J845" s="7" t="str">
        <f aca="false">IF(A845="","",IFERROR(VLOOKUP(IF(ISNUMBER(SEARCH("(",C845)),LEFT(C845,SEARCH("(",C845)-1),C845),Tipos!$A:$B,2,FALSE()),"outro"))</f>
        <v/>
      </c>
      <c r="K845" s="7" t="str">
        <f aca="false">IF(I845="","",IFERROR(INDEX('Campos Growths'!$L:$L,MATCH(H845,'Campos Growths'!$A:$A,0)),""))</f>
        <v/>
      </c>
      <c r="L845" s="7" t="str">
        <f aca="false">IF(A845="","",IF(G845="não","Sem tabela no Growths",IF(I845="","Sem campo no Growths",IF(J845=K845,"Importa direto","Ajustar tipo"))))</f>
        <v/>
      </c>
      <c r="M845" s="9"/>
    </row>
    <row r="846" customFormat="false" ht="15" hidden="false" customHeight="false" outlineLevel="0" collapsed="false">
      <c r="A846" s="7" t="str">
        <f aca="false">IF('Outro banco'!A846="","",IF(LEFT('Outro banco'!A846,1)="(","",'Outro banco'!A846))</f>
        <v/>
      </c>
      <c r="B846" s="7" t="str">
        <f aca="false">IF(A846="","",'Outro banco'!B846)</f>
        <v/>
      </c>
      <c r="C846" s="7" t="str">
        <f aca="false">IF(A846="","",'Outro banco'!C846)</f>
        <v/>
      </c>
      <c r="D846" s="7" t="str">
        <f aca="false">IF(A846="","",'Outro banco'!D846)</f>
        <v/>
      </c>
      <c r="E846" s="9"/>
      <c r="F846" s="9"/>
      <c r="G846" s="7" t="str">
        <f aca="false">IF(A846="","",IF(COUNTIF(Tabelas!$A:$A,IF(E846="",A846,E846))&gt;0,"sim","não"))</f>
        <v/>
      </c>
      <c r="H846" s="7" t="str">
        <f aca="false">IF(A846="","",IF(E846="",A846,E846)&amp;"."&amp;IF(F846="",B846,F846))</f>
        <v/>
      </c>
      <c r="I846" s="7" t="str">
        <f aca="false">IF(A846="","",IFERROR(INDEX('Campos Growths'!$F:$F,MATCH(H846,'Campos Growths'!$A:$A,0)),""))</f>
        <v/>
      </c>
      <c r="J846" s="7" t="str">
        <f aca="false">IF(A846="","",IFERROR(VLOOKUP(IF(ISNUMBER(SEARCH("(",C846)),LEFT(C846,SEARCH("(",C846)-1),C846),Tipos!$A:$B,2,FALSE()),"outro"))</f>
        <v/>
      </c>
      <c r="K846" s="7" t="str">
        <f aca="false">IF(I846="","",IFERROR(INDEX('Campos Growths'!$L:$L,MATCH(H846,'Campos Growths'!$A:$A,0)),""))</f>
        <v/>
      </c>
      <c r="L846" s="7" t="str">
        <f aca="false">IF(A846="","",IF(G846="não","Sem tabela no Growths",IF(I846="","Sem campo no Growths",IF(J846=K846,"Importa direto","Ajustar tipo"))))</f>
        <v/>
      </c>
      <c r="M846" s="9"/>
    </row>
    <row r="847" customFormat="false" ht="15" hidden="false" customHeight="false" outlineLevel="0" collapsed="false">
      <c r="A847" s="7" t="str">
        <f aca="false">IF('Outro banco'!A847="","",IF(LEFT('Outro banco'!A847,1)="(","",'Outro banco'!A847))</f>
        <v/>
      </c>
      <c r="B847" s="7" t="str">
        <f aca="false">IF(A847="","",'Outro banco'!B847)</f>
        <v/>
      </c>
      <c r="C847" s="7" t="str">
        <f aca="false">IF(A847="","",'Outro banco'!C847)</f>
        <v/>
      </c>
      <c r="D847" s="7" t="str">
        <f aca="false">IF(A847="","",'Outro banco'!D847)</f>
        <v/>
      </c>
      <c r="E847" s="9"/>
      <c r="F847" s="9"/>
      <c r="G847" s="7" t="str">
        <f aca="false">IF(A847="","",IF(COUNTIF(Tabelas!$A:$A,IF(E847="",A847,E847))&gt;0,"sim","não"))</f>
        <v/>
      </c>
      <c r="H847" s="7" t="str">
        <f aca="false">IF(A847="","",IF(E847="",A847,E847)&amp;"."&amp;IF(F847="",B847,F847))</f>
        <v/>
      </c>
      <c r="I847" s="7" t="str">
        <f aca="false">IF(A847="","",IFERROR(INDEX('Campos Growths'!$F:$F,MATCH(H847,'Campos Growths'!$A:$A,0)),""))</f>
        <v/>
      </c>
      <c r="J847" s="7" t="str">
        <f aca="false">IF(A847="","",IFERROR(VLOOKUP(IF(ISNUMBER(SEARCH("(",C847)),LEFT(C847,SEARCH("(",C847)-1),C847),Tipos!$A:$B,2,FALSE()),"outro"))</f>
        <v/>
      </c>
      <c r="K847" s="7" t="str">
        <f aca="false">IF(I847="","",IFERROR(INDEX('Campos Growths'!$L:$L,MATCH(H847,'Campos Growths'!$A:$A,0)),""))</f>
        <v/>
      </c>
      <c r="L847" s="7" t="str">
        <f aca="false">IF(A847="","",IF(G847="não","Sem tabela no Growths",IF(I847="","Sem campo no Growths",IF(J847=K847,"Importa direto","Ajustar tipo"))))</f>
        <v/>
      </c>
      <c r="M847" s="9"/>
    </row>
    <row r="848" customFormat="false" ht="15" hidden="false" customHeight="false" outlineLevel="0" collapsed="false">
      <c r="A848" s="7" t="str">
        <f aca="false">IF('Outro banco'!A848="","",IF(LEFT('Outro banco'!A848,1)="(","",'Outro banco'!A848))</f>
        <v/>
      </c>
      <c r="B848" s="7" t="str">
        <f aca="false">IF(A848="","",'Outro banco'!B848)</f>
        <v/>
      </c>
      <c r="C848" s="7" t="str">
        <f aca="false">IF(A848="","",'Outro banco'!C848)</f>
        <v/>
      </c>
      <c r="D848" s="7" t="str">
        <f aca="false">IF(A848="","",'Outro banco'!D848)</f>
        <v/>
      </c>
      <c r="E848" s="9"/>
      <c r="F848" s="9"/>
      <c r="G848" s="7" t="str">
        <f aca="false">IF(A848="","",IF(COUNTIF(Tabelas!$A:$A,IF(E848="",A848,E848))&gt;0,"sim","não"))</f>
        <v/>
      </c>
      <c r="H848" s="7" t="str">
        <f aca="false">IF(A848="","",IF(E848="",A848,E848)&amp;"."&amp;IF(F848="",B848,F848))</f>
        <v/>
      </c>
      <c r="I848" s="7" t="str">
        <f aca="false">IF(A848="","",IFERROR(INDEX('Campos Growths'!$F:$F,MATCH(H848,'Campos Growths'!$A:$A,0)),""))</f>
        <v/>
      </c>
      <c r="J848" s="7" t="str">
        <f aca="false">IF(A848="","",IFERROR(VLOOKUP(IF(ISNUMBER(SEARCH("(",C848)),LEFT(C848,SEARCH("(",C848)-1),C848),Tipos!$A:$B,2,FALSE()),"outro"))</f>
        <v/>
      </c>
      <c r="K848" s="7" t="str">
        <f aca="false">IF(I848="","",IFERROR(INDEX('Campos Growths'!$L:$L,MATCH(H848,'Campos Growths'!$A:$A,0)),""))</f>
        <v/>
      </c>
      <c r="L848" s="7" t="str">
        <f aca="false">IF(A848="","",IF(G848="não","Sem tabela no Growths",IF(I848="","Sem campo no Growths",IF(J848=K848,"Importa direto","Ajustar tipo"))))</f>
        <v/>
      </c>
      <c r="M848" s="9"/>
    </row>
    <row r="849" customFormat="false" ht="15" hidden="false" customHeight="false" outlineLevel="0" collapsed="false">
      <c r="A849" s="7" t="str">
        <f aca="false">IF('Outro banco'!A849="","",IF(LEFT('Outro banco'!A849,1)="(","",'Outro banco'!A849))</f>
        <v/>
      </c>
      <c r="B849" s="7" t="str">
        <f aca="false">IF(A849="","",'Outro banco'!B849)</f>
        <v/>
      </c>
      <c r="C849" s="7" t="str">
        <f aca="false">IF(A849="","",'Outro banco'!C849)</f>
        <v/>
      </c>
      <c r="D849" s="7" t="str">
        <f aca="false">IF(A849="","",'Outro banco'!D849)</f>
        <v/>
      </c>
      <c r="E849" s="9"/>
      <c r="F849" s="9"/>
      <c r="G849" s="7" t="str">
        <f aca="false">IF(A849="","",IF(COUNTIF(Tabelas!$A:$A,IF(E849="",A849,E849))&gt;0,"sim","não"))</f>
        <v/>
      </c>
      <c r="H849" s="7" t="str">
        <f aca="false">IF(A849="","",IF(E849="",A849,E849)&amp;"."&amp;IF(F849="",B849,F849))</f>
        <v/>
      </c>
      <c r="I849" s="7" t="str">
        <f aca="false">IF(A849="","",IFERROR(INDEX('Campos Growths'!$F:$F,MATCH(H849,'Campos Growths'!$A:$A,0)),""))</f>
        <v/>
      </c>
      <c r="J849" s="7" t="str">
        <f aca="false">IF(A849="","",IFERROR(VLOOKUP(IF(ISNUMBER(SEARCH("(",C849)),LEFT(C849,SEARCH("(",C849)-1),C849),Tipos!$A:$B,2,FALSE()),"outro"))</f>
        <v/>
      </c>
      <c r="K849" s="7" t="str">
        <f aca="false">IF(I849="","",IFERROR(INDEX('Campos Growths'!$L:$L,MATCH(H849,'Campos Growths'!$A:$A,0)),""))</f>
        <v/>
      </c>
      <c r="L849" s="7" t="str">
        <f aca="false">IF(A849="","",IF(G849="não","Sem tabela no Growths",IF(I849="","Sem campo no Growths",IF(J849=K849,"Importa direto","Ajustar tipo"))))</f>
        <v/>
      </c>
      <c r="M849" s="9"/>
    </row>
    <row r="850" customFormat="false" ht="15" hidden="false" customHeight="false" outlineLevel="0" collapsed="false">
      <c r="A850" s="7" t="str">
        <f aca="false">IF('Outro banco'!A850="","",IF(LEFT('Outro banco'!A850,1)="(","",'Outro banco'!A850))</f>
        <v/>
      </c>
      <c r="B850" s="7" t="str">
        <f aca="false">IF(A850="","",'Outro banco'!B850)</f>
        <v/>
      </c>
      <c r="C850" s="7" t="str">
        <f aca="false">IF(A850="","",'Outro banco'!C850)</f>
        <v/>
      </c>
      <c r="D850" s="7" t="str">
        <f aca="false">IF(A850="","",'Outro banco'!D850)</f>
        <v/>
      </c>
      <c r="E850" s="9"/>
      <c r="F850" s="9"/>
      <c r="G850" s="7" t="str">
        <f aca="false">IF(A850="","",IF(COUNTIF(Tabelas!$A:$A,IF(E850="",A850,E850))&gt;0,"sim","não"))</f>
        <v/>
      </c>
      <c r="H850" s="7" t="str">
        <f aca="false">IF(A850="","",IF(E850="",A850,E850)&amp;"."&amp;IF(F850="",B850,F850))</f>
        <v/>
      </c>
      <c r="I850" s="7" t="str">
        <f aca="false">IF(A850="","",IFERROR(INDEX('Campos Growths'!$F:$F,MATCH(H850,'Campos Growths'!$A:$A,0)),""))</f>
        <v/>
      </c>
      <c r="J850" s="7" t="str">
        <f aca="false">IF(A850="","",IFERROR(VLOOKUP(IF(ISNUMBER(SEARCH("(",C850)),LEFT(C850,SEARCH("(",C850)-1),C850),Tipos!$A:$B,2,FALSE()),"outro"))</f>
        <v/>
      </c>
      <c r="K850" s="7" t="str">
        <f aca="false">IF(I850="","",IFERROR(INDEX('Campos Growths'!$L:$L,MATCH(H850,'Campos Growths'!$A:$A,0)),""))</f>
        <v/>
      </c>
      <c r="L850" s="7" t="str">
        <f aca="false">IF(A850="","",IF(G850="não","Sem tabela no Growths",IF(I850="","Sem campo no Growths",IF(J850=K850,"Importa direto","Ajustar tipo"))))</f>
        <v/>
      </c>
      <c r="M850" s="9"/>
    </row>
    <row r="851" customFormat="false" ht="15" hidden="false" customHeight="false" outlineLevel="0" collapsed="false">
      <c r="A851" s="7" t="str">
        <f aca="false">IF('Outro banco'!A851="","",IF(LEFT('Outro banco'!A851,1)="(","",'Outro banco'!A851))</f>
        <v/>
      </c>
      <c r="B851" s="7" t="str">
        <f aca="false">IF(A851="","",'Outro banco'!B851)</f>
        <v/>
      </c>
      <c r="C851" s="7" t="str">
        <f aca="false">IF(A851="","",'Outro banco'!C851)</f>
        <v/>
      </c>
      <c r="D851" s="7" t="str">
        <f aca="false">IF(A851="","",'Outro banco'!D851)</f>
        <v/>
      </c>
      <c r="E851" s="9"/>
      <c r="F851" s="9"/>
      <c r="G851" s="7" t="str">
        <f aca="false">IF(A851="","",IF(COUNTIF(Tabelas!$A:$A,IF(E851="",A851,E851))&gt;0,"sim","não"))</f>
        <v/>
      </c>
      <c r="H851" s="7" t="str">
        <f aca="false">IF(A851="","",IF(E851="",A851,E851)&amp;"."&amp;IF(F851="",B851,F851))</f>
        <v/>
      </c>
      <c r="I851" s="7" t="str">
        <f aca="false">IF(A851="","",IFERROR(INDEX('Campos Growths'!$F:$F,MATCH(H851,'Campos Growths'!$A:$A,0)),""))</f>
        <v/>
      </c>
      <c r="J851" s="7" t="str">
        <f aca="false">IF(A851="","",IFERROR(VLOOKUP(IF(ISNUMBER(SEARCH("(",C851)),LEFT(C851,SEARCH("(",C851)-1),C851),Tipos!$A:$B,2,FALSE()),"outro"))</f>
        <v/>
      </c>
      <c r="K851" s="7" t="str">
        <f aca="false">IF(I851="","",IFERROR(INDEX('Campos Growths'!$L:$L,MATCH(H851,'Campos Growths'!$A:$A,0)),""))</f>
        <v/>
      </c>
      <c r="L851" s="7" t="str">
        <f aca="false">IF(A851="","",IF(G851="não","Sem tabela no Growths",IF(I851="","Sem campo no Growths",IF(J851=K851,"Importa direto","Ajustar tipo"))))</f>
        <v/>
      </c>
      <c r="M851" s="9"/>
    </row>
    <row r="852" customFormat="false" ht="15" hidden="false" customHeight="false" outlineLevel="0" collapsed="false">
      <c r="A852" s="7" t="str">
        <f aca="false">IF('Outro banco'!A852="","",IF(LEFT('Outro banco'!A852,1)="(","",'Outro banco'!A852))</f>
        <v/>
      </c>
      <c r="B852" s="7" t="str">
        <f aca="false">IF(A852="","",'Outro banco'!B852)</f>
        <v/>
      </c>
      <c r="C852" s="7" t="str">
        <f aca="false">IF(A852="","",'Outro banco'!C852)</f>
        <v/>
      </c>
      <c r="D852" s="7" t="str">
        <f aca="false">IF(A852="","",'Outro banco'!D852)</f>
        <v/>
      </c>
      <c r="E852" s="9"/>
      <c r="F852" s="9"/>
      <c r="G852" s="7" t="str">
        <f aca="false">IF(A852="","",IF(COUNTIF(Tabelas!$A:$A,IF(E852="",A852,E852))&gt;0,"sim","não"))</f>
        <v/>
      </c>
      <c r="H852" s="7" t="str">
        <f aca="false">IF(A852="","",IF(E852="",A852,E852)&amp;"."&amp;IF(F852="",B852,F852))</f>
        <v/>
      </c>
      <c r="I852" s="7" t="str">
        <f aca="false">IF(A852="","",IFERROR(INDEX('Campos Growths'!$F:$F,MATCH(H852,'Campos Growths'!$A:$A,0)),""))</f>
        <v/>
      </c>
      <c r="J852" s="7" t="str">
        <f aca="false">IF(A852="","",IFERROR(VLOOKUP(IF(ISNUMBER(SEARCH("(",C852)),LEFT(C852,SEARCH("(",C852)-1),C852),Tipos!$A:$B,2,FALSE()),"outro"))</f>
        <v/>
      </c>
      <c r="K852" s="7" t="str">
        <f aca="false">IF(I852="","",IFERROR(INDEX('Campos Growths'!$L:$L,MATCH(H852,'Campos Growths'!$A:$A,0)),""))</f>
        <v/>
      </c>
      <c r="L852" s="7" t="str">
        <f aca="false">IF(A852="","",IF(G852="não","Sem tabela no Growths",IF(I852="","Sem campo no Growths",IF(J852=K852,"Importa direto","Ajustar tipo"))))</f>
        <v/>
      </c>
      <c r="M852" s="9"/>
    </row>
    <row r="853" customFormat="false" ht="15" hidden="false" customHeight="false" outlineLevel="0" collapsed="false">
      <c r="A853" s="7" t="str">
        <f aca="false">IF('Outro banco'!A853="","",IF(LEFT('Outro banco'!A853,1)="(","",'Outro banco'!A853))</f>
        <v/>
      </c>
      <c r="B853" s="7" t="str">
        <f aca="false">IF(A853="","",'Outro banco'!B853)</f>
        <v/>
      </c>
      <c r="C853" s="7" t="str">
        <f aca="false">IF(A853="","",'Outro banco'!C853)</f>
        <v/>
      </c>
      <c r="D853" s="7" t="str">
        <f aca="false">IF(A853="","",'Outro banco'!D853)</f>
        <v/>
      </c>
      <c r="E853" s="9"/>
      <c r="F853" s="9"/>
      <c r="G853" s="7" t="str">
        <f aca="false">IF(A853="","",IF(COUNTIF(Tabelas!$A:$A,IF(E853="",A853,E853))&gt;0,"sim","não"))</f>
        <v/>
      </c>
      <c r="H853" s="7" t="str">
        <f aca="false">IF(A853="","",IF(E853="",A853,E853)&amp;"."&amp;IF(F853="",B853,F853))</f>
        <v/>
      </c>
      <c r="I853" s="7" t="str">
        <f aca="false">IF(A853="","",IFERROR(INDEX('Campos Growths'!$F:$F,MATCH(H853,'Campos Growths'!$A:$A,0)),""))</f>
        <v/>
      </c>
      <c r="J853" s="7" t="str">
        <f aca="false">IF(A853="","",IFERROR(VLOOKUP(IF(ISNUMBER(SEARCH("(",C853)),LEFT(C853,SEARCH("(",C853)-1),C853),Tipos!$A:$B,2,FALSE()),"outro"))</f>
        <v/>
      </c>
      <c r="K853" s="7" t="str">
        <f aca="false">IF(I853="","",IFERROR(INDEX('Campos Growths'!$L:$L,MATCH(H853,'Campos Growths'!$A:$A,0)),""))</f>
        <v/>
      </c>
      <c r="L853" s="7" t="str">
        <f aca="false">IF(A853="","",IF(G853="não","Sem tabela no Growths",IF(I853="","Sem campo no Growths",IF(J853=K853,"Importa direto","Ajustar tipo"))))</f>
        <v/>
      </c>
      <c r="M853" s="9"/>
    </row>
    <row r="854" customFormat="false" ht="15" hidden="false" customHeight="false" outlineLevel="0" collapsed="false">
      <c r="A854" s="7" t="str">
        <f aca="false">IF('Outro banco'!A854="","",IF(LEFT('Outro banco'!A854,1)="(","",'Outro banco'!A854))</f>
        <v/>
      </c>
      <c r="B854" s="7" t="str">
        <f aca="false">IF(A854="","",'Outro banco'!B854)</f>
        <v/>
      </c>
      <c r="C854" s="7" t="str">
        <f aca="false">IF(A854="","",'Outro banco'!C854)</f>
        <v/>
      </c>
      <c r="D854" s="7" t="str">
        <f aca="false">IF(A854="","",'Outro banco'!D854)</f>
        <v/>
      </c>
      <c r="E854" s="9"/>
      <c r="F854" s="9"/>
      <c r="G854" s="7" t="str">
        <f aca="false">IF(A854="","",IF(COUNTIF(Tabelas!$A:$A,IF(E854="",A854,E854))&gt;0,"sim","não"))</f>
        <v/>
      </c>
      <c r="H854" s="7" t="str">
        <f aca="false">IF(A854="","",IF(E854="",A854,E854)&amp;"."&amp;IF(F854="",B854,F854))</f>
        <v/>
      </c>
      <c r="I854" s="7" t="str">
        <f aca="false">IF(A854="","",IFERROR(INDEX('Campos Growths'!$F:$F,MATCH(H854,'Campos Growths'!$A:$A,0)),""))</f>
        <v/>
      </c>
      <c r="J854" s="7" t="str">
        <f aca="false">IF(A854="","",IFERROR(VLOOKUP(IF(ISNUMBER(SEARCH("(",C854)),LEFT(C854,SEARCH("(",C854)-1),C854),Tipos!$A:$B,2,FALSE()),"outro"))</f>
        <v/>
      </c>
      <c r="K854" s="7" t="str">
        <f aca="false">IF(I854="","",IFERROR(INDEX('Campos Growths'!$L:$L,MATCH(H854,'Campos Growths'!$A:$A,0)),""))</f>
        <v/>
      </c>
      <c r="L854" s="7" t="str">
        <f aca="false">IF(A854="","",IF(G854="não","Sem tabela no Growths",IF(I854="","Sem campo no Growths",IF(J854=K854,"Importa direto","Ajustar tipo"))))</f>
        <v/>
      </c>
      <c r="M854" s="9"/>
    </row>
    <row r="855" customFormat="false" ht="15" hidden="false" customHeight="false" outlineLevel="0" collapsed="false">
      <c r="A855" s="7" t="str">
        <f aca="false">IF('Outro banco'!A855="","",IF(LEFT('Outro banco'!A855,1)="(","",'Outro banco'!A855))</f>
        <v/>
      </c>
      <c r="B855" s="7" t="str">
        <f aca="false">IF(A855="","",'Outro banco'!B855)</f>
        <v/>
      </c>
      <c r="C855" s="7" t="str">
        <f aca="false">IF(A855="","",'Outro banco'!C855)</f>
        <v/>
      </c>
      <c r="D855" s="7" t="str">
        <f aca="false">IF(A855="","",'Outro banco'!D855)</f>
        <v/>
      </c>
      <c r="E855" s="9"/>
      <c r="F855" s="9"/>
      <c r="G855" s="7" t="str">
        <f aca="false">IF(A855="","",IF(COUNTIF(Tabelas!$A:$A,IF(E855="",A855,E855))&gt;0,"sim","não"))</f>
        <v/>
      </c>
      <c r="H855" s="7" t="str">
        <f aca="false">IF(A855="","",IF(E855="",A855,E855)&amp;"."&amp;IF(F855="",B855,F855))</f>
        <v/>
      </c>
      <c r="I855" s="7" t="str">
        <f aca="false">IF(A855="","",IFERROR(INDEX('Campos Growths'!$F:$F,MATCH(H855,'Campos Growths'!$A:$A,0)),""))</f>
        <v/>
      </c>
      <c r="J855" s="7" t="str">
        <f aca="false">IF(A855="","",IFERROR(VLOOKUP(IF(ISNUMBER(SEARCH("(",C855)),LEFT(C855,SEARCH("(",C855)-1),C855),Tipos!$A:$B,2,FALSE()),"outro"))</f>
        <v/>
      </c>
      <c r="K855" s="7" t="str">
        <f aca="false">IF(I855="","",IFERROR(INDEX('Campos Growths'!$L:$L,MATCH(H855,'Campos Growths'!$A:$A,0)),""))</f>
        <v/>
      </c>
      <c r="L855" s="7" t="str">
        <f aca="false">IF(A855="","",IF(G855="não","Sem tabela no Growths",IF(I855="","Sem campo no Growths",IF(J855=K855,"Importa direto","Ajustar tipo"))))</f>
        <v/>
      </c>
      <c r="M855" s="9"/>
    </row>
    <row r="856" customFormat="false" ht="15" hidden="false" customHeight="false" outlineLevel="0" collapsed="false">
      <c r="A856" s="7" t="str">
        <f aca="false">IF('Outro banco'!A856="","",IF(LEFT('Outro banco'!A856,1)="(","",'Outro banco'!A856))</f>
        <v/>
      </c>
      <c r="B856" s="7" t="str">
        <f aca="false">IF(A856="","",'Outro banco'!B856)</f>
        <v/>
      </c>
      <c r="C856" s="7" t="str">
        <f aca="false">IF(A856="","",'Outro banco'!C856)</f>
        <v/>
      </c>
      <c r="D856" s="7" t="str">
        <f aca="false">IF(A856="","",'Outro banco'!D856)</f>
        <v/>
      </c>
      <c r="E856" s="9"/>
      <c r="F856" s="9"/>
      <c r="G856" s="7" t="str">
        <f aca="false">IF(A856="","",IF(COUNTIF(Tabelas!$A:$A,IF(E856="",A856,E856))&gt;0,"sim","não"))</f>
        <v/>
      </c>
      <c r="H856" s="7" t="str">
        <f aca="false">IF(A856="","",IF(E856="",A856,E856)&amp;"."&amp;IF(F856="",B856,F856))</f>
        <v/>
      </c>
      <c r="I856" s="7" t="str">
        <f aca="false">IF(A856="","",IFERROR(INDEX('Campos Growths'!$F:$F,MATCH(H856,'Campos Growths'!$A:$A,0)),""))</f>
        <v/>
      </c>
      <c r="J856" s="7" t="str">
        <f aca="false">IF(A856="","",IFERROR(VLOOKUP(IF(ISNUMBER(SEARCH("(",C856)),LEFT(C856,SEARCH("(",C856)-1),C856),Tipos!$A:$B,2,FALSE()),"outro"))</f>
        <v/>
      </c>
      <c r="K856" s="7" t="str">
        <f aca="false">IF(I856="","",IFERROR(INDEX('Campos Growths'!$L:$L,MATCH(H856,'Campos Growths'!$A:$A,0)),""))</f>
        <v/>
      </c>
      <c r="L856" s="7" t="str">
        <f aca="false">IF(A856="","",IF(G856="não","Sem tabela no Growths",IF(I856="","Sem campo no Growths",IF(J856=K856,"Importa direto","Ajustar tipo"))))</f>
        <v/>
      </c>
      <c r="M856" s="9"/>
    </row>
    <row r="857" customFormat="false" ht="15" hidden="false" customHeight="false" outlineLevel="0" collapsed="false">
      <c r="A857" s="7" t="str">
        <f aca="false">IF('Outro banco'!A857="","",IF(LEFT('Outro banco'!A857,1)="(","",'Outro banco'!A857))</f>
        <v/>
      </c>
      <c r="B857" s="7" t="str">
        <f aca="false">IF(A857="","",'Outro banco'!B857)</f>
        <v/>
      </c>
      <c r="C857" s="7" t="str">
        <f aca="false">IF(A857="","",'Outro banco'!C857)</f>
        <v/>
      </c>
      <c r="D857" s="7" t="str">
        <f aca="false">IF(A857="","",'Outro banco'!D857)</f>
        <v/>
      </c>
      <c r="E857" s="9"/>
      <c r="F857" s="9"/>
      <c r="G857" s="7" t="str">
        <f aca="false">IF(A857="","",IF(COUNTIF(Tabelas!$A:$A,IF(E857="",A857,E857))&gt;0,"sim","não"))</f>
        <v/>
      </c>
      <c r="H857" s="7" t="str">
        <f aca="false">IF(A857="","",IF(E857="",A857,E857)&amp;"."&amp;IF(F857="",B857,F857))</f>
        <v/>
      </c>
      <c r="I857" s="7" t="str">
        <f aca="false">IF(A857="","",IFERROR(INDEX('Campos Growths'!$F:$F,MATCH(H857,'Campos Growths'!$A:$A,0)),""))</f>
        <v/>
      </c>
      <c r="J857" s="7" t="str">
        <f aca="false">IF(A857="","",IFERROR(VLOOKUP(IF(ISNUMBER(SEARCH("(",C857)),LEFT(C857,SEARCH("(",C857)-1),C857),Tipos!$A:$B,2,FALSE()),"outro"))</f>
        <v/>
      </c>
      <c r="K857" s="7" t="str">
        <f aca="false">IF(I857="","",IFERROR(INDEX('Campos Growths'!$L:$L,MATCH(H857,'Campos Growths'!$A:$A,0)),""))</f>
        <v/>
      </c>
      <c r="L857" s="7" t="str">
        <f aca="false">IF(A857="","",IF(G857="não","Sem tabela no Growths",IF(I857="","Sem campo no Growths",IF(J857=K857,"Importa direto","Ajustar tipo"))))</f>
        <v/>
      </c>
      <c r="M857" s="9"/>
    </row>
    <row r="858" customFormat="false" ht="15" hidden="false" customHeight="false" outlineLevel="0" collapsed="false">
      <c r="A858" s="7" t="str">
        <f aca="false">IF('Outro banco'!A858="","",IF(LEFT('Outro banco'!A858,1)="(","",'Outro banco'!A858))</f>
        <v/>
      </c>
      <c r="B858" s="7" t="str">
        <f aca="false">IF(A858="","",'Outro banco'!B858)</f>
        <v/>
      </c>
      <c r="C858" s="7" t="str">
        <f aca="false">IF(A858="","",'Outro banco'!C858)</f>
        <v/>
      </c>
      <c r="D858" s="7" t="str">
        <f aca="false">IF(A858="","",'Outro banco'!D858)</f>
        <v/>
      </c>
      <c r="E858" s="9"/>
      <c r="F858" s="9"/>
      <c r="G858" s="7" t="str">
        <f aca="false">IF(A858="","",IF(COUNTIF(Tabelas!$A:$A,IF(E858="",A858,E858))&gt;0,"sim","não"))</f>
        <v/>
      </c>
      <c r="H858" s="7" t="str">
        <f aca="false">IF(A858="","",IF(E858="",A858,E858)&amp;"."&amp;IF(F858="",B858,F858))</f>
        <v/>
      </c>
      <c r="I858" s="7" t="str">
        <f aca="false">IF(A858="","",IFERROR(INDEX('Campos Growths'!$F:$F,MATCH(H858,'Campos Growths'!$A:$A,0)),""))</f>
        <v/>
      </c>
      <c r="J858" s="7" t="str">
        <f aca="false">IF(A858="","",IFERROR(VLOOKUP(IF(ISNUMBER(SEARCH("(",C858)),LEFT(C858,SEARCH("(",C858)-1),C858),Tipos!$A:$B,2,FALSE()),"outro"))</f>
        <v/>
      </c>
      <c r="K858" s="7" t="str">
        <f aca="false">IF(I858="","",IFERROR(INDEX('Campos Growths'!$L:$L,MATCH(H858,'Campos Growths'!$A:$A,0)),""))</f>
        <v/>
      </c>
      <c r="L858" s="7" t="str">
        <f aca="false">IF(A858="","",IF(G858="não","Sem tabela no Growths",IF(I858="","Sem campo no Growths",IF(J858=K858,"Importa direto","Ajustar tipo"))))</f>
        <v/>
      </c>
      <c r="M858" s="9"/>
    </row>
    <row r="859" customFormat="false" ht="15" hidden="false" customHeight="false" outlineLevel="0" collapsed="false">
      <c r="A859" s="7" t="str">
        <f aca="false">IF('Outro banco'!A859="","",IF(LEFT('Outro banco'!A859,1)="(","",'Outro banco'!A859))</f>
        <v/>
      </c>
      <c r="B859" s="7" t="str">
        <f aca="false">IF(A859="","",'Outro banco'!B859)</f>
        <v/>
      </c>
      <c r="C859" s="7" t="str">
        <f aca="false">IF(A859="","",'Outro banco'!C859)</f>
        <v/>
      </c>
      <c r="D859" s="7" t="str">
        <f aca="false">IF(A859="","",'Outro banco'!D859)</f>
        <v/>
      </c>
      <c r="E859" s="9"/>
      <c r="F859" s="9"/>
      <c r="G859" s="7" t="str">
        <f aca="false">IF(A859="","",IF(COUNTIF(Tabelas!$A:$A,IF(E859="",A859,E859))&gt;0,"sim","não"))</f>
        <v/>
      </c>
      <c r="H859" s="7" t="str">
        <f aca="false">IF(A859="","",IF(E859="",A859,E859)&amp;"."&amp;IF(F859="",B859,F859))</f>
        <v/>
      </c>
      <c r="I859" s="7" t="str">
        <f aca="false">IF(A859="","",IFERROR(INDEX('Campos Growths'!$F:$F,MATCH(H859,'Campos Growths'!$A:$A,0)),""))</f>
        <v/>
      </c>
      <c r="J859" s="7" t="str">
        <f aca="false">IF(A859="","",IFERROR(VLOOKUP(IF(ISNUMBER(SEARCH("(",C859)),LEFT(C859,SEARCH("(",C859)-1),C859),Tipos!$A:$B,2,FALSE()),"outro"))</f>
        <v/>
      </c>
      <c r="K859" s="7" t="str">
        <f aca="false">IF(I859="","",IFERROR(INDEX('Campos Growths'!$L:$L,MATCH(H859,'Campos Growths'!$A:$A,0)),""))</f>
        <v/>
      </c>
      <c r="L859" s="7" t="str">
        <f aca="false">IF(A859="","",IF(G859="não","Sem tabela no Growths",IF(I859="","Sem campo no Growths",IF(J859=K859,"Importa direto","Ajustar tipo"))))</f>
        <v/>
      </c>
      <c r="M859" s="9"/>
    </row>
    <row r="860" customFormat="false" ht="15" hidden="false" customHeight="false" outlineLevel="0" collapsed="false">
      <c r="A860" s="7" t="str">
        <f aca="false">IF('Outro banco'!A860="","",IF(LEFT('Outro banco'!A860,1)="(","",'Outro banco'!A860))</f>
        <v/>
      </c>
      <c r="B860" s="7" t="str">
        <f aca="false">IF(A860="","",'Outro banco'!B860)</f>
        <v/>
      </c>
      <c r="C860" s="7" t="str">
        <f aca="false">IF(A860="","",'Outro banco'!C860)</f>
        <v/>
      </c>
      <c r="D860" s="7" t="str">
        <f aca="false">IF(A860="","",'Outro banco'!D860)</f>
        <v/>
      </c>
      <c r="E860" s="9"/>
      <c r="F860" s="9"/>
      <c r="G860" s="7" t="str">
        <f aca="false">IF(A860="","",IF(COUNTIF(Tabelas!$A:$A,IF(E860="",A860,E860))&gt;0,"sim","não"))</f>
        <v/>
      </c>
      <c r="H860" s="7" t="str">
        <f aca="false">IF(A860="","",IF(E860="",A860,E860)&amp;"."&amp;IF(F860="",B860,F860))</f>
        <v/>
      </c>
      <c r="I860" s="7" t="str">
        <f aca="false">IF(A860="","",IFERROR(INDEX('Campos Growths'!$F:$F,MATCH(H860,'Campos Growths'!$A:$A,0)),""))</f>
        <v/>
      </c>
      <c r="J860" s="7" t="str">
        <f aca="false">IF(A860="","",IFERROR(VLOOKUP(IF(ISNUMBER(SEARCH("(",C860)),LEFT(C860,SEARCH("(",C860)-1),C860),Tipos!$A:$B,2,FALSE()),"outro"))</f>
        <v/>
      </c>
      <c r="K860" s="7" t="str">
        <f aca="false">IF(I860="","",IFERROR(INDEX('Campos Growths'!$L:$L,MATCH(H860,'Campos Growths'!$A:$A,0)),""))</f>
        <v/>
      </c>
      <c r="L860" s="7" t="str">
        <f aca="false">IF(A860="","",IF(G860="não","Sem tabela no Growths",IF(I860="","Sem campo no Growths",IF(J860=K860,"Importa direto","Ajustar tipo"))))</f>
        <v/>
      </c>
      <c r="M860" s="9"/>
    </row>
    <row r="861" customFormat="false" ht="15" hidden="false" customHeight="false" outlineLevel="0" collapsed="false">
      <c r="A861" s="7" t="str">
        <f aca="false">IF('Outro banco'!A861="","",IF(LEFT('Outro banco'!A861,1)="(","",'Outro banco'!A861))</f>
        <v/>
      </c>
      <c r="B861" s="7" t="str">
        <f aca="false">IF(A861="","",'Outro banco'!B861)</f>
        <v/>
      </c>
      <c r="C861" s="7" t="str">
        <f aca="false">IF(A861="","",'Outro banco'!C861)</f>
        <v/>
      </c>
      <c r="D861" s="7" t="str">
        <f aca="false">IF(A861="","",'Outro banco'!D861)</f>
        <v/>
      </c>
      <c r="E861" s="9"/>
      <c r="F861" s="9"/>
      <c r="G861" s="7" t="str">
        <f aca="false">IF(A861="","",IF(COUNTIF(Tabelas!$A:$A,IF(E861="",A861,E861))&gt;0,"sim","não"))</f>
        <v/>
      </c>
      <c r="H861" s="7" t="str">
        <f aca="false">IF(A861="","",IF(E861="",A861,E861)&amp;"."&amp;IF(F861="",B861,F861))</f>
        <v/>
      </c>
      <c r="I861" s="7" t="str">
        <f aca="false">IF(A861="","",IFERROR(INDEX('Campos Growths'!$F:$F,MATCH(H861,'Campos Growths'!$A:$A,0)),""))</f>
        <v/>
      </c>
      <c r="J861" s="7" t="str">
        <f aca="false">IF(A861="","",IFERROR(VLOOKUP(IF(ISNUMBER(SEARCH("(",C861)),LEFT(C861,SEARCH("(",C861)-1),C861),Tipos!$A:$B,2,FALSE()),"outro"))</f>
        <v/>
      </c>
      <c r="K861" s="7" t="str">
        <f aca="false">IF(I861="","",IFERROR(INDEX('Campos Growths'!$L:$L,MATCH(H861,'Campos Growths'!$A:$A,0)),""))</f>
        <v/>
      </c>
      <c r="L861" s="7" t="str">
        <f aca="false">IF(A861="","",IF(G861="não","Sem tabela no Growths",IF(I861="","Sem campo no Growths",IF(J861=K861,"Importa direto","Ajustar tipo"))))</f>
        <v/>
      </c>
      <c r="M861" s="9"/>
    </row>
    <row r="862" customFormat="false" ht="15" hidden="false" customHeight="false" outlineLevel="0" collapsed="false">
      <c r="A862" s="7" t="str">
        <f aca="false">IF('Outro banco'!A862="","",IF(LEFT('Outro banco'!A862,1)="(","",'Outro banco'!A862))</f>
        <v/>
      </c>
      <c r="B862" s="7" t="str">
        <f aca="false">IF(A862="","",'Outro banco'!B862)</f>
        <v/>
      </c>
      <c r="C862" s="7" t="str">
        <f aca="false">IF(A862="","",'Outro banco'!C862)</f>
        <v/>
      </c>
      <c r="D862" s="7" t="str">
        <f aca="false">IF(A862="","",'Outro banco'!D862)</f>
        <v/>
      </c>
      <c r="E862" s="9"/>
      <c r="F862" s="9"/>
      <c r="G862" s="7" t="str">
        <f aca="false">IF(A862="","",IF(COUNTIF(Tabelas!$A:$A,IF(E862="",A862,E862))&gt;0,"sim","não"))</f>
        <v/>
      </c>
      <c r="H862" s="7" t="str">
        <f aca="false">IF(A862="","",IF(E862="",A862,E862)&amp;"."&amp;IF(F862="",B862,F862))</f>
        <v/>
      </c>
      <c r="I862" s="7" t="str">
        <f aca="false">IF(A862="","",IFERROR(INDEX('Campos Growths'!$F:$F,MATCH(H862,'Campos Growths'!$A:$A,0)),""))</f>
        <v/>
      </c>
      <c r="J862" s="7" t="str">
        <f aca="false">IF(A862="","",IFERROR(VLOOKUP(IF(ISNUMBER(SEARCH("(",C862)),LEFT(C862,SEARCH("(",C862)-1),C862),Tipos!$A:$B,2,FALSE()),"outro"))</f>
        <v/>
      </c>
      <c r="K862" s="7" t="str">
        <f aca="false">IF(I862="","",IFERROR(INDEX('Campos Growths'!$L:$L,MATCH(H862,'Campos Growths'!$A:$A,0)),""))</f>
        <v/>
      </c>
      <c r="L862" s="7" t="str">
        <f aca="false">IF(A862="","",IF(G862="não","Sem tabela no Growths",IF(I862="","Sem campo no Growths",IF(J862=K862,"Importa direto","Ajustar tipo"))))</f>
        <v/>
      </c>
      <c r="M862" s="9"/>
    </row>
    <row r="863" customFormat="false" ht="15" hidden="false" customHeight="false" outlineLevel="0" collapsed="false">
      <c r="A863" s="7" t="str">
        <f aca="false">IF('Outro banco'!A863="","",IF(LEFT('Outro banco'!A863,1)="(","",'Outro banco'!A863))</f>
        <v/>
      </c>
      <c r="B863" s="7" t="str">
        <f aca="false">IF(A863="","",'Outro banco'!B863)</f>
        <v/>
      </c>
      <c r="C863" s="7" t="str">
        <f aca="false">IF(A863="","",'Outro banco'!C863)</f>
        <v/>
      </c>
      <c r="D863" s="7" t="str">
        <f aca="false">IF(A863="","",'Outro banco'!D863)</f>
        <v/>
      </c>
      <c r="E863" s="9"/>
      <c r="F863" s="9"/>
      <c r="G863" s="7" t="str">
        <f aca="false">IF(A863="","",IF(COUNTIF(Tabelas!$A:$A,IF(E863="",A863,E863))&gt;0,"sim","não"))</f>
        <v/>
      </c>
      <c r="H863" s="7" t="str">
        <f aca="false">IF(A863="","",IF(E863="",A863,E863)&amp;"."&amp;IF(F863="",B863,F863))</f>
        <v/>
      </c>
      <c r="I863" s="7" t="str">
        <f aca="false">IF(A863="","",IFERROR(INDEX('Campos Growths'!$F:$F,MATCH(H863,'Campos Growths'!$A:$A,0)),""))</f>
        <v/>
      </c>
      <c r="J863" s="7" t="str">
        <f aca="false">IF(A863="","",IFERROR(VLOOKUP(IF(ISNUMBER(SEARCH("(",C863)),LEFT(C863,SEARCH("(",C863)-1),C863),Tipos!$A:$B,2,FALSE()),"outro"))</f>
        <v/>
      </c>
      <c r="K863" s="7" t="str">
        <f aca="false">IF(I863="","",IFERROR(INDEX('Campos Growths'!$L:$L,MATCH(H863,'Campos Growths'!$A:$A,0)),""))</f>
        <v/>
      </c>
      <c r="L863" s="7" t="str">
        <f aca="false">IF(A863="","",IF(G863="não","Sem tabela no Growths",IF(I863="","Sem campo no Growths",IF(J863=K863,"Importa direto","Ajustar tipo"))))</f>
        <v/>
      </c>
      <c r="M863" s="9"/>
    </row>
    <row r="864" customFormat="false" ht="15" hidden="false" customHeight="false" outlineLevel="0" collapsed="false">
      <c r="A864" s="7" t="str">
        <f aca="false">IF('Outro banco'!A864="","",IF(LEFT('Outro banco'!A864,1)="(","",'Outro banco'!A864))</f>
        <v/>
      </c>
      <c r="B864" s="7" t="str">
        <f aca="false">IF(A864="","",'Outro banco'!B864)</f>
        <v/>
      </c>
      <c r="C864" s="7" t="str">
        <f aca="false">IF(A864="","",'Outro banco'!C864)</f>
        <v/>
      </c>
      <c r="D864" s="7" t="str">
        <f aca="false">IF(A864="","",'Outro banco'!D864)</f>
        <v/>
      </c>
      <c r="E864" s="9"/>
      <c r="F864" s="9"/>
      <c r="G864" s="7" t="str">
        <f aca="false">IF(A864="","",IF(COUNTIF(Tabelas!$A:$A,IF(E864="",A864,E864))&gt;0,"sim","não"))</f>
        <v/>
      </c>
      <c r="H864" s="7" t="str">
        <f aca="false">IF(A864="","",IF(E864="",A864,E864)&amp;"."&amp;IF(F864="",B864,F864))</f>
        <v/>
      </c>
      <c r="I864" s="7" t="str">
        <f aca="false">IF(A864="","",IFERROR(INDEX('Campos Growths'!$F:$F,MATCH(H864,'Campos Growths'!$A:$A,0)),""))</f>
        <v/>
      </c>
      <c r="J864" s="7" t="str">
        <f aca="false">IF(A864="","",IFERROR(VLOOKUP(IF(ISNUMBER(SEARCH("(",C864)),LEFT(C864,SEARCH("(",C864)-1),C864),Tipos!$A:$B,2,FALSE()),"outro"))</f>
        <v/>
      </c>
      <c r="K864" s="7" t="str">
        <f aca="false">IF(I864="","",IFERROR(INDEX('Campos Growths'!$L:$L,MATCH(H864,'Campos Growths'!$A:$A,0)),""))</f>
        <v/>
      </c>
      <c r="L864" s="7" t="str">
        <f aca="false">IF(A864="","",IF(G864="não","Sem tabela no Growths",IF(I864="","Sem campo no Growths",IF(J864=K864,"Importa direto","Ajustar tipo"))))</f>
        <v/>
      </c>
      <c r="M864" s="9"/>
    </row>
    <row r="865" customFormat="false" ht="15" hidden="false" customHeight="false" outlineLevel="0" collapsed="false">
      <c r="A865" s="7" t="str">
        <f aca="false">IF('Outro banco'!A865="","",IF(LEFT('Outro banco'!A865,1)="(","",'Outro banco'!A865))</f>
        <v/>
      </c>
      <c r="B865" s="7" t="str">
        <f aca="false">IF(A865="","",'Outro banco'!B865)</f>
        <v/>
      </c>
      <c r="C865" s="7" t="str">
        <f aca="false">IF(A865="","",'Outro banco'!C865)</f>
        <v/>
      </c>
      <c r="D865" s="7" t="str">
        <f aca="false">IF(A865="","",'Outro banco'!D865)</f>
        <v/>
      </c>
      <c r="E865" s="9"/>
      <c r="F865" s="9"/>
      <c r="G865" s="7" t="str">
        <f aca="false">IF(A865="","",IF(COUNTIF(Tabelas!$A:$A,IF(E865="",A865,E865))&gt;0,"sim","não"))</f>
        <v/>
      </c>
      <c r="H865" s="7" t="str">
        <f aca="false">IF(A865="","",IF(E865="",A865,E865)&amp;"."&amp;IF(F865="",B865,F865))</f>
        <v/>
      </c>
      <c r="I865" s="7" t="str">
        <f aca="false">IF(A865="","",IFERROR(INDEX('Campos Growths'!$F:$F,MATCH(H865,'Campos Growths'!$A:$A,0)),""))</f>
        <v/>
      </c>
      <c r="J865" s="7" t="str">
        <f aca="false">IF(A865="","",IFERROR(VLOOKUP(IF(ISNUMBER(SEARCH("(",C865)),LEFT(C865,SEARCH("(",C865)-1),C865),Tipos!$A:$B,2,FALSE()),"outro"))</f>
        <v/>
      </c>
      <c r="K865" s="7" t="str">
        <f aca="false">IF(I865="","",IFERROR(INDEX('Campos Growths'!$L:$L,MATCH(H865,'Campos Growths'!$A:$A,0)),""))</f>
        <v/>
      </c>
      <c r="L865" s="7" t="str">
        <f aca="false">IF(A865="","",IF(G865="não","Sem tabela no Growths",IF(I865="","Sem campo no Growths",IF(J865=K865,"Importa direto","Ajustar tipo"))))</f>
        <v/>
      </c>
      <c r="M865" s="9"/>
    </row>
    <row r="866" customFormat="false" ht="15" hidden="false" customHeight="false" outlineLevel="0" collapsed="false">
      <c r="A866" s="7" t="str">
        <f aca="false">IF('Outro banco'!A866="","",IF(LEFT('Outro banco'!A866,1)="(","",'Outro banco'!A866))</f>
        <v/>
      </c>
      <c r="B866" s="7" t="str">
        <f aca="false">IF(A866="","",'Outro banco'!B866)</f>
        <v/>
      </c>
      <c r="C866" s="7" t="str">
        <f aca="false">IF(A866="","",'Outro banco'!C866)</f>
        <v/>
      </c>
      <c r="D866" s="7" t="str">
        <f aca="false">IF(A866="","",'Outro banco'!D866)</f>
        <v/>
      </c>
      <c r="E866" s="9"/>
      <c r="F866" s="9"/>
      <c r="G866" s="7" t="str">
        <f aca="false">IF(A866="","",IF(COUNTIF(Tabelas!$A:$A,IF(E866="",A866,E866))&gt;0,"sim","não"))</f>
        <v/>
      </c>
      <c r="H866" s="7" t="str">
        <f aca="false">IF(A866="","",IF(E866="",A866,E866)&amp;"."&amp;IF(F866="",B866,F866))</f>
        <v/>
      </c>
      <c r="I866" s="7" t="str">
        <f aca="false">IF(A866="","",IFERROR(INDEX('Campos Growths'!$F:$F,MATCH(H866,'Campos Growths'!$A:$A,0)),""))</f>
        <v/>
      </c>
      <c r="J866" s="7" t="str">
        <f aca="false">IF(A866="","",IFERROR(VLOOKUP(IF(ISNUMBER(SEARCH("(",C866)),LEFT(C866,SEARCH("(",C866)-1),C866),Tipos!$A:$B,2,FALSE()),"outro"))</f>
        <v/>
      </c>
      <c r="K866" s="7" t="str">
        <f aca="false">IF(I866="","",IFERROR(INDEX('Campos Growths'!$L:$L,MATCH(H866,'Campos Growths'!$A:$A,0)),""))</f>
        <v/>
      </c>
      <c r="L866" s="7" t="str">
        <f aca="false">IF(A866="","",IF(G866="não","Sem tabela no Growths",IF(I866="","Sem campo no Growths",IF(J866=K866,"Importa direto","Ajustar tipo"))))</f>
        <v/>
      </c>
      <c r="M866" s="9"/>
    </row>
    <row r="867" customFormat="false" ht="15" hidden="false" customHeight="false" outlineLevel="0" collapsed="false">
      <c r="A867" s="7" t="str">
        <f aca="false">IF('Outro banco'!A867="","",IF(LEFT('Outro banco'!A867,1)="(","",'Outro banco'!A867))</f>
        <v/>
      </c>
      <c r="B867" s="7" t="str">
        <f aca="false">IF(A867="","",'Outro banco'!B867)</f>
        <v/>
      </c>
      <c r="C867" s="7" t="str">
        <f aca="false">IF(A867="","",'Outro banco'!C867)</f>
        <v/>
      </c>
      <c r="D867" s="7" t="str">
        <f aca="false">IF(A867="","",'Outro banco'!D867)</f>
        <v/>
      </c>
      <c r="E867" s="9"/>
      <c r="F867" s="9"/>
      <c r="G867" s="7" t="str">
        <f aca="false">IF(A867="","",IF(COUNTIF(Tabelas!$A:$A,IF(E867="",A867,E867))&gt;0,"sim","não"))</f>
        <v/>
      </c>
      <c r="H867" s="7" t="str">
        <f aca="false">IF(A867="","",IF(E867="",A867,E867)&amp;"."&amp;IF(F867="",B867,F867))</f>
        <v/>
      </c>
      <c r="I867" s="7" t="str">
        <f aca="false">IF(A867="","",IFERROR(INDEX('Campos Growths'!$F:$F,MATCH(H867,'Campos Growths'!$A:$A,0)),""))</f>
        <v/>
      </c>
      <c r="J867" s="7" t="str">
        <f aca="false">IF(A867="","",IFERROR(VLOOKUP(IF(ISNUMBER(SEARCH("(",C867)),LEFT(C867,SEARCH("(",C867)-1),C867),Tipos!$A:$B,2,FALSE()),"outro"))</f>
        <v/>
      </c>
      <c r="K867" s="7" t="str">
        <f aca="false">IF(I867="","",IFERROR(INDEX('Campos Growths'!$L:$L,MATCH(H867,'Campos Growths'!$A:$A,0)),""))</f>
        <v/>
      </c>
      <c r="L867" s="7" t="str">
        <f aca="false">IF(A867="","",IF(G867="não","Sem tabela no Growths",IF(I867="","Sem campo no Growths",IF(J867=K867,"Importa direto","Ajustar tipo"))))</f>
        <v/>
      </c>
      <c r="M867" s="9"/>
    </row>
    <row r="868" customFormat="false" ht="15" hidden="false" customHeight="false" outlineLevel="0" collapsed="false">
      <c r="A868" s="7" t="str">
        <f aca="false">IF('Outro banco'!A868="","",IF(LEFT('Outro banco'!A868,1)="(","",'Outro banco'!A868))</f>
        <v/>
      </c>
      <c r="B868" s="7" t="str">
        <f aca="false">IF(A868="","",'Outro banco'!B868)</f>
        <v/>
      </c>
      <c r="C868" s="7" t="str">
        <f aca="false">IF(A868="","",'Outro banco'!C868)</f>
        <v/>
      </c>
      <c r="D868" s="7" t="str">
        <f aca="false">IF(A868="","",'Outro banco'!D868)</f>
        <v/>
      </c>
      <c r="E868" s="9"/>
      <c r="F868" s="9"/>
      <c r="G868" s="7" t="str">
        <f aca="false">IF(A868="","",IF(COUNTIF(Tabelas!$A:$A,IF(E868="",A868,E868))&gt;0,"sim","não"))</f>
        <v/>
      </c>
      <c r="H868" s="7" t="str">
        <f aca="false">IF(A868="","",IF(E868="",A868,E868)&amp;"."&amp;IF(F868="",B868,F868))</f>
        <v/>
      </c>
      <c r="I868" s="7" t="str">
        <f aca="false">IF(A868="","",IFERROR(INDEX('Campos Growths'!$F:$F,MATCH(H868,'Campos Growths'!$A:$A,0)),""))</f>
        <v/>
      </c>
      <c r="J868" s="7" t="str">
        <f aca="false">IF(A868="","",IFERROR(VLOOKUP(IF(ISNUMBER(SEARCH("(",C868)),LEFT(C868,SEARCH("(",C868)-1),C868),Tipos!$A:$B,2,FALSE()),"outro"))</f>
        <v/>
      </c>
      <c r="K868" s="7" t="str">
        <f aca="false">IF(I868="","",IFERROR(INDEX('Campos Growths'!$L:$L,MATCH(H868,'Campos Growths'!$A:$A,0)),""))</f>
        <v/>
      </c>
      <c r="L868" s="7" t="str">
        <f aca="false">IF(A868="","",IF(G868="não","Sem tabela no Growths",IF(I868="","Sem campo no Growths",IF(J868=K868,"Importa direto","Ajustar tipo"))))</f>
        <v/>
      </c>
      <c r="M868" s="9"/>
    </row>
    <row r="869" customFormat="false" ht="15" hidden="false" customHeight="false" outlineLevel="0" collapsed="false">
      <c r="A869" s="7" t="str">
        <f aca="false">IF('Outro banco'!A869="","",IF(LEFT('Outro banco'!A869,1)="(","",'Outro banco'!A869))</f>
        <v/>
      </c>
      <c r="B869" s="7" t="str">
        <f aca="false">IF(A869="","",'Outro banco'!B869)</f>
        <v/>
      </c>
      <c r="C869" s="7" t="str">
        <f aca="false">IF(A869="","",'Outro banco'!C869)</f>
        <v/>
      </c>
      <c r="D869" s="7" t="str">
        <f aca="false">IF(A869="","",'Outro banco'!D869)</f>
        <v/>
      </c>
      <c r="E869" s="9"/>
      <c r="F869" s="9"/>
      <c r="G869" s="7" t="str">
        <f aca="false">IF(A869="","",IF(COUNTIF(Tabelas!$A:$A,IF(E869="",A869,E869))&gt;0,"sim","não"))</f>
        <v/>
      </c>
      <c r="H869" s="7" t="str">
        <f aca="false">IF(A869="","",IF(E869="",A869,E869)&amp;"."&amp;IF(F869="",B869,F869))</f>
        <v/>
      </c>
      <c r="I869" s="7" t="str">
        <f aca="false">IF(A869="","",IFERROR(INDEX('Campos Growths'!$F:$F,MATCH(H869,'Campos Growths'!$A:$A,0)),""))</f>
        <v/>
      </c>
      <c r="J869" s="7" t="str">
        <f aca="false">IF(A869="","",IFERROR(VLOOKUP(IF(ISNUMBER(SEARCH("(",C869)),LEFT(C869,SEARCH("(",C869)-1),C869),Tipos!$A:$B,2,FALSE()),"outro"))</f>
        <v/>
      </c>
      <c r="K869" s="7" t="str">
        <f aca="false">IF(I869="","",IFERROR(INDEX('Campos Growths'!$L:$L,MATCH(H869,'Campos Growths'!$A:$A,0)),""))</f>
        <v/>
      </c>
      <c r="L869" s="7" t="str">
        <f aca="false">IF(A869="","",IF(G869="não","Sem tabela no Growths",IF(I869="","Sem campo no Growths",IF(J869=K869,"Importa direto","Ajustar tipo"))))</f>
        <v/>
      </c>
      <c r="M869" s="9"/>
    </row>
    <row r="870" customFormat="false" ht="15" hidden="false" customHeight="false" outlineLevel="0" collapsed="false">
      <c r="A870" s="7" t="str">
        <f aca="false">IF('Outro banco'!A870="","",IF(LEFT('Outro banco'!A870,1)="(","",'Outro banco'!A870))</f>
        <v/>
      </c>
      <c r="B870" s="7" t="str">
        <f aca="false">IF(A870="","",'Outro banco'!B870)</f>
        <v/>
      </c>
      <c r="C870" s="7" t="str">
        <f aca="false">IF(A870="","",'Outro banco'!C870)</f>
        <v/>
      </c>
      <c r="D870" s="7" t="str">
        <f aca="false">IF(A870="","",'Outro banco'!D870)</f>
        <v/>
      </c>
      <c r="E870" s="9"/>
      <c r="F870" s="9"/>
      <c r="G870" s="7" t="str">
        <f aca="false">IF(A870="","",IF(COUNTIF(Tabelas!$A:$A,IF(E870="",A870,E870))&gt;0,"sim","não"))</f>
        <v/>
      </c>
      <c r="H870" s="7" t="str">
        <f aca="false">IF(A870="","",IF(E870="",A870,E870)&amp;"."&amp;IF(F870="",B870,F870))</f>
        <v/>
      </c>
      <c r="I870" s="7" t="str">
        <f aca="false">IF(A870="","",IFERROR(INDEX('Campos Growths'!$F:$F,MATCH(H870,'Campos Growths'!$A:$A,0)),""))</f>
        <v/>
      </c>
      <c r="J870" s="7" t="str">
        <f aca="false">IF(A870="","",IFERROR(VLOOKUP(IF(ISNUMBER(SEARCH("(",C870)),LEFT(C870,SEARCH("(",C870)-1),C870),Tipos!$A:$B,2,FALSE()),"outro"))</f>
        <v/>
      </c>
      <c r="K870" s="7" t="str">
        <f aca="false">IF(I870="","",IFERROR(INDEX('Campos Growths'!$L:$L,MATCH(H870,'Campos Growths'!$A:$A,0)),""))</f>
        <v/>
      </c>
      <c r="L870" s="7" t="str">
        <f aca="false">IF(A870="","",IF(G870="não","Sem tabela no Growths",IF(I870="","Sem campo no Growths",IF(J870=K870,"Importa direto","Ajustar tipo"))))</f>
        <v/>
      </c>
      <c r="M870" s="9"/>
    </row>
    <row r="871" customFormat="false" ht="15" hidden="false" customHeight="false" outlineLevel="0" collapsed="false">
      <c r="A871" s="7" t="str">
        <f aca="false">IF('Outro banco'!A871="","",IF(LEFT('Outro banco'!A871,1)="(","",'Outro banco'!A871))</f>
        <v/>
      </c>
      <c r="B871" s="7" t="str">
        <f aca="false">IF(A871="","",'Outro banco'!B871)</f>
        <v/>
      </c>
      <c r="C871" s="7" t="str">
        <f aca="false">IF(A871="","",'Outro banco'!C871)</f>
        <v/>
      </c>
      <c r="D871" s="7" t="str">
        <f aca="false">IF(A871="","",'Outro banco'!D871)</f>
        <v/>
      </c>
      <c r="E871" s="9"/>
      <c r="F871" s="9"/>
      <c r="G871" s="7" t="str">
        <f aca="false">IF(A871="","",IF(COUNTIF(Tabelas!$A:$A,IF(E871="",A871,E871))&gt;0,"sim","não"))</f>
        <v/>
      </c>
      <c r="H871" s="7" t="str">
        <f aca="false">IF(A871="","",IF(E871="",A871,E871)&amp;"."&amp;IF(F871="",B871,F871))</f>
        <v/>
      </c>
      <c r="I871" s="7" t="str">
        <f aca="false">IF(A871="","",IFERROR(INDEX('Campos Growths'!$F:$F,MATCH(H871,'Campos Growths'!$A:$A,0)),""))</f>
        <v/>
      </c>
      <c r="J871" s="7" t="str">
        <f aca="false">IF(A871="","",IFERROR(VLOOKUP(IF(ISNUMBER(SEARCH("(",C871)),LEFT(C871,SEARCH("(",C871)-1),C871),Tipos!$A:$B,2,FALSE()),"outro"))</f>
        <v/>
      </c>
      <c r="K871" s="7" t="str">
        <f aca="false">IF(I871="","",IFERROR(INDEX('Campos Growths'!$L:$L,MATCH(H871,'Campos Growths'!$A:$A,0)),""))</f>
        <v/>
      </c>
      <c r="L871" s="7" t="str">
        <f aca="false">IF(A871="","",IF(G871="não","Sem tabela no Growths",IF(I871="","Sem campo no Growths",IF(J871=K871,"Importa direto","Ajustar tipo"))))</f>
        <v/>
      </c>
      <c r="M871" s="9"/>
    </row>
    <row r="872" customFormat="false" ht="15" hidden="false" customHeight="false" outlineLevel="0" collapsed="false">
      <c r="A872" s="7" t="str">
        <f aca="false">IF('Outro banco'!A872="","",IF(LEFT('Outro banco'!A872,1)="(","",'Outro banco'!A872))</f>
        <v/>
      </c>
      <c r="B872" s="7" t="str">
        <f aca="false">IF(A872="","",'Outro banco'!B872)</f>
        <v/>
      </c>
      <c r="C872" s="7" t="str">
        <f aca="false">IF(A872="","",'Outro banco'!C872)</f>
        <v/>
      </c>
      <c r="D872" s="7" t="str">
        <f aca="false">IF(A872="","",'Outro banco'!D872)</f>
        <v/>
      </c>
      <c r="E872" s="9"/>
      <c r="F872" s="9"/>
      <c r="G872" s="7" t="str">
        <f aca="false">IF(A872="","",IF(COUNTIF(Tabelas!$A:$A,IF(E872="",A872,E872))&gt;0,"sim","não"))</f>
        <v/>
      </c>
      <c r="H872" s="7" t="str">
        <f aca="false">IF(A872="","",IF(E872="",A872,E872)&amp;"."&amp;IF(F872="",B872,F872))</f>
        <v/>
      </c>
      <c r="I872" s="7" t="str">
        <f aca="false">IF(A872="","",IFERROR(INDEX('Campos Growths'!$F:$F,MATCH(H872,'Campos Growths'!$A:$A,0)),""))</f>
        <v/>
      </c>
      <c r="J872" s="7" t="str">
        <f aca="false">IF(A872="","",IFERROR(VLOOKUP(IF(ISNUMBER(SEARCH("(",C872)),LEFT(C872,SEARCH("(",C872)-1),C872),Tipos!$A:$B,2,FALSE()),"outro"))</f>
        <v/>
      </c>
      <c r="K872" s="7" t="str">
        <f aca="false">IF(I872="","",IFERROR(INDEX('Campos Growths'!$L:$L,MATCH(H872,'Campos Growths'!$A:$A,0)),""))</f>
        <v/>
      </c>
      <c r="L872" s="7" t="str">
        <f aca="false">IF(A872="","",IF(G872="não","Sem tabela no Growths",IF(I872="","Sem campo no Growths",IF(J872=K872,"Importa direto","Ajustar tipo"))))</f>
        <v/>
      </c>
      <c r="M872" s="9"/>
    </row>
    <row r="873" customFormat="false" ht="15" hidden="false" customHeight="false" outlineLevel="0" collapsed="false">
      <c r="A873" s="7" t="str">
        <f aca="false">IF('Outro banco'!A873="","",IF(LEFT('Outro banco'!A873,1)="(","",'Outro banco'!A873))</f>
        <v/>
      </c>
      <c r="B873" s="7" t="str">
        <f aca="false">IF(A873="","",'Outro banco'!B873)</f>
        <v/>
      </c>
      <c r="C873" s="7" t="str">
        <f aca="false">IF(A873="","",'Outro banco'!C873)</f>
        <v/>
      </c>
      <c r="D873" s="7" t="str">
        <f aca="false">IF(A873="","",'Outro banco'!D873)</f>
        <v/>
      </c>
      <c r="E873" s="9"/>
      <c r="F873" s="9"/>
      <c r="G873" s="7" t="str">
        <f aca="false">IF(A873="","",IF(COUNTIF(Tabelas!$A:$A,IF(E873="",A873,E873))&gt;0,"sim","não"))</f>
        <v/>
      </c>
      <c r="H873" s="7" t="str">
        <f aca="false">IF(A873="","",IF(E873="",A873,E873)&amp;"."&amp;IF(F873="",B873,F873))</f>
        <v/>
      </c>
      <c r="I873" s="7" t="str">
        <f aca="false">IF(A873="","",IFERROR(INDEX('Campos Growths'!$F:$F,MATCH(H873,'Campos Growths'!$A:$A,0)),""))</f>
        <v/>
      </c>
      <c r="J873" s="7" t="str">
        <f aca="false">IF(A873="","",IFERROR(VLOOKUP(IF(ISNUMBER(SEARCH("(",C873)),LEFT(C873,SEARCH("(",C873)-1),C873),Tipos!$A:$B,2,FALSE()),"outro"))</f>
        <v/>
      </c>
      <c r="K873" s="7" t="str">
        <f aca="false">IF(I873="","",IFERROR(INDEX('Campos Growths'!$L:$L,MATCH(H873,'Campos Growths'!$A:$A,0)),""))</f>
        <v/>
      </c>
      <c r="L873" s="7" t="str">
        <f aca="false">IF(A873="","",IF(G873="não","Sem tabela no Growths",IF(I873="","Sem campo no Growths",IF(J873=K873,"Importa direto","Ajustar tipo"))))</f>
        <v/>
      </c>
      <c r="M873" s="9"/>
    </row>
    <row r="874" customFormat="false" ht="15" hidden="false" customHeight="false" outlineLevel="0" collapsed="false">
      <c r="A874" s="7" t="str">
        <f aca="false">IF('Outro banco'!A874="","",IF(LEFT('Outro banco'!A874,1)="(","",'Outro banco'!A874))</f>
        <v/>
      </c>
      <c r="B874" s="7" t="str">
        <f aca="false">IF(A874="","",'Outro banco'!B874)</f>
        <v/>
      </c>
      <c r="C874" s="7" t="str">
        <f aca="false">IF(A874="","",'Outro banco'!C874)</f>
        <v/>
      </c>
      <c r="D874" s="7" t="str">
        <f aca="false">IF(A874="","",'Outro banco'!D874)</f>
        <v/>
      </c>
      <c r="E874" s="9"/>
      <c r="F874" s="9"/>
      <c r="G874" s="7" t="str">
        <f aca="false">IF(A874="","",IF(COUNTIF(Tabelas!$A:$A,IF(E874="",A874,E874))&gt;0,"sim","não"))</f>
        <v/>
      </c>
      <c r="H874" s="7" t="str">
        <f aca="false">IF(A874="","",IF(E874="",A874,E874)&amp;"."&amp;IF(F874="",B874,F874))</f>
        <v/>
      </c>
      <c r="I874" s="7" t="str">
        <f aca="false">IF(A874="","",IFERROR(INDEX('Campos Growths'!$F:$F,MATCH(H874,'Campos Growths'!$A:$A,0)),""))</f>
        <v/>
      </c>
      <c r="J874" s="7" t="str">
        <f aca="false">IF(A874="","",IFERROR(VLOOKUP(IF(ISNUMBER(SEARCH("(",C874)),LEFT(C874,SEARCH("(",C874)-1),C874),Tipos!$A:$B,2,FALSE()),"outro"))</f>
        <v/>
      </c>
      <c r="K874" s="7" t="str">
        <f aca="false">IF(I874="","",IFERROR(INDEX('Campos Growths'!$L:$L,MATCH(H874,'Campos Growths'!$A:$A,0)),""))</f>
        <v/>
      </c>
      <c r="L874" s="7" t="str">
        <f aca="false">IF(A874="","",IF(G874="não","Sem tabela no Growths",IF(I874="","Sem campo no Growths",IF(J874=K874,"Importa direto","Ajustar tipo"))))</f>
        <v/>
      </c>
      <c r="M874" s="9"/>
    </row>
    <row r="875" customFormat="false" ht="15" hidden="false" customHeight="false" outlineLevel="0" collapsed="false">
      <c r="A875" s="7" t="str">
        <f aca="false">IF('Outro banco'!A875="","",IF(LEFT('Outro banco'!A875,1)="(","",'Outro banco'!A875))</f>
        <v/>
      </c>
      <c r="B875" s="7" t="str">
        <f aca="false">IF(A875="","",'Outro banco'!B875)</f>
        <v/>
      </c>
      <c r="C875" s="7" t="str">
        <f aca="false">IF(A875="","",'Outro banco'!C875)</f>
        <v/>
      </c>
      <c r="D875" s="7" t="str">
        <f aca="false">IF(A875="","",'Outro banco'!D875)</f>
        <v/>
      </c>
      <c r="E875" s="9"/>
      <c r="F875" s="9"/>
      <c r="G875" s="7" t="str">
        <f aca="false">IF(A875="","",IF(COUNTIF(Tabelas!$A:$A,IF(E875="",A875,E875))&gt;0,"sim","não"))</f>
        <v/>
      </c>
      <c r="H875" s="7" t="str">
        <f aca="false">IF(A875="","",IF(E875="",A875,E875)&amp;"."&amp;IF(F875="",B875,F875))</f>
        <v/>
      </c>
      <c r="I875" s="7" t="str">
        <f aca="false">IF(A875="","",IFERROR(INDEX('Campos Growths'!$F:$F,MATCH(H875,'Campos Growths'!$A:$A,0)),""))</f>
        <v/>
      </c>
      <c r="J875" s="7" t="str">
        <f aca="false">IF(A875="","",IFERROR(VLOOKUP(IF(ISNUMBER(SEARCH("(",C875)),LEFT(C875,SEARCH("(",C875)-1),C875),Tipos!$A:$B,2,FALSE()),"outro"))</f>
        <v/>
      </c>
      <c r="K875" s="7" t="str">
        <f aca="false">IF(I875="","",IFERROR(INDEX('Campos Growths'!$L:$L,MATCH(H875,'Campos Growths'!$A:$A,0)),""))</f>
        <v/>
      </c>
      <c r="L875" s="7" t="str">
        <f aca="false">IF(A875="","",IF(G875="não","Sem tabela no Growths",IF(I875="","Sem campo no Growths",IF(J875=K875,"Importa direto","Ajustar tipo"))))</f>
        <v/>
      </c>
      <c r="M875" s="9"/>
    </row>
    <row r="876" customFormat="false" ht="15" hidden="false" customHeight="false" outlineLevel="0" collapsed="false">
      <c r="A876" s="7" t="str">
        <f aca="false">IF('Outro banco'!A876="","",IF(LEFT('Outro banco'!A876,1)="(","",'Outro banco'!A876))</f>
        <v/>
      </c>
      <c r="B876" s="7" t="str">
        <f aca="false">IF(A876="","",'Outro banco'!B876)</f>
        <v/>
      </c>
      <c r="C876" s="7" t="str">
        <f aca="false">IF(A876="","",'Outro banco'!C876)</f>
        <v/>
      </c>
      <c r="D876" s="7" t="str">
        <f aca="false">IF(A876="","",'Outro banco'!D876)</f>
        <v/>
      </c>
      <c r="E876" s="9"/>
      <c r="F876" s="9"/>
      <c r="G876" s="7" t="str">
        <f aca="false">IF(A876="","",IF(COUNTIF(Tabelas!$A:$A,IF(E876="",A876,E876))&gt;0,"sim","não"))</f>
        <v/>
      </c>
      <c r="H876" s="7" t="str">
        <f aca="false">IF(A876="","",IF(E876="",A876,E876)&amp;"."&amp;IF(F876="",B876,F876))</f>
        <v/>
      </c>
      <c r="I876" s="7" t="str">
        <f aca="false">IF(A876="","",IFERROR(INDEX('Campos Growths'!$F:$F,MATCH(H876,'Campos Growths'!$A:$A,0)),""))</f>
        <v/>
      </c>
      <c r="J876" s="7" t="str">
        <f aca="false">IF(A876="","",IFERROR(VLOOKUP(IF(ISNUMBER(SEARCH("(",C876)),LEFT(C876,SEARCH("(",C876)-1),C876),Tipos!$A:$B,2,FALSE()),"outro"))</f>
        <v/>
      </c>
      <c r="K876" s="7" t="str">
        <f aca="false">IF(I876="","",IFERROR(INDEX('Campos Growths'!$L:$L,MATCH(H876,'Campos Growths'!$A:$A,0)),""))</f>
        <v/>
      </c>
      <c r="L876" s="7" t="str">
        <f aca="false">IF(A876="","",IF(G876="não","Sem tabela no Growths",IF(I876="","Sem campo no Growths",IF(J876=K876,"Importa direto","Ajustar tipo"))))</f>
        <v/>
      </c>
      <c r="M876" s="9"/>
    </row>
    <row r="877" customFormat="false" ht="15" hidden="false" customHeight="false" outlineLevel="0" collapsed="false">
      <c r="A877" s="7" t="str">
        <f aca="false">IF('Outro banco'!A877="","",IF(LEFT('Outro banco'!A877,1)="(","",'Outro banco'!A877))</f>
        <v/>
      </c>
      <c r="B877" s="7" t="str">
        <f aca="false">IF(A877="","",'Outro banco'!B877)</f>
        <v/>
      </c>
      <c r="C877" s="7" t="str">
        <f aca="false">IF(A877="","",'Outro banco'!C877)</f>
        <v/>
      </c>
      <c r="D877" s="7" t="str">
        <f aca="false">IF(A877="","",'Outro banco'!D877)</f>
        <v/>
      </c>
      <c r="E877" s="9"/>
      <c r="F877" s="9"/>
      <c r="G877" s="7" t="str">
        <f aca="false">IF(A877="","",IF(COUNTIF(Tabelas!$A:$A,IF(E877="",A877,E877))&gt;0,"sim","não"))</f>
        <v/>
      </c>
      <c r="H877" s="7" t="str">
        <f aca="false">IF(A877="","",IF(E877="",A877,E877)&amp;"."&amp;IF(F877="",B877,F877))</f>
        <v/>
      </c>
      <c r="I877" s="7" t="str">
        <f aca="false">IF(A877="","",IFERROR(INDEX('Campos Growths'!$F:$F,MATCH(H877,'Campos Growths'!$A:$A,0)),""))</f>
        <v/>
      </c>
      <c r="J877" s="7" t="str">
        <f aca="false">IF(A877="","",IFERROR(VLOOKUP(IF(ISNUMBER(SEARCH("(",C877)),LEFT(C877,SEARCH("(",C877)-1),C877),Tipos!$A:$B,2,FALSE()),"outro"))</f>
        <v/>
      </c>
      <c r="K877" s="7" t="str">
        <f aca="false">IF(I877="","",IFERROR(INDEX('Campos Growths'!$L:$L,MATCH(H877,'Campos Growths'!$A:$A,0)),""))</f>
        <v/>
      </c>
      <c r="L877" s="7" t="str">
        <f aca="false">IF(A877="","",IF(G877="não","Sem tabela no Growths",IF(I877="","Sem campo no Growths",IF(J877=K877,"Importa direto","Ajustar tipo"))))</f>
        <v/>
      </c>
      <c r="M877" s="9"/>
    </row>
    <row r="878" customFormat="false" ht="15" hidden="false" customHeight="false" outlineLevel="0" collapsed="false">
      <c r="A878" s="7" t="str">
        <f aca="false">IF('Outro banco'!A878="","",IF(LEFT('Outro banco'!A878,1)="(","",'Outro banco'!A878))</f>
        <v/>
      </c>
      <c r="B878" s="7" t="str">
        <f aca="false">IF(A878="","",'Outro banco'!B878)</f>
        <v/>
      </c>
      <c r="C878" s="7" t="str">
        <f aca="false">IF(A878="","",'Outro banco'!C878)</f>
        <v/>
      </c>
      <c r="D878" s="7" t="str">
        <f aca="false">IF(A878="","",'Outro banco'!D878)</f>
        <v/>
      </c>
      <c r="E878" s="9"/>
      <c r="F878" s="9"/>
      <c r="G878" s="7" t="str">
        <f aca="false">IF(A878="","",IF(COUNTIF(Tabelas!$A:$A,IF(E878="",A878,E878))&gt;0,"sim","não"))</f>
        <v/>
      </c>
      <c r="H878" s="7" t="str">
        <f aca="false">IF(A878="","",IF(E878="",A878,E878)&amp;"."&amp;IF(F878="",B878,F878))</f>
        <v/>
      </c>
      <c r="I878" s="7" t="str">
        <f aca="false">IF(A878="","",IFERROR(INDEX('Campos Growths'!$F:$F,MATCH(H878,'Campos Growths'!$A:$A,0)),""))</f>
        <v/>
      </c>
      <c r="J878" s="7" t="str">
        <f aca="false">IF(A878="","",IFERROR(VLOOKUP(IF(ISNUMBER(SEARCH("(",C878)),LEFT(C878,SEARCH("(",C878)-1),C878),Tipos!$A:$B,2,FALSE()),"outro"))</f>
        <v/>
      </c>
      <c r="K878" s="7" t="str">
        <f aca="false">IF(I878="","",IFERROR(INDEX('Campos Growths'!$L:$L,MATCH(H878,'Campos Growths'!$A:$A,0)),""))</f>
        <v/>
      </c>
      <c r="L878" s="7" t="str">
        <f aca="false">IF(A878="","",IF(G878="não","Sem tabela no Growths",IF(I878="","Sem campo no Growths",IF(J878=K878,"Importa direto","Ajustar tipo"))))</f>
        <v/>
      </c>
      <c r="M878" s="9"/>
    </row>
    <row r="879" customFormat="false" ht="15" hidden="false" customHeight="false" outlineLevel="0" collapsed="false">
      <c r="A879" s="7" t="str">
        <f aca="false">IF('Outro banco'!A879="","",IF(LEFT('Outro banco'!A879,1)="(","",'Outro banco'!A879))</f>
        <v/>
      </c>
      <c r="B879" s="7" t="str">
        <f aca="false">IF(A879="","",'Outro banco'!B879)</f>
        <v/>
      </c>
      <c r="C879" s="7" t="str">
        <f aca="false">IF(A879="","",'Outro banco'!C879)</f>
        <v/>
      </c>
      <c r="D879" s="7" t="str">
        <f aca="false">IF(A879="","",'Outro banco'!D879)</f>
        <v/>
      </c>
      <c r="E879" s="9"/>
      <c r="F879" s="9"/>
      <c r="G879" s="7" t="str">
        <f aca="false">IF(A879="","",IF(COUNTIF(Tabelas!$A:$A,IF(E879="",A879,E879))&gt;0,"sim","não"))</f>
        <v/>
      </c>
      <c r="H879" s="7" t="str">
        <f aca="false">IF(A879="","",IF(E879="",A879,E879)&amp;"."&amp;IF(F879="",B879,F879))</f>
        <v/>
      </c>
      <c r="I879" s="7" t="str">
        <f aca="false">IF(A879="","",IFERROR(INDEX('Campos Growths'!$F:$F,MATCH(H879,'Campos Growths'!$A:$A,0)),""))</f>
        <v/>
      </c>
      <c r="J879" s="7" t="str">
        <f aca="false">IF(A879="","",IFERROR(VLOOKUP(IF(ISNUMBER(SEARCH("(",C879)),LEFT(C879,SEARCH("(",C879)-1),C879),Tipos!$A:$B,2,FALSE()),"outro"))</f>
        <v/>
      </c>
      <c r="K879" s="7" t="str">
        <f aca="false">IF(I879="","",IFERROR(INDEX('Campos Growths'!$L:$L,MATCH(H879,'Campos Growths'!$A:$A,0)),""))</f>
        <v/>
      </c>
      <c r="L879" s="7" t="str">
        <f aca="false">IF(A879="","",IF(G879="não","Sem tabela no Growths",IF(I879="","Sem campo no Growths",IF(J879=K879,"Importa direto","Ajustar tipo"))))</f>
        <v/>
      </c>
      <c r="M879" s="9"/>
    </row>
    <row r="880" customFormat="false" ht="15" hidden="false" customHeight="false" outlineLevel="0" collapsed="false">
      <c r="A880" s="7" t="str">
        <f aca="false">IF('Outro banco'!A880="","",IF(LEFT('Outro banco'!A880,1)="(","",'Outro banco'!A880))</f>
        <v/>
      </c>
      <c r="B880" s="7" t="str">
        <f aca="false">IF(A880="","",'Outro banco'!B880)</f>
        <v/>
      </c>
      <c r="C880" s="7" t="str">
        <f aca="false">IF(A880="","",'Outro banco'!C880)</f>
        <v/>
      </c>
      <c r="D880" s="7" t="str">
        <f aca="false">IF(A880="","",'Outro banco'!D880)</f>
        <v/>
      </c>
      <c r="E880" s="9"/>
      <c r="F880" s="9"/>
      <c r="G880" s="7" t="str">
        <f aca="false">IF(A880="","",IF(COUNTIF(Tabelas!$A:$A,IF(E880="",A880,E880))&gt;0,"sim","não"))</f>
        <v/>
      </c>
      <c r="H880" s="7" t="str">
        <f aca="false">IF(A880="","",IF(E880="",A880,E880)&amp;"."&amp;IF(F880="",B880,F880))</f>
        <v/>
      </c>
      <c r="I880" s="7" t="str">
        <f aca="false">IF(A880="","",IFERROR(INDEX('Campos Growths'!$F:$F,MATCH(H880,'Campos Growths'!$A:$A,0)),""))</f>
        <v/>
      </c>
      <c r="J880" s="7" t="str">
        <f aca="false">IF(A880="","",IFERROR(VLOOKUP(IF(ISNUMBER(SEARCH("(",C880)),LEFT(C880,SEARCH("(",C880)-1),C880),Tipos!$A:$B,2,FALSE()),"outro"))</f>
        <v/>
      </c>
      <c r="K880" s="7" t="str">
        <f aca="false">IF(I880="","",IFERROR(INDEX('Campos Growths'!$L:$L,MATCH(H880,'Campos Growths'!$A:$A,0)),""))</f>
        <v/>
      </c>
      <c r="L880" s="7" t="str">
        <f aca="false">IF(A880="","",IF(G880="não","Sem tabela no Growths",IF(I880="","Sem campo no Growths",IF(J880=K880,"Importa direto","Ajustar tipo"))))</f>
        <v/>
      </c>
      <c r="M880" s="9"/>
    </row>
    <row r="881" customFormat="false" ht="15" hidden="false" customHeight="false" outlineLevel="0" collapsed="false">
      <c r="A881" s="7" t="str">
        <f aca="false">IF('Outro banco'!A881="","",IF(LEFT('Outro banco'!A881,1)="(","",'Outro banco'!A881))</f>
        <v/>
      </c>
      <c r="B881" s="7" t="str">
        <f aca="false">IF(A881="","",'Outro banco'!B881)</f>
        <v/>
      </c>
      <c r="C881" s="7" t="str">
        <f aca="false">IF(A881="","",'Outro banco'!C881)</f>
        <v/>
      </c>
      <c r="D881" s="7" t="str">
        <f aca="false">IF(A881="","",'Outro banco'!D881)</f>
        <v/>
      </c>
      <c r="E881" s="9"/>
      <c r="F881" s="9"/>
      <c r="G881" s="7" t="str">
        <f aca="false">IF(A881="","",IF(COUNTIF(Tabelas!$A:$A,IF(E881="",A881,E881))&gt;0,"sim","não"))</f>
        <v/>
      </c>
      <c r="H881" s="7" t="str">
        <f aca="false">IF(A881="","",IF(E881="",A881,E881)&amp;"."&amp;IF(F881="",B881,F881))</f>
        <v/>
      </c>
      <c r="I881" s="7" t="str">
        <f aca="false">IF(A881="","",IFERROR(INDEX('Campos Growths'!$F:$F,MATCH(H881,'Campos Growths'!$A:$A,0)),""))</f>
        <v/>
      </c>
      <c r="J881" s="7" t="str">
        <f aca="false">IF(A881="","",IFERROR(VLOOKUP(IF(ISNUMBER(SEARCH("(",C881)),LEFT(C881,SEARCH("(",C881)-1),C881),Tipos!$A:$B,2,FALSE()),"outro"))</f>
        <v/>
      </c>
      <c r="K881" s="7" t="str">
        <f aca="false">IF(I881="","",IFERROR(INDEX('Campos Growths'!$L:$L,MATCH(H881,'Campos Growths'!$A:$A,0)),""))</f>
        <v/>
      </c>
      <c r="L881" s="7" t="str">
        <f aca="false">IF(A881="","",IF(G881="não","Sem tabela no Growths",IF(I881="","Sem campo no Growths",IF(J881=K881,"Importa direto","Ajustar tipo"))))</f>
        <v/>
      </c>
      <c r="M881" s="9"/>
    </row>
    <row r="882" customFormat="false" ht="15" hidden="false" customHeight="false" outlineLevel="0" collapsed="false">
      <c r="A882" s="7" t="str">
        <f aca="false">IF('Outro banco'!A882="","",IF(LEFT('Outro banco'!A882,1)="(","",'Outro banco'!A882))</f>
        <v/>
      </c>
      <c r="B882" s="7" t="str">
        <f aca="false">IF(A882="","",'Outro banco'!B882)</f>
        <v/>
      </c>
      <c r="C882" s="7" t="str">
        <f aca="false">IF(A882="","",'Outro banco'!C882)</f>
        <v/>
      </c>
      <c r="D882" s="7" t="str">
        <f aca="false">IF(A882="","",'Outro banco'!D882)</f>
        <v/>
      </c>
      <c r="E882" s="9"/>
      <c r="F882" s="9"/>
      <c r="G882" s="7" t="str">
        <f aca="false">IF(A882="","",IF(COUNTIF(Tabelas!$A:$A,IF(E882="",A882,E882))&gt;0,"sim","não"))</f>
        <v/>
      </c>
      <c r="H882" s="7" t="str">
        <f aca="false">IF(A882="","",IF(E882="",A882,E882)&amp;"."&amp;IF(F882="",B882,F882))</f>
        <v/>
      </c>
      <c r="I882" s="7" t="str">
        <f aca="false">IF(A882="","",IFERROR(INDEX('Campos Growths'!$F:$F,MATCH(H882,'Campos Growths'!$A:$A,0)),""))</f>
        <v/>
      </c>
      <c r="J882" s="7" t="str">
        <f aca="false">IF(A882="","",IFERROR(VLOOKUP(IF(ISNUMBER(SEARCH("(",C882)),LEFT(C882,SEARCH("(",C882)-1),C882),Tipos!$A:$B,2,FALSE()),"outro"))</f>
        <v/>
      </c>
      <c r="K882" s="7" t="str">
        <f aca="false">IF(I882="","",IFERROR(INDEX('Campos Growths'!$L:$L,MATCH(H882,'Campos Growths'!$A:$A,0)),""))</f>
        <v/>
      </c>
      <c r="L882" s="7" t="str">
        <f aca="false">IF(A882="","",IF(G882="não","Sem tabela no Growths",IF(I882="","Sem campo no Growths",IF(J882=K882,"Importa direto","Ajustar tipo"))))</f>
        <v/>
      </c>
      <c r="M882" s="9"/>
    </row>
    <row r="883" customFormat="false" ht="15" hidden="false" customHeight="false" outlineLevel="0" collapsed="false">
      <c r="A883" s="7" t="str">
        <f aca="false">IF('Outro banco'!A883="","",IF(LEFT('Outro banco'!A883,1)="(","",'Outro banco'!A883))</f>
        <v/>
      </c>
      <c r="B883" s="7" t="str">
        <f aca="false">IF(A883="","",'Outro banco'!B883)</f>
        <v/>
      </c>
      <c r="C883" s="7" t="str">
        <f aca="false">IF(A883="","",'Outro banco'!C883)</f>
        <v/>
      </c>
      <c r="D883" s="7" t="str">
        <f aca="false">IF(A883="","",'Outro banco'!D883)</f>
        <v/>
      </c>
      <c r="E883" s="9"/>
      <c r="F883" s="9"/>
      <c r="G883" s="7" t="str">
        <f aca="false">IF(A883="","",IF(COUNTIF(Tabelas!$A:$A,IF(E883="",A883,E883))&gt;0,"sim","não"))</f>
        <v/>
      </c>
      <c r="H883" s="7" t="str">
        <f aca="false">IF(A883="","",IF(E883="",A883,E883)&amp;"."&amp;IF(F883="",B883,F883))</f>
        <v/>
      </c>
      <c r="I883" s="7" t="str">
        <f aca="false">IF(A883="","",IFERROR(INDEX('Campos Growths'!$F:$F,MATCH(H883,'Campos Growths'!$A:$A,0)),""))</f>
        <v/>
      </c>
      <c r="J883" s="7" t="str">
        <f aca="false">IF(A883="","",IFERROR(VLOOKUP(IF(ISNUMBER(SEARCH("(",C883)),LEFT(C883,SEARCH("(",C883)-1),C883),Tipos!$A:$B,2,FALSE()),"outro"))</f>
        <v/>
      </c>
      <c r="K883" s="7" t="str">
        <f aca="false">IF(I883="","",IFERROR(INDEX('Campos Growths'!$L:$L,MATCH(H883,'Campos Growths'!$A:$A,0)),""))</f>
        <v/>
      </c>
      <c r="L883" s="7" t="str">
        <f aca="false">IF(A883="","",IF(G883="não","Sem tabela no Growths",IF(I883="","Sem campo no Growths",IF(J883=K883,"Importa direto","Ajustar tipo"))))</f>
        <v/>
      </c>
      <c r="M883" s="9"/>
    </row>
    <row r="884" customFormat="false" ht="15" hidden="false" customHeight="false" outlineLevel="0" collapsed="false">
      <c r="A884" s="7" t="str">
        <f aca="false">IF('Outro banco'!A884="","",IF(LEFT('Outro banco'!A884,1)="(","",'Outro banco'!A884))</f>
        <v/>
      </c>
      <c r="B884" s="7" t="str">
        <f aca="false">IF(A884="","",'Outro banco'!B884)</f>
        <v/>
      </c>
      <c r="C884" s="7" t="str">
        <f aca="false">IF(A884="","",'Outro banco'!C884)</f>
        <v/>
      </c>
      <c r="D884" s="7" t="str">
        <f aca="false">IF(A884="","",'Outro banco'!D884)</f>
        <v/>
      </c>
      <c r="E884" s="9"/>
      <c r="F884" s="9"/>
      <c r="G884" s="7" t="str">
        <f aca="false">IF(A884="","",IF(COUNTIF(Tabelas!$A:$A,IF(E884="",A884,E884))&gt;0,"sim","não"))</f>
        <v/>
      </c>
      <c r="H884" s="7" t="str">
        <f aca="false">IF(A884="","",IF(E884="",A884,E884)&amp;"."&amp;IF(F884="",B884,F884))</f>
        <v/>
      </c>
      <c r="I884" s="7" t="str">
        <f aca="false">IF(A884="","",IFERROR(INDEX('Campos Growths'!$F:$F,MATCH(H884,'Campos Growths'!$A:$A,0)),""))</f>
        <v/>
      </c>
      <c r="J884" s="7" t="str">
        <f aca="false">IF(A884="","",IFERROR(VLOOKUP(IF(ISNUMBER(SEARCH("(",C884)),LEFT(C884,SEARCH("(",C884)-1),C884),Tipos!$A:$B,2,FALSE()),"outro"))</f>
        <v/>
      </c>
      <c r="K884" s="7" t="str">
        <f aca="false">IF(I884="","",IFERROR(INDEX('Campos Growths'!$L:$L,MATCH(H884,'Campos Growths'!$A:$A,0)),""))</f>
        <v/>
      </c>
      <c r="L884" s="7" t="str">
        <f aca="false">IF(A884="","",IF(G884="não","Sem tabela no Growths",IF(I884="","Sem campo no Growths",IF(J884=K884,"Importa direto","Ajustar tipo"))))</f>
        <v/>
      </c>
      <c r="M884" s="9"/>
    </row>
    <row r="885" customFormat="false" ht="15" hidden="false" customHeight="false" outlineLevel="0" collapsed="false">
      <c r="A885" s="7" t="str">
        <f aca="false">IF('Outro banco'!A885="","",IF(LEFT('Outro banco'!A885,1)="(","",'Outro banco'!A885))</f>
        <v/>
      </c>
      <c r="B885" s="7" t="str">
        <f aca="false">IF(A885="","",'Outro banco'!B885)</f>
        <v/>
      </c>
      <c r="C885" s="7" t="str">
        <f aca="false">IF(A885="","",'Outro banco'!C885)</f>
        <v/>
      </c>
      <c r="D885" s="7" t="str">
        <f aca="false">IF(A885="","",'Outro banco'!D885)</f>
        <v/>
      </c>
      <c r="E885" s="9"/>
      <c r="F885" s="9"/>
      <c r="G885" s="7" t="str">
        <f aca="false">IF(A885="","",IF(COUNTIF(Tabelas!$A:$A,IF(E885="",A885,E885))&gt;0,"sim","não"))</f>
        <v/>
      </c>
      <c r="H885" s="7" t="str">
        <f aca="false">IF(A885="","",IF(E885="",A885,E885)&amp;"."&amp;IF(F885="",B885,F885))</f>
        <v/>
      </c>
      <c r="I885" s="7" t="str">
        <f aca="false">IF(A885="","",IFERROR(INDEX('Campos Growths'!$F:$F,MATCH(H885,'Campos Growths'!$A:$A,0)),""))</f>
        <v/>
      </c>
      <c r="J885" s="7" t="str">
        <f aca="false">IF(A885="","",IFERROR(VLOOKUP(IF(ISNUMBER(SEARCH("(",C885)),LEFT(C885,SEARCH("(",C885)-1),C885),Tipos!$A:$B,2,FALSE()),"outro"))</f>
        <v/>
      </c>
      <c r="K885" s="7" t="str">
        <f aca="false">IF(I885="","",IFERROR(INDEX('Campos Growths'!$L:$L,MATCH(H885,'Campos Growths'!$A:$A,0)),""))</f>
        <v/>
      </c>
      <c r="L885" s="7" t="str">
        <f aca="false">IF(A885="","",IF(G885="não","Sem tabela no Growths",IF(I885="","Sem campo no Growths",IF(J885=K885,"Importa direto","Ajustar tipo"))))</f>
        <v/>
      </c>
      <c r="M885" s="9"/>
    </row>
    <row r="886" customFormat="false" ht="15" hidden="false" customHeight="false" outlineLevel="0" collapsed="false">
      <c r="A886" s="7" t="str">
        <f aca="false">IF('Outro banco'!A886="","",IF(LEFT('Outro banco'!A886,1)="(","",'Outro banco'!A886))</f>
        <v/>
      </c>
      <c r="B886" s="7" t="str">
        <f aca="false">IF(A886="","",'Outro banco'!B886)</f>
        <v/>
      </c>
      <c r="C886" s="7" t="str">
        <f aca="false">IF(A886="","",'Outro banco'!C886)</f>
        <v/>
      </c>
      <c r="D886" s="7" t="str">
        <f aca="false">IF(A886="","",'Outro banco'!D886)</f>
        <v/>
      </c>
      <c r="E886" s="9"/>
      <c r="F886" s="9"/>
      <c r="G886" s="7" t="str">
        <f aca="false">IF(A886="","",IF(COUNTIF(Tabelas!$A:$A,IF(E886="",A886,E886))&gt;0,"sim","não"))</f>
        <v/>
      </c>
      <c r="H886" s="7" t="str">
        <f aca="false">IF(A886="","",IF(E886="",A886,E886)&amp;"."&amp;IF(F886="",B886,F886))</f>
        <v/>
      </c>
      <c r="I886" s="7" t="str">
        <f aca="false">IF(A886="","",IFERROR(INDEX('Campos Growths'!$F:$F,MATCH(H886,'Campos Growths'!$A:$A,0)),""))</f>
        <v/>
      </c>
      <c r="J886" s="7" t="str">
        <f aca="false">IF(A886="","",IFERROR(VLOOKUP(IF(ISNUMBER(SEARCH("(",C886)),LEFT(C886,SEARCH("(",C886)-1),C886),Tipos!$A:$B,2,FALSE()),"outro"))</f>
        <v/>
      </c>
      <c r="K886" s="7" t="str">
        <f aca="false">IF(I886="","",IFERROR(INDEX('Campos Growths'!$L:$L,MATCH(H886,'Campos Growths'!$A:$A,0)),""))</f>
        <v/>
      </c>
      <c r="L886" s="7" t="str">
        <f aca="false">IF(A886="","",IF(G886="não","Sem tabela no Growths",IF(I886="","Sem campo no Growths",IF(J886=K886,"Importa direto","Ajustar tipo"))))</f>
        <v/>
      </c>
      <c r="M886" s="9"/>
    </row>
    <row r="887" customFormat="false" ht="15" hidden="false" customHeight="false" outlineLevel="0" collapsed="false">
      <c r="A887" s="7" t="str">
        <f aca="false">IF('Outro banco'!A887="","",IF(LEFT('Outro banco'!A887,1)="(","",'Outro banco'!A887))</f>
        <v/>
      </c>
      <c r="B887" s="7" t="str">
        <f aca="false">IF(A887="","",'Outro banco'!B887)</f>
        <v/>
      </c>
      <c r="C887" s="7" t="str">
        <f aca="false">IF(A887="","",'Outro banco'!C887)</f>
        <v/>
      </c>
      <c r="D887" s="7" t="str">
        <f aca="false">IF(A887="","",'Outro banco'!D887)</f>
        <v/>
      </c>
      <c r="E887" s="9"/>
      <c r="F887" s="9"/>
      <c r="G887" s="7" t="str">
        <f aca="false">IF(A887="","",IF(COUNTIF(Tabelas!$A:$A,IF(E887="",A887,E887))&gt;0,"sim","não"))</f>
        <v/>
      </c>
      <c r="H887" s="7" t="str">
        <f aca="false">IF(A887="","",IF(E887="",A887,E887)&amp;"."&amp;IF(F887="",B887,F887))</f>
        <v/>
      </c>
      <c r="I887" s="7" t="str">
        <f aca="false">IF(A887="","",IFERROR(INDEX('Campos Growths'!$F:$F,MATCH(H887,'Campos Growths'!$A:$A,0)),""))</f>
        <v/>
      </c>
      <c r="J887" s="7" t="str">
        <f aca="false">IF(A887="","",IFERROR(VLOOKUP(IF(ISNUMBER(SEARCH("(",C887)),LEFT(C887,SEARCH("(",C887)-1),C887),Tipos!$A:$B,2,FALSE()),"outro"))</f>
        <v/>
      </c>
      <c r="K887" s="7" t="str">
        <f aca="false">IF(I887="","",IFERROR(INDEX('Campos Growths'!$L:$L,MATCH(H887,'Campos Growths'!$A:$A,0)),""))</f>
        <v/>
      </c>
      <c r="L887" s="7" t="str">
        <f aca="false">IF(A887="","",IF(G887="não","Sem tabela no Growths",IF(I887="","Sem campo no Growths",IF(J887=K887,"Importa direto","Ajustar tipo"))))</f>
        <v/>
      </c>
      <c r="M887" s="9"/>
    </row>
    <row r="888" customFormat="false" ht="15" hidden="false" customHeight="false" outlineLevel="0" collapsed="false">
      <c r="A888" s="7" t="str">
        <f aca="false">IF('Outro banco'!A888="","",IF(LEFT('Outro banco'!A888,1)="(","",'Outro banco'!A888))</f>
        <v/>
      </c>
      <c r="B888" s="7" t="str">
        <f aca="false">IF(A888="","",'Outro banco'!B888)</f>
        <v/>
      </c>
      <c r="C888" s="7" t="str">
        <f aca="false">IF(A888="","",'Outro banco'!C888)</f>
        <v/>
      </c>
      <c r="D888" s="7" t="str">
        <f aca="false">IF(A888="","",'Outro banco'!D888)</f>
        <v/>
      </c>
      <c r="E888" s="9"/>
      <c r="F888" s="9"/>
      <c r="G888" s="7" t="str">
        <f aca="false">IF(A888="","",IF(COUNTIF(Tabelas!$A:$A,IF(E888="",A888,E888))&gt;0,"sim","não"))</f>
        <v/>
      </c>
      <c r="H888" s="7" t="str">
        <f aca="false">IF(A888="","",IF(E888="",A888,E888)&amp;"."&amp;IF(F888="",B888,F888))</f>
        <v/>
      </c>
      <c r="I888" s="7" t="str">
        <f aca="false">IF(A888="","",IFERROR(INDEX('Campos Growths'!$F:$F,MATCH(H888,'Campos Growths'!$A:$A,0)),""))</f>
        <v/>
      </c>
      <c r="J888" s="7" t="str">
        <f aca="false">IF(A888="","",IFERROR(VLOOKUP(IF(ISNUMBER(SEARCH("(",C888)),LEFT(C888,SEARCH("(",C888)-1),C888),Tipos!$A:$B,2,FALSE()),"outro"))</f>
        <v/>
      </c>
      <c r="K888" s="7" t="str">
        <f aca="false">IF(I888="","",IFERROR(INDEX('Campos Growths'!$L:$L,MATCH(H888,'Campos Growths'!$A:$A,0)),""))</f>
        <v/>
      </c>
      <c r="L888" s="7" t="str">
        <f aca="false">IF(A888="","",IF(G888="não","Sem tabela no Growths",IF(I888="","Sem campo no Growths",IF(J888=K888,"Importa direto","Ajustar tipo"))))</f>
        <v/>
      </c>
      <c r="M888" s="9"/>
    </row>
    <row r="889" customFormat="false" ht="15" hidden="false" customHeight="false" outlineLevel="0" collapsed="false">
      <c r="A889" s="7" t="str">
        <f aca="false">IF('Outro banco'!A889="","",IF(LEFT('Outro banco'!A889,1)="(","",'Outro banco'!A889))</f>
        <v/>
      </c>
      <c r="B889" s="7" t="str">
        <f aca="false">IF(A889="","",'Outro banco'!B889)</f>
        <v/>
      </c>
      <c r="C889" s="7" t="str">
        <f aca="false">IF(A889="","",'Outro banco'!C889)</f>
        <v/>
      </c>
      <c r="D889" s="7" t="str">
        <f aca="false">IF(A889="","",'Outro banco'!D889)</f>
        <v/>
      </c>
      <c r="E889" s="9"/>
      <c r="F889" s="9"/>
      <c r="G889" s="7" t="str">
        <f aca="false">IF(A889="","",IF(COUNTIF(Tabelas!$A:$A,IF(E889="",A889,E889))&gt;0,"sim","não"))</f>
        <v/>
      </c>
      <c r="H889" s="7" t="str">
        <f aca="false">IF(A889="","",IF(E889="",A889,E889)&amp;"."&amp;IF(F889="",B889,F889))</f>
        <v/>
      </c>
      <c r="I889" s="7" t="str">
        <f aca="false">IF(A889="","",IFERROR(INDEX('Campos Growths'!$F:$F,MATCH(H889,'Campos Growths'!$A:$A,0)),""))</f>
        <v/>
      </c>
      <c r="J889" s="7" t="str">
        <f aca="false">IF(A889="","",IFERROR(VLOOKUP(IF(ISNUMBER(SEARCH("(",C889)),LEFT(C889,SEARCH("(",C889)-1),C889),Tipos!$A:$B,2,FALSE()),"outro"))</f>
        <v/>
      </c>
      <c r="K889" s="7" t="str">
        <f aca="false">IF(I889="","",IFERROR(INDEX('Campos Growths'!$L:$L,MATCH(H889,'Campos Growths'!$A:$A,0)),""))</f>
        <v/>
      </c>
      <c r="L889" s="7" t="str">
        <f aca="false">IF(A889="","",IF(G889="não","Sem tabela no Growths",IF(I889="","Sem campo no Growths",IF(J889=K889,"Importa direto","Ajustar tipo"))))</f>
        <v/>
      </c>
      <c r="M889" s="9"/>
    </row>
    <row r="890" customFormat="false" ht="15" hidden="false" customHeight="false" outlineLevel="0" collapsed="false">
      <c r="A890" s="7" t="str">
        <f aca="false">IF('Outro banco'!A890="","",IF(LEFT('Outro banco'!A890,1)="(","",'Outro banco'!A890))</f>
        <v/>
      </c>
      <c r="B890" s="7" t="str">
        <f aca="false">IF(A890="","",'Outro banco'!B890)</f>
        <v/>
      </c>
      <c r="C890" s="7" t="str">
        <f aca="false">IF(A890="","",'Outro banco'!C890)</f>
        <v/>
      </c>
      <c r="D890" s="7" t="str">
        <f aca="false">IF(A890="","",'Outro banco'!D890)</f>
        <v/>
      </c>
      <c r="E890" s="9"/>
      <c r="F890" s="9"/>
      <c r="G890" s="7" t="str">
        <f aca="false">IF(A890="","",IF(COUNTIF(Tabelas!$A:$A,IF(E890="",A890,E890))&gt;0,"sim","não"))</f>
        <v/>
      </c>
      <c r="H890" s="7" t="str">
        <f aca="false">IF(A890="","",IF(E890="",A890,E890)&amp;"."&amp;IF(F890="",B890,F890))</f>
        <v/>
      </c>
      <c r="I890" s="7" t="str">
        <f aca="false">IF(A890="","",IFERROR(INDEX('Campos Growths'!$F:$F,MATCH(H890,'Campos Growths'!$A:$A,0)),""))</f>
        <v/>
      </c>
      <c r="J890" s="7" t="str">
        <f aca="false">IF(A890="","",IFERROR(VLOOKUP(IF(ISNUMBER(SEARCH("(",C890)),LEFT(C890,SEARCH("(",C890)-1),C890),Tipos!$A:$B,2,FALSE()),"outro"))</f>
        <v/>
      </c>
      <c r="K890" s="7" t="str">
        <f aca="false">IF(I890="","",IFERROR(INDEX('Campos Growths'!$L:$L,MATCH(H890,'Campos Growths'!$A:$A,0)),""))</f>
        <v/>
      </c>
      <c r="L890" s="7" t="str">
        <f aca="false">IF(A890="","",IF(G890="não","Sem tabela no Growths",IF(I890="","Sem campo no Growths",IF(J890=K890,"Importa direto","Ajustar tipo"))))</f>
        <v/>
      </c>
      <c r="M890" s="9"/>
    </row>
    <row r="891" customFormat="false" ht="15" hidden="false" customHeight="false" outlineLevel="0" collapsed="false">
      <c r="A891" s="7" t="str">
        <f aca="false">IF('Outro banco'!A891="","",IF(LEFT('Outro banco'!A891,1)="(","",'Outro banco'!A891))</f>
        <v/>
      </c>
      <c r="B891" s="7" t="str">
        <f aca="false">IF(A891="","",'Outro banco'!B891)</f>
        <v/>
      </c>
      <c r="C891" s="7" t="str">
        <f aca="false">IF(A891="","",'Outro banco'!C891)</f>
        <v/>
      </c>
      <c r="D891" s="7" t="str">
        <f aca="false">IF(A891="","",'Outro banco'!D891)</f>
        <v/>
      </c>
      <c r="E891" s="9"/>
      <c r="F891" s="9"/>
      <c r="G891" s="7" t="str">
        <f aca="false">IF(A891="","",IF(COUNTIF(Tabelas!$A:$A,IF(E891="",A891,E891))&gt;0,"sim","não"))</f>
        <v/>
      </c>
      <c r="H891" s="7" t="str">
        <f aca="false">IF(A891="","",IF(E891="",A891,E891)&amp;"."&amp;IF(F891="",B891,F891))</f>
        <v/>
      </c>
      <c r="I891" s="7" t="str">
        <f aca="false">IF(A891="","",IFERROR(INDEX('Campos Growths'!$F:$F,MATCH(H891,'Campos Growths'!$A:$A,0)),""))</f>
        <v/>
      </c>
      <c r="J891" s="7" t="str">
        <f aca="false">IF(A891="","",IFERROR(VLOOKUP(IF(ISNUMBER(SEARCH("(",C891)),LEFT(C891,SEARCH("(",C891)-1),C891),Tipos!$A:$B,2,FALSE()),"outro"))</f>
        <v/>
      </c>
      <c r="K891" s="7" t="str">
        <f aca="false">IF(I891="","",IFERROR(INDEX('Campos Growths'!$L:$L,MATCH(H891,'Campos Growths'!$A:$A,0)),""))</f>
        <v/>
      </c>
      <c r="L891" s="7" t="str">
        <f aca="false">IF(A891="","",IF(G891="não","Sem tabela no Growths",IF(I891="","Sem campo no Growths",IF(J891=K891,"Importa direto","Ajustar tipo"))))</f>
        <v/>
      </c>
      <c r="M891" s="9"/>
    </row>
    <row r="892" customFormat="false" ht="15" hidden="false" customHeight="false" outlineLevel="0" collapsed="false">
      <c r="A892" s="7" t="str">
        <f aca="false">IF('Outro banco'!A892="","",IF(LEFT('Outro banco'!A892,1)="(","",'Outro banco'!A892))</f>
        <v/>
      </c>
      <c r="B892" s="7" t="str">
        <f aca="false">IF(A892="","",'Outro banco'!B892)</f>
        <v/>
      </c>
      <c r="C892" s="7" t="str">
        <f aca="false">IF(A892="","",'Outro banco'!C892)</f>
        <v/>
      </c>
      <c r="D892" s="7" t="str">
        <f aca="false">IF(A892="","",'Outro banco'!D892)</f>
        <v/>
      </c>
      <c r="E892" s="9"/>
      <c r="F892" s="9"/>
      <c r="G892" s="7" t="str">
        <f aca="false">IF(A892="","",IF(COUNTIF(Tabelas!$A:$A,IF(E892="",A892,E892))&gt;0,"sim","não"))</f>
        <v/>
      </c>
      <c r="H892" s="7" t="str">
        <f aca="false">IF(A892="","",IF(E892="",A892,E892)&amp;"."&amp;IF(F892="",B892,F892))</f>
        <v/>
      </c>
      <c r="I892" s="7" t="str">
        <f aca="false">IF(A892="","",IFERROR(INDEX('Campos Growths'!$F:$F,MATCH(H892,'Campos Growths'!$A:$A,0)),""))</f>
        <v/>
      </c>
      <c r="J892" s="7" t="str">
        <f aca="false">IF(A892="","",IFERROR(VLOOKUP(IF(ISNUMBER(SEARCH("(",C892)),LEFT(C892,SEARCH("(",C892)-1),C892),Tipos!$A:$B,2,FALSE()),"outro"))</f>
        <v/>
      </c>
      <c r="K892" s="7" t="str">
        <f aca="false">IF(I892="","",IFERROR(INDEX('Campos Growths'!$L:$L,MATCH(H892,'Campos Growths'!$A:$A,0)),""))</f>
        <v/>
      </c>
      <c r="L892" s="7" t="str">
        <f aca="false">IF(A892="","",IF(G892="não","Sem tabela no Growths",IF(I892="","Sem campo no Growths",IF(J892=K892,"Importa direto","Ajustar tipo"))))</f>
        <v/>
      </c>
      <c r="M892" s="9"/>
    </row>
    <row r="893" customFormat="false" ht="15" hidden="false" customHeight="false" outlineLevel="0" collapsed="false">
      <c r="A893" s="7" t="str">
        <f aca="false">IF('Outro banco'!A893="","",IF(LEFT('Outro banco'!A893,1)="(","",'Outro banco'!A893))</f>
        <v/>
      </c>
      <c r="B893" s="7" t="str">
        <f aca="false">IF(A893="","",'Outro banco'!B893)</f>
        <v/>
      </c>
      <c r="C893" s="7" t="str">
        <f aca="false">IF(A893="","",'Outro banco'!C893)</f>
        <v/>
      </c>
      <c r="D893" s="7" t="str">
        <f aca="false">IF(A893="","",'Outro banco'!D893)</f>
        <v/>
      </c>
      <c r="E893" s="9"/>
      <c r="F893" s="9"/>
      <c r="G893" s="7" t="str">
        <f aca="false">IF(A893="","",IF(COUNTIF(Tabelas!$A:$A,IF(E893="",A893,E893))&gt;0,"sim","não"))</f>
        <v/>
      </c>
      <c r="H893" s="7" t="str">
        <f aca="false">IF(A893="","",IF(E893="",A893,E893)&amp;"."&amp;IF(F893="",B893,F893))</f>
        <v/>
      </c>
      <c r="I893" s="7" t="str">
        <f aca="false">IF(A893="","",IFERROR(INDEX('Campos Growths'!$F:$F,MATCH(H893,'Campos Growths'!$A:$A,0)),""))</f>
        <v/>
      </c>
      <c r="J893" s="7" t="str">
        <f aca="false">IF(A893="","",IFERROR(VLOOKUP(IF(ISNUMBER(SEARCH("(",C893)),LEFT(C893,SEARCH("(",C893)-1),C893),Tipos!$A:$B,2,FALSE()),"outro"))</f>
        <v/>
      </c>
      <c r="K893" s="7" t="str">
        <f aca="false">IF(I893="","",IFERROR(INDEX('Campos Growths'!$L:$L,MATCH(H893,'Campos Growths'!$A:$A,0)),""))</f>
        <v/>
      </c>
      <c r="L893" s="7" t="str">
        <f aca="false">IF(A893="","",IF(G893="não","Sem tabela no Growths",IF(I893="","Sem campo no Growths",IF(J893=K893,"Importa direto","Ajustar tipo"))))</f>
        <v/>
      </c>
      <c r="M893" s="9"/>
    </row>
    <row r="894" customFormat="false" ht="15" hidden="false" customHeight="false" outlineLevel="0" collapsed="false">
      <c r="A894" s="7" t="str">
        <f aca="false">IF('Outro banco'!A894="","",IF(LEFT('Outro banco'!A894,1)="(","",'Outro banco'!A894))</f>
        <v/>
      </c>
      <c r="B894" s="7" t="str">
        <f aca="false">IF(A894="","",'Outro banco'!B894)</f>
        <v/>
      </c>
      <c r="C894" s="7" t="str">
        <f aca="false">IF(A894="","",'Outro banco'!C894)</f>
        <v/>
      </c>
      <c r="D894" s="7" t="str">
        <f aca="false">IF(A894="","",'Outro banco'!D894)</f>
        <v/>
      </c>
      <c r="E894" s="9"/>
      <c r="F894" s="9"/>
      <c r="G894" s="7" t="str">
        <f aca="false">IF(A894="","",IF(COUNTIF(Tabelas!$A:$A,IF(E894="",A894,E894))&gt;0,"sim","não"))</f>
        <v/>
      </c>
      <c r="H894" s="7" t="str">
        <f aca="false">IF(A894="","",IF(E894="",A894,E894)&amp;"."&amp;IF(F894="",B894,F894))</f>
        <v/>
      </c>
      <c r="I894" s="7" t="str">
        <f aca="false">IF(A894="","",IFERROR(INDEX('Campos Growths'!$F:$F,MATCH(H894,'Campos Growths'!$A:$A,0)),""))</f>
        <v/>
      </c>
      <c r="J894" s="7" t="str">
        <f aca="false">IF(A894="","",IFERROR(VLOOKUP(IF(ISNUMBER(SEARCH("(",C894)),LEFT(C894,SEARCH("(",C894)-1),C894),Tipos!$A:$B,2,FALSE()),"outro"))</f>
        <v/>
      </c>
      <c r="K894" s="7" t="str">
        <f aca="false">IF(I894="","",IFERROR(INDEX('Campos Growths'!$L:$L,MATCH(H894,'Campos Growths'!$A:$A,0)),""))</f>
        <v/>
      </c>
      <c r="L894" s="7" t="str">
        <f aca="false">IF(A894="","",IF(G894="não","Sem tabela no Growths",IF(I894="","Sem campo no Growths",IF(J894=K894,"Importa direto","Ajustar tipo"))))</f>
        <v/>
      </c>
      <c r="M894" s="9"/>
    </row>
    <row r="895" customFormat="false" ht="15" hidden="false" customHeight="false" outlineLevel="0" collapsed="false">
      <c r="A895" s="7" t="str">
        <f aca="false">IF('Outro banco'!A895="","",IF(LEFT('Outro banco'!A895,1)="(","",'Outro banco'!A895))</f>
        <v/>
      </c>
      <c r="B895" s="7" t="str">
        <f aca="false">IF(A895="","",'Outro banco'!B895)</f>
        <v/>
      </c>
      <c r="C895" s="7" t="str">
        <f aca="false">IF(A895="","",'Outro banco'!C895)</f>
        <v/>
      </c>
      <c r="D895" s="7" t="str">
        <f aca="false">IF(A895="","",'Outro banco'!D895)</f>
        <v/>
      </c>
      <c r="E895" s="9"/>
      <c r="F895" s="9"/>
      <c r="G895" s="7" t="str">
        <f aca="false">IF(A895="","",IF(COUNTIF(Tabelas!$A:$A,IF(E895="",A895,E895))&gt;0,"sim","não"))</f>
        <v/>
      </c>
      <c r="H895" s="7" t="str">
        <f aca="false">IF(A895="","",IF(E895="",A895,E895)&amp;"."&amp;IF(F895="",B895,F895))</f>
        <v/>
      </c>
      <c r="I895" s="7" t="str">
        <f aca="false">IF(A895="","",IFERROR(INDEX('Campos Growths'!$F:$F,MATCH(H895,'Campos Growths'!$A:$A,0)),""))</f>
        <v/>
      </c>
      <c r="J895" s="7" t="str">
        <f aca="false">IF(A895="","",IFERROR(VLOOKUP(IF(ISNUMBER(SEARCH("(",C895)),LEFT(C895,SEARCH("(",C895)-1),C895),Tipos!$A:$B,2,FALSE()),"outro"))</f>
        <v/>
      </c>
      <c r="K895" s="7" t="str">
        <f aca="false">IF(I895="","",IFERROR(INDEX('Campos Growths'!$L:$L,MATCH(H895,'Campos Growths'!$A:$A,0)),""))</f>
        <v/>
      </c>
      <c r="L895" s="7" t="str">
        <f aca="false">IF(A895="","",IF(G895="não","Sem tabela no Growths",IF(I895="","Sem campo no Growths",IF(J895=K895,"Importa direto","Ajustar tipo"))))</f>
        <v/>
      </c>
      <c r="M895" s="9"/>
    </row>
    <row r="896" customFormat="false" ht="15" hidden="false" customHeight="false" outlineLevel="0" collapsed="false">
      <c r="A896" s="7" t="str">
        <f aca="false">IF('Outro banco'!A896="","",IF(LEFT('Outro banco'!A896,1)="(","",'Outro banco'!A896))</f>
        <v/>
      </c>
      <c r="B896" s="7" t="str">
        <f aca="false">IF(A896="","",'Outro banco'!B896)</f>
        <v/>
      </c>
      <c r="C896" s="7" t="str">
        <f aca="false">IF(A896="","",'Outro banco'!C896)</f>
        <v/>
      </c>
      <c r="D896" s="7" t="str">
        <f aca="false">IF(A896="","",'Outro banco'!D896)</f>
        <v/>
      </c>
      <c r="E896" s="9"/>
      <c r="F896" s="9"/>
      <c r="G896" s="7" t="str">
        <f aca="false">IF(A896="","",IF(COUNTIF(Tabelas!$A:$A,IF(E896="",A896,E896))&gt;0,"sim","não"))</f>
        <v/>
      </c>
      <c r="H896" s="7" t="str">
        <f aca="false">IF(A896="","",IF(E896="",A896,E896)&amp;"."&amp;IF(F896="",B896,F896))</f>
        <v/>
      </c>
      <c r="I896" s="7" t="str">
        <f aca="false">IF(A896="","",IFERROR(INDEX('Campos Growths'!$F:$F,MATCH(H896,'Campos Growths'!$A:$A,0)),""))</f>
        <v/>
      </c>
      <c r="J896" s="7" t="str">
        <f aca="false">IF(A896="","",IFERROR(VLOOKUP(IF(ISNUMBER(SEARCH("(",C896)),LEFT(C896,SEARCH("(",C896)-1),C896),Tipos!$A:$B,2,FALSE()),"outro"))</f>
        <v/>
      </c>
      <c r="K896" s="7" t="str">
        <f aca="false">IF(I896="","",IFERROR(INDEX('Campos Growths'!$L:$L,MATCH(H896,'Campos Growths'!$A:$A,0)),""))</f>
        <v/>
      </c>
      <c r="L896" s="7" t="str">
        <f aca="false">IF(A896="","",IF(G896="não","Sem tabela no Growths",IF(I896="","Sem campo no Growths",IF(J896=K896,"Importa direto","Ajustar tipo"))))</f>
        <v/>
      </c>
      <c r="M896" s="9"/>
    </row>
    <row r="897" customFormat="false" ht="15" hidden="false" customHeight="false" outlineLevel="0" collapsed="false">
      <c r="A897" s="7" t="str">
        <f aca="false">IF('Outro banco'!A897="","",IF(LEFT('Outro banco'!A897,1)="(","",'Outro banco'!A897))</f>
        <v/>
      </c>
      <c r="B897" s="7" t="str">
        <f aca="false">IF(A897="","",'Outro banco'!B897)</f>
        <v/>
      </c>
      <c r="C897" s="7" t="str">
        <f aca="false">IF(A897="","",'Outro banco'!C897)</f>
        <v/>
      </c>
      <c r="D897" s="7" t="str">
        <f aca="false">IF(A897="","",'Outro banco'!D897)</f>
        <v/>
      </c>
      <c r="E897" s="9"/>
      <c r="F897" s="9"/>
      <c r="G897" s="7" t="str">
        <f aca="false">IF(A897="","",IF(COUNTIF(Tabelas!$A:$A,IF(E897="",A897,E897))&gt;0,"sim","não"))</f>
        <v/>
      </c>
      <c r="H897" s="7" t="str">
        <f aca="false">IF(A897="","",IF(E897="",A897,E897)&amp;"."&amp;IF(F897="",B897,F897))</f>
        <v/>
      </c>
      <c r="I897" s="7" t="str">
        <f aca="false">IF(A897="","",IFERROR(INDEX('Campos Growths'!$F:$F,MATCH(H897,'Campos Growths'!$A:$A,0)),""))</f>
        <v/>
      </c>
      <c r="J897" s="7" t="str">
        <f aca="false">IF(A897="","",IFERROR(VLOOKUP(IF(ISNUMBER(SEARCH("(",C897)),LEFT(C897,SEARCH("(",C897)-1),C897),Tipos!$A:$B,2,FALSE()),"outro"))</f>
        <v/>
      </c>
      <c r="K897" s="7" t="str">
        <f aca="false">IF(I897="","",IFERROR(INDEX('Campos Growths'!$L:$L,MATCH(H897,'Campos Growths'!$A:$A,0)),""))</f>
        <v/>
      </c>
      <c r="L897" s="7" t="str">
        <f aca="false">IF(A897="","",IF(G897="não","Sem tabela no Growths",IF(I897="","Sem campo no Growths",IF(J897=K897,"Importa direto","Ajustar tipo"))))</f>
        <v/>
      </c>
      <c r="M897" s="9"/>
    </row>
    <row r="898" customFormat="false" ht="15" hidden="false" customHeight="false" outlineLevel="0" collapsed="false">
      <c r="A898" s="7" t="str">
        <f aca="false">IF('Outro banco'!A898="","",IF(LEFT('Outro banco'!A898,1)="(","",'Outro banco'!A898))</f>
        <v/>
      </c>
      <c r="B898" s="7" t="str">
        <f aca="false">IF(A898="","",'Outro banco'!B898)</f>
        <v/>
      </c>
      <c r="C898" s="7" t="str">
        <f aca="false">IF(A898="","",'Outro banco'!C898)</f>
        <v/>
      </c>
      <c r="D898" s="7" t="str">
        <f aca="false">IF(A898="","",'Outro banco'!D898)</f>
        <v/>
      </c>
      <c r="E898" s="9"/>
      <c r="F898" s="9"/>
      <c r="G898" s="7" t="str">
        <f aca="false">IF(A898="","",IF(COUNTIF(Tabelas!$A:$A,IF(E898="",A898,E898))&gt;0,"sim","não"))</f>
        <v/>
      </c>
      <c r="H898" s="7" t="str">
        <f aca="false">IF(A898="","",IF(E898="",A898,E898)&amp;"."&amp;IF(F898="",B898,F898))</f>
        <v/>
      </c>
      <c r="I898" s="7" t="str">
        <f aca="false">IF(A898="","",IFERROR(INDEX('Campos Growths'!$F:$F,MATCH(H898,'Campos Growths'!$A:$A,0)),""))</f>
        <v/>
      </c>
      <c r="J898" s="7" t="str">
        <f aca="false">IF(A898="","",IFERROR(VLOOKUP(IF(ISNUMBER(SEARCH("(",C898)),LEFT(C898,SEARCH("(",C898)-1),C898),Tipos!$A:$B,2,FALSE()),"outro"))</f>
        <v/>
      </c>
      <c r="K898" s="7" t="str">
        <f aca="false">IF(I898="","",IFERROR(INDEX('Campos Growths'!$L:$L,MATCH(H898,'Campos Growths'!$A:$A,0)),""))</f>
        <v/>
      </c>
      <c r="L898" s="7" t="str">
        <f aca="false">IF(A898="","",IF(G898="não","Sem tabela no Growths",IF(I898="","Sem campo no Growths",IF(J898=K898,"Importa direto","Ajustar tipo"))))</f>
        <v/>
      </c>
      <c r="M898" s="9"/>
    </row>
    <row r="899" customFormat="false" ht="15" hidden="false" customHeight="false" outlineLevel="0" collapsed="false">
      <c r="A899" s="7" t="str">
        <f aca="false">IF('Outro banco'!A899="","",IF(LEFT('Outro banco'!A899,1)="(","",'Outro banco'!A899))</f>
        <v/>
      </c>
      <c r="B899" s="7" t="str">
        <f aca="false">IF(A899="","",'Outro banco'!B899)</f>
        <v/>
      </c>
      <c r="C899" s="7" t="str">
        <f aca="false">IF(A899="","",'Outro banco'!C899)</f>
        <v/>
      </c>
      <c r="D899" s="7" t="str">
        <f aca="false">IF(A899="","",'Outro banco'!D899)</f>
        <v/>
      </c>
      <c r="E899" s="9"/>
      <c r="F899" s="9"/>
      <c r="G899" s="7" t="str">
        <f aca="false">IF(A899="","",IF(COUNTIF(Tabelas!$A:$A,IF(E899="",A899,E899))&gt;0,"sim","não"))</f>
        <v/>
      </c>
      <c r="H899" s="7" t="str">
        <f aca="false">IF(A899="","",IF(E899="",A899,E899)&amp;"."&amp;IF(F899="",B899,F899))</f>
        <v/>
      </c>
      <c r="I899" s="7" t="str">
        <f aca="false">IF(A899="","",IFERROR(INDEX('Campos Growths'!$F:$F,MATCH(H899,'Campos Growths'!$A:$A,0)),""))</f>
        <v/>
      </c>
      <c r="J899" s="7" t="str">
        <f aca="false">IF(A899="","",IFERROR(VLOOKUP(IF(ISNUMBER(SEARCH("(",C899)),LEFT(C899,SEARCH("(",C899)-1),C899),Tipos!$A:$B,2,FALSE()),"outro"))</f>
        <v/>
      </c>
      <c r="K899" s="7" t="str">
        <f aca="false">IF(I899="","",IFERROR(INDEX('Campos Growths'!$L:$L,MATCH(H899,'Campos Growths'!$A:$A,0)),""))</f>
        <v/>
      </c>
      <c r="L899" s="7" t="str">
        <f aca="false">IF(A899="","",IF(G899="não","Sem tabela no Growths",IF(I899="","Sem campo no Growths",IF(J899=K899,"Importa direto","Ajustar tipo"))))</f>
        <v/>
      </c>
      <c r="M899" s="9"/>
    </row>
    <row r="900" customFormat="false" ht="15" hidden="false" customHeight="false" outlineLevel="0" collapsed="false">
      <c r="A900" s="7" t="str">
        <f aca="false">IF('Outro banco'!A900="","",IF(LEFT('Outro banco'!A900,1)="(","",'Outro banco'!A900))</f>
        <v/>
      </c>
      <c r="B900" s="7" t="str">
        <f aca="false">IF(A900="","",'Outro banco'!B900)</f>
        <v/>
      </c>
      <c r="C900" s="7" t="str">
        <f aca="false">IF(A900="","",'Outro banco'!C900)</f>
        <v/>
      </c>
      <c r="D900" s="7" t="str">
        <f aca="false">IF(A900="","",'Outro banco'!D900)</f>
        <v/>
      </c>
      <c r="E900" s="9"/>
      <c r="F900" s="9"/>
      <c r="G900" s="7" t="str">
        <f aca="false">IF(A900="","",IF(COUNTIF(Tabelas!$A:$A,IF(E900="",A900,E900))&gt;0,"sim","não"))</f>
        <v/>
      </c>
      <c r="H900" s="7" t="str">
        <f aca="false">IF(A900="","",IF(E900="",A900,E900)&amp;"."&amp;IF(F900="",B900,F900))</f>
        <v/>
      </c>
      <c r="I900" s="7" t="str">
        <f aca="false">IF(A900="","",IFERROR(INDEX('Campos Growths'!$F:$F,MATCH(H900,'Campos Growths'!$A:$A,0)),""))</f>
        <v/>
      </c>
      <c r="J900" s="7" t="str">
        <f aca="false">IF(A900="","",IFERROR(VLOOKUP(IF(ISNUMBER(SEARCH("(",C900)),LEFT(C900,SEARCH("(",C900)-1),C900),Tipos!$A:$B,2,FALSE()),"outro"))</f>
        <v/>
      </c>
      <c r="K900" s="7" t="str">
        <f aca="false">IF(I900="","",IFERROR(INDEX('Campos Growths'!$L:$L,MATCH(H900,'Campos Growths'!$A:$A,0)),""))</f>
        <v/>
      </c>
      <c r="L900" s="7" t="str">
        <f aca="false">IF(A900="","",IF(G900="não","Sem tabela no Growths",IF(I900="","Sem campo no Growths",IF(J900=K900,"Importa direto","Ajustar tipo"))))</f>
        <v/>
      </c>
      <c r="M900" s="9"/>
    </row>
    <row r="901" customFormat="false" ht="15" hidden="false" customHeight="false" outlineLevel="0" collapsed="false">
      <c r="A901" s="7" t="str">
        <f aca="false">IF('Outro banco'!A901="","",IF(LEFT('Outro banco'!A901,1)="(","",'Outro banco'!A901))</f>
        <v/>
      </c>
      <c r="B901" s="7" t="str">
        <f aca="false">IF(A901="","",'Outro banco'!B901)</f>
        <v/>
      </c>
      <c r="C901" s="7" t="str">
        <f aca="false">IF(A901="","",'Outro banco'!C901)</f>
        <v/>
      </c>
      <c r="D901" s="7" t="str">
        <f aca="false">IF(A901="","",'Outro banco'!D901)</f>
        <v/>
      </c>
      <c r="E901" s="9"/>
      <c r="F901" s="9"/>
      <c r="G901" s="7" t="str">
        <f aca="false">IF(A901="","",IF(COUNTIF(Tabelas!$A:$A,IF(E901="",A901,E901))&gt;0,"sim","não"))</f>
        <v/>
      </c>
      <c r="H901" s="7" t="str">
        <f aca="false">IF(A901="","",IF(E901="",A901,E901)&amp;"."&amp;IF(F901="",B901,F901))</f>
        <v/>
      </c>
      <c r="I901" s="7" t="str">
        <f aca="false">IF(A901="","",IFERROR(INDEX('Campos Growths'!$F:$F,MATCH(H901,'Campos Growths'!$A:$A,0)),""))</f>
        <v/>
      </c>
      <c r="J901" s="7" t="str">
        <f aca="false">IF(A901="","",IFERROR(VLOOKUP(IF(ISNUMBER(SEARCH("(",C901)),LEFT(C901,SEARCH("(",C901)-1),C901),Tipos!$A:$B,2,FALSE()),"outro"))</f>
        <v/>
      </c>
      <c r="K901" s="7" t="str">
        <f aca="false">IF(I901="","",IFERROR(INDEX('Campos Growths'!$L:$L,MATCH(H901,'Campos Growths'!$A:$A,0)),""))</f>
        <v/>
      </c>
      <c r="L901" s="7" t="str">
        <f aca="false">IF(A901="","",IF(G901="não","Sem tabela no Growths",IF(I901="","Sem campo no Growths",IF(J901=K901,"Importa direto","Ajustar tipo"))))</f>
        <v/>
      </c>
      <c r="M901" s="9"/>
    </row>
    <row r="902" customFormat="false" ht="15" hidden="false" customHeight="false" outlineLevel="0" collapsed="false">
      <c r="A902" s="7" t="str">
        <f aca="false">IF('Outro banco'!A902="","",IF(LEFT('Outro banco'!A902,1)="(","",'Outro banco'!A902))</f>
        <v/>
      </c>
      <c r="B902" s="7" t="str">
        <f aca="false">IF(A902="","",'Outro banco'!B902)</f>
        <v/>
      </c>
      <c r="C902" s="7" t="str">
        <f aca="false">IF(A902="","",'Outro banco'!C902)</f>
        <v/>
      </c>
      <c r="D902" s="7" t="str">
        <f aca="false">IF(A902="","",'Outro banco'!D902)</f>
        <v/>
      </c>
      <c r="E902" s="9"/>
      <c r="F902" s="9"/>
      <c r="G902" s="7" t="str">
        <f aca="false">IF(A902="","",IF(COUNTIF(Tabelas!$A:$A,IF(E902="",A902,E902))&gt;0,"sim","não"))</f>
        <v/>
      </c>
      <c r="H902" s="7" t="str">
        <f aca="false">IF(A902="","",IF(E902="",A902,E902)&amp;"."&amp;IF(F902="",B902,F902))</f>
        <v/>
      </c>
      <c r="I902" s="7" t="str">
        <f aca="false">IF(A902="","",IFERROR(INDEX('Campos Growths'!$F:$F,MATCH(H902,'Campos Growths'!$A:$A,0)),""))</f>
        <v/>
      </c>
      <c r="J902" s="7" t="str">
        <f aca="false">IF(A902="","",IFERROR(VLOOKUP(IF(ISNUMBER(SEARCH("(",C902)),LEFT(C902,SEARCH("(",C902)-1),C902),Tipos!$A:$B,2,FALSE()),"outro"))</f>
        <v/>
      </c>
      <c r="K902" s="7" t="str">
        <f aca="false">IF(I902="","",IFERROR(INDEX('Campos Growths'!$L:$L,MATCH(H902,'Campos Growths'!$A:$A,0)),""))</f>
        <v/>
      </c>
      <c r="L902" s="7" t="str">
        <f aca="false">IF(A902="","",IF(G902="não","Sem tabela no Growths",IF(I902="","Sem campo no Growths",IF(J902=K902,"Importa direto","Ajustar tipo"))))</f>
        <v/>
      </c>
      <c r="M902" s="9"/>
    </row>
    <row r="903" customFormat="false" ht="15" hidden="false" customHeight="false" outlineLevel="0" collapsed="false">
      <c r="A903" s="7" t="str">
        <f aca="false">IF('Outro banco'!A903="","",IF(LEFT('Outro banco'!A903,1)="(","",'Outro banco'!A903))</f>
        <v/>
      </c>
      <c r="B903" s="7" t="str">
        <f aca="false">IF(A903="","",'Outro banco'!B903)</f>
        <v/>
      </c>
      <c r="C903" s="7" t="str">
        <f aca="false">IF(A903="","",'Outro banco'!C903)</f>
        <v/>
      </c>
      <c r="D903" s="7" t="str">
        <f aca="false">IF(A903="","",'Outro banco'!D903)</f>
        <v/>
      </c>
      <c r="E903" s="9"/>
      <c r="F903" s="9"/>
      <c r="G903" s="7" t="str">
        <f aca="false">IF(A903="","",IF(COUNTIF(Tabelas!$A:$A,IF(E903="",A903,E903))&gt;0,"sim","não"))</f>
        <v/>
      </c>
      <c r="H903" s="7" t="str">
        <f aca="false">IF(A903="","",IF(E903="",A903,E903)&amp;"."&amp;IF(F903="",B903,F903))</f>
        <v/>
      </c>
      <c r="I903" s="7" t="str">
        <f aca="false">IF(A903="","",IFERROR(INDEX('Campos Growths'!$F:$F,MATCH(H903,'Campos Growths'!$A:$A,0)),""))</f>
        <v/>
      </c>
      <c r="J903" s="7" t="str">
        <f aca="false">IF(A903="","",IFERROR(VLOOKUP(IF(ISNUMBER(SEARCH("(",C903)),LEFT(C903,SEARCH("(",C903)-1),C903),Tipos!$A:$B,2,FALSE()),"outro"))</f>
        <v/>
      </c>
      <c r="K903" s="7" t="str">
        <f aca="false">IF(I903="","",IFERROR(INDEX('Campos Growths'!$L:$L,MATCH(H903,'Campos Growths'!$A:$A,0)),""))</f>
        <v/>
      </c>
      <c r="L903" s="7" t="str">
        <f aca="false">IF(A903="","",IF(G903="não","Sem tabela no Growths",IF(I903="","Sem campo no Growths",IF(J903=K903,"Importa direto","Ajustar tipo"))))</f>
        <v/>
      </c>
      <c r="M903" s="9"/>
    </row>
    <row r="904" customFormat="false" ht="15" hidden="false" customHeight="false" outlineLevel="0" collapsed="false">
      <c r="A904" s="7" t="str">
        <f aca="false">IF('Outro banco'!A904="","",IF(LEFT('Outro banco'!A904,1)="(","",'Outro banco'!A904))</f>
        <v/>
      </c>
      <c r="B904" s="7" t="str">
        <f aca="false">IF(A904="","",'Outro banco'!B904)</f>
        <v/>
      </c>
      <c r="C904" s="7" t="str">
        <f aca="false">IF(A904="","",'Outro banco'!C904)</f>
        <v/>
      </c>
      <c r="D904" s="7" t="str">
        <f aca="false">IF(A904="","",'Outro banco'!D904)</f>
        <v/>
      </c>
      <c r="E904" s="9"/>
      <c r="F904" s="9"/>
      <c r="G904" s="7" t="str">
        <f aca="false">IF(A904="","",IF(COUNTIF(Tabelas!$A:$A,IF(E904="",A904,E904))&gt;0,"sim","não"))</f>
        <v/>
      </c>
      <c r="H904" s="7" t="str">
        <f aca="false">IF(A904="","",IF(E904="",A904,E904)&amp;"."&amp;IF(F904="",B904,F904))</f>
        <v/>
      </c>
      <c r="I904" s="7" t="str">
        <f aca="false">IF(A904="","",IFERROR(INDEX('Campos Growths'!$F:$F,MATCH(H904,'Campos Growths'!$A:$A,0)),""))</f>
        <v/>
      </c>
      <c r="J904" s="7" t="str">
        <f aca="false">IF(A904="","",IFERROR(VLOOKUP(IF(ISNUMBER(SEARCH("(",C904)),LEFT(C904,SEARCH("(",C904)-1),C904),Tipos!$A:$B,2,FALSE()),"outro"))</f>
        <v/>
      </c>
      <c r="K904" s="7" t="str">
        <f aca="false">IF(I904="","",IFERROR(INDEX('Campos Growths'!$L:$L,MATCH(H904,'Campos Growths'!$A:$A,0)),""))</f>
        <v/>
      </c>
      <c r="L904" s="7" t="str">
        <f aca="false">IF(A904="","",IF(G904="não","Sem tabela no Growths",IF(I904="","Sem campo no Growths",IF(J904=K904,"Importa direto","Ajustar tipo"))))</f>
        <v/>
      </c>
      <c r="M904" s="9"/>
    </row>
    <row r="905" customFormat="false" ht="15" hidden="false" customHeight="false" outlineLevel="0" collapsed="false">
      <c r="A905" s="7" t="str">
        <f aca="false">IF('Outro banco'!A905="","",IF(LEFT('Outro banco'!A905,1)="(","",'Outro banco'!A905))</f>
        <v/>
      </c>
      <c r="B905" s="7" t="str">
        <f aca="false">IF(A905="","",'Outro banco'!B905)</f>
        <v/>
      </c>
      <c r="C905" s="7" t="str">
        <f aca="false">IF(A905="","",'Outro banco'!C905)</f>
        <v/>
      </c>
      <c r="D905" s="7" t="str">
        <f aca="false">IF(A905="","",'Outro banco'!D905)</f>
        <v/>
      </c>
      <c r="E905" s="9"/>
      <c r="F905" s="9"/>
      <c r="G905" s="7" t="str">
        <f aca="false">IF(A905="","",IF(COUNTIF(Tabelas!$A:$A,IF(E905="",A905,E905))&gt;0,"sim","não"))</f>
        <v/>
      </c>
      <c r="H905" s="7" t="str">
        <f aca="false">IF(A905="","",IF(E905="",A905,E905)&amp;"."&amp;IF(F905="",B905,F905))</f>
        <v/>
      </c>
      <c r="I905" s="7" t="str">
        <f aca="false">IF(A905="","",IFERROR(INDEX('Campos Growths'!$F:$F,MATCH(H905,'Campos Growths'!$A:$A,0)),""))</f>
        <v/>
      </c>
      <c r="J905" s="7" t="str">
        <f aca="false">IF(A905="","",IFERROR(VLOOKUP(IF(ISNUMBER(SEARCH("(",C905)),LEFT(C905,SEARCH("(",C905)-1),C905),Tipos!$A:$B,2,FALSE()),"outro"))</f>
        <v/>
      </c>
      <c r="K905" s="7" t="str">
        <f aca="false">IF(I905="","",IFERROR(INDEX('Campos Growths'!$L:$L,MATCH(H905,'Campos Growths'!$A:$A,0)),""))</f>
        <v/>
      </c>
      <c r="L905" s="7" t="str">
        <f aca="false">IF(A905="","",IF(G905="não","Sem tabela no Growths",IF(I905="","Sem campo no Growths",IF(J905=K905,"Importa direto","Ajustar tipo"))))</f>
        <v/>
      </c>
      <c r="M905" s="9"/>
    </row>
    <row r="906" customFormat="false" ht="15" hidden="false" customHeight="false" outlineLevel="0" collapsed="false">
      <c r="A906" s="7" t="str">
        <f aca="false">IF('Outro banco'!A906="","",IF(LEFT('Outro banco'!A906,1)="(","",'Outro banco'!A906))</f>
        <v/>
      </c>
      <c r="B906" s="7" t="str">
        <f aca="false">IF(A906="","",'Outro banco'!B906)</f>
        <v/>
      </c>
      <c r="C906" s="7" t="str">
        <f aca="false">IF(A906="","",'Outro banco'!C906)</f>
        <v/>
      </c>
      <c r="D906" s="7" t="str">
        <f aca="false">IF(A906="","",'Outro banco'!D906)</f>
        <v/>
      </c>
      <c r="E906" s="9"/>
      <c r="F906" s="9"/>
      <c r="G906" s="7" t="str">
        <f aca="false">IF(A906="","",IF(COUNTIF(Tabelas!$A:$A,IF(E906="",A906,E906))&gt;0,"sim","não"))</f>
        <v/>
      </c>
      <c r="H906" s="7" t="str">
        <f aca="false">IF(A906="","",IF(E906="",A906,E906)&amp;"."&amp;IF(F906="",B906,F906))</f>
        <v/>
      </c>
      <c r="I906" s="7" t="str">
        <f aca="false">IF(A906="","",IFERROR(INDEX('Campos Growths'!$F:$F,MATCH(H906,'Campos Growths'!$A:$A,0)),""))</f>
        <v/>
      </c>
      <c r="J906" s="7" t="str">
        <f aca="false">IF(A906="","",IFERROR(VLOOKUP(IF(ISNUMBER(SEARCH("(",C906)),LEFT(C906,SEARCH("(",C906)-1),C906),Tipos!$A:$B,2,FALSE()),"outro"))</f>
        <v/>
      </c>
      <c r="K906" s="7" t="str">
        <f aca="false">IF(I906="","",IFERROR(INDEX('Campos Growths'!$L:$L,MATCH(H906,'Campos Growths'!$A:$A,0)),""))</f>
        <v/>
      </c>
      <c r="L906" s="7" t="str">
        <f aca="false">IF(A906="","",IF(G906="não","Sem tabela no Growths",IF(I906="","Sem campo no Growths",IF(J906=K906,"Importa direto","Ajustar tipo"))))</f>
        <v/>
      </c>
      <c r="M906" s="9"/>
    </row>
    <row r="907" customFormat="false" ht="15" hidden="false" customHeight="false" outlineLevel="0" collapsed="false">
      <c r="A907" s="7" t="str">
        <f aca="false">IF('Outro banco'!A907="","",IF(LEFT('Outro banco'!A907,1)="(","",'Outro banco'!A907))</f>
        <v/>
      </c>
      <c r="B907" s="7" t="str">
        <f aca="false">IF(A907="","",'Outro banco'!B907)</f>
        <v/>
      </c>
      <c r="C907" s="7" t="str">
        <f aca="false">IF(A907="","",'Outro banco'!C907)</f>
        <v/>
      </c>
      <c r="D907" s="7" t="str">
        <f aca="false">IF(A907="","",'Outro banco'!D907)</f>
        <v/>
      </c>
      <c r="E907" s="9"/>
      <c r="F907" s="9"/>
      <c r="G907" s="7" t="str">
        <f aca="false">IF(A907="","",IF(COUNTIF(Tabelas!$A:$A,IF(E907="",A907,E907))&gt;0,"sim","não"))</f>
        <v/>
      </c>
      <c r="H907" s="7" t="str">
        <f aca="false">IF(A907="","",IF(E907="",A907,E907)&amp;"."&amp;IF(F907="",B907,F907))</f>
        <v/>
      </c>
      <c r="I907" s="7" t="str">
        <f aca="false">IF(A907="","",IFERROR(INDEX('Campos Growths'!$F:$F,MATCH(H907,'Campos Growths'!$A:$A,0)),""))</f>
        <v/>
      </c>
      <c r="J907" s="7" t="str">
        <f aca="false">IF(A907="","",IFERROR(VLOOKUP(IF(ISNUMBER(SEARCH("(",C907)),LEFT(C907,SEARCH("(",C907)-1),C907),Tipos!$A:$B,2,FALSE()),"outro"))</f>
        <v/>
      </c>
      <c r="K907" s="7" t="str">
        <f aca="false">IF(I907="","",IFERROR(INDEX('Campos Growths'!$L:$L,MATCH(H907,'Campos Growths'!$A:$A,0)),""))</f>
        <v/>
      </c>
      <c r="L907" s="7" t="str">
        <f aca="false">IF(A907="","",IF(G907="não","Sem tabela no Growths",IF(I907="","Sem campo no Growths",IF(J907=K907,"Importa direto","Ajustar tipo"))))</f>
        <v/>
      </c>
      <c r="M907" s="9"/>
    </row>
    <row r="908" customFormat="false" ht="15" hidden="false" customHeight="false" outlineLevel="0" collapsed="false">
      <c r="A908" s="7" t="str">
        <f aca="false">IF('Outro banco'!A908="","",IF(LEFT('Outro banco'!A908,1)="(","",'Outro banco'!A908))</f>
        <v/>
      </c>
      <c r="B908" s="7" t="str">
        <f aca="false">IF(A908="","",'Outro banco'!B908)</f>
        <v/>
      </c>
      <c r="C908" s="7" t="str">
        <f aca="false">IF(A908="","",'Outro banco'!C908)</f>
        <v/>
      </c>
      <c r="D908" s="7" t="str">
        <f aca="false">IF(A908="","",'Outro banco'!D908)</f>
        <v/>
      </c>
      <c r="E908" s="9"/>
      <c r="F908" s="9"/>
      <c r="G908" s="7" t="str">
        <f aca="false">IF(A908="","",IF(COUNTIF(Tabelas!$A:$A,IF(E908="",A908,E908))&gt;0,"sim","não"))</f>
        <v/>
      </c>
      <c r="H908" s="7" t="str">
        <f aca="false">IF(A908="","",IF(E908="",A908,E908)&amp;"."&amp;IF(F908="",B908,F908))</f>
        <v/>
      </c>
      <c r="I908" s="7" t="str">
        <f aca="false">IF(A908="","",IFERROR(INDEX('Campos Growths'!$F:$F,MATCH(H908,'Campos Growths'!$A:$A,0)),""))</f>
        <v/>
      </c>
      <c r="J908" s="7" t="str">
        <f aca="false">IF(A908="","",IFERROR(VLOOKUP(IF(ISNUMBER(SEARCH("(",C908)),LEFT(C908,SEARCH("(",C908)-1),C908),Tipos!$A:$B,2,FALSE()),"outro"))</f>
        <v/>
      </c>
      <c r="K908" s="7" t="str">
        <f aca="false">IF(I908="","",IFERROR(INDEX('Campos Growths'!$L:$L,MATCH(H908,'Campos Growths'!$A:$A,0)),""))</f>
        <v/>
      </c>
      <c r="L908" s="7" t="str">
        <f aca="false">IF(A908="","",IF(G908="não","Sem tabela no Growths",IF(I908="","Sem campo no Growths",IF(J908=K908,"Importa direto","Ajustar tipo"))))</f>
        <v/>
      </c>
      <c r="M908" s="9"/>
    </row>
    <row r="909" customFormat="false" ht="15" hidden="false" customHeight="false" outlineLevel="0" collapsed="false">
      <c r="A909" s="7" t="str">
        <f aca="false">IF('Outro banco'!A909="","",IF(LEFT('Outro banco'!A909,1)="(","",'Outro banco'!A909))</f>
        <v/>
      </c>
      <c r="B909" s="7" t="str">
        <f aca="false">IF(A909="","",'Outro banco'!B909)</f>
        <v/>
      </c>
      <c r="C909" s="7" t="str">
        <f aca="false">IF(A909="","",'Outro banco'!C909)</f>
        <v/>
      </c>
      <c r="D909" s="7" t="str">
        <f aca="false">IF(A909="","",'Outro banco'!D909)</f>
        <v/>
      </c>
      <c r="E909" s="9"/>
      <c r="F909" s="9"/>
      <c r="G909" s="7" t="str">
        <f aca="false">IF(A909="","",IF(COUNTIF(Tabelas!$A:$A,IF(E909="",A909,E909))&gt;0,"sim","não"))</f>
        <v/>
      </c>
      <c r="H909" s="7" t="str">
        <f aca="false">IF(A909="","",IF(E909="",A909,E909)&amp;"."&amp;IF(F909="",B909,F909))</f>
        <v/>
      </c>
      <c r="I909" s="7" t="str">
        <f aca="false">IF(A909="","",IFERROR(INDEX('Campos Growths'!$F:$F,MATCH(H909,'Campos Growths'!$A:$A,0)),""))</f>
        <v/>
      </c>
      <c r="J909" s="7" t="str">
        <f aca="false">IF(A909="","",IFERROR(VLOOKUP(IF(ISNUMBER(SEARCH("(",C909)),LEFT(C909,SEARCH("(",C909)-1),C909),Tipos!$A:$B,2,FALSE()),"outro"))</f>
        <v/>
      </c>
      <c r="K909" s="7" t="str">
        <f aca="false">IF(I909="","",IFERROR(INDEX('Campos Growths'!$L:$L,MATCH(H909,'Campos Growths'!$A:$A,0)),""))</f>
        <v/>
      </c>
      <c r="L909" s="7" t="str">
        <f aca="false">IF(A909="","",IF(G909="não","Sem tabela no Growths",IF(I909="","Sem campo no Growths",IF(J909=K909,"Importa direto","Ajustar tipo"))))</f>
        <v/>
      </c>
      <c r="M909" s="9"/>
    </row>
    <row r="910" customFormat="false" ht="15" hidden="false" customHeight="false" outlineLevel="0" collapsed="false">
      <c r="A910" s="7" t="str">
        <f aca="false">IF('Outro banco'!A910="","",IF(LEFT('Outro banco'!A910,1)="(","",'Outro banco'!A910))</f>
        <v/>
      </c>
      <c r="B910" s="7" t="str">
        <f aca="false">IF(A910="","",'Outro banco'!B910)</f>
        <v/>
      </c>
      <c r="C910" s="7" t="str">
        <f aca="false">IF(A910="","",'Outro banco'!C910)</f>
        <v/>
      </c>
      <c r="D910" s="7" t="str">
        <f aca="false">IF(A910="","",'Outro banco'!D910)</f>
        <v/>
      </c>
      <c r="E910" s="9"/>
      <c r="F910" s="9"/>
      <c r="G910" s="7" t="str">
        <f aca="false">IF(A910="","",IF(COUNTIF(Tabelas!$A:$A,IF(E910="",A910,E910))&gt;0,"sim","não"))</f>
        <v/>
      </c>
      <c r="H910" s="7" t="str">
        <f aca="false">IF(A910="","",IF(E910="",A910,E910)&amp;"."&amp;IF(F910="",B910,F910))</f>
        <v/>
      </c>
      <c r="I910" s="7" t="str">
        <f aca="false">IF(A910="","",IFERROR(INDEX('Campos Growths'!$F:$F,MATCH(H910,'Campos Growths'!$A:$A,0)),""))</f>
        <v/>
      </c>
      <c r="J910" s="7" t="str">
        <f aca="false">IF(A910="","",IFERROR(VLOOKUP(IF(ISNUMBER(SEARCH("(",C910)),LEFT(C910,SEARCH("(",C910)-1),C910),Tipos!$A:$B,2,FALSE()),"outro"))</f>
        <v/>
      </c>
      <c r="K910" s="7" t="str">
        <f aca="false">IF(I910="","",IFERROR(INDEX('Campos Growths'!$L:$L,MATCH(H910,'Campos Growths'!$A:$A,0)),""))</f>
        <v/>
      </c>
      <c r="L910" s="7" t="str">
        <f aca="false">IF(A910="","",IF(G910="não","Sem tabela no Growths",IF(I910="","Sem campo no Growths",IF(J910=K910,"Importa direto","Ajustar tipo"))))</f>
        <v/>
      </c>
      <c r="M910" s="9"/>
    </row>
    <row r="911" customFormat="false" ht="15" hidden="false" customHeight="false" outlineLevel="0" collapsed="false">
      <c r="A911" s="7" t="str">
        <f aca="false">IF('Outro banco'!A911="","",IF(LEFT('Outro banco'!A911,1)="(","",'Outro banco'!A911))</f>
        <v/>
      </c>
      <c r="B911" s="7" t="str">
        <f aca="false">IF(A911="","",'Outro banco'!B911)</f>
        <v/>
      </c>
      <c r="C911" s="7" t="str">
        <f aca="false">IF(A911="","",'Outro banco'!C911)</f>
        <v/>
      </c>
      <c r="D911" s="7" t="str">
        <f aca="false">IF(A911="","",'Outro banco'!D911)</f>
        <v/>
      </c>
      <c r="E911" s="9"/>
      <c r="F911" s="9"/>
      <c r="G911" s="7" t="str">
        <f aca="false">IF(A911="","",IF(COUNTIF(Tabelas!$A:$A,IF(E911="",A911,E911))&gt;0,"sim","não"))</f>
        <v/>
      </c>
      <c r="H911" s="7" t="str">
        <f aca="false">IF(A911="","",IF(E911="",A911,E911)&amp;"."&amp;IF(F911="",B911,F911))</f>
        <v/>
      </c>
      <c r="I911" s="7" t="str">
        <f aca="false">IF(A911="","",IFERROR(INDEX('Campos Growths'!$F:$F,MATCH(H911,'Campos Growths'!$A:$A,0)),""))</f>
        <v/>
      </c>
      <c r="J911" s="7" t="str">
        <f aca="false">IF(A911="","",IFERROR(VLOOKUP(IF(ISNUMBER(SEARCH("(",C911)),LEFT(C911,SEARCH("(",C911)-1),C911),Tipos!$A:$B,2,FALSE()),"outro"))</f>
        <v/>
      </c>
      <c r="K911" s="7" t="str">
        <f aca="false">IF(I911="","",IFERROR(INDEX('Campos Growths'!$L:$L,MATCH(H911,'Campos Growths'!$A:$A,0)),""))</f>
        <v/>
      </c>
      <c r="L911" s="7" t="str">
        <f aca="false">IF(A911="","",IF(G911="não","Sem tabela no Growths",IF(I911="","Sem campo no Growths",IF(J911=K911,"Importa direto","Ajustar tipo"))))</f>
        <v/>
      </c>
      <c r="M911" s="9"/>
    </row>
    <row r="912" customFormat="false" ht="15" hidden="false" customHeight="false" outlineLevel="0" collapsed="false">
      <c r="A912" s="7" t="str">
        <f aca="false">IF('Outro banco'!A912="","",IF(LEFT('Outro banco'!A912,1)="(","",'Outro banco'!A912))</f>
        <v/>
      </c>
      <c r="B912" s="7" t="str">
        <f aca="false">IF(A912="","",'Outro banco'!B912)</f>
        <v/>
      </c>
      <c r="C912" s="7" t="str">
        <f aca="false">IF(A912="","",'Outro banco'!C912)</f>
        <v/>
      </c>
      <c r="D912" s="7" t="str">
        <f aca="false">IF(A912="","",'Outro banco'!D912)</f>
        <v/>
      </c>
      <c r="E912" s="9"/>
      <c r="F912" s="9"/>
      <c r="G912" s="7" t="str">
        <f aca="false">IF(A912="","",IF(COUNTIF(Tabelas!$A:$A,IF(E912="",A912,E912))&gt;0,"sim","não"))</f>
        <v/>
      </c>
      <c r="H912" s="7" t="str">
        <f aca="false">IF(A912="","",IF(E912="",A912,E912)&amp;"."&amp;IF(F912="",B912,F912))</f>
        <v/>
      </c>
      <c r="I912" s="7" t="str">
        <f aca="false">IF(A912="","",IFERROR(INDEX('Campos Growths'!$F:$F,MATCH(H912,'Campos Growths'!$A:$A,0)),""))</f>
        <v/>
      </c>
      <c r="J912" s="7" t="str">
        <f aca="false">IF(A912="","",IFERROR(VLOOKUP(IF(ISNUMBER(SEARCH("(",C912)),LEFT(C912,SEARCH("(",C912)-1),C912),Tipos!$A:$B,2,FALSE()),"outro"))</f>
        <v/>
      </c>
      <c r="K912" s="7" t="str">
        <f aca="false">IF(I912="","",IFERROR(INDEX('Campos Growths'!$L:$L,MATCH(H912,'Campos Growths'!$A:$A,0)),""))</f>
        <v/>
      </c>
      <c r="L912" s="7" t="str">
        <f aca="false">IF(A912="","",IF(G912="não","Sem tabela no Growths",IF(I912="","Sem campo no Growths",IF(J912=K912,"Importa direto","Ajustar tipo"))))</f>
        <v/>
      </c>
      <c r="M912" s="9"/>
    </row>
    <row r="913" customFormat="false" ht="15" hidden="false" customHeight="false" outlineLevel="0" collapsed="false">
      <c r="A913" s="7" t="str">
        <f aca="false">IF('Outro banco'!A913="","",IF(LEFT('Outro banco'!A913,1)="(","",'Outro banco'!A913))</f>
        <v/>
      </c>
      <c r="B913" s="7" t="str">
        <f aca="false">IF(A913="","",'Outro banco'!B913)</f>
        <v/>
      </c>
      <c r="C913" s="7" t="str">
        <f aca="false">IF(A913="","",'Outro banco'!C913)</f>
        <v/>
      </c>
      <c r="D913" s="7" t="str">
        <f aca="false">IF(A913="","",'Outro banco'!D913)</f>
        <v/>
      </c>
      <c r="E913" s="9"/>
      <c r="F913" s="9"/>
      <c r="G913" s="7" t="str">
        <f aca="false">IF(A913="","",IF(COUNTIF(Tabelas!$A:$A,IF(E913="",A913,E913))&gt;0,"sim","não"))</f>
        <v/>
      </c>
      <c r="H913" s="7" t="str">
        <f aca="false">IF(A913="","",IF(E913="",A913,E913)&amp;"."&amp;IF(F913="",B913,F913))</f>
        <v/>
      </c>
      <c r="I913" s="7" t="str">
        <f aca="false">IF(A913="","",IFERROR(INDEX('Campos Growths'!$F:$F,MATCH(H913,'Campos Growths'!$A:$A,0)),""))</f>
        <v/>
      </c>
      <c r="J913" s="7" t="str">
        <f aca="false">IF(A913="","",IFERROR(VLOOKUP(IF(ISNUMBER(SEARCH("(",C913)),LEFT(C913,SEARCH("(",C913)-1),C913),Tipos!$A:$B,2,FALSE()),"outro"))</f>
        <v/>
      </c>
      <c r="K913" s="7" t="str">
        <f aca="false">IF(I913="","",IFERROR(INDEX('Campos Growths'!$L:$L,MATCH(H913,'Campos Growths'!$A:$A,0)),""))</f>
        <v/>
      </c>
      <c r="L913" s="7" t="str">
        <f aca="false">IF(A913="","",IF(G913="não","Sem tabela no Growths",IF(I913="","Sem campo no Growths",IF(J913=K913,"Importa direto","Ajustar tipo"))))</f>
        <v/>
      </c>
      <c r="M913" s="9"/>
    </row>
    <row r="914" customFormat="false" ht="15" hidden="false" customHeight="false" outlineLevel="0" collapsed="false">
      <c r="A914" s="7" t="str">
        <f aca="false">IF('Outro banco'!A914="","",IF(LEFT('Outro banco'!A914,1)="(","",'Outro banco'!A914))</f>
        <v/>
      </c>
      <c r="B914" s="7" t="str">
        <f aca="false">IF(A914="","",'Outro banco'!B914)</f>
        <v/>
      </c>
      <c r="C914" s="7" t="str">
        <f aca="false">IF(A914="","",'Outro banco'!C914)</f>
        <v/>
      </c>
      <c r="D914" s="7" t="str">
        <f aca="false">IF(A914="","",'Outro banco'!D914)</f>
        <v/>
      </c>
      <c r="E914" s="9"/>
      <c r="F914" s="9"/>
      <c r="G914" s="7" t="str">
        <f aca="false">IF(A914="","",IF(COUNTIF(Tabelas!$A:$A,IF(E914="",A914,E914))&gt;0,"sim","não"))</f>
        <v/>
      </c>
      <c r="H914" s="7" t="str">
        <f aca="false">IF(A914="","",IF(E914="",A914,E914)&amp;"."&amp;IF(F914="",B914,F914))</f>
        <v/>
      </c>
      <c r="I914" s="7" t="str">
        <f aca="false">IF(A914="","",IFERROR(INDEX('Campos Growths'!$F:$F,MATCH(H914,'Campos Growths'!$A:$A,0)),""))</f>
        <v/>
      </c>
      <c r="J914" s="7" t="str">
        <f aca="false">IF(A914="","",IFERROR(VLOOKUP(IF(ISNUMBER(SEARCH("(",C914)),LEFT(C914,SEARCH("(",C914)-1),C914),Tipos!$A:$B,2,FALSE()),"outro"))</f>
        <v/>
      </c>
      <c r="K914" s="7" t="str">
        <f aca="false">IF(I914="","",IFERROR(INDEX('Campos Growths'!$L:$L,MATCH(H914,'Campos Growths'!$A:$A,0)),""))</f>
        <v/>
      </c>
      <c r="L914" s="7" t="str">
        <f aca="false">IF(A914="","",IF(G914="não","Sem tabela no Growths",IF(I914="","Sem campo no Growths",IF(J914=K914,"Importa direto","Ajustar tipo"))))</f>
        <v/>
      </c>
      <c r="M914" s="9"/>
    </row>
    <row r="915" customFormat="false" ht="15" hidden="false" customHeight="false" outlineLevel="0" collapsed="false">
      <c r="A915" s="7" t="str">
        <f aca="false">IF('Outro banco'!A915="","",IF(LEFT('Outro banco'!A915,1)="(","",'Outro banco'!A915))</f>
        <v/>
      </c>
      <c r="B915" s="7" t="str">
        <f aca="false">IF(A915="","",'Outro banco'!B915)</f>
        <v/>
      </c>
      <c r="C915" s="7" t="str">
        <f aca="false">IF(A915="","",'Outro banco'!C915)</f>
        <v/>
      </c>
      <c r="D915" s="7" t="str">
        <f aca="false">IF(A915="","",'Outro banco'!D915)</f>
        <v/>
      </c>
      <c r="E915" s="9"/>
      <c r="F915" s="9"/>
      <c r="G915" s="7" t="str">
        <f aca="false">IF(A915="","",IF(COUNTIF(Tabelas!$A:$A,IF(E915="",A915,E915))&gt;0,"sim","não"))</f>
        <v/>
      </c>
      <c r="H915" s="7" t="str">
        <f aca="false">IF(A915="","",IF(E915="",A915,E915)&amp;"."&amp;IF(F915="",B915,F915))</f>
        <v/>
      </c>
      <c r="I915" s="7" t="str">
        <f aca="false">IF(A915="","",IFERROR(INDEX('Campos Growths'!$F:$F,MATCH(H915,'Campos Growths'!$A:$A,0)),""))</f>
        <v/>
      </c>
      <c r="J915" s="7" t="str">
        <f aca="false">IF(A915="","",IFERROR(VLOOKUP(IF(ISNUMBER(SEARCH("(",C915)),LEFT(C915,SEARCH("(",C915)-1),C915),Tipos!$A:$B,2,FALSE()),"outro"))</f>
        <v/>
      </c>
      <c r="K915" s="7" t="str">
        <f aca="false">IF(I915="","",IFERROR(INDEX('Campos Growths'!$L:$L,MATCH(H915,'Campos Growths'!$A:$A,0)),""))</f>
        <v/>
      </c>
      <c r="L915" s="7" t="str">
        <f aca="false">IF(A915="","",IF(G915="não","Sem tabela no Growths",IF(I915="","Sem campo no Growths",IF(J915=K915,"Importa direto","Ajustar tipo"))))</f>
        <v/>
      </c>
      <c r="M915" s="9"/>
    </row>
    <row r="916" customFormat="false" ht="15" hidden="false" customHeight="false" outlineLevel="0" collapsed="false">
      <c r="A916" s="7" t="str">
        <f aca="false">IF('Outro banco'!A916="","",IF(LEFT('Outro banco'!A916,1)="(","",'Outro banco'!A916))</f>
        <v/>
      </c>
      <c r="B916" s="7" t="str">
        <f aca="false">IF(A916="","",'Outro banco'!B916)</f>
        <v/>
      </c>
      <c r="C916" s="7" t="str">
        <f aca="false">IF(A916="","",'Outro banco'!C916)</f>
        <v/>
      </c>
      <c r="D916" s="7" t="str">
        <f aca="false">IF(A916="","",'Outro banco'!D916)</f>
        <v/>
      </c>
      <c r="E916" s="9"/>
      <c r="F916" s="9"/>
      <c r="G916" s="7" t="str">
        <f aca="false">IF(A916="","",IF(COUNTIF(Tabelas!$A:$A,IF(E916="",A916,E916))&gt;0,"sim","não"))</f>
        <v/>
      </c>
      <c r="H916" s="7" t="str">
        <f aca="false">IF(A916="","",IF(E916="",A916,E916)&amp;"."&amp;IF(F916="",B916,F916))</f>
        <v/>
      </c>
      <c r="I916" s="7" t="str">
        <f aca="false">IF(A916="","",IFERROR(INDEX('Campos Growths'!$F:$F,MATCH(H916,'Campos Growths'!$A:$A,0)),""))</f>
        <v/>
      </c>
      <c r="J916" s="7" t="str">
        <f aca="false">IF(A916="","",IFERROR(VLOOKUP(IF(ISNUMBER(SEARCH("(",C916)),LEFT(C916,SEARCH("(",C916)-1),C916),Tipos!$A:$B,2,FALSE()),"outro"))</f>
        <v/>
      </c>
      <c r="K916" s="7" t="str">
        <f aca="false">IF(I916="","",IFERROR(INDEX('Campos Growths'!$L:$L,MATCH(H916,'Campos Growths'!$A:$A,0)),""))</f>
        <v/>
      </c>
      <c r="L916" s="7" t="str">
        <f aca="false">IF(A916="","",IF(G916="não","Sem tabela no Growths",IF(I916="","Sem campo no Growths",IF(J916=K916,"Importa direto","Ajustar tipo"))))</f>
        <v/>
      </c>
      <c r="M916" s="9"/>
    </row>
    <row r="917" customFormat="false" ht="15" hidden="false" customHeight="false" outlineLevel="0" collapsed="false">
      <c r="A917" s="7" t="str">
        <f aca="false">IF('Outro banco'!A917="","",IF(LEFT('Outro banco'!A917,1)="(","",'Outro banco'!A917))</f>
        <v/>
      </c>
      <c r="B917" s="7" t="str">
        <f aca="false">IF(A917="","",'Outro banco'!B917)</f>
        <v/>
      </c>
      <c r="C917" s="7" t="str">
        <f aca="false">IF(A917="","",'Outro banco'!C917)</f>
        <v/>
      </c>
      <c r="D917" s="7" t="str">
        <f aca="false">IF(A917="","",'Outro banco'!D917)</f>
        <v/>
      </c>
      <c r="E917" s="9"/>
      <c r="F917" s="9"/>
      <c r="G917" s="7" t="str">
        <f aca="false">IF(A917="","",IF(COUNTIF(Tabelas!$A:$A,IF(E917="",A917,E917))&gt;0,"sim","não"))</f>
        <v/>
      </c>
      <c r="H917" s="7" t="str">
        <f aca="false">IF(A917="","",IF(E917="",A917,E917)&amp;"."&amp;IF(F917="",B917,F917))</f>
        <v/>
      </c>
      <c r="I917" s="7" t="str">
        <f aca="false">IF(A917="","",IFERROR(INDEX('Campos Growths'!$F:$F,MATCH(H917,'Campos Growths'!$A:$A,0)),""))</f>
        <v/>
      </c>
      <c r="J917" s="7" t="str">
        <f aca="false">IF(A917="","",IFERROR(VLOOKUP(IF(ISNUMBER(SEARCH("(",C917)),LEFT(C917,SEARCH("(",C917)-1),C917),Tipos!$A:$B,2,FALSE()),"outro"))</f>
        <v/>
      </c>
      <c r="K917" s="7" t="str">
        <f aca="false">IF(I917="","",IFERROR(INDEX('Campos Growths'!$L:$L,MATCH(H917,'Campos Growths'!$A:$A,0)),""))</f>
        <v/>
      </c>
      <c r="L917" s="7" t="str">
        <f aca="false">IF(A917="","",IF(G917="não","Sem tabela no Growths",IF(I917="","Sem campo no Growths",IF(J917=K917,"Importa direto","Ajustar tipo"))))</f>
        <v/>
      </c>
      <c r="M917" s="9"/>
    </row>
    <row r="918" customFormat="false" ht="15" hidden="false" customHeight="false" outlineLevel="0" collapsed="false">
      <c r="A918" s="7" t="str">
        <f aca="false">IF('Outro banco'!A918="","",IF(LEFT('Outro banco'!A918,1)="(","",'Outro banco'!A918))</f>
        <v/>
      </c>
      <c r="B918" s="7" t="str">
        <f aca="false">IF(A918="","",'Outro banco'!B918)</f>
        <v/>
      </c>
      <c r="C918" s="7" t="str">
        <f aca="false">IF(A918="","",'Outro banco'!C918)</f>
        <v/>
      </c>
      <c r="D918" s="7" t="str">
        <f aca="false">IF(A918="","",'Outro banco'!D918)</f>
        <v/>
      </c>
      <c r="E918" s="9"/>
      <c r="F918" s="9"/>
      <c r="G918" s="7" t="str">
        <f aca="false">IF(A918="","",IF(COUNTIF(Tabelas!$A:$A,IF(E918="",A918,E918))&gt;0,"sim","não"))</f>
        <v/>
      </c>
      <c r="H918" s="7" t="str">
        <f aca="false">IF(A918="","",IF(E918="",A918,E918)&amp;"."&amp;IF(F918="",B918,F918))</f>
        <v/>
      </c>
      <c r="I918" s="7" t="str">
        <f aca="false">IF(A918="","",IFERROR(INDEX('Campos Growths'!$F:$F,MATCH(H918,'Campos Growths'!$A:$A,0)),""))</f>
        <v/>
      </c>
      <c r="J918" s="7" t="str">
        <f aca="false">IF(A918="","",IFERROR(VLOOKUP(IF(ISNUMBER(SEARCH("(",C918)),LEFT(C918,SEARCH("(",C918)-1),C918),Tipos!$A:$B,2,FALSE()),"outro"))</f>
        <v/>
      </c>
      <c r="K918" s="7" t="str">
        <f aca="false">IF(I918="","",IFERROR(INDEX('Campos Growths'!$L:$L,MATCH(H918,'Campos Growths'!$A:$A,0)),""))</f>
        <v/>
      </c>
      <c r="L918" s="7" t="str">
        <f aca="false">IF(A918="","",IF(G918="não","Sem tabela no Growths",IF(I918="","Sem campo no Growths",IF(J918=K918,"Importa direto","Ajustar tipo"))))</f>
        <v/>
      </c>
      <c r="M918" s="9"/>
    </row>
    <row r="919" customFormat="false" ht="15" hidden="false" customHeight="false" outlineLevel="0" collapsed="false">
      <c r="A919" s="7" t="str">
        <f aca="false">IF('Outro banco'!A919="","",IF(LEFT('Outro banco'!A919,1)="(","",'Outro banco'!A919))</f>
        <v/>
      </c>
      <c r="B919" s="7" t="str">
        <f aca="false">IF(A919="","",'Outro banco'!B919)</f>
        <v/>
      </c>
      <c r="C919" s="7" t="str">
        <f aca="false">IF(A919="","",'Outro banco'!C919)</f>
        <v/>
      </c>
      <c r="D919" s="7" t="str">
        <f aca="false">IF(A919="","",'Outro banco'!D919)</f>
        <v/>
      </c>
      <c r="E919" s="9"/>
      <c r="F919" s="9"/>
      <c r="G919" s="7" t="str">
        <f aca="false">IF(A919="","",IF(COUNTIF(Tabelas!$A:$A,IF(E919="",A919,E919))&gt;0,"sim","não"))</f>
        <v/>
      </c>
      <c r="H919" s="7" t="str">
        <f aca="false">IF(A919="","",IF(E919="",A919,E919)&amp;"."&amp;IF(F919="",B919,F919))</f>
        <v/>
      </c>
      <c r="I919" s="7" t="str">
        <f aca="false">IF(A919="","",IFERROR(INDEX('Campos Growths'!$F:$F,MATCH(H919,'Campos Growths'!$A:$A,0)),""))</f>
        <v/>
      </c>
      <c r="J919" s="7" t="str">
        <f aca="false">IF(A919="","",IFERROR(VLOOKUP(IF(ISNUMBER(SEARCH("(",C919)),LEFT(C919,SEARCH("(",C919)-1),C919),Tipos!$A:$B,2,FALSE()),"outro"))</f>
        <v/>
      </c>
      <c r="K919" s="7" t="str">
        <f aca="false">IF(I919="","",IFERROR(INDEX('Campos Growths'!$L:$L,MATCH(H919,'Campos Growths'!$A:$A,0)),""))</f>
        <v/>
      </c>
      <c r="L919" s="7" t="str">
        <f aca="false">IF(A919="","",IF(G919="não","Sem tabela no Growths",IF(I919="","Sem campo no Growths",IF(J919=K919,"Importa direto","Ajustar tipo"))))</f>
        <v/>
      </c>
      <c r="M919" s="9"/>
    </row>
    <row r="920" customFormat="false" ht="15" hidden="false" customHeight="false" outlineLevel="0" collapsed="false">
      <c r="A920" s="7" t="str">
        <f aca="false">IF('Outro banco'!A920="","",IF(LEFT('Outro banco'!A920,1)="(","",'Outro banco'!A920))</f>
        <v/>
      </c>
      <c r="B920" s="7" t="str">
        <f aca="false">IF(A920="","",'Outro banco'!B920)</f>
        <v/>
      </c>
      <c r="C920" s="7" t="str">
        <f aca="false">IF(A920="","",'Outro banco'!C920)</f>
        <v/>
      </c>
      <c r="D920" s="7" t="str">
        <f aca="false">IF(A920="","",'Outro banco'!D920)</f>
        <v/>
      </c>
      <c r="E920" s="9"/>
      <c r="F920" s="9"/>
      <c r="G920" s="7" t="str">
        <f aca="false">IF(A920="","",IF(COUNTIF(Tabelas!$A:$A,IF(E920="",A920,E920))&gt;0,"sim","não"))</f>
        <v/>
      </c>
      <c r="H920" s="7" t="str">
        <f aca="false">IF(A920="","",IF(E920="",A920,E920)&amp;"."&amp;IF(F920="",B920,F920))</f>
        <v/>
      </c>
      <c r="I920" s="7" t="str">
        <f aca="false">IF(A920="","",IFERROR(INDEX('Campos Growths'!$F:$F,MATCH(H920,'Campos Growths'!$A:$A,0)),""))</f>
        <v/>
      </c>
      <c r="J920" s="7" t="str">
        <f aca="false">IF(A920="","",IFERROR(VLOOKUP(IF(ISNUMBER(SEARCH("(",C920)),LEFT(C920,SEARCH("(",C920)-1),C920),Tipos!$A:$B,2,FALSE()),"outro"))</f>
        <v/>
      </c>
      <c r="K920" s="7" t="str">
        <f aca="false">IF(I920="","",IFERROR(INDEX('Campos Growths'!$L:$L,MATCH(H920,'Campos Growths'!$A:$A,0)),""))</f>
        <v/>
      </c>
      <c r="L920" s="7" t="str">
        <f aca="false">IF(A920="","",IF(G920="não","Sem tabela no Growths",IF(I920="","Sem campo no Growths",IF(J920=K920,"Importa direto","Ajustar tipo"))))</f>
        <v/>
      </c>
      <c r="M920" s="9"/>
    </row>
    <row r="921" customFormat="false" ht="15" hidden="false" customHeight="false" outlineLevel="0" collapsed="false">
      <c r="A921" s="7" t="str">
        <f aca="false">IF('Outro banco'!A921="","",IF(LEFT('Outro banco'!A921,1)="(","",'Outro banco'!A921))</f>
        <v/>
      </c>
      <c r="B921" s="7" t="str">
        <f aca="false">IF(A921="","",'Outro banco'!B921)</f>
        <v/>
      </c>
      <c r="C921" s="7" t="str">
        <f aca="false">IF(A921="","",'Outro banco'!C921)</f>
        <v/>
      </c>
      <c r="D921" s="7" t="str">
        <f aca="false">IF(A921="","",'Outro banco'!D921)</f>
        <v/>
      </c>
      <c r="E921" s="9"/>
      <c r="F921" s="9"/>
      <c r="G921" s="7" t="str">
        <f aca="false">IF(A921="","",IF(COUNTIF(Tabelas!$A:$A,IF(E921="",A921,E921))&gt;0,"sim","não"))</f>
        <v/>
      </c>
      <c r="H921" s="7" t="str">
        <f aca="false">IF(A921="","",IF(E921="",A921,E921)&amp;"."&amp;IF(F921="",B921,F921))</f>
        <v/>
      </c>
      <c r="I921" s="7" t="str">
        <f aca="false">IF(A921="","",IFERROR(INDEX('Campos Growths'!$F:$F,MATCH(H921,'Campos Growths'!$A:$A,0)),""))</f>
        <v/>
      </c>
      <c r="J921" s="7" t="str">
        <f aca="false">IF(A921="","",IFERROR(VLOOKUP(IF(ISNUMBER(SEARCH("(",C921)),LEFT(C921,SEARCH("(",C921)-1),C921),Tipos!$A:$B,2,FALSE()),"outro"))</f>
        <v/>
      </c>
      <c r="K921" s="7" t="str">
        <f aca="false">IF(I921="","",IFERROR(INDEX('Campos Growths'!$L:$L,MATCH(H921,'Campos Growths'!$A:$A,0)),""))</f>
        <v/>
      </c>
      <c r="L921" s="7" t="str">
        <f aca="false">IF(A921="","",IF(G921="não","Sem tabela no Growths",IF(I921="","Sem campo no Growths",IF(J921=K921,"Importa direto","Ajustar tipo"))))</f>
        <v/>
      </c>
      <c r="M921" s="9"/>
    </row>
    <row r="922" customFormat="false" ht="15" hidden="false" customHeight="false" outlineLevel="0" collapsed="false">
      <c r="A922" s="7" t="str">
        <f aca="false">IF('Outro banco'!A922="","",IF(LEFT('Outro banco'!A922,1)="(","",'Outro banco'!A922))</f>
        <v/>
      </c>
      <c r="B922" s="7" t="str">
        <f aca="false">IF(A922="","",'Outro banco'!B922)</f>
        <v/>
      </c>
      <c r="C922" s="7" t="str">
        <f aca="false">IF(A922="","",'Outro banco'!C922)</f>
        <v/>
      </c>
      <c r="D922" s="7" t="str">
        <f aca="false">IF(A922="","",'Outro banco'!D922)</f>
        <v/>
      </c>
      <c r="E922" s="9"/>
      <c r="F922" s="9"/>
      <c r="G922" s="7" t="str">
        <f aca="false">IF(A922="","",IF(COUNTIF(Tabelas!$A:$A,IF(E922="",A922,E922))&gt;0,"sim","não"))</f>
        <v/>
      </c>
      <c r="H922" s="7" t="str">
        <f aca="false">IF(A922="","",IF(E922="",A922,E922)&amp;"."&amp;IF(F922="",B922,F922))</f>
        <v/>
      </c>
      <c r="I922" s="7" t="str">
        <f aca="false">IF(A922="","",IFERROR(INDEX('Campos Growths'!$F:$F,MATCH(H922,'Campos Growths'!$A:$A,0)),""))</f>
        <v/>
      </c>
      <c r="J922" s="7" t="str">
        <f aca="false">IF(A922="","",IFERROR(VLOOKUP(IF(ISNUMBER(SEARCH("(",C922)),LEFT(C922,SEARCH("(",C922)-1),C922),Tipos!$A:$B,2,FALSE()),"outro"))</f>
        <v/>
      </c>
      <c r="K922" s="7" t="str">
        <f aca="false">IF(I922="","",IFERROR(INDEX('Campos Growths'!$L:$L,MATCH(H922,'Campos Growths'!$A:$A,0)),""))</f>
        <v/>
      </c>
      <c r="L922" s="7" t="str">
        <f aca="false">IF(A922="","",IF(G922="não","Sem tabela no Growths",IF(I922="","Sem campo no Growths",IF(J922=K922,"Importa direto","Ajustar tipo"))))</f>
        <v/>
      </c>
      <c r="M922" s="9"/>
    </row>
    <row r="923" customFormat="false" ht="15" hidden="false" customHeight="false" outlineLevel="0" collapsed="false">
      <c r="A923" s="7" t="str">
        <f aca="false">IF('Outro banco'!A923="","",IF(LEFT('Outro banco'!A923,1)="(","",'Outro banco'!A923))</f>
        <v/>
      </c>
      <c r="B923" s="7" t="str">
        <f aca="false">IF(A923="","",'Outro banco'!B923)</f>
        <v/>
      </c>
      <c r="C923" s="7" t="str">
        <f aca="false">IF(A923="","",'Outro banco'!C923)</f>
        <v/>
      </c>
      <c r="D923" s="7" t="str">
        <f aca="false">IF(A923="","",'Outro banco'!D923)</f>
        <v/>
      </c>
      <c r="E923" s="9"/>
      <c r="F923" s="9"/>
      <c r="G923" s="7" t="str">
        <f aca="false">IF(A923="","",IF(COUNTIF(Tabelas!$A:$A,IF(E923="",A923,E923))&gt;0,"sim","não"))</f>
        <v/>
      </c>
      <c r="H923" s="7" t="str">
        <f aca="false">IF(A923="","",IF(E923="",A923,E923)&amp;"."&amp;IF(F923="",B923,F923))</f>
        <v/>
      </c>
      <c r="I923" s="7" t="str">
        <f aca="false">IF(A923="","",IFERROR(INDEX('Campos Growths'!$F:$F,MATCH(H923,'Campos Growths'!$A:$A,0)),""))</f>
        <v/>
      </c>
      <c r="J923" s="7" t="str">
        <f aca="false">IF(A923="","",IFERROR(VLOOKUP(IF(ISNUMBER(SEARCH("(",C923)),LEFT(C923,SEARCH("(",C923)-1),C923),Tipos!$A:$B,2,FALSE()),"outro"))</f>
        <v/>
      </c>
      <c r="K923" s="7" t="str">
        <f aca="false">IF(I923="","",IFERROR(INDEX('Campos Growths'!$L:$L,MATCH(H923,'Campos Growths'!$A:$A,0)),""))</f>
        <v/>
      </c>
      <c r="L923" s="7" t="str">
        <f aca="false">IF(A923="","",IF(G923="não","Sem tabela no Growths",IF(I923="","Sem campo no Growths",IF(J923=K923,"Importa direto","Ajustar tipo"))))</f>
        <v/>
      </c>
      <c r="M923" s="9"/>
    </row>
    <row r="924" customFormat="false" ht="15" hidden="false" customHeight="false" outlineLevel="0" collapsed="false">
      <c r="A924" s="7" t="str">
        <f aca="false">IF('Outro banco'!A924="","",IF(LEFT('Outro banco'!A924,1)="(","",'Outro banco'!A924))</f>
        <v/>
      </c>
      <c r="B924" s="7" t="str">
        <f aca="false">IF(A924="","",'Outro banco'!B924)</f>
        <v/>
      </c>
      <c r="C924" s="7" t="str">
        <f aca="false">IF(A924="","",'Outro banco'!C924)</f>
        <v/>
      </c>
      <c r="D924" s="7" t="str">
        <f aca="false">IF(A924="","",'Outro banco'!D924)</f>
        <v/>
      </c>
      <c r="E924" s="9"/>
      <c r="F924" s="9"/>
      <c r="G924" s="7" t="str">
        <f aca="false">IF(A924="","",IF(COUNTIF(Tabelas!$A:$A,IF(E924="",A924,E924))&gt;0,"sim","não"))</f>
        <v/>
      </c>
      <c r="H924" s="7" t="str">
        <f aca="false">IF(A924="","",IF(E924="",A924,E924)&amp;"."&amp;IF(F924="",B924,F924))</f>
        <v/>
      </c>
      <c r="I924" s="7" t="str">
        <f aca="false">IF(A924="","",IFERROR(INDEX('Campos Growths'!$F:$F,MATCH(H924,'Campos Growths'!$A:$A,0)),""))</f>
        <v/>
      </c>
      <c r="J924" s="7" t="str">
        <f aca="false">IF(A924="","",IFERROR(VLOOKUP(IF(ISNUMBER(SEARCH("(",C924)),LEFT(C924,SEARCH("(",C924)-1),C924),Tipos!$A:$B,2,FALSE()),"outro"))</f>
        <v/>
      </c>
      <c r="K924" s="7" t="str">
        <f aca="false">IF(I924="","",IFERROR(INDEX('Campos Growths'!$L:$L,MATCH(H924,'Campos Growths'!$A:$A,0)),""))</f>
        <v/>
      </c>
      <c r="L924" s="7" t="str">
        <f aca="false">IF(A924="","",IF(G924="não","Sem tabela no Growths",IF(I924="","Sem campo no Growths",IF(J924=K924,"Importa direto","Ajustar tipo"))))</f>
        <v/>
      </c>
      <c r="M924" s="9"/>
    </row>
    <row r="925" customFormat="false" ht="15" hidden="false" customHeight="false" outlineLevel="0" collapsed="false">
      <c r="A925" s="7" t="str">
        <f aca="false">IF('Outro banco'!A925="","",IF(LEFT('Outro banco'!A925,1)="(","",'Outro banco'!A925))</f>
        <v/>
      </c>
      <c r="B925" s="7" t="str">
        <f aca="false">IF(A925="","",'Outro banco'!B925)</f>
        <v/>
      </c>
      <c r="C925" s="7" t="str">
        <f aca="false">IF(A925="","",'Outro banco'!C925)</f>
        <v/>
      </c>
      <c r="D925" s="7" t="str">
        <f aca="false">IF(A925="","",'Outro banco'!D925)</f>
        <v/>
      </c>
      <c r="E925" s="9"/>
      <c r="F925" s="9"/>
      <c r="G925" s="7" t="str">
        <f aca="false">IF(A925="","",IF(COUNTIF(Tabelas!$A:$A,IF(E925="",A925,E925))&gt;0,"sim","não"))</f>
        <v/>
      </c>
      <c r="H925" s="7" t="str">
        <f aca="false">IF(A925="","",IF(E925="",A925,E925)&amp;"."&amp;IF(F925="",B925,F925))</f>
        <v/>
      </c>
      <c r="I925" s="7" t="str">
        <f aca="false">IF(A925="","",IFERROR(INDEX('Campos Growths'!$F:$F,MATCH(H925,'Campos Growths'!$A:$A,0)),""))</f>
        <v/>
      </c>
      <c r="J925" s="7" t="str">
        <f aca="false">IF(A925="","",IFERROR(VLOOKUP(IF(ISNUMBER(SEARCH("(",C925)),LEFT(C925,SEARCH("(",C925)-1),C925),Tipos!$A:$B,2,FALSE()),"outro"))</f>
        <v/>
      </c>
      <c r="K925" s="7" t="str">
        <f aca="false">IF(I925="","",IFERROR(INDEX('Campos Growths'!$L:$L,MATCH(H925,'Campos Growths'!$A:$A,0)),""))</f>
        <v/>
      </c>
      <c r="L925" s="7" t="str">
        <f aca="false">IF(A925="","",IF(G925="não","Sem tabela no Growths",IF(I925="","Sem campo no Growths",IF(J925=K925,"Importa direto","Ajustar tipo"))))</f>
        <v/>
      </c>
      <c r="M925" s="9"/>
    </row>
    <row r="926" customFormat="false" ht="15" hidden="false" customHeight="false" outlineLevel="0" collapsed="false">
      <c r="A926" s="7" t="str">
        <f aca="false">IF('Outro banco'!A926="","",IF(LEFT('Outro banco'!A926,1)="(","",'Outro banco'!A926))</f>
        <v/>
      </c>
      <c r="B926" s="7" t="str">
        <f aca="false">IF(A926="","",'Outro banco'!B926)</f>
        <v/>
      </c>
      <c r="C926" s="7" t="str">
        <f aca="false">IF(A926="","",'Outro banco'!C926)</f>
        <v/>
      </c>
      <c r="D926" s="7" t="str">
        <f aca="false">IF(A926="","",'Outro banco'!D926)</f>
        <v/>
      </c>
      <c r="E926" s="9"/>
      <c r="F926" s="9"/>
      <c r="G926" s="7" t="str">
        <f aca="false">IF(A926="","",IF(COUNTIF(Tabelas!$A:$A,IF(E926="",A926,E926))&gt;0,"sim","não"))</f>
        <v/>
      </c>
      <c r="H926" s="7" t="str">
        <f aca="false">IF(A926="","",IF(E926="",A926,E926)&amp;"."&amp;IF(F926="",B926,F926))</f>
        <v/>
      </c>
      <c r="I926" s="7" t="str">
        <f aca="false">IF(A926="","",IFERROR(INDEX('Campos Growths'!$F:$F,MATCH(H926,'Campos Growths'!$A:$A,0)),""))</f>
        <v/>
      </c>
      <c r="J926" s="7" t="str">
        <f aca="false">IF(A926="","",IFERROR(VLOOKUP(IF(ISNUMBER(SEARCH("(",C926)),LEFT(C926,SEARCH("(",C926)-1),C926),Tipos!$A:$B,2,FALSE()),"outro"))</f>
        <v/>
      </c>
      <c r="K926" s="7" t="str">
        <f aca="false">IF(I926="","",IFERROR(INDEX('Campos Growths'!$L:$L,MATCH(H926,'Campos Growths'!$A:$A,0)),""))</f>
        <v/>
      </c>
      <c r="L926" s="7" t="str">
        <f aca="false">IF(A926="","",IF(G926="não","Sem tabela no Growths",IF(I926="","Sem campo no Growths",IF(J926=K926,"Importa direto","Ajustar tipo"))))</f>
        <v/>
      </c>
      <c r="M926" s="9"/>
    </row>
    <row r="927" customFormat="false" ht="15" hidden="false" customHeight="false" outlineLevel="0" collapsed="false">
      <c r="A927" s="7" t="str">
        <f aca="false">IF('Outro banco'!A927="","",IF(LEFT('Outro banco'!A927,1)="(","",'Outro banco'!A927))</f>
        <v/>
      </c>
      <c r="B927" s="7" t="str">
        <f aca="false">IF(A927="","",'Outro banco'!B927)</f>
        <v/>
      </c>
      <c r="C927" s="7" t="str">
        <f aca="false">IF(A927="","",'Outro banco'!C927)</f>
        <v/>
      </c>
      <c r="D927" s="7" t="str">
        <f aca="false">IF(A927="","",'Outro banco'!D927)</f>
        <v/>
      </c>
      <c r="E927" s="9"/>
      <c r="F927" s="9"/>
      <c r="G927" s="7" t="str">
        <f aca="false">IF(A927="","",IF(COUNTIF(Tabelas!$A:$A,IF(E927="",A927,E927))&gt;0,"sim","não"))</f>
        <v/>
      </c>
      <c r="H927" s="7" t="str">
        <f aca="false">IF(A927="","",IF(E927="",A927,E927)&amp;"."&amp;IF(F927="",B927,F927))</f>
        <v/>
      </c>
      <c r="I927" s="7" t="str">
        <f aca="false">IF(A927="","",IFERROR(INDEX('Campos Growths'!$F:$F,MATCH(H927,'Campos Growths'!$A:$A,0)),""))</f>
        <v/>
      </c>
      <c r="J927" s="7" t="str">
        <f aca="false">IF(A927="","",IFERROR(VLOOKUP(IF(ISNUMBER(SEARCH("(",C927)),LEFT(C927,SEARCH("(",C927)-1),C927),Tipos!$A:$B,2,FALSE()),"outro"))</f>
        <v/>
      </c>
      <c r="K927" s="7" t="str">
        <f aca="false">IF(I927="","",IFERROR(INDEX('Campos Growths'!$L:$L,MATCH(H927,'Campos Growths'!$A:$A,0)),""))</f>
        <v/>
      </c>
      <c r="L927" s="7" t="str">
        <f aca="false">IF(A927="","",IF(G927="não","Sem tabela no Growths",IF(I927="","Sem campo no Growths",IF(J927=K927,"Importa direto","Ajustar tipo"))))</f>
        <v/>
      </c>
      <c r="M927" s="9"/>
    </row>
    <row r="928" customFormat="false" ht="15" hidden="false" customHeight="false" outlineLevel="0" collapsed="false">
      <c r="A928" s="7" t="str">
        <f aca="false">IF('Outro banco'!A928="","",IF(LEFT('Outro banco'!A928,1)="(","",'Outro banco'!A928))</f>
        <v/>
      </c>
      <c r="B928" s="7" t="str">
        <f aca="false">IF(A928="","",'Outro banco'!B928)</f>
        <v/>
      </c>
      <c r="C928" s="7" t="str">
        <f aca="false">IF(A928="","",'Outro banco'!C928)</f>
        <v/>
      </c>
      <c r="D928" s="7" t="str">
        <f aca="false">IF(A928="","",'Outro banco'!D928)</f>
        <v/>
      </c>
      <c r="E928" s="9"/>
      <c r="F928" s="9"/>
      <c r="G928" s="7" t="str">
        <f aca="false">IF(A928="","",IF(COUNTIF(Tabelas!$A:$A,IF(E928="",A928,E928))&gt;0,"sim","não"))</f>
        <v/>
      </c>
      <c r="H928" s="7" t="str">
        <f aca="false">IF(A928="","",IF(E928="",A928,E928)&amp;"."&amp;IF(F928="",B928,F928))</f>
        <v/>
      </c>
      <c r="I928" s="7" t="str">
        <f aca="false">IF(A928="","",IFERROR(INDEX('Campos Growths'!$F:$F,MATCH(H928,'Campos Growths'!$A:$A,0)),""))</f>
        <v/>
      </c>
      <c r="J928" s="7" t="str">
        <f aca="false">IF(A928="","",IFERROR(VLOOKUP(IF(ISNUMBER(SEARCH("(",C928)),LEFT(C928,SEARCH("(",C928)-1),C928),Tipos!$A:$B,2,FALSE()),"outro"))</f>
        <v/>
      </c>
      <c r="K928" s="7" t="str">
        <f aca="false">IF(I928="","",IFERROR(INDEX('Campos Growths'!$L:$L,MATCH(H928,'Campos Growths'!$A:$A,0)),""))</f>
        <v/>
      </c>
      <c r="L928" s="7" t="str">
        <f aca="false">IF(A928="","",IF(G928="não","Sem tabela no Growths",IF(I928="","Sem campo no Growths",IF(J928=K928,"Importa direto","Ajustar tipo"))))</f>
        <v/>
      </c>
      <c r="M928" s="9"/>
    </row>
    <row r="929" customFormat="false" ht="15" hidden="false" customHeight="false" outlineLevel="0" collapsed="false">
      <c r="A929" s="7" t="str">
        <f aca="false">IF('Outro banco'!A929="","",IF(LEFT('Outro banco'!A929,1)="(","",'Outro banco'!A929))</f>
        <v/>
      </c>
      <c r="B929" s="7" t="str">
        <f aca="false">IF(A929="","",'Outro banco'!B929)</f>
        <v/>
      </c>
      <c r="C929" s="7" t="str">
        <f aca="false">IF(A929="","",'Outro banco'!C929)</f>
        <v/>
      </c>
      <c r="D929" s="7" t="str">
        <f aca="false">IF(A929="","",'Outro banco'!D929)</f>
        <v/>
      </c>
      <c r="E929" s="9"/>
      <c r="F929" s="9"/>
      <c r="G929" s="7" t="str">
        <f aca="false">IF(A929="","",IF(COUNTIF(Tabelas!$A:$A,IF(E929="",A929,E929))&gt;0,"sim","não"))</f>
        <v/>
      </c>
      <c r="H929" s="7" t="str">
        <f aca="false">IF(A929="","",IF(E929="",A929,E929)&amp;"."&amp;IF(F929="",B929,F929))</f>
        <v/>
      </c>
      <c r="I929" s="7" t="str">
        <f aca="false">IF(A929="","",IFERROR(INDEX('Campos Growths'!$F:$F,MATCH(H929,'Campos Growths'!$A:$A,0)),""))</f>
        <v/>
      </c>
      <c r="J929" s="7" t="str">
        <f aca="false">IF(A929="","",IFERROR(VLOOKUP(IF(ISNUMBER(SEARCH("(",C929)),LEFT(C929,SEARCH("(",C929)-1),C929),Tipos!$A:$B,2,FALSE()),"outro"))</f>
        <v/>
      </c>
      <c r="K929" s="7" t="str">
        <f aca="false">IF(I929="","",IFERROR(INDEX('Campos Growths'!$L:$L,MATCH(H929,'Campos Growths'!$A:$A,0)),""))</f>
        <v/>
      </c>
      <c r="L929" s="7" t="str">
        <f aca="false">IF(A929="","",IF(G929="não","Sem tabela no Growths",IF(I929="","Sem campo no Growths",IF(J929=K929,"Importa direto","Ajustar tipo"))))</f>
        <v/>
      </c>
      <c r="M929" s="9"/>
    </row>
    <row r="930" customFormat="false" ht="15" hidden="false" customHeight="false" outlineLevel="0" collapsed="false">
      <c r="A930" s="7" t="str">
        <f aca="false">IF('Outro banco'!A930="","",IF(LEFT('Outro banco'!A930,1)="(","",'Outro banco'!A930))</f>
        <v/>
      </c>
      <c r="B930" s="7" t="str">
        <f aca="false">IF(A930="","",'Outro banco'!B930)</f>
        <v/>
      </c>
      <c r="C930" s="7" t="str">
        <f aca="false">IF(A930="","",'Outro banco'!C930)</f>
        <v/>
      </c>
      <c r="D930" s="7" t="str">
        <f aca="false">IF(A930="","",'Outro banco'!D930)</f>
        <v/>
      </c>
      <c r="E930" s="9"/>
      <c r="F930" s="9"/>
      <c r="G930" s="7" t="str">
        <f aca="false">IF(A930="","",IF(COUNTIF(Tabelas!$A:$A,IF(E930="",A930,E930))&gt;0,"sim","não"))</f>
        <v/>
      </c>
      <c r="H930" s="7" t="str">
        <f aca="false">IF(A930="","",IF(E930="",A930,E930)&amp;"."&amp;IF(F930="",B930,F930))</f>
        <v/>
      </c>
      <c r="I930" s="7" t="str">
        <f aca="false">IF(A930="","",IFERROR(INDEX('Campos Growths'!$F:$F,MATCH(H930,'Campos Growths'!$A:$A,0)),""))</f>
        <v/>
      </c>
      <c r="J930" s="7" t="str">
        <f aca="false">IF(A930="","",IFERROR(VLOOKUP(IF(ISNUMBER(SEARCH("(",C930)),LEFT(C930,SEARCH("(",C930)-1),C930),Tipos!$A:$B,2,FALSE()),"outro"))</f>
        <v/>
      </c>
      <c r="K930" s="7" t="str">
        <f aca="false">IF(I930="","",IFERROR(INDEX('Campos Growths'!$L:$L,MATCH(H930,'Campos Growths'!$A:$A,0)),""))</f>
        <v/>
      </c>
      <c r="L930" s="7" t="str">
        <f aca="false">IF(A930="","",IF(G930="não","Sem tabela no Growths",IF(I930="","Sem campo no Growths",IF(J930=K930,"Importa direto","Ajustar tipo"))))</f>
        <v/>
      </c>
      <c r="M930" s="9"/>
    </row>
    <row r="931" customFormat="false" ht="15" hidden="false" customHeight="false" outlineLevel="0" collapsed="false">
      <c r="A931" s="7" t="str">
        <f aca="false">IF('Outro banco'!A931="","",IF(LEFT('Outro banco'!A931,1)="(","",'Outro banco'!A931))</f>
        <v/>
      </c>
      <c r="B931" s="7" t="str">
        <f aca="false">IF(A931="","",'Outro banco'!B931)</f>
        <v/>
      </c>
      <c r="C931" s="7" t="str">
        <f aca="false">IF(A931="","",'Outro banco'!C931)</f>
        <v/>
      </c>
      <c r="D931" s="7" t="str">
        <f aca="false">IF(A931="","",'Outro banco'!D931)</f>
        <v/>
      </c>
      <c r="E931" s="9"/>
      <c r="F931" s="9"/>
      <c r="G931" s="7" t="str">
        <f aca="false">IF(A931="","",IF(COUNTIF(Tabelas!$A:$A,IF(E931="",A931,E931))&gt;0,"sim","não"))</f>
        <v/>
      </c>
      <c r="H931" s="7" t="str">
        <f aca="false">IF(A931="","",IF(E931="",A931,E931)&amp;"."&amp;IF(F931="",B931,F931))</f>
        <v/>
      </c>
      <c r="I931" s="7" t="str">
        <f aca="false">IF(A931="","",IFERROR(INDEX('Campos Growths'!$F:$F,MATCH(H931,'Campos Growths'!$A:$A,0)),""))</f>
        <v/>
      </c>
      <c r="J931" s="7" t="str">
        <f aca="false">IF(A931="","",IFERROR(VLOOKUP(IF(ISNUMBER(SEARCH("(",C931)),LEFT(C931,SEARCH("(",C931)-1),C931),Tipos!$A:$B,2,FALSE()),"outro"))</f>
        <v/>
      </c>
      <c r="K931" s="7" t="str">
        <f aca="false">IF(I931="","",IFERROR(INDEX('Campos Growths'!$L:$L,MATCH(H931,'Campos Growths'!$A:$A,0)),""))</f>
        <v/>
      </c>
      <c r="L931" s="7" t="str">
        <f aca="false">IF(A931="","",IF(G931="não","Sem tabela no Growths",IF(I931="","Sem campo no Growths",IF(J931=K931,"Importa direto","Ajustar tipo"))))</f>
        <v/>
      </c>
      <c r="M931" s="9"/>
    </row>
    <row r="932" customFormat="false" ht="15" hidden="false" customHeight="false" outlineLevel="0" collapsed="false">
      <c r="A932" s="7" t="str">
        <f aca="false">IF('Outro banco'!A932="","",IF(LEFT('Outro banco'!A932,1)="(","",'Outro banco'!A932))</f>
        <v/>
      </c>
      <c r="B932" s="7" t="str">
        <f aca="false">IF(A932="","",'Outro banco'!B932)</f>
        <v/>
      </c>
      <c r="C932" s="7" t="str">
        <f aca="false">IF(A932="","",'Outro banco'!C932)</f>
        <v/>
      </c>
      <c r="D932" s="7" t="str">
        <f aca="false">IF(A932="","",'Outro banco'!D932)</f>
        <v/>
      </c>
      <c r="E932" s="9"/>
      <c r="F932" s="9"/>
      <c r="G932" s="7" t="str">
        <f aca="false">IF(A932="","",IF(COUNTIF(Tabelas!$A:$A,IF(E932="",A932,E932))&gt;0,"sim","não"))</f>
        <v/>
      </c>
      <c r="H932" s="7" t="str">
        <f aca="false">IF(A932="","",IF(E932="",A932,E932)&amp;"."&amp;IF(F932="",B932,F932))</f>
        <v/>
      </c>
      <c r="I932" s="7" t="str">
        <f aca="false">IF(A932="","",IFERROR(INDEX('Campos Growths'!$F:$F,MATCH(H932,'Campos Growths'!$A:$A,0)),""))</f>
        <v/>
      </c>
      <c r="J932" s="7" t="str">
        <f aca="false">IF(A932="","",IFERROR(VLOOKUP(IF(ISNUMBER(SEARCH("(",C932)),LEFT(C932,SEARCH("(",C932)-1),C932),Tipos!$A:$B,2,FALSE()),"outro"))</f>
        <v/>
      </c>
      <c r="K932" s="7" t="str">
        <f aca="false">IF(I932="","",IFERROR(INDEX('Campos Growths'!$L:$L,MATCH(H932,'Campos Growths'!$A:$A,0)),""))</f>
        <v/>
      </c>
      <c r="L932" s="7" t="str">
        <f aca="false">IF(A932="","",IF(G932="não","Sem tabela no Growths",IF(I932="","Sem campo no Growths",IF(J932=K932,"Importa direto","Ajustar tipo"))))</f>
        <v/>
      </c>
      <c r="M932" s="9"/>
    </row>
    <row r="933" customFormat="false" ht="15" hidden="false" customHeight="false" outlineLevel="0" collapsed="false">
      <c r="A933" s="7" t="str">
        <f aca="false">IF('Outro banco'!A933="","",IF(LEFT('Outro banco'!A933,1)="(","",'Outro banco'!A933))</f>
        <v/>
      </c>
      <c r="B933" s="7" t="str">
        <f aca="false">IF(A933="","",'Outro banco'!B933)</f>
        <v/>
      </c>
      <c r="C933" s="7" t="str">
        <f aca="false">IF(A933="","",'Outro banco'!C933)</f>
        <v/>
      </c>
      <c r="D933" s="7" t="str">
        <f aca="false">IF(A933="","",'Outro banco'!D933)</f>
        <v/>
      </c>
      <c r="E933" s="9"/>
      <c r="F933" s="9"/>
      <c r="G933" s="7" t="str">
        <f aca="false">IF(A933="","",IF(COUNTIF(Tabelas!$A:$A,IF(E933="",A933,E933))&gt;0,"sim","não"))</f>
        <v/>
      </c>
      <c r="H933" s="7" t="str">
        <f aca="false">IF(A933="","",IF(E933="",A933,E933)&amp;"."&amp;IF(F933="",B933,F933))</f>
        <v/>
      </c>
      <c r="I933" s="7" t="str">
        <f aca="false">IF(A933="","",IFERROR(INDEX('Campos Growths'!$F:$F,MATCH(H933,'Campos Growths'!$A:$A,0)),""))</f>
        <v/>
      </c>
      <c r="J933" s="7" t="str">
        <f aca="false">IF(A933="","",IFERROR(VLOOKUP(IF(ISNUMBER(SEARCH("(",C933)),LEFT(C933,SEARCH("(",C933)-1),C933),Tipos!$A:$B,2,FALSE()),"outro"))</f>
        <v/>
      </c>
      <c r="K933" s="7" t="str">
        <f aca="false">IF(I933="","",IFERROR(INDEX('Campos Growths'!$L:$L,MATCH(H933,'Campos Growths'!$A:$A,0)),""))</f>
        <v/>
      </c>
      <c r="L933" s="7" t="str">
        <f aca="false">IF(A933="","",IF(G933="não","Sem tabela no Growths",IF(I933="","Sem campo no Growths",IF(J933=K933,"Importa direto","Ajustar tipo"))))</f>
        <v/>
      </c>
      <c r="M933" s="9"/>
    </row>
    <row r="934" customFormat="false" ht="15" hidden="false" customHeight="false" outlineLevel="0" collapsed="false">
      <c r="A934" s="7" t="str">
        <f aca="false">IF('Outro banco'!A934="","",IF(LEFT('Outro banco'!A934,1)="(","",'Outro banco'!A934))</f>
        <v/>
      </c>
      <c r="B934" s="7" t="str">
        <f aca="false">IF(A934="","",'Outro banco'!B934)</f>
        <v/>
      </c>
      <c r="C934" s="7" t="str">
        <f aca="false">IF(A934="","",'Outro banco'!C934)</f>
        <v/>
      </c>
      <c r="D934" s="7" t="str">
        <f aca="false">IF(A934="","",'Outro banco'!D934)</f>
        <v/>
      </c>
      <c r="E934" s="9"/>
      <c r="F934" s="9"/>
      <c r="G934" s="7" t="str">
        <f aca="false">IF(A934="","",IF(COUNTIF(Tabelas!$A:$A,IF(E934="",A934,E934))&gt;0,"sim","não"))</f>
        <v/>
      </c>
      <c r="H934" s="7" t="str">
        <f aca="false">IF(A934="","",IF(E934="",A934,E934)&amp;"."&amp;IF(F934="",B934,F934))</f>
        <v/>
      </c>
      <c r="I934" s="7" t="str">
        <f aca="false">IF(A934="","",IFERROR(INDEX('Campos Growths'!$F:$F,MATCH(H934,'Campos Growths'!$A:$A,0)),""))</f>
        <v/>
      </c>
      <c r="J934" s="7" t="str">
        <f aca="false">IF(A934="","",IFERROR(VLOOKUP(IF(ISNUMBER(SEARCH("(",C934)),LEFT(C934,SEARCH("(",C934)-1),C934),Tipos!$A:$B,2,FALSE()),"outro"))</f>
        <v/>
      </c>
      <c r="K934" s="7" t="str">
        <f aca="false">IF(I934="","",IFERROR(INDEX('Campos Growths'!$L:$L,MATCH(H934,'Campos Growths'!$A:$A,0)),""))</f>
        <v/>
      </c>
      <c r="L934" s="7" t="str">
        <f aca="false">IF(A934="","",IF(G934="não","Sem tabela no Growths",IF(I934="","Sem campo no Growths",IF(J934=K934,"Importa direto","Ajustar tipo"))))</f>
        <v/>
      </c>
      <c r="M934" s="9"/>
    </row>
    <row r="935" customFormat="false" ht="15" hidden="false" customHeight="false" outlineLevel="0" collapsed="false">
      <c r="A935" s="7" t="str">
        <f aca="false">IF('Outro banco'!A935="","",IF(LEFT('Outro banco'!A935,1)="(","",'Outro banco'!A935))</f>
        <v/>
      </c>
      <c r="B935" s="7" t="str">
        <f aca="false">IF(A935="","",'Outro banco'!B935)</f>
        <v/>
      </c>
      <c r="C935" s="7" t="str">
        <f aca="false">IF(A935="","",'Outro banco'!C935)</f>
        <v/>
      </c>
      <c r="D935" s="7" t="str">
        <f aca="false">IF(A935="","",'Outro banco'!D935)</f>
        <v/>
      </c>
      <c r="E935" s="9"/>
      <c r="F935" s="9"/>
      <c r="G935" s="7" t="str">
        <f aca="false">IF(A935="","",IF(COUNTIF(Tabelas!$A:$A,IF(E935="",A935,E935))&gt;0,"sim","não"))</f>
        <v/>
      </c>
      <c r="H935" s="7" t="str">
        <f aca="false">IF(A935="","",IF(E935="",A935,E935)&amp;"."&amp;IF(F935="",B935,F935))</f>
        <v/>
      </c>
      <c r="I935" s="7" t="str">
        <f aca="false">IF(A935="","",IFERROR(INDEX('Campos Growths'!$F:$F,MATCH(H935,'Campos Growths'!$A:$A,0)),""))</f>
        <v/>
      </c>
      <c r="J935" s="7" t="str">
        <f aca="false">IF(A935="","",IFERROR(VLOOKUP(IF(ISNUMBER(SEARCH("(",C935)),LEFT(C935,SEARCH("(",C935)-1),C935),Tipos!$A:$B,2,FALSE()),"outro"))</f>
        <v/>
      </c>
      <c r="K935" s="7" t="str">
        <f aca="false">IF(I935="","",IFERROR(INDEX('Campos Growths'!$L:$L,MATCH(H935,'Campos Growths'!$A:$A,0)),""))</f>
        <v/>
      </c>
      <c r="L935" s="7" t="str">
        <f aca="false">IF(A935="","",IF(G935="não","Sem tabela no Growths",IF(I935="","Sem campo no Growths",IF(J935=K935,"Importa direto","Ajustar tipo"))))</f>
        <v/>
      </c>
      <c r="M935" s="9"/>
    </row>
    <row r="936" customFormat="false" ht="15" hidden="false" customHeight="false" outlineLevel="0" collapsed="false">
      <c r="A936" s="7" t="str">
        <f aca="false">IF('Outro banco'!A936="","",IF(LEFT('Outro banco'!A936,1)="(","",'Outro banco'!A936))</f>
        <v/>
      </c>
      <c r="B936" s="7" t="str">
        <f aca="false">IF(A936="","",'Outro banco'!B936)</f>
        <v/>
      </c>
      <c r="C936" s="7" t="str">
        <f aca="false">IF(A936="","",'Outro banco'!C936)</f>
        <v/>
      </c>
      <c r="D936" s="7" t="str">
        <f aca="false">IF(A936="","",'Outro banco'!D936)</f>
        <v/>
      </c>
      <c r="E936" s="9"/>
      <c r="F936" s="9"/>
      <c r="G936" s="7" t="str">
        <f aca="false">IF(A936="","",IF(COUNTIF(Tabelas!$A:$A,IF(E936="",A936,E936))&gt;0,"sim","não"))</f>
        <v/>
      </c>
      <c r="H936" s="7" t="str">
        <f aca="false">IF(A936="","",IF(E936="",A936,E936)&amp;"."&amp;IF(F936="",B936,F936))</f>
        <v/>
      </c>
      <c r="I936" s="7" t="str">
        <f aca="false">IF(A936="","",IFERROR(INDEX('Campos Growths'!$F:$F,MATCH(H936,'Campos Growths'!$A:$A,0)),""))</f>
        <v/>
      </c>
      <c r="J936" s="7" t="str">
        <f aca="false">IF(A936="","",IFERROR(VLOOKUP(IF(ISNUMBER(SEARCH("(",C936)),LEFT(C936,SEARCH("(",C936)-1),C936),Tipos!$A:$B,2,FALSE()),"outro"))</f>
        <v/>
      </c>
      <c r="K936" s="7" t="str">
        <f aca="false">IF(I936="","",IFERROR(INDEX('Campos Growths'!$L:$L,MATCH(H936,'Campos Growths'!$A:$A,0)),""))</f>
        <v/>
      </c>
      <c r="L936" s="7" t="str">
        <f aca="false">IF(A936="","",IF(G936="não","Sem tabela no Growths",IF(I936="","Sem campo no Growths",IF(J936=K936,"Importa direto","Ajustar tipo"))))</f>
        <v/>
      </c>
      <c r="M936" s="9"/>
    </row>
    <row r="937" customFormat="false" ht="15" hidden="false" customHeight="false" outlineLevel="0" collapsed="false">
      <c r="A937" s="7" t="str">
        <f aca="false">IF('Outro banco'!A937="","",IF(LEFT('Outro banco'!A937,1)="(","",'Outro banco'!A937))</f>
        <v/>
      </c>
      <c r="B937" s="7" t="str">
        <f aca="false">IF(A937="","",'Outro banco'!B937)</f>
        <v/>
      </c>
      <c r="C937" s="7" t="str">
        <f aca="false">IF(A937="","",'Outro banco'!C937)</f>
        <v/>
      </c>
      <c r="D937" s="7" t="str">
        <f aca="false">IF(A937="","",'Outro banco'!D937)</f>
        <v/>
      </c>
      <c r="E937" s="9"/>
      <c r="F937" s="9"/>
      <c r="G937" s="7" t="str">
        <f aca="false">IF(A937="","",IF(COUNTIF(Tabelas!$A:$A,IF(E937="",A937,E937))&gt;0,"sim","não"))</f>
        <v/>
      </c>
      <c r="H937" s="7" t="str">
        <f aca="false">IF(A937="","",IF(E937="",A937,E937)&amp;"."&amp;IF(F937="",B937,F937))</f>
        <v/>
      </c>
      <c r="I937" s="7" t="str">
        <f aca="false">IF(A937="","",IFERROR(INDEX('Campos Growths'!$F:$F,MATCH(H937,'Campos Growths'!$A:$A,0)),""))</f>
        <v/>
      </c>
      <c r="J937" s="7" t="str">
        <f aca="false">IF(A937="","",IFERROR(VLOOKUP(IF(ISNUMBER(SEARCH("(",C937)),LEFT(C937,SEARCH("(",C937)-1),C937),Tipos!$A:$B,2,FALSE()),"outro"))</f>
        <v/>
      </c>
      <c r="K937" s="7" t="str">
        <f aca="false">IF(I937="","",IFERROR(INDEX('Campos Growths'!$L:$L,MATCH(H937,'Campos Growths'!$A:$A,0)),""))</f>
        <v/>
      </c>
      <c r="L937" s="7" t="str">
        <f aca="false">IF(A937="","",IF(G937="não","Sem tabela no Growths",IF(I937="","Sem campo no Growths",IF(J937=K937,"Importa direto","Ajustar tipo"))))</f>
        <v/>
      </c>
      <c r="M937" s="9"/>
    </row>
    <row r="938" customFormat="false" ht="15" hidden="false" customHeight="false" outlineLevel="0" collapsed="false">
      <c r="A938" s="7" t="str">
        <f aca="false">IF('Outro banco'!A938="","",IF(LEFT('Outro banco'!A938,1)="(","",'Outro banco'!A938))</f>
        <v/>
      </c>
      <c r="B938" s="7" t="str">
        <f aca="false">IF(A938="","",'Outro banco'!B938)</f>
        <v/>
      </c>
      <c r="C938" s="7" t="str">
        <f aca="false">IF(A938="","",'Outro banco'!C938)</f>
        <v/>
      </c>
      <c r="D938" s="7" t="str">
        <f aca="false">IF(A938="","",'Outro banco'!D938)</f>
        <v/>
      </c>
      <c r="E938" s="9"/>
      <c r="F938" s="9"/>
      <c r="G938" s="7" t="str">
        <f aca="false">IF(A938="","",IF(COUNTIF(Tabelas!$A:$A,IF(E938="",A938,E938))&gt;0,"sim","não"))</f>
        <v/>
      </c>
      <c r="H938" s="7" t="str">
        <f aca="false">IF(A938="","",IF(E938="",A938,E938)&amp;"."&amp;IF(F938="",B938,F938))</f>
        <v/>
      </c>
      <c r="I938" s="7" t="str">
        <f aca="false">IF(A938="","",IFERROR(INDEX('Campos Growths'!$F:$F,MATCH(H938,'Campos Growths'!$A:$A,0)),""))</f>
        <v/>
      </c>
      <c r="J938" s="7" t="str">
        <f aca="false">IF(A938="","",IFERROR(VLOOKUP(IF(ISNUMBER(SEARCH("(",C938)),LEFT(C938,SEARCH("(",C938)-1),C938),Tipos!$A:$B,2,FALSE()),"outro"))</f>
        <v/>
      </c>
      <c r="K938" s="7" t="str">
        <f aca="false">IF(I938="","",IFERROR(INDEX('Campos Growths'!$L:$L,MATCH(H938,'Campos Growths'!$A:$A,0)),""))</f>
        <v/>
      </c>
      <c r="L938" s="7" t="str">
        <f aca="false">IF(A938="","",IF(G938="não","Sem tabela no Growths",IF(I938="","Sem campo no Growths",IF(J938=K938,"Importa direto","Ajustar tipo"))))</f>
        <v/>
      </c>
      <c r="M938" s="9"/>
    </row>
    <row r="939" customFormat="false" ht="15" hidden="false" customHeight="false" outlineLevel="0" collapsed="false">
      <c r="A939" s="7" t="str">
        <f aca="false">IF('Outro banco'!A939="","",IF(LEFT('Outro banco'!A939,1)="(","",'Outro banco'!A939))</f>
        <v/>
      </c>
      <c r="B939" s="7" t="str">
        <f aca="false">IF(A939="","",'Outro banco'!B939)</f>
        <v/>
      </c>
      <c r="C939" s="7" t="str">
        <f aca="false">IF(A939="","",'Outro banco'!C939)</f>
        <v/>
      </c>
      <c r="D939" s="7" t="str">
        <f aca="false">IF(A939="","",'Outro banco'!D939)</f>
        <v/>
      </c>
      <c r="E939" s="9"/>
      <c r="F939" s="9"/>
      <c r="G939" s="7" t="str">
        <f aca="false">IF(A939="","",IF(COUNTIF(Tabelas!$A:$A,IF(E939="",A939,E939))&gt;0,"sim","não"))</f>
        <v/>
      </c>
      <c r="H939" s="7" t="str">
        <f aca="false">IF(A939="","",IF(E939="",A939,E939)&amp;"."&amp;IF(F939="",B939,F939))</f>
        <v/>
      </c>
      <c r="I939" s="7" t="str">
        <f aca="false">IF(A939="","",IFERROR(INDEX('Campos Growths'!$F:$F,MATCH(H939,'Campos Growths'!$A:$A,0)),""))</f>
        <v/>
      </c>
      <c r="J939" s="7" t="str">
        <f aca="false">IF(A939="","",IFERROR(VLOOKUP(IF(ISNUMBER(SEARCH("(",C939)),LEFT(C939,SEARCH("(",C939)-1),C939),Tipos!$A:$B,2,FALSE()),"outro"))</f>
        <v/>
      </c>
      <c r="K939" s="7" t="str">
        <f aca="false">IF(I939="","",IFERROR(INDEX('Campos Growths'!$L:$L,MATCH(H939,'Campos Growths'!$A:$A,0)),""))</f>
        <v/>
      </c>
      <c r="L939" s="7" t="str">
        <f aca="false">IF(A939="","",IF(G939="não","Sem tabela no Growths",IF(I939="","Sem campo no Growths",IF(J939=K939,"Importa direto","Ajustar tipo"))))</f>
        <v/>
      </c>
      <c r="M939" s="9"/>
    </row>
    <row r="940" customFormat="false" ht="15" hidden="false" customHeight="false" outlineLevel="0" collapsed="false">
      <c r="A940" s="7" t="str">
        <f aca="false">IF('Outro banco'!A940="","",IF(LEFT('Outro banco'!A940,1)="(","",'Outro banco'!A940))</f>
        <v/>
      </c>
      <c r="B940" s="7" t="str">
        <f aca="false">IF(A940="","",'Outro banco'!B940)</f>
        <v/>
      </c>
      <c r="C940" s="7" t="str">
        <f aca="false">IF(A940="","",'Outro banco'!C940)</f>
        <v/>
      </c>
      <c r="D940" s="7" t="str">
        <f aca="false">IF(A940="","",'Outro banco'!D940)</f>
        <v/>
      </c>
      <c r="E940" s="9"/>
      <c r="F940" s="9"/>
      <c r="G940" s="7" t="str">
        <f aca="false">IF(A940="","",IF(COUNTIF(Tabelas!$A:$A,IF(E940="",A940,E940))&gt;0,"sim","não"))</f>
        <v/>
      </c>
      <c r="H940" s="7" t="str">
        <f aca="false">IF(A940="","",IF(E940="",A940,E940)&amp;"."&amp;IF(F940="",B940,F940))</f>
        <v/>
      </c>
      <c r="I940" s="7" t="str">
        <f aca="false">IF(A940="","",IFERROR(INDEX('Campos Growths'!$F:$F,MATCH(H940,'Campos Growths'!$A:$A,0)),""))</f>
        <v/>
      </c>
      <c r="J940" s="7" t="str">
        <f aca="false">IF(A940="","",IFERROR(VLOOKUP(IF(ISNUMBER(SEARCH("(",C940)),LEFT(C940,SEARCH("(",C940)-1),C940),Tipos!$A:$B,2,FALSE()),"outro"))</f>
        <v/>
      </c>
      <c r="K940" s="7" t="str">
        <f aca="false">IF(I940="","",IFERROR(INDEX('Campos Growths'!$L:$L,MATCH(H940,'Campos Growths'!$A:$A,0)),""))</f>
        <v/>
      </c>
      <c r="L940" s="7" t="str">
        <f aca="false">IF(A940="","",IF(G940="não","Sem tabela no Growths",IF(I940="","Sem campo no Growths",IF(J940=K940,"Importa direto","Ajustar tipo"))))</f>
        <v/>
      </c>
      <c r="M940" s="9"/>
    </row>
    <row r="941" customFormat="false" ht="15" hidden="false" customHeight="false" outlineLevel="0" collapsed="false">
      <c r="A941" s="7" t="str">
        <f aca="false">IF('Outro banco'!A941="","",IF(LEFT('Outro banco'!A941,1)="(","",'Outro banco'!A941))</f>
        <v/>
      </c>
      <c r="B941" s="7" t="str">
        <f aca="false">IF(A941="","",'Outro banco'!B941)</f>
        <v/>
      </c>
      <c r="C941" s="7" t="str">
        <f aca="false">IF(A941="","",'Outro banco'!C941)</f>
        <v/>
      </c>
      <c r="D941" s="7" t="str">
        <f aca="false">IF(A941="","",'Outro banco'!D941)</f>
        <v/>
      </c>
      <c r="E941" s="9"/>
      <c r="F941" s="9"/>
      <c r="G941" s="7" t="str">
        <f aca="false">IF(A941="","",IF(COUNTIF(Tabelas!$A:$A,IF(E941="",A941,E941))&gt;0,"sim","não"))</f>
        <v/>
      </c>
      <c r="H941" s="7" t="str">
        <f aca="false">IF(A941="","",IF(E941="",A941,E941)&amp;"."&amp;IF(F941="",B941,F941))</f>
        <v/>
      </c>
      <c r="I941" s="7" t="str">
        <f aca="false">IF(A941="","",IFERROR(INDEX('Campos Growths'!$F:$F,MATCH(H941,'Campos Growths'!$A:$A,0)),""))</f>
        <v/>
      </c>
      <c r="J941" s="7" t="str">
        <f aca="false">IF(A941="","",IFERROR(VLOOKUP(IF(ISNUMBER(SEARCH("(",C941)),LEFT(C941,SEARCH("(",C941)-1),C941),Tipos!$A:$B,2,FALSE()),"outro"))</f>
        <v/>
      </c>
      <c r="K941" s="7" t="str">
        <f aca="false">IF(I941="","",IFERROR(INDEX('Campos Growths'!$L:$L,MATCH(H941,'Campos Growths'!$A:$A,0)),""))</f>
        <v/>
      </c>
      <c r="L941" s="7" t="str">
        <f aca="false">IF(A941="","",IF(G941="não","Sem tabela no Growths",IF(I941="","Sem campo no Growths",IF(J941=K941,"Importa direto","Ajustar tipo"))))</f>
        <v/>
      </c>
      <c r="M941" s="9"/>
    </row>
    <row r="942" customFormat="false" ht="15" hidden="false" customHeight="false" outlineLevel="0" collapsed="false">
      <c r="A942" s="7" t="str">
        <f aca="false">IF('Outro banco'!A942="","",IF(LEFT('Outro banco'!A942,1)="(","",'Outro banco'!A942))</f>
        <v/>
      </c>
      <c r="B942" s="7" t="str">
        <f aca="false">IF(A942="","",'Outro banco'!B942)</f>
        <v/>
      </c>
      <c r="C942" s="7" t="str">
        <f aca="false">IF(A942="","",'Outro banco'!C942)</f>
        <v/>
      </c>
      <c r="D942" s="7" t="str">
        <f aca="false">IF(A942="","",'Outro banco'!D942)</f>
        <v/>
      </c>
      <c r="E942" s="9"/>
      <c r="F942" s="9"/>
      <c r="G942" s="7" t="str">
        <f aca="false">IF(A942="","",IF(COUNTIF(Tabelas!$A:$A,IF(E942="",A942,E942))&gt;0,"sim","não"))</f>
        <v/>
      </c>
      <c r="H942" s="7" t="str">
        <f aca="false">IF(A942="","",IF(E942="",A942,E942)&amp;"."&amp;IF(F942="",B942,F942))</f>
        <v/>
      </c>
      <c r="I942" s="7" t="str">
        <f aca="false">IF(A942="","",IFERROR(INDEX('Campos Growths'!$F:$F,MATCH(H942,'Campos Growths'!$A:$A,0)),""))</f>
        <v/>
      </c>
      <c r="J942" s="7" t="str">
        <f aca="false">IF(A942="","",IFERROR(VLOOKUP(IF(ISNUMBER(SEARCH("(",C942)),LEFT(C942,SEARCH("(",C942)-1),C942),Tipos!$A:$B,2,FALSE()),"outro"))</f>
        <v/>
      </c>
      <c r="K942" s="7" t="str">
        <f aca="false">IF(I942="","",IFERROR(INDEX('Campos Growths'!$L:$L,MATCH(H942,'Campos Growths'!$A:$A,0)),""))</f>
        <v/>
      </c>
      <c r="L942" s="7" t="str">
        <f aca="false">IF(A942="","",IF(G942="não","Sem tabela no Growths",IF(I942="","Sem campo no Growths",IF(J942=K942,"Importa direto","Ajustar tipo"))))</f>
        <v/>
      </c>
      <c r="M942" s="9"/>
    </row>
    <row r="943" customFormat="false" ht="15" hidden="false" customHeight="false" outlineLevel="0" collapsed="false">
      <c r="A943" s="7" t="str">
        <f aca="false">IF('Outro banco'!A943="","",IF(LEFT('Outro banco'!A943,1)="(","",'Outro banco'!A943))</f>
        <v/>
      </c>
      <c r="B943" s="7" t="str">
        <f aca="false">IF(A943="","",'Outro banco'!B943)</f>
        <v/>
      </c>
      <c r="C943" s="7" t="str">
        <f aca="false">IF(A943="","",'Outro banco'!C943)</f>
        <v/>
      </c>
      <c r="D943" s="7" t="str">
        <f aca="false">IF(A943="","",'Outro banco'!D943)</f>
        <v/>
      </c>
      <c r="E943" s="9"/>
      <c r="F943" s="9"/>
      <c r="G943" s="7" t="str">
        <f aca="false">IF(A943="","",IF(COUNTIF(Tabelas!$A:$A,IF(E943="",A943,E943))&gt;0,"sim","não"))</f>
        <v/>
      </c>
      <c r="H943" s="7" t="str">
        <f aca="false">IF(A943="","",IF(E943="",A943,E943)&amp;"."&amp;IF(F943="",B943,F943))</f>
        <v/>
      </c>
      <c r="I943" s="7" t="str">
        <f aca="false">IF(A943="","",IFERROR(INDEX('Campos Growths'!$F:$F,MATCH(H943,'Campos Growths'!$A:$A,0)),""))</f>
        <v/>
      </c>
      <c r="J943" s="7" t="str">
        <f aca="false">IF(A943="","",IFERROR(VLOOKUP(IF(ISNUMBER(SEARCH("(",C943)),LEFT(C943,SEARCH("(",C943)-1),C943),Tipos!$A:$B,2,FALSE()),"outro"))</f>
        <v/>
      </c>
      <c r="K943" s="7" t="str">
        <f aca="false">IF(I943="","",IFERROR(INDEX('Campos Growths'!$L:$L,MATCH(H943,'Campos Growths'!$A:$A,0)),""))</f>
        <v/>
      </c>
      <c r="L943" s="7" t="str">
        <f aca="false">IF(A943="","",IF(G943="não","Sem tabela no Growths",IF(I943="","Sem campo no Growths",IF(J943=K943,"Importa direto","Ajustar tipo"))))</f>
        <v/>
      </c>
      <c r="M943" s="9"/>
    </row>
    <row r="944" customFormat="false" ht="15" hidden="false" customHeight="false" outlineLevel="0" collapsed="false">
      <c r="A944" s="7" t="str">
        <f aca="false">IF('Outro banco'!A944="","",IF(LEFT('Outro banco'!A944,1)="(","",'Outro banco'!A944))</f>
        <v/>
      </c>
      <c r="B944" s="7" t="str">
        <f aca="false">IF(A944="","",'Outro banco'!B944)</f>
        <v/>
      </c>
      <c r="C944" s="7" t="str">
        <f aca="false">IF(A944="","",'Outro banco'!C944)</f>
        <v/>
      </c>
      <c r="D944" s="7" t="str">
        <f aca="false">IF(A944="","",'Outro banco'!D944)</f>
        <v/>
      </c>
      <c r="E944" s="9"/>
      <c r="F944" s="9"/>
      <c r="G944" s="7" t="str">
        <f aca="false">IF(A944="","",IF(COUNTIF(Tabelas!$A:$A,IF(E944="",A944,E944))&gt;0,"sim","não"))</f>
        <v/>
      </c>
      <c r="H944" s="7" t="str">
        <f aca="false">IF(A944="","",IF(E944="",A944,E944)&amp;"."&amp;IF(F944="",B944,F944))</f>
        <v/>
      </c>
      <c r="I944" s="7" t="str">
        <f aca="false">IF(A944="","",IFERROR(INDEX('Campos Growths'!$F:$F,MATCH(H944,'Campos Growths'!$A:$A,0)),""))</f>
        <v/>
      </c>
      <c r="J944" s="7" t="str">
        <f aca="false">IF(A944="","",IFERROR(VLOOKUP(IF(ISNUMBER(SEARCH("(",C944)),LEFT(C944,SEARCH("(",C944)-1),C944),Tipos!$A:$B,2,FALSE()),"outro"))</f>
        <v/>
      </c>
      <c r="K944" s="7" t="str">
        <f aca="false">IF(I944="","",IFERROR(INDEX('Campos Growths'!$L:$L,MATCH(H944,'Campos Growths'!$A:$A,0)),""))</f>
        <v/>
      </c>
      <c r="L944" s="7" t="str">
        <f aca="false">IF(A944="","",IF(G944="não","Sem tabela no Growths",IF(I944="","Sem campo no Growths",IF(J944=K944,"Importa direto","Ajustar tipo"))))</f>
        <v/>
      </c>
      <c r="M944" s="9"/>
    </row>
    <row r="945" customFormat="false" ht="15" hidden="false" customHeight="false" outlineLevel="0" collapsed="false">
      <c r="A945" s="7" t="str">
        <f aca="false">IF('Outro banco'!A945="","",IF(LEFT('Outro banco'!A945,1)="(","",'Outro banco'!A945))</f>
        <v/>
      </c>
      <c r="B945" s="7" t="str">
        <f aca="false">IF(A945="","",'Outro banco'!B945)</f>
        <v/>
      </c>
      <c r="C945" s="7" t="str">
        <f aca="false">IF(A945="","",'Outro banco'!C945)</f>
        <v/>
      </c>
      <c r="D945" s="7" t="str">
        <f aca="false">IF(A945="","",'Outro banco'!D945)</f>
        <v/>
      </c>
      <c r="E945" s="9"/>
      <c r="F945" s="9"/>
      <c r="G945" s="7" t="str">
        <f aca="false">IF(A945="","",IF(COUNTIF(Tabelas!$A:$A,IF(E945="",A945,E945))&gt;0,"sim","não"))</f>
        <v/>
      </c>
      <c r="H945" s="7" t="str">
        <f aca="false">IF(A945="","",IF(E945="",A945,E945)&amp;"."&amp;IF(F945="",B945,F945))</f>
        <v/>
      </c>
      <c r="I945" s="7" t="str">
        <f aca="false">IF(A945="","",IFERROR(INDEX('Campos Growths'!$F:$F,MATCH(H945,'Campos Growths'!$A:$A,0)),""))</f>
        <v/>
      </c>
      <c r="J945" s="7" t="str">
        <f aca="false">IF(A945="","",IFERROR(VLOOKUP(IF(ISNUMBER(SEARCH("(",C945)),LEFT(C945,SEARCH("(",C945)-1),C945),Tipos!$A:$B,2,FALSE()),"outro"))</f>
        <v/>
      </c>
      <c r="K945" s="7" t="str">
        <f aca="false">IF(I945="","",IFERROR(INDEX('Campos Growths'!$L:$L,MATCH(H945,'Campos Growths'!$A:$A,0)),""))</f>
        <v/>
      </c>
      <c r="L945" s="7" t="str">
        <f aca="false">IF(A945="","",IF(G945="não","Sem tabela no Growths",IF(I945="","Sem campo no Growths",IF(J945=K945,"Importa direto","Ajustar tipo"))))</f>
        <v/>
      </c>
      <c r="M945" s="9"/>
    </row>
    <row r="946" customFormat="false" ht="15" hidden="false" customHeight="false" outlineLevel="0" collapsed="false">
      <c r="A946" s="7" t="str">
        <f aca="false">IF('Outro banco'!A946="","",IF(LEFT('Outro banco'!A946,1)="(","",'Outro banco'!A946))</f>
        <v/>
      </c>
      <c r="B946" s="7" t="str">
        <f aca="false">IF(A946="","",'Outro banco'!B946)</f>
        <v/>
      </c>
      <c r="C946" s="7" t="str">
        <f aca="false">IF(A946="","",'Outro banco'!C946)</f>
        <v/>
      </c>
      <c r="D946" s="7" t="str">
        <f aca="false">IF(A946="","",'Outro banco'!D946)</f>
        <v/>
      </c>
      <c r="E946" s="9"/>
      <c r="F946" s="9"/>
      <c r="G946" s="7" t="str">
        <f aca="false">IF(A946="","",IF(COUNTIF(Tabelas!$A:$A,IF(E946="",A946,E946))&gt;0,"sim","não"))</f>
        <v/>
      </c>
      <c r="H946" s="7" t="str">
        <f aca="false">IF(A946="","",IF(E946="",A946,E946)&amp;"."&amp;IF(F946="",B946,F946))</f>
        <v/>
      </c>
      <c r="I946" s="7" t="str">
        <f aca="false">IF(A946="","",IFERROR(INDEX('Campos Growths'!$F:$F,MATCH(H946,'Campos Growths'!$A:$A,0)),""))</f>
        <v/>
      </c>
      <c r="J946" s="7" t="str">
        <f aca="false">IF(A946="","",IFERROR(VLOOKUP(IF(ISNUMBER(SEARCH("(",C946)),LEFT(C946,SEARCH("(",C946)-1),C946),Tipos!$A:$B,2,FALSE()),"outro"))</f>
        <v/>
      </c>
      <c r="K946" s="7" t="str">
        <f aca="false">IF(I946="","",IFERROR(INDEX('Campos Growths'!$L:$L,MATCH(H946,'Campos Growths'!$A:$A,0)),""))</f>
        <v/>
      </c>
      <c r="L946" s="7" t="str">
        <f aca="false">IF(A946="","",IF(G946="não","Sem tabela no Growths",IF(I946="","Sem campo no Growths",IF(J946=K946,"Importa direto","Ajustar tipo"))))</f>
        <v/>
      </c>
      <c r="M946" s="9"/>
    </row>
    <row r="947" customFormat="false" ht="15" hidden="false" customHeight="false" outlineLevel="0" collapsed="false">
      <c r="A947" s="7" t="str">
        <f aca="false">IF('Outro banco'!A947="","",IF(LEFT('Outro banco'!A947,1)="(","",'Outro banco'!A947))</f>
        <v/>
      </c>
      <c r="B947" s="7" t="str">
        <f aca="false">IF(A947="","",'Outro banco'!B947)</f>
        <v/>
      </c>
      <c r="C947" s="7" t="str">
        <f aca="false">IF(A947="","",'Outro banco'!C947)</f>
        <v/>
      </c>
      <c r="D947" s="7" t="str">
        <f aca="false">IF(A947="","",'Outro banco'!D947)</f>
        <v/>
      </c>
      <c r="E947" s="9"/>
      <c r="F947" s="9"/>
      <c r="G947" s="7" t="str">
        <f aca="false">IF(A947="","",IF(COUNTIF(Tabelas!$A:$A,IF(E947="",A947,E947))&gt;0,"sim","não"))</f>
        <v/>
      </c>
      <c r="H947" s="7" t="str">
        <f aca="false">IF(A947="","",IF(E947="",A947,E947)&amp;"."&amp;IF(F947="",B947,F947))</f>
        <v/>
      </c>
      <c r="I947" s="7" t="str">
        <f aca="false">IF(A947="","",IFERROR(INDEX('Campos Growths'!$F:$F,MATCH(H947,'Campos Growths'!$A:$A,0)),""))</f>
        <v/>
      </c>
      <c r="J947" s="7" t="str">
        <f aca="false">IF(A947="","",IFERROR(VLOOKUP(IF(ISNUMBER(SEARCH("(",C947)),LEFT(C947,SEARCH("(",C947)-1),C947),Tipos!$A:$B,2,FALSE()),"outro"))</f>
        <v/>
      </c>
      <c r="K947" s="7" t="str">
        <f aca="false">IF(I947="","",IFERROR(INDEX('Campos Growths'!$L:$L,MATCH(H947,'Campos Growths'!$A:$A,0)),""))</f>
        <v/>
      </c>
      <c r="L947" s="7" t="str">
        <f aca="false">IF(A947="","",IF(G947="não","Sem tabela no Growths",IF(I947="","Sem campo no Growths",IF(J947=K947,"Importa direto","Ajustar tipo"))))</f>
        <v/>
      </c>
      <c r="M947" s="9"/>
    </row>
    <row r="948" customFormat="false" ht="15" hidden="false" customHeight="false" outlineLevel="0" collapsed="false">
      <c r="A948" s="7" t="str">
        <f aca="false">IF('Outro banco'!A948="","",IF(LEFT('Outro banco'!A948,1)="(","",'Outro banco'!A948))</f>
        <v/>
      </c>
      <c r="B948" s="7" t="str">
        <f aca="false">IF(A948="","",'Outro banco'!B948)</f>
        <v/>
      </c>
      <c r="C948" s="7" t="str">
        <f aca="false">IF(A948="","",'Outro banco'!C948)</f>
        <v/>
      </c>
      <c r="D948" s="7" t="str">
        <f aca="false">IF(A948="","",'Outro banco'!D948)</f>
        <v/>
      </c>
      <c r="E948" s="9"/>
      <c r="F948" s="9"/>
      <c r="G948" s="7" t="str">
        <f aca="false">IF(A948="","",IF(COUNTIF(Tabelas!$A:$A,IF(E948="",A948,E948))&gt;0,"sim","não"))</f>
        <v/>
      </c>
      <c r="H948" s="7" t="str">
        <f aca="false">IF(A948="","",IF(E948="",A948,E948)&amp;"."&amp;IF(F948="",B948,F948))</f>
        <v/>
      </c>
      <c r="I948" s="7" t="str">
        <f aca="false">IF(A948="","",IFERROR(INDEX('Campos Growths'!$F:$F,MATCH(H948,'Campos Growths'!$A:$A,0)),""))</f>
        <v/>
      </c>
      <c r="J948" s="7" t="str">
        <f aca="false">IF(A948="","",IFERROR(VLOOKUP(IF(ISNUMBER(SEARCH("(",C948)),LEFT(C948,SEARCH("(",C948)-1),C948),Tipos!$A:$B,2,FALSE()),"outro"))</f>
        <v/>
      </c>
      <c r="K948" s="7" t="str">
        <f aca="false">IF(I948="","",IFERROR(INDEX('Campos Growths'!$L:$L,MATCH(H948,'Campos Growths'!$A:$A,0)),""))</f>
        <v/>
      </c>
      <c r="L948" s="7" t="str">
        <f aca="false">IF(A948="","",IF(G948="não","Sem tabela no Growths",IF(I948="","Sem campo no Growths",IF(J948=K948,"Importa direto","Ajustar tipo"))))</f>
        <v/>
      </c>
      <c r="M948" s="9"/>
    </row>
    <row r="949" customFormat="false" ht="15" hidden="false" customHeight="false" outlineLevel="0" collapsed="false">
      <c r="A949" s="7" t="str">
        <f aca="false">IF('Outro banco'!A949="","",IF(LEFT('Outro banco'!A949,1)="(","",'Outro banco'!A949))</f>
        <v/>
      </c>
      <c r="B949" s="7" t="str">
        <f aca="false">IF(A949="","",'Outro banco'!B949)</f>
        <v/>
      </c>
      <c r="C949" s="7" t="str">
        <f aca="false">IF(A949="","",'Outro banco'!C949)</f>
        <v/>
      </c>
      <c r="D949" s="7" t="str">
        <f aca="false">IF(A949="","",'Outro banco'!D949)</f>
        <v/>
      </c>
      <c r="E949" s="9"/>
      <c r="F949" s="9"/>
      <c r="G949" s="7" t="str">
        <f aca="false">IF(A949="","",IF(COUNTIF(Tabelas!$A:$A,IF(E949="",A949,E949))&gt;0,"sim","não"))</f>
        <v/>
      </c>
      <c r="H949" s="7" t="str">
        <f aca="false">IF(A949="","",IF(E949="",A949,E949)&amp;"."&amp;IF(F949="",B949,F949))</f>
        <v/>
      </c>
      <c r="I949" s="7" t="str">
        <f aca="false">IF(A949="","",IFERROR(INDEX('Campos Growths'!$F:$F,MATCH(H949,'Campos Growths'!$A:$A,0)),""))</f>
        <v/>
      </c>
      <c r="J949" s="7" t="str">
        <f aca="false">IF(A949="","",IFERROR(VLOOKUP(IF(ISNUMBER(SEARCH("(",C949)),LEFT(C949,SEARCH("(",C949)-1),C949),Tipos!$A:$B,2,FALSE()),"outro"))</f>
        <v/>
      </c>
      <c r="K949" s="7" t="str">
        <f aca="false">IF(I949="","",IFERROR(INDEX('Campos Growths'!$L:$L,MATCH(H949,'Campos Growths'!$A:$A,0)),""))</f>
        <v/>
      </c>
      <c r="L949" s="7" t="str">
        <f aca="false">IF(A949="","",IF(G949="não","Sem tabela no Growths",IF(I949="","Sem campo no Growths",IF(J949=K949,"Importa direto","Ajustar tipo"))))</f>
        <v/>
      </c>
      <c r="M949" s="9"/>
    </row>
    <row r="950" customFormat="false" ht="15" hidden="false" customHeight="false" outlineLevel="0" collapsed="false">
      <c r="A950" s="7" t="str">
        <f aca="false">IF('Outro banco'!A950="","",IF(LEFT('Outro banco'!A950,1)="(","",'Outro banco'!A950))</f>
        <v/>
      </c>
      <c r="B950" s="7" t="str">
        <f aca="false">IF(A950="","",'Outro banco'!B950)</f>
        <v/>
      </c>
      <c r="C950" s="7" t="str">
        <f aca="false">IF(A950="","",'Outro banco'!C950)</f>
        <v/>
      </c>
      <c r="D950" s="7" t="str">
        <f aca="false">IF(A950="","",'Outro banco'!D950)</f>
        <v/>
      </c>
      <c r="E950" s="9"/>
      <c r="F950" s="9"/>
      <c r="G950" s="7" t="str">
        <f aca="false">IF(A950="","",IF(COUNTIF(Tabelas!$A:$A,IF(E950="",A950,E950))&gt;0,"sim","não"))</f>
        <v/>
      </c>
      <c r="H950" s="7" t="str">
        <f aca="false">IF(A950="","",IF(E950="",A950,E950)&amp;"."&amp;IF(F950="",B950,F950))</f>
        <v/>
      </c>
      <c r="I950" s="7" t="str">
        <f aca="false">IF(A950="","",IFERROR(INDEX('Campos Growths'!$F:$F,MATCH(H950,'Campos Growths'!$A:$A,0)),""))</f>
        <v/>
      </c>
      <c r="J950" s="7" t="str">
        <f aca="false">IF(A950="","",IFERROR(VLOOKUP(IF(ISNUMBER(SEARCH("(",C950)),LEFT(C950,SEARCH("(",C950)-1),C950),Tipos!$A:$B,2,FALSE()),"outro"))</f>
        <v/>
      </c>
      <c r="K950" s="7" t="str">
        <f aca="false">IF(I950="","",IFERROR(INDEX('Campos Growths'!$L:$L,MATCH(H950,'Campos Growths'!$A:$A,0)),""))</f>
        <v/>
      </c>
      <c r="L950" s="7" t="str">
        <f aca="false">IF(A950="","",IF(G950="não","Sem tabela no Growths",IF(I950="","Sem campo no Growths",IF(J950=K950,"Importa direto","Ajustar tipo"))))</f>
        <v/>
      </c>
      <c r="M950" s="9"/>
    </row>
    <row r="951" customFormat="false" ht="15" hidden="false" customHeight="false" outlineLevel="0" collapsed="false">
      <c r="A951" s="7" t="str">
        <f aca="false">IF('Outro banco'!A951="","",IF(LEFT('Outro banco'!A951,1)="(","",'Outro banco'!A951))</f>
        <v/>
      </c>
      <c r="B951" s="7" t="str">
        <f aca="false">IF(A951="","",'Outro banco'!B951)</f>
        <v/>
      </c>
      <c r="C951" s="7" t="str">
        <f aca="false">IF(A951="","",'Outro banco'!C951)</f>
        <v/>
      </c>
      <c r="D951" s="7" t="str">
        <f aca="false">IF(A951="","",'Outro banco'!D951)</f>
        <v/>
      </c>
      <c r="E951" s="9"/>
      <c r="F951" s="9"/>
      <c r="G951" s="7" t="str">
        <f aca="false">IF(A951="","",IF(COUNTIF(Tabelas!$A:$A,IF(E951="",A951,E951))&gt;0,"sim","não"))</f>
        <v/>
      </c>
      <c r="H951" s="7" t="str">
        <f aca="false">IF(A951="","",IF(E951="",A951,E951)&amp;"."&amp;IF(F951="",B951,F951))</f>
        <v/>
      </c>
      <c r="I951" s="7" t="str">
        <f aca="false">IF(A951="","",IFERROR(INDEX('Campos Growths'!$F:$F,MATCH(H951,'Campos Growths'!$A:$A,0)),""))</f>
        <v/>
      </c>
      <c r="J951" s="7" t="str">
        <f aca="false">IF(A951="","",IFERROR(VLOOKUP(IF(ISNUMBER(SEARCH("(",C951)),LEFT(C951,SEARCH("(",C951)-1),C951),Tipos!$A:$B,2,FALSE()),"outro"))</f>
        <v/>
      </c>
      <c r="K951" s="7" t="str">
        <f aca="false">IF(I951="","",IFERROR(INDEX('Campos Growths'!$L:$L,MATCH(H951,'Campos Growths'!$A:$A,0)),""))</f>
        <v/>
      </c>
      <c r="L951" s="7" t="str">
        <f aca="false">IF(A951="","",IF(G951="não","Sem tabela no Growths",IF(I951="","Sem campo no Growths",IF(J951=K951,"Importa direto","Ajustar tipo"))))</f>
        <v/>
      </c>
      <c r="M951" s="9"/>
    </row>
    <row r="952" customFormat="false" ht="15" hidden="false" customHeight="false" outlineLevel="0" collapsed="false">
      <c r="A952" s="7" t="str">
        <f aca="false">IF('Outro banco'!A952="","",IF(LEFT('Outro banco'!A952,1)="(","",'Outro banco'!A952))</f>
        <v/>
      </c>
      <c r="B952" s="7" t="str">
        <f aca="false">IF(A952="","",'Outro banco'!B952)</f>
        <v/>
      </c>
      <c r="C952" s="7" t="str">
        <f aca="false">IF(A952="","",'Outro banco'!C952)</f>
        <v/>
      </c>
      <c r="D952" s="7" t="str">
        <f aca="false">IF(A952="","",'Outro banco'!D952)</f>
        <v/>
      </c>
      <c r="E952" s="9"/>
      <c r="F952" s="9"/>
      <c r="G952" s="7" t="str">
        <f aca="false">IF(A952="","",IF(COUNTIF(Tabelas!$A:$A,IF(E952="",A952,E952))&gt;0,"sim","não"))</f>
        <v/>
      </c>
      <c r="H952" s="7" t="str">
        <f aca="false">IF(A952="","",IF(E952="",A952,E952)&amp;"."&amp;IF(F952="",B952,F952))</f>
        <v/>
      </c>
      <c r="I952" s="7" t="str">
        <f aca="false">IF(A952="","",IFERROR(INDEX('Campos Growths'!$F:$F,MATCH(H952,'Campos Growths'!$A:$A,0)),""))</f>
        <v/>
      </c>
      <c r="J952" s="7" t="str">
        <f aca="false">IF(A952="","",IFERROR(VLOOKUP(IF(ISNUMBER(SEARCH("(",C952)),LEFT(C952,SEARCH("(",C952)-1),C952),Tipos!$A:$B,2,FALSE()),"outro"))</f>
        <v/>
      </c>
      <c r="K952" s="7" t="str">
        <f aca="false">IF(I952="","",IFERROR(INDEX('Campos Growths'!$L:$L,MATCH(H952,'Campos Growths'!$A:$A,0)),""))</f>
        <v/>
      </c>
      <c r="L952" s="7" t="str">
        <f aca="false">IF(A952="","",IF(G952="não","Sem tabela no Growths",IF(I952="","Sem campo no Growths",IF(J952=K952,"Importa direto","Ajustar tipo"))))</f>
        <v/>
      </c>
      <c r="M952" s="9"/>
    </row>
    <row r="953" customFormat="false" ht="15" hidden="false" customHeight="false" outlineLevel="0" collapsed="false">
      <c r="A953" s="7" t="str">
        <f aca="false">IF('Outro banco'!A953="","",IF(LEFT('Outro banco'!A953,1)="(","",'Outro banco'!A953))</f>
        <v/>
      </c>
      <c r="B953" s="7" t="str">
        <f aca="false">IF(A953="","",'Outro banco'!B953)</f>
        <v/>
      </c>
      <c r="C953" s="7" t="str">
        <f aca="false">IF(A953="","",'Outro banco'!C953)</f>
        <v/>
      </c>
      <c r="D953" s="7" t="str">
        <f aca="false">IF(A953="","",'Outro banco'!D953)</f>
        <v/>
      </c>
      <c r="E953" s="9"/>
      <c r="F953" s="9"/>
      <c r="G953" s="7" t="str">
        <f aca="false">IF(A953="","",IF(COUNTIF(Tabelas!$A:$A,IF(E953="",A953,E953))&gt;0,"sim","não"))</f>
        <v/>
      </c>
      <c r="H953" s="7" t="str">
        <f aca="false">IF(A953="","",IF(E953="",A953,E953)&amp;"."&amp;IF(F953="",B953,F953))</f>
        <v/>
      </c>
      <c r="I953" s="7" t="str">
        <f aca="false">IF(A953="","",IFERROR(INDEX('Campos Growths'!$F:$F,MATCH(H953,'Campos Growths'!$A:$A,0)),""))</f>
        <v/>
      </c>
      <c r="J953" s="7" t="str">
        <f aca="false">IF(A953="","",IFERROR(VLOOKUP(IF(ISNUMBER(SEARCH("(",C953)),LEFT(C953,SEARCH("(",C953)-1),C953),Tipos!$A:$B,2,FALSE()),"outro"))</f>
        <v/>
      </c>
      <c r="K953" s="7" t="str">
        <f aca="false">IF(I953="","",IFERROR(INDEX('Campos Growths'!$L:$L,MATCH(H953,'Campos Growths'!$A:$A,0)),""))</f>
        <v/>
      </c>
      <c r="L953" s="7" t="str">
        <f aca="false">IF(A953="","",IF(G953="não","Sem tabela no Growths",IF(I953="","Sem campo no Growths",IF(J953=K953,"Importa direto","Ajustar tipo"))))</f>
        <v/>
      </c>
      <c r="M953" s="9"/>
    </row>
    <row r="954" customFormat="false" ht="15" hidden="false" customHeight="false" outlineLevel="0" collapsed="false">
      <c r="A954" s="7" t="str">
        <f aca="false">IF('Outro banco'!A954="","",IF(LEFT('Outro banco'!A954,1)="(","",'Outro banco'!A954))</f>
        <v/>
      </c>
      <c r="B954" s="7" t="str">
        <f aca="false">IF(A954="","",'Outro banco'!B954)</f>
        <v/>
      </c>
      <c r="C954" s="7" t="str">
        <f aca="false">IF(A954="","",'Outro banco'!C954)</f>
        <v/>
      </c>
      <c r="D954" s="7" t="str">
        <f aca="false">IF(A954="","",'Outro banco'!D954)</f>
        <v/>
      </c>
      <c r="E954" s="9"/>
      <c r="F954" s="9"/>
      <c r="G954" s="7" t="str">
        <f aca="false">IF(A954="","",IF(COUNTIF(Tabelas!$A:$A,IF(E954="",A954,E954))&gt;0,"sim","não"))</f>
        <v/>
      </c>
      <c r="H954" s="7" t="str">
        <f aca="false">IF(A954="","",IF(E954="",A954,E954)&amp;"."&amp;IF(F954="",B954,F954))</f>
        <v/>
      </c>
      <c r="I954" s="7" t="str">
        <f aca="false">IF(A954="","",IFERROR(INDEX('Campos Growths'!$F:$F,MATCH(H954,'Campos Growths'!$A:$A,0)),""))</f>
        <v/>
      </c>
      <c r="J954" s="7" t="str">
        <f aca="false">IF(A954="","",IFERROR(VLOOKUP(IF(ISNUMBER(SEARCH("(",C954)),LEFT(C954,SEARCH("(",C954)-1),C954),Tipos!$A:$B,2,FALSE()),"outro"))</f>
        <v/>
      </c>
      <c r="K954" s="7" t="str">
        <f aca="false">IF(I954="","",IFERROR(INDEX('Campos Growths'!$L:$L,MATCH(H954,'Campos Growths'!$A:$A,0)),""))</f>
        <v/>
      </c>
      <c r="L954" s="7" t="str">
        <f aca="false">IF(A954="","",IF(G954="não","Sem tabela no Growths",IF(I954="","Sem campo no Growths",IF(J954=K954,"Importa direto","Ajustar tipo"))))</f>
        <v/>
      </c>
      <c r="M954" s="9"/>
    </row>
    <row r="955" customFormat="false" ht="15" hidden="false" customHeight="false" outlineLevel="0" collapsed="false">
      <c r="A955" s="7" t="str">
        <f aca="false">IF('Outro banco'!A955="","",IF(LEFT('Outro banco'!A955,1)="(","",'Outro banco'!A955))</f>
        <v/>
      </c>
      <c r="B955" s="7" t="str">
        <f aca="false">IF(A955="","",'Outro banco'!B955)</f>
        <v/>
      </c>
      <c r="C955" s="7" t="str">
        <f aca="false">IF(A955="","",'Outro banco'!C955)</f>
        <v/>
      </c>
      <c r="D955" s="7" t="str">
        <f aca="false">IF(A955="","",'Outro banco'!D955)</f>
        <v/>
      </c>
      <c r="E955" s="9"/>
      <c r="F955" s="9"/>
      <c r="G955" s="7" t="str">
        <f aca="false">IF(A955="","",IF(COUNTIF(Tabelas!$A:$A,IF(E955="",A955,E955))&gt;0,"sim","não"))</f>
        <v/>
      </c>
      <c r="H955" s="7" t="str">
        <f aca="false">IF(A955="","",IF(E955="",A955,E955)&amp;"."&amp;IF(F955="",B955,F955))</f>
        <v/>
      </c>
      <c r="I955" s="7" t="str">
        <f aca="false">IF(A955="","",IFERROR(INDEX('Campos Growths'!$F:$F,MATCH(H955,'Campos Growths'!$A:$A,0)),""))</f>
        <v/>
      </c>
      <c r="J955" s="7" t="str">
        <f aca="false">IF(A955="","",IFERROR(VLOOKUP(IF(ISNUMBER(SEARCH("(",C955)),LEFT(C955,SEARCH("(",C955)-1),C955),Tipos!$A:$B,2,FALSE()),"outro"))</f>
        <v/>
      </c>
      <c r="K955" s="7" t="str">
        <f aca="false">IF(I955="","",IFERROR(INDEX('Campos Growths'!$L:$L,MATCH(H955,'Campos Growths'!$A:$A,0)),""))</f>
        <v/>
      </c>
      <c r="L955" s="7" t="str">
        <f aca="false">IF(A955="","",IF(G955="não","Sem tabela no Growths",IF(I955="","Sem campo no Growths",IF(J955=K955,"Importa direto","Ajustar tipo"))))</f>
        <v/>
      </c>
      <c r="M955" s="9"/>
    </row>
    <row r="956" customFormat="false" ht="15" hidden="false" customHeight="false" outlineLevel="0" collapsed="false">
      <c r="A956" s="7" t="str">
        <f aca="false">IF('Outro banco'!A956="","",IF(LEFT('Outro banco'!A956,1)="(","",'Outro banco'!A956))</f>
        <v/>
      </c>
      <c r="B956" s="7" t="str">
        <f aca="false">IF(A956="","",'Outro banco'!B956)</f>
        <v/>
      </c>
      <c r="C956" s="7" t="str">
        <f aca="false">IF(A956="","",'Outro banco'!C956)</f>
        <v/>
      </c>
      <c r="D956" s="7" t="str">
        <f aca="false">IF(A956="","",'Outro banco'!D956)</f>
        <v/>
      </c>
      <c r="E956" s="9"/>
      <c r="F956" s="9"/>
      <c r="G956" s="7" t="str">
        <f aca="false">IF(A956="","",IF(COUNTIF(Tabelas!$A:$A,IF(E956="",A956,E956))&gt;0,"sim","não"))</f>
        <v/>
      </c>
      <c r="H956" s="7" t="str">
        <f aca="false">IF(A956="","",IF(E956="",A956,E956)&amp;"."&amp;IF(F956="",B956,F956))</f>
        <v/>
      </c>
      <c r="I956" s="7" t="str">
        <f aca="false">IF(A956="","",IFERROR(INDEX('Campos Growths'!$F:$F,MATCH(H956,'Campos Growths'!$A:$A,0)),""))</f>
        <v/>
      </c>
      <c r="J956" s="7" t="str">
        <f aca="false">IF(A956="","",IFERROR(VLOOKUP(IF(ISNUMBER(SEARCH("(",C956)),LEFT(C956,SEARCH("(",C956)-1),C956),Tipos!$A:$B,2,FALSE()),"outro"))</f>
        <v/>
      </c>
      <c r="K956" s="7" t="str">
        <f aca="false">IF(I956="","",IFERROR(INDEX('Campos Growths'!$L:$L,MATCH(H956,'Campos Growths'!$A:$A,0)),""))</f>
        <v/>
      </c>
      <c r="L956" s="7" t="str">
        <f aca="false">IF(A956="","",IF(G956="não","Sem tabela no Growths",IF(I956="","Sem campo no Growths",IF(J956=K956,"Importa direto","Ajustar tipo"))))</f>
        <v/>
      </c>
      <c r="M956" s="9"/>
    </row>
    <row r="957" customFormat="false" ht="15" hidden="false" customHeight="false" outlineLevel="0" collapsed="false">
      <c r="A957" s="7" t="str">
        <f aca="false">IF('Outro banco'!A957="","",IF(LEFT('Outro banco'!A957,1)="(","",'Outro banco'!A957))</f>
        <v/>
      </c>
      <c r="B957" s="7" t="str">
        <f aca="false">IF(A957="","",'Outro banco'!B957)</f>
        <v/>
      </c>
      <c r="C957" s="7" t="str">
        <f aca="false">IF(A957="","",'Outro banco'!C957)</f>
        <v/>
      </c>
      <c r="D957" s="7" t="str">
        <f aca="false">IF(A957="","",'Outro banco'!D957)</f>
        <v/>
      </c>
      <c r="E957" s="9"/>
      <c r="F957" s="9"/>
      <c r="G957" s="7" t="str">
        <f aca="false">IF(A957="","",IF(COUNTIF(Tabelas!$A:$A,IF(E957="",A957,E957))&gt;0,"sim","não"))</f>
        <v/>
      </c>
      <c r="H957" s="7" t="str">
        <f aca="false">IF(A957="","",IF(E957="",A957,E957)&amp;"."&amp;IF(F957="",B957,F957))</f>
        <v/>
      </c>
      <c r="I957" s="7" t="str">
        <f aca="false">IF(A957="","",IFERROR(INDEX('Campos Growths'!$F:$F,MATCH(H957,'Campos Growths'!$A:$A,0)),""))</f>
        <v/>
      </c>
      <c r="J957" s="7" t="str">
        <f aca="false">IF(A957="","",IFERROR(VLOOKUP(IF(ISNUMBER(SEARCH("(",C957)),LEFT(C957,SEARCH("(",C957)-1),C957),Tipos!$A:$B,2,FALSE()),"outro"))</f>
        <v/>
      </c>
      <c r="K957" s="7" t="str">
        <f aca="false">IF(I957="","",IFERROR(INDEX('Campos Growths'!$L:$L,MATCH(H957,'Campos Growths'!$A:$A,0)),""))</f>
        <v/>
      </c>
      <c r="L957" s="7" t="str">
        <f aca="false">IF(A957="","",IF(G957="não","Sem tabela no Growths",IF(I957="","Sem campo no Growths",IF(J957=K957,"Importa direto","Ajustar tipo"))))</f>
        <v/>
      </c>
      <c r="M957" s="9"/>
    </row>
    <row r="958" customFormat="false" ht="15" hidden="false" customHeight="false" outlineLevel="0" collapsed="false">
      <c r="A958" s="7" t="str">
        <f aca="false">IF('Outro banco'!A958="","",IF(LEFT('Outro banco'!A958,1)="(","",'Outro banco'!A958))</f>
        <v/>
      </c>
      <c r="B958" s="7" t="str">
        <f aca="false">IF(A958="","",'Outro banco'!B958)</f>
        <v/>
      </c>
      <c r="C958" s="7" t="str">
        <f aca="false">IF(A958="","",'Outro banco'!C958)</f>
        <v/>
      </c>
      <c r="D958" s="7" t="str">
        <f aca="false">IF(A958="","",'Outro banco'!D958)</f>
        <v/>
      </c>
      <c r="E958" s="9"/>
      <c r="F958" s="9"/>
      <c r="G958" s="7" t="str">
        <f aca="false">IF(A958="","",IF(COUNTIF(Tabelas!$A:$A,IF(E958="",A958,E958))&gt;0,"sim","não"))</f>
        <v/>
      </c>
      <c r="H958" s="7" t="str">
        <f aca="false">IF(A958="","",IF(E958="",A958,E958)&amp;"."&amp;IF(F958="",B958,F958))</f>
        <v/>
      </c>
      <c r="I958" s="7" t="str">
        <f aca="false">IF(A958="","",IFERROR(INDEX('Campos Growths'!$F:$F,MATCH(H958,'Campos Growths'!$A:$A,0)),""))</f>
        <v/>
      </c>
      <c r="J958" s="7" t="str">
        <f aca="false">IF(A958="","",IFERROR(VLOOKUP(IF(ISNUMBER(SEARCH("(",C958)),LEFT(C958,SEARCH("(",C958)-1),C958),Tipos!$A:$B,2,FALSE()),"outro"))</f>
        <v/>
      </c>
      <c r="K958" s="7" t="str">
        <f aca="false">IF(I958="","",IFERROR(INDEX('Campos Growths'!$L:$L,MATCH(H958,'Campos Growths'!$A:$A,0)),""))</f>
        <v/>
      </c>
      <c r="L958" s="7" t="str">
        <f aca="false">IF(A958="","",IF(G958="não","Sem tabela no Growths",IF(I958="","Sem campo no Growths",IF(J958=K958,"Importa direto","Ajustar tipo"))))</f>
        <v/>
      </c>
      <c r="M958" s="9"/>
    </row>
    <row r="959" customFormat="false" ht="15" hidden="false" customHeight="false" outlineLevel="0" collapsed="false">
      <c r="A959" s="7" t="str">
        <f aca="false">IF('Outro banco'!A959="","",IF(LEFT('Outro banco'!A959,1)="(","",'Outro banco'!A959))</f>
        <v/>
      </c>
      <c r="B959" s="7" t="str">
        <f aca="false">IF(A959="","",'Outro banco'!B959)</f>
        <v/>
      </c>
      <c r="C959" s="7" t="str">
        <f aca="false">IF(A959="","",'Outro banco'!C959)</f>
        <v/>
      </c>
      <c r="D959" s="7" t="str">
        <f aca="false">IF(A959="","",'Outro banco'!D959)</f>
        <v/>
      </c>
      <c r="E959" s="9"/>
      <c r="F959" s="9"/>
      <c r="G959" s="7" t="str">
        <f aca="false">IF(A959="","",IF(COUNTIF(Tabelas!$A:$A,IF(E959="",A959,E959))&gt;0,"sim","não"))</f>
        <v/>
      </c>
      <c r="H959" s="7" t="str">
        <f aca="false">IF(A959="","",IF(E959="",A959,E959)&amp;"."&amp;IF(F959="",B959,F959))</f>
        <v/>
      </c>
      <c r="I959" s="7" t="str">
        <f aca="false">IF(A959="","",IFERROR(INDEX('Campos Growths'!$F:$F,MATCH(H959,'Campos Growths'!$A:$A,0)),""))</f>
        <v/>
      </c>
      <c r="J959" s="7" t="str">
        <f aca="false">IF(A959="","",IFERROR(VLOOKUP(IF(ISNUMBER(SEARCH("(",C959)),LEFT(C959,SEARCH("(",C959)-1),C959),Tipos!$A:$B,2,FALSE()),"outro"))</f>
        <v/>
      </c>
      <c r="K959" s="7" t="str">
        <f aca="false">IF(I959="","",IFERROR(INDEX('Campos Growths'!$L:$L,MATCH(H959,'Campos Growths'!$A:$A,0)),""))</f>
        <v/>
      </c>
      <c r="L959" s="7" t="str">
        <f aca="false">IF(A959="","",IF(G959="não","Sem tabela no Growths",IF(I959="","Sem campo no Growths",IF(J959=K959,"Importa direto","Ajustar tipo"))))</f>
        <v/>
      </c>
      <c r="M959" s="9"/>
    </row>
    <row r="960" customFormat="false" ht="15" hidden="false" customHeight="false" outlineLevel="0" collapsed="false">
      <c r="A960" s="7" t="str">
        <f aca="false">IF('Outro banco'!A960="","",IF(LEFT('Outro banco'!A960,1)="(","",'Outro banco'!A960))</f>
        <v/>
      </c>
      <c r="B960" s="7" t="str">
        <f aca="false">IF(A960="","",'Outro banco'!B960)</f>
        <v/>
      </c>
      <c r="C960" s="7" t="str">
        <f aca="false">IF(A960="","",'Outro banco'!C960)</f>
        <v/>
      </c>
      <c r="D960" s="7" t="str">
        <f aca="false">IF(A960="","",'Outro banco'!D960)</f>
        <v/>
      </c>
      <c r="E960" s="9"/>
      <c r="F960" s="9"/>
      <c r="G960" s="7" t="str">
        <f aca="false">IF(A960="","",IF(COUNTIF(Tabelas!$A:$A,IF(E960="",A960,E960))&gt;0,"sim","não"))</f>
        <v/>
      </c>
      <c r="H960" s="7" t="str">
        <f aca="false">IF(A960="","",IF(E960="",A960,E960)&amp;"."&amp;IF(F960="",B960,F960))</f>
        <v/>
      </c>
      <c r="I960" s="7" t="str">
        <f aca="false">IF(A960="","",IFERROR(INDEX('Campos Growths'!$F:$F,MATCH(H960,'Campos Growths'!$A:$A,0)),""))</f>
        <v/>
      </c>
      <c r="J960" s="7" t="str">
        <f aca="false">IF(A960="","",IFERROR(VLOOKUP(IF(ISNUMBER(SEARCH("(",C960)),LEFT(C960,SEARCH("(",C960)-1),C960),Tipos!$A:$B,2,FALSE()),"outro"))</f>
        <v/>
      </c>
      <c r="K960" s="7" t="str">
        <f aca="false">IF(I960="","",IFERROR(INDEX('Campos Growths'!$L:$L,MATCH(H960,'Campos Growths'!$A:$A,0)),""))</f>
        <v/>
      </c>
      <c r="L960" s="7" t="str">
        <f aca="false">IF(A960="","",IF(G960="não","Sem tabela no Growths",IF(I960="","Sem campo no Growths",IF(J960=K960,"Importa direto","Ajustar tipo"))))</f>
        <v/>
      </c>
      <c r="M960" s="9"/>
    </row>
    <row r="961" customFormat="false" ht="15" hidden="false" customHeight="false" outlineLevel="0" collapsed="false">
      <c r="A961" s="7" t="str">
        <f aca="false">IF('Outro banco'!A961="","",IF(LEFT('Outro banco'!A961,1)="(","",'Outro banco'!A961))</f>
        <v/>
      </c>
      <c r="B961" s="7" t="str">
        <f aca="false">IF(A961="","",'Outro banco'!B961)</f>
        <v/>
      </c>
      <c r="C961" s="7" t="str">
        <f aca="false">IF(A961="","",'Outro banco'!C961)</f>
        <v/>
      </c>
      <c r="D961" s="7" t="str">
        <f aca="false">IF(A961="","",'Outro banco'!D961)</f>
        <v/>
      </c>
      <c r="E961" s="9"/>
      <c r="F961" s="9"/>
      <c r="G961" s="7" t="str">
        <f aca="false">IF(A961="","",IF(COUNTIF(Tabelas!$A:$A,IF(E961="",A961,E961))&gt;0,"sim","não"))</f>
        <v/>
      </c>
      <c r="H961" s="7" t="str">
        <f aca="false">IF(A961="","",IF(E961="",A961,E961)&amp;"."&amp;IF(F961="",B961,F961))</f>
        <v/>
      </c>
      <c r="I961" s="7" t="str">
        <f aca="false">IF(A961="","",IFERROR(INDEX('Campos Growths'!$F:$F,MATCH(H961,'Campos Growths'!$A:$A,0)),""))</f>
        <v/>
      </c>
      <c r="J961" s="7" t="str">
        <f aca="false">IF(A961="","",IFERROR(VLOOKUP(IF(ISNUMBER(SEARCH("(",C961)),LEFT(C961,SEARCH("(",C961)-1),C961),Tipos!$A:$B,2,FALSE()),"outro"))</f>
        <v/>
      </c>
      <c r="K961" s="7" t="str">
        <f aca="false">IF(I961="","",IFERROR(INDEX('Campos Growths'!$L:$L,MATCH(H961,'Campos Growths'!$A:$A,0)),""))</f>
        <v/>
      </c>
      <c r="L961" s="7" t="str">
        <f aca="false">IF(A961="","",IF(G961="não","Sem tabela no Growths",IF(I961="","Sem campo no Growths",IF(J961=K961,"Importa direto","Ajustar tipo"))))</f>
        <v/>
      </c>
      <c r="M961" s="9"/>
    </row>
    <row r="962" customFormat="false" ht="15" hidden="false" customHeight="false" outlineLevel="0" collapsed="false">
      <c r="A962" s="7" t="str">
        <f aca="false">IF('Outro banco'!A962="","",IF(LEFT('Outro banco'!A962,1)="(","",'Outro banco'!A962))</f>
        <v/>
      </c>
      <c r="B962" s="7" t="str">
        <f aca="false">IF(A962="","",'Outro banco'!B962)</f>
        <v/>
      </c>
      <c r="C962" s="7" t="str">
        <f aca="false">IF(A962="","",'Outro banco'!C962)</f>
        <v/>
      </c>
      <c r="D962" s="7" t="str">
        <f aca="false">IF(A962="","",'Outro banco'!D962)</f>
        <v/>
      </c>
      <c r="E962" s="9"/>
      <c r="F962" s="9"/>
      <c r="G962" s="7" t="str">
        <f aca="false">IF(A962="","",IF(COUNTIF(Tabelas!$A:$A,IF(E962="",A962,E962))&gt;0,"sim","não"))</f>
        <v/>
      </c>
      <c r="H962" s="7" t="str">
        <f aca="false">IF(A962="","",IF(E962="",A962,E962)&amp;"."&amp;IF(F962="",B962,F962))</f>
        <v/>
      </c>
      <c r="I962" s="7" t="str">
        <f aca="false">IF(A962="","",IFERROR(INDEX('Campos Growths'!$F:$F,MATCH(H962,'Campos Growths'!$A:$A,0)),""))</f>
        <v/>
      </c>
      <c r="J962" s="7" t="str">
        <f aca="false">IF(A962="","",IFERROR(VLOOKUP(IF(ISNUMBER(SEARCH("(",C962)),LEFT(C962,SEARCH("(",C962)-1),C962),Tipos!$A:$B,2,FALSE()),"outro"))</f>
        <v/>
      </c>
      <c r="K962" s="7" t="str">
        <f aca="false">IF(I962="","",IFERROR(INDEX('Campos Growths'!$L:$L,MATCH(H962,'Campos Growths'!$A:$A,0)),""))</f>
        <v/>
      </c>
      <c r="L962" s="7" t="str">
        <f aca="false">IF(A962="","",IF(G962="não","Sem tabela no Growths",IF(I962="","Sem campo no Growths",IF(J962=K962,"Importa direto","Ajustar tipo"))))</f>
        <v/>
      </c>
      <c r="M962" s="9"/>
    </row>
    <row r="963" customFormat="false" ht="15" hidden="false" customHeight="false" outlineLevel="0" collapsed="false">
      <c r="A963" s="7" t="str">
        <f aca="false">IF('Outro banco'!A963="","",IF(LEFT('Outro banco'!A963,1)="(","",'Outro banco'!A963))</f>
        <v/>
      </c>
      <c r="B963" s="7" t="str">
        <f aca="false">IF(A963="","",'Outro banco'!B963)</f>
        <v/>
      </c>
      <c r="C963" s="7" t="str">
        <f aca="false">IF(A963="","",'Outro banco'!C963)</f>
        <v/>
      </c>
      <c r="D963" s="7" t="str">
        <f aca="false">IF(A963="","",'Outro banco'!D963)</f>
        <v/>
      </c>
      <c r="E963" s="9"/>
      <c r="F963" s="9"/>
      <c r="G963" s="7" t="str">
        <f aca="false">IF(A963="","",IF(COUNTIF(Tabelas!$A:$A,IF(E963="",A963,E963))&gt;0,"sim","não"))</f>
        <v/>
      </c>
      <c r="H963" s="7" t="str">
        <f aca="false">IF(A963="","",IF(E963="",A963,E963)&amp;"."&amp;IF(F963="",B963,F963))</f>
        <v/>
      </c>
      <c r="I963" s="7" t="str">
        <f aca="false">IF(A963="","",IFERROR(INDEX('Campos Growths'!$F:$F,MATCH(H963,'Campos Growths'!$A:$A,0)),""))</f>
        <v/>
      </c>
      <c r="J963" s="7" t="str">
        <f aca="false">IF(A963="","",IFERROR(VLOOKUP(IF(ISNUMBER(SEARCH("(",C963)),LEFT(C963,SEARCH("(",C963)-1),C963),Tipos!$A:$B,2,FALSE()),"outro"))</f>
        <v/>
      </c>
      <c r="K963" s="7" t="str">
        <f aca="false">IF(I963="","",IFERROR(INDEX('Campos Growths'!$L:$L,MATCH(H963,'Campos Growths'!$A:$A,0)),""))</f>
        <v/>
      </c>
      <c r="L963" s="7" t="str">
        <f aca="false">IF(A963="","",IF(G963="não","Sem tabela no Growths",IF(I963="","Sem campo no Growths",IF(J963=K963,"Importa direto","Ajustar tipo"))))</f>
        <v/>
      </c>
      <c r="M963" s="9"/>
    </row>
    <row r="964" customFormat="false" ht="15" hidden="false" customHeight="false" outlineLevel="0" collapsed="false">
      <c r="A964" s="7" t="str">
        <f aca="false">IF('Outro banco'!A964="","",IF(LEFT('Outro banco'!A964,1)="(","",'Outro banco'!A964))</f>
        <v/>
      </c>
      <c r="B964" s="7" t="str">
        <f aca="false">IF(A964="","",'Outro banco'!B964)</f>
        <v/>
      </c>
      <c r="C964" s="7" t="str">
        <f aca="false">IF(A964="","",'Outro banco'!C964)</f>
        <v/>
      </c>
      <c r="D964" s="7" t="str">
        <f aca="false">IF(A964="","",'Outro banco'!D964)</f>
        <v/>
      </c>
      <c r="E964" s="9"/>
      <c r="F964" s="9"/>
      <c r="G964" s="7" t="str">
        <f aca="false">IF(A964="","",IF(COUNTIF(Tabelas!$A:$A,IF(E964="",A964,E964))&gt;0,"sim","não"))</f>
        <v/>
      </c>
      <c r="H964" s="7" t="str">
        <f aca="false">IF(A964="","",IF(E964="",A964,E964)&amp;"."&amp;IF(F964="",B964,F964))</f>
        <v/>
      </c>
      <c r="I964" s="7" t="str">
        <f aca="false">IF(A964="","",IFERROR(INDEX('Campos Growths'!$F:$F,MATCH(H964,'Campos Growths'!$A:$A,0)),""))</f>
        <v/>
      </c>
      <c r="J964" s="7" t="str">
        <f aca="false">IF(A964="","",IFERROR(VLOOKUP(IF(ISNUMBER(SEARCH("(",C964)),LEFT(C964,SEARCH("(",C964)-1),C964),Tipos!$A:$B,2,FALSE()),"outro"))</f>
        <v/>
      </c>
      <c r="K964" s="7" t="str">
        <f aca="false">IF(I964="","",IFERROR(INDEX('Campos Growths'!$L:$L,MATCH(H964,'Campos Growths'!$A:$A,0)),""))</f>
        <v/>
      </c>
      <c r="L964" s="7" t="str">
        <f aca="false">IF(A964="","",IF(G964="não","Sem tabela no Growths",IF(I964="","Sem campo no Growths",IF(J964=K964,"Importa direto","Ajustar tipo"))))</f>
        <v/>
      </c>
      <c r="M964" s="9"/>
    </row>
    <row r="965" customFormat="false" ht="15" hidden="false" customHeight="false" outlineLevel="0" collapsed="false">
      <c r="A965" s="7" t="str">
        <f aca="false">IF('Outro banco'!A965="","",IF(LEFT('Outro banco'!A965,1)="(","",'Outro banco'!A965))</f>
        <v/>
      </c>
      <c r="B965" s="7" t="str">
        <f aca="false">IF(A965="","",'Outro banco'!B965)</f>
        <v/>
      </c>
      <c r="C965" s="7" t="str">
        <f aca="false">IF(A965="","",'Outro banco'!C965)</f>
        <v/>
      </c>
      <c r="D965" s="7" t="str">
        <f aca="false">IF(A965="","",'Outro banco'!D965)</f>
        <v/>
      </c>
      <c r="E965" s="9"/>
      <c r="F965" s="9"/>
      <c r="G965" s="7" t="str">
        <f aca="false">IF(A965="","",IF(COUNTIF(Tabelas!$A:$A,IF(E965="",A965,E965))&gt;0,"sim","não"))</f>
        <v/>
      </c>
      <c r="H965" s="7" t="str">
        <f aca="false">IF(A965="","",IF(E965="",A965,E965)&amp;"."&amp;IF(F965="",B965,F965))</f>
        <v/>
      </c>
      <c r="I965" s="7" t="str">
        <f aca="false">IF(A965="","",IFERROR(INDEX('Campos Growths'!$F:$F,MATCH(H965,'Campos Growths'!$A:$A,0)),""))</f>
        <v/>
      </c>
      <c r="J965" s="7" t="str">
        <f aca="false">IF(A965="","",IFERROR(VLOOKUP(IF(ISNUMBER(SEARCH("(",C965)),LEFT(C965,SEARCH("(",C965)-1),C965),Tipos!$A:$B,2,FALSE()),"outro"))</f>
        <v/>
      </c>
      <c r="K965" s="7" t="str">
        <f aca="false">IF(I965="","",IFERROR(INDEX('Campos Growths'!$L:$L,MATCH(H965,'Campos Growths'!$A:$A,0)),""))</f>
        <v/>
      </c>
      <c r="L965" s="7" t="str">
        <f aca="false">IF(A965="","",IF(G965="não","Sem tabela no Growths",IF(I965="","Sem campo no Growths",IF(J965=K965,"Importa direto","Ajustar tipo"))))</f>
        <v/>
      </c>
      <c r="M965" s="9"/>
    </row>
    <row r="966" customFormat="false" ht="15" hidden="false" customHeight="false" outlineLevel="0" collapsed="false">
      <c r="A966" s="7" t="str">
        <f aca="false">IF('Outro banco'!A966="","",IF(LEFT('Outro banco'!A966,1)="(","",'Outro banco'!A966))</f>
        <v/>
      </c>
      <c r="B966" s="7" t="str">
        <f aca="false">IF(A966="","",'Outro banco'!B966)</f>
        <v/>
      </c>
      <c r="C966" s="7" t="str">
        <f aca="false">IF(A966="","",'Outro banco'!C966)</f>
        <v/>
      </c>
      <c r="D966" s="7" t="str">
        <f aca="false">IF(A966="","",'Outro banco'!D966)</f>
        <v/>
      </c>
      <c r="E966" s="9"/>
      <c r="F966" s="9"/>
      <c r="G966" s="7" t="str">
        <f aca="false">IF(A966="","",IF(COUNTIF(Tabelas!$A:$A,IF(E966="",A966,E966))&gt;0,"sim","não"))</f>
        <v/>
      </c>
      <c r="H966" s="7" t="str">
        <f aca="false">IF(A966="","",IF(E966="",A966,E966)&amp;"."&amp;IF(F966="",B966,F966))</f>
        <v/>
      </c>
      <c r="I966" s="7" t="str">
        <f aca="false">IF(A966="","",IFERROR(INDEX('Campos Growths'!$F:$F,MATCH(H966,'Campos Growths'!$A:$A,0)),""))</f>
        <v/>
      </c>
      <c r="J966" s="7" t="str">
        <f aca="false">IF(A966="","",IFERROR(VLOOKUP(IF(ISNUMBER(SEARCH("(",C966)),LEFT(C966,SEARCH("(",C966)-1),C966),Tipos!$A:$B,2,FALSE()),"outro"))</f>
        <v/>
      </c>
      <c r="K966" s="7" t="str">
        <f aca="false">IF(I966="","",IFERROR(INDEX('Campos Growths'!$L:$L,MATCH(H966,'Campos Growths'!$A:$A,0)),""))</f>
        <v/>
      </c>
      <c r="L966" s="7" t="str">
        <f aca="false">IF(A966="","",IF(G966="não","Sem tabela no Growths",IF(I966="","Sem campo no Growths",IF(J966=K966,"Importa direto","Ajustar tipo"))))</f>
        <v/>
      </c>
      <c r="M966" s="9"/>
    </row>
    <row r="967" customFormat="false" ht="15" hidden="false" customHeight="false" outlineLevel="0" collapsed="false">
      <c r="A967" s="7" t="str">
        <f aca="false">IF('Outro banco'!A967="","",IF(LEFT('Outro banco'!A967,1)="(","",'Outro banco'!A967))</f>
        <v/>
      </c>
      <c r="B967" s="7" t="str">
        <f aca="false">IF(A967="","",'Outro banco'!B967)</f>
        <v/>
      </c>
      <c r="C967" s="7" t="str">
        <f aca="false">IF(A967="","",'Outro banco'!C967)</f>
        <v/>
      </c>
      <c r="D967" s="7" t="str">
        <f aca="false">IF(A967="","",'Outro banco'!D967)</f>
        <v/>
      </c>
      <c r="E967" s="9"/>
      <c r="F967" s="9"/>
      <c r="G967" s="7" t="str">
        <f aca="false">IF(A967="","",IF(COUNTIF(Tabelas!$A:$A,IF(E967="",A967,E967))&gt;0,"sim","não"))</f>
        <v/>
      </c>
      <c r="H967" s="7" t="str">
        <f aca="false">IF(A967="","",IF(E967="",A967,E967)&amp;"."&amp;IF(F967="",B967,F967))</f>
        <v/>
      </c>
      <c r="I967" s="7" t="str">
        <f aca="false">IF(A967="","",IFERROR(INDEX('Campos Growths'!$F:$F,MATCH(H967,'Campos Growths'!$A:$A,0)),""))</f>
        <v/>
      </c>
      <c r="J967" s="7" t="str">
        <f aca="false">IF(A967="","",IFERROR(VLOOKUP(IF(ISNUMBER(SEARCH("(",C967)),LEFT(C967,SEARCH("(",C967)-1),C967),Tipos!$A:$B,2,FALSE()),"outro"))</f>
        <v/>
      </c>
      <c r="K967" s="7" t="str">
        <f aca="false">IF(I967="","",IFERROR(INDEX('Campos Growths'!$L:$L,MATCH(H967,'Campos Growths'!$A:$A,0)),""))</f>
        <v/>
      </c>
      <c r="L967" s="7" t="str">
        <f aca="false">IF(A967="","",IF(G967="não","Sem tabela no Growths",IF(I967="","Sem campo no Growths",IF(J967=K967,"Importa direto","Ajustar tipo"))))</f>
        <v/>
      </c>
      <c r="M967" s="9"/>
    </row>
    <row r="968" customFormat="false" ht="15" hidden="false" customHeight="false" outlineLevel="0" collapsed="false">
      <c r="A968" s="7" t="str">
        <f aca="false">IF('Outro banco'!A968="","",IF(LEFT('Outro banco'!A968,1)="(","",'Outro banco'!A968))</f>
        <v/>
      </c>
      <c r="B968" s="7" t="str">
        <f aca="false">IF(A968="","",'Outro banco'!B968)</f>
        <v/>
      </c>
      <c r="C968" s="7" t="str">
        <f aca="false">IF(A968="","",'Outro banco'!C968)</f>
        <v/>
      </c>
      <c r="D968" s="7" t="str">
        <f aca="false">IF(A968="","",'Outro banco'!D968)</f>
        <v/>
      </c>
      <c r="E968" s="9"/>
      <c r="F968" s="9"/>
      <c r="G968" s="7" t="str">
        <f aca="false">IF(A968="","",IF(COUNTIF(Tabelas!$A:$A,IF(E968="",A968,E968))&gt;0,"sim","não"))</f>
        <v/>
      </c>
      <c r="H968" s="7" t="str">
        <f aca="false">IF(A968="","",IF(E968="",A968,E968)&amp;"."&amp;IF(F968="",B968,F968))</f>
        <v/>
      </c>
      <c r="I968" s="7" t="str">
        <f aca="false">IF(A968="","",IFERROR(INDEX('Campos Growths'!$F:$F,MATCH(H968,'Campos Growths'!$A:$A,0)),""))</f>
        <v/>
      </c>
      <c r="J968" s="7" t="str">
        <f aca="false">IF(A968="","",IFERROR(VLOOKUP(IF(ISNUMBER(SEARCH("(",C968)),LEFT(C968,SEARCH("(",C968)-1),C968),Tipos!$A:$B,2,FALSE()),"outro"))</f>
        <v/>
      </c>
      <c r="K968" s="7" t="str">
        <f aca="false">IF(I968="","",IFERROR(INDEX('Campos Growths'!$L:$L,MATCH(H968,'Campos Growths'!$A:$A,0)),""))</f>
        <v/>
      </c>
      <c r="L968" s="7" t="str">
        <f aca="false">IF(A968="","",IF(G968="não","Sem tabela no Growths",IF(I968="","Sem campo no Growths",IF(J968=K968,"Importa direto","Ajustar tipo"))))</f>
        <v/>
      </c>
      <c r="M968" s="9"/>
    </row>
    <row r="969" customFormat="false" ht="15" hidden="false" customHeight="false" outlineLevel="0" collapsed="false">
      <c r="A969" s="7" t="str">
        <f aca="false">IF('Outro banco'!A969="","",IF(LEFT('Outro banco'!A969,1)="(","",'Outro banco'!A969))</f>
        <v/>
      </c>
      <c r="B969" s="7" t="str">
        <f aca="false">IF(A969="","",'Outro banco'!B969)</f>
        <v/>
      </c>
      <c r="C969" s="7" t="str">
        <f aca="false">IF(A969="","",'Outro banco'!C969)</f>
        <v/>
      </c>
      <c r="D969" s="7" t="str">
        <f aca="false">IF(A969="","",'Outro banco'!D969)</f>
        <v/>
      </c>
      <c r="E969" s="9"/>
      <c r="F969" s="9"/>
      <c r="G969" s="7" t="str">
        <f aca="false">IF(A969="","",IF(COUNTIF(Tabelas!$A:$A,IF(E969="",A969,E969))&gt;0,"sim","não"))</f>
        <v/>
      </c>
      <c r="H969" s="7" t="str">
        <f aca="false">IF(A969="","",IF(E969="",A969,E969)&amp;"."&amp;IF(F969="",B969,F969))</f>
        <v/>
      </c>
      <c r="I969" s="7" t="str">
        <f aca="false">IF(A969="","",IFERROR(INDEX('Campos Growths'!$F:$F,MATCH(H969,'Campos Growths'!$A:$A,0)),""))</f>
        <v/>
      </c>
      <c r="J969" s="7" t="str">
        <f aca="false">IF(A969="","",IFERROR(VLOOKUP(IF(ISNUMBER(SEARCH("(",C969)),LEFT(C969,SEARCH("(",C969)-1),C969),Tipos!$A:$B,2,FALSE()),"outro"))</f>
        <v/>
      </c>
      <c r="K969" s="7" t="str">
        <f aca="false">IF(I969="","",IFERROR(INDEX('Campos Growths'!$L:$L,MATCH(H969,'Campos Growths'!$A:$A,0)),""))</f>
        <v/>
      </c>
      <c r="L969" s="7" t="str">
        <f aca="false">IF(A969="","",IF(G969="não","Sem tabela no Growths",IF(I969="","Sem campo no Growths",IF(J969=K969,"Importa direto","Ajustar tipo"))))</f>
        <v/>
      </c>
      <c r="M969" s="9"/>
    </row>
    <row r="970" customFormat="false" ht="15" hidden="false" customHeight="false" outlineLevel="0" collapsed="false">
      <c r="A970" s="7" t="str">
        <f aca="false">IF('Outro banco'!A970="","",IF(LEFT('Outro banco'!A970,1)="(","",'Outro banco'!A970))</f>
        <v/>
      </c>
      <c r="B970" s="7" t="str">
        <f aca="false">IF(A970="","",'Outro banco'!B970)</f>
        <v/>
      </c>
      <c r="C970" s="7" t="str">
        <f aca="false">IF(A970="","",'Outro banco'!C970)</f>
        <v/>
      </c>
      <c r="D970" s="7" t="str">
        <f aca="false">IF(A970="","",'Outro banco'!D970)</f>
        <v/>
      </c>
      <c r="E970" s="9"/>
      <c r="F970" s="9"/>
      <c r="G970" s="7" t="str">
        <f aca="false">IF(A970="","",IF(COUNTIF(Tabelas!$A:$A,IF(E970="",A970,E970))&gt;0,"sim","não"))</f>
        <v/>
      </c>
      <c r="H970" s="7" t="str">
        <f aca="false">IF(A970="","",IF(E970="",A970,E970)&amp;"."&amp;IF(F970="",B970,F970))</f>
        <v/>
      </c>
      <c r="I970" s="7" t="str">
        <f aca="false">IF(A970="","",IFERROR(INDEX('Campos Growths'!$F:$F,MATCH(H970,'Campos Growths'!$A:$A,0)),""))</f>
        <v/>
      </c>
      <c r="J970" s="7" t="str">
        <f aca="false">IF(A970="","",IFERROR(VLOOKUP(IF(ISNUMBER(SEARCH("(",C970)),LEFT(C970,SEARCH("(",C970)-1),C970),Tipos!$A:$B,2,FALSE()),"outro"))</f>
        <v/>
      </c>
      <c r="K970" s="7" t="str">
        <f aca="false">IF(I970="","",IFERROR(INDEX('Campos Growths'!$L:$L,MATCH(H970,'Campos Growths'!$A:$A,0)),""))</f>
        <v/>
      </c>
      <c r="L970" s="7" t="str">
        <f aca="false">IF(A970="","",IF(G970="não","Sem tabela no Growths",IF(I970="","Sem campo no Growths",IF(J970=K970,"Importa direto","Ajustar tipo"))))</f>
        <v/>
      </c>
      <c r="M970" s="9"/>
    </row>
    <row r="971" customFormat="false" ht="15" hidden="false" customHeight="false" outlineLevel="0" collapsed="false">
      <c r="A971" s="7" t="str">
        <f aca="false">IF('Outro banco'!A971="","",IF(LEFT('Outro banco'!A971,1)="(","",'Outro banco'!A971))</f>
        <v/>
      </c>
      <c r="B971" s="7" t="str">
        <f aca="false">IF(A971="","",'Outro banco'!B971)</f>
        <v/>
      </c>
      <c r="C971" s="7" t="str">
        <f aca="false">IF(A971="","",'Outro banco'!C971)</f>
        <v/>
      </c>
      <c r="D971" s="7" t="str">
        <f aca="false">IF(A971="","",'Outro banco'!D971)</f>
        <v/>
      </c>
      <c r="E971" s="9"/>
      <c r="F971" s="9"/>
      <c r="G971" s="7" t="str">
        <f aca="false">IF(A971="","",IF(COUNTIF(Tabelas!$A:$A,IF(E971="",A971,E971))&gt;0,"sim","não"))</f>
        <v/>
      </c>
      <c r="H971" s="7" t="str">
        <f aca="false">IF(A971="","",IF(E971="",A971,E971)&amp;"."&amp;IF(F971="",B971,F971))</f>
        <v/>
      </c>
      <c r="I971" s="7" t="str">
        <f aca="false">IF(A971="","",IFERROR(INDEX('Campos Growths'!$F:$F,MATCH(H971,'Campos Growths'!$A:$A,0)),""))</f>
        <v/>
      </c>
      <c r="J971" s="7" t="str">
        <f aca="false">IF(A971="","",IFERROR(VLOOKUP(IF(ISNUMBER(SEARCH("(",C971)),LEFT(C971,SEARCH("(",C971)-1),C971),Tipos!$A:$B,2,FALSE()),"outro"))</f>
        <v/>
      </c>
      <c r="K971" s="7" t="str">
        <f aca="false">IF(I971="","",IFERROR(INDEX('Campos Growths'!$L:$L,MATCH(H971,'Campos Growths'!$A:$A,0)),""))</f>
        <v/>
      </c>
      <c r="L971" s="7" t="str">
        <f aca="false">IF(A971="","",IF(G971="não","Sem tabela no Growths",IF(I971="","Sem campo no Growths",IF(J971=K971,"Importa direto","Ajustar tipo"))))</f>
        <v/>
      </c>
      <c r="M971" s="9"/>
    </row>
    <row r="972" customFormat="false" ht="15" hidden="false" customHeight="false" outlineLevel="0" collapsed="false">
      <c r="A972" s="7" t="str">
        <f aca="false">IF('Outro banco'!A972="","",IF(LEFT('Outro banco'!A972,1)="(","",'Outro banco'!A972))</f>
        <v/>
      </c>
      <c r="B972" s="7" t="str">
        <f aca="false">IF(A972="","",'Outro banco'!B972)</f>
        <v/>
      </c>
      <c r="C972" s="7" t="str">
        <f aca="false">IF(A972="","",'Outro banco'!C972)</f>
        <v/>
      </c>
      <c r="D972" s="7" t="str">
        <f aca="false">IF(A972="","",'Outro banco'!D972)</f>
        <v/>
      </c>
      <c r="E972" s="9"/>
      <c r="F972" s="9"/>
      <c r="G972" s="7" t="str">
        <f aca="false">IF(A972="","",IF(COUNTIF(Tabelas!$A:$A,IF(E972="",A972,E972))&gt;0,"sim","não"))</f>
        <v/>
      </c>
      <c r="H972" s="7" t="str">
        <f aca="false">IF(A972="","",IF(E972="",A972,E972)&amp;"."&amp;IF(F972="",B972,F972))</f>
        <v/>
      </c>
      <c r="I972" s="7" t="str">
        <f aca="false">IF(A972="","",IFERROR(INDEX('Campos Growths'!$F:$F,MATCH(H972,'Campos Growths'!$A:$A,0)),""))</f>
        <v/>
      </c>
      <c r="J972" s="7" t="str">
        <f aca="false">IF(A972="","",IFERROR(VLOOKUP(IF(ISNUMBER(SEARCH("(",C972)),LEFT(C972,SEARCH("(",C972)-1),C972),Tipos!$A:$B,2,FALSE()),"outro"))</f>
        <v/>
      </c>
      <c r="K972" s="7" t="str">
        <f aca="false">IF(I972="","",IFERROR(INDEX('Campos Growths'!$L:$L,MATCH(H972,'Campos Growths'!$A:$A,0)),""))</f>
        <v/>
      </c>
      <c r="L972" s="7" t="str">
        <f aca="false">IF(A972="","",IF(G972="não","Sem tabela no Growths",IF(I972="","Sem campo no Growths",IF(J972=K972,"Importa direto","Ajustar tipo"))))</f>
        <v/>
      </c>
      <c r="M972" s="9"/>
    </row>
    <row r="973" customFormat="false" ht="15" hidden="false" customHeight="false" outlineLevel="0" collapsed="false">
      <c r="A973" s="7" t="str">
        <f aca="false">IF('Outro banco'!A973="","",IF(LEFT('Outro banco'!A973,1)="(","",'Outro banco'!A973))</f>
        <v/>
      </c>
      <c r="B973" s="7" t="str">
        <f aca="false">IF(A973="","",'Outro banco'!B973)</f>
        <v/>
      </c>
      <c r="C973" s="7" t="str">
        <f aca="false">IF(A973="","",'Outro banco'!C973)</f>
        <v/>
      </c>
      <c r="D973" s="7" t="str">
        <f aca="false">IF(A973="","",'Outro banco'!D973)</f>
        <v/>
      </c>
      <c r="E973" s="9"/>
      <c r="F973" s="9"/>
      <c r="G973" s="7" t="str">
        <f aca="false">IF(A973="","",IF(COUNTIF(Tabelas!$A:$A,IF(E973="",A973,E973))&gt;0,"sim","não"))</f>
        <v/>
      </c>
      <c r="H973" s="7" t="str">
        <f aca="false">IF(A973="","",IF(E973="",A973,E973)&amp;"."&amp;IF(F973="",B973,F973))</f>
        <v/>
      </c>
      <c r="I973" s="7" t="str">
        <f aca="false">IF(A973="","",IFERROR(INDEX('Campos Growths'!$F:$F,MATCH(H973,'Campos Growths'!$A:$A,0)),""))</f>
        <v/>
      </c>
      <c r="J973" s="7" t="str">
        <f aca="false">IF(A973="","",IFERROR(VLOOKUP(IF(ISNUMBER(SEARCH("(",C973)),LEFT(C973,SEARCH("(",C973)-1),C973),Tipos!$A:$B,2,FALSE()),"outro"))</f>
        <v/>
      </c>
      <c r="K973" s="7" t="str">
        <f aca="false">IF(I973="","",IFERROR(INDEX('Campos Growths'!$L:$L,MATCH(H973,'Campos Growths'!$A:$A,0)),""))</f>
        <v/>
      </c>
      <c r="L973" s="7" t="str">
        <f aca="false">IF(A973="","",IF(G973="não","Sem tabela no Growths",IF(I973="","Sem campo no Growths",IF(J973=K973,"Importa direto","Ajustar tipo"))))</f>
        <v/>
      </c>
      <c r="M973" s="9"/>
    </row>
    <row r="974" customFormat="false" ht="15" hidden="false" customHeight="false" outlineLevel="0" collapsed="false">
      <c r="A974" s="7" t="str">
        <f aca="false">IF('Outro banco'!A974="","",IF(LEFT('Outro banco'!A974,1)="(","",'Outro banco'!A974))</f>
        <v/>
      </c>
      <c r="B974" s="7" t="str">
        <f aca="false">IF(A974="","",'Outro banco'!B974)</f>
        <v/>
      </c>
      <c r="C974" s="7" t="str">
        <f aca="false">IF(A974="","",'Outro banco'!C974)</f>
        <v/>
      </c>
      <c r="D974" s="7" t="str">
        <f aca="false">IF(A974="","",'Outro banco'!D974)</f>
        <v/>
      </c>
      <c r="E974" s="9"/>
      <c r="F974" s="9"/>
      <c r="G974" s="7" t="str">
        <f aca="false">IF(A974="","",IF(COUNTIF(Tabelas!$A:$A,IF(E974="",A974,E974))&gt;0,"sim","não"))</f>
        <v/>
      </c>
      <c r="H974" s="7" t="str">
        <f aca="false">IF(A974="","",IF(E974="",A974,E974)&amp;"."&amp;IF(F974="",B974,F974))</f>
        <v/>
      </c>
      <c r="I974" s="7" t="str">
        <f aca="false">IF(A974="","",IFERROR(INDEX('Campos Growths'!$F:$F,MATCH(H974,'Campos Growths'!$A:$A,0)),""))</f>
        <v/>
      </c>
      <c r="J974" s="7" t="str">
        <f aca="false">IF(A974="","",IFERROR(VLOOKUP(IF(ISNUMBER(SEARCH("(",C974)),LEFT(C974,SEARCH("(",C974)-1),C974),Tipos!$A:$B,2,FALSE()),"outro"))</f>
        <v/>
      </c>
      <c r="K974" s="7" t="str">
        <f aca="false">IF(I974="","",IFERROR(INDEX('Campos Growths'!$L:$L,MATCH(H974,'Campos Growths'!$A:$A,0)),""))</f>
        <v/>
      </c>
      <c r="L974" s="7" t="str">
        <f aca="false">IF(A974="","",IF(G974="não","Sem tabela no Growths",IF(I974="","Sem campo no Growths",IF(J974=K974,"Importa direto","Ajustar tipo"))))</f>
        <v/>
      </c>
      <c r="M974" s="9"/>
    </row>
    <row r="975" customFormat="false" ht="15" hidden="false" customHeight="false" outlineLevel="0" collapsed="false">
      <c r="A975" s="7" t="str">
        <f aca="false">IF('Outro banco'!A975="","",IF(LEFT('Outro banco'!A975,1)="(","",'Outro banco'!A975))</f>
        <v/>
      </c>
      <c r="B975" s="7" t="str">
        <f aca="false">IF(A975="","",'Outro banco'!B975)</f>
        <v/>
      </c>
      <c r="C975" s="7" t="str">
        <f aca="false">IF(A975="","",'Outro banco'!C975)</f>
        <v/>
      </c>
      <c r="D975" s="7" t="str">
        <f aca="false">IF(A975="","",'Outro banco'!D975)</f>
        <v/>
      </c>
      <c r="E975" s="9"/>
      <c r="F975" s="9"/>
      <c r="G975" s="7" t="str">
        <f aca="false">IF(A975="","",IF(COUNTIF(Tabelas!$A:$A,IF(E975="",A975,E975))&gt;0,"sim","não"))</f>
        <v/>
      </c>
      <c r="H975" s="7" t="str">
        <f aca="false">IF(A975="","",IF(E975="",A975,E975)&amp;"."&amp;IF(F975="",B975,F975))</f>
        <v/>
      </c>
      <c r="I975" s="7" t="str">
        <f aca="false">IF(A975="","",IFERROR(INDEX('Campos Growths'!$F:$F,MATCH(H975,'Campos Growths'!$A:$A,0)),""))</f>
        <v/>
      </c>
      <c r="J975" s="7" t="str">
        <f aca="false">IF(A975="","",IFERROR(VLOOKUP(IF(ISNUMBER(SEARCH("(",C975)),LEFT(C975,SEARCH("(",C975)-1),C975),Tipos!$A:$B,2,FALSE()),"outro"))</f>
        <v/>
      </c>
      <c r="K975" s="7" t="str">
        <f aca="false">IF(I975="","",IFERROR(INDEX('Campos Growths'!$L:$L,MATCH(H975,'Campos Growths'!$A:$A,0)),""))</f>
        <v/>
      </c>
      <c r="L975" s="7" t="str">
        <f aca="false">IF(A975="","",IF(G975="não","Sem tabela no Growths",IF(I975="","Sem campo no Growths",IF(J975=K975,"Importa direto","Ajustar tipo"))))</f>
        <v/>
      </c>
      <c r="M975" s="9"/>
    </row>
    <row r="976" customFormat="false" ht="15" hidden="false" customHeight="false" outlineLevel="0" collapsed="false">
      <c r="A976" s="7" t="str">
        <f aca="false">IF('Outro banco'!A976="","",IF(LEFT('Outro banco'!A976,1)="(","",'Outro banco'!A976))</f>
        <v/>
      </c>
      <c r="B976" s="7" t="str">
        <f aca="false">IF(A976="","",'Outro banco'!B976)</f>
        <v/>
      </c>
      <c r="C976" s="7" t="str">
        <f aca="false">IF(A976="","",'Outro banco'!C976)</f>
        <v/>
      </c>
      <c r="D976" s="7" t="str">
        <f aca="false">IF(A976="","",'Outro banco'!D976)</f>
        <v/>
      </c>
      <c r="E976" s="9"/>
      <c r="F976" s="9"/>
      <c r="G976" s="7" t="str">
        <f aca="false">IF(A976="","",IF(COUNTIF(Tabelas!$A:$A,IF(E976="",A976,E976))&gt;0,"sim","não"))</f>
        <v/>
      </c>
      <c r="H976" s="7" t="str">
        <f aca="false">IF(A976="","",IF(E976="",A976,E976)&amp;"."&amp;IF(F976="",B976,F976))</f>
        <v/>
      </c>
      <c r="I976" s="7" t="str">
        <f aca="false">IF(A976="","",IFERROR(INDEX('Campos Growths'!$F:$F,MATCH(H976,'Campos Growths'!$A:$A,0)),""))</f>
        <v/>
      </c>
      <c r="J976" s="7" t="str">
        <f aca="false">IF(A976="","",IFERROR(VLOOKUP(IF(ISNUMBER(SEARCH("(",C976)),LEFT(C976,SEARCH("(",C976)-1),C976),Tipos!$A:$B,2,FALSE()),"outro"))</f>
        <v/>
      </c>
      <c r="K976" s="7" t="str">
        <f aca="false">IF(I976="","",IFERROR(INDEX('Campos Growths'!$L:$L,MATCH(H976,'Campos Growths'!$A:$A,0)),""))</f>
        <v/>
      </c>
      <c r="L976" s="7" t="str">
        <f aca="false">IF(A976="","",IF(G976="não","Sem tabela no Growths",IF(I976="","Sem campo no Growths",IF(J976=K976,"Importa direto","Ajustar tipo"))))</f>
        <v/>
      </c>
      <c r="M976" s="9"/>
    </row>
    <row r="977" customFormat="false" ht="15" hidden="false" customHeight="false" outlineLevel="0" collapsed="false">
      <c r="A977" s="7" t="str">
        <f aca="false">IF('Outro banco'!A977="","",IF(LEFT('Outro banco'!A977,1)="(","",'Outro banco'!A977))</f>
        <v/>
      </c>
      <c r="B977" s="7" t="str">
        <f aca="false">IF(A977="","",'Outro banco'!B977)</f>
        <v/>
      </c>
      <c r="C977" s="7" t="str">
        <f aca="false">IF(A977="","",'Outro banco'!C977)</f>
        <v/>
      </c>
      <c r="D977" s="7" t="str">
        <f aca="false">IF(A977="","",'Outro banco'!D977)</f>
        <v/>
      </c>
      <c r="E977" s="9"/>
      <c r="F977" s="9"/>
      <c r="G977" s="7" t="str">
        <f aca="false">IF(A977="","",IF(COUNTIF(Tabelas!$A:$A,IF(E977="",A977,E977))&gt;0,"sim","não"))</f>
        <v/>
      </c>
      <c r="H977" s="7" t="str">
        <f aca="false">IF(A977="","",IF(E977="",A977,E977)&amp;"."&amp;IF(F977="",B977,F977))</f>
        <v/>
      </c>
      <c r="I977" s="7" t="str">
        <f aca="false">IF(A977="","",IFERROR(INDEX('Campos Growths'!$F:$F,MATCH(H977,'Campos Growths'!$A:$A,0)),""))</f>
        <v/>
      </c>
      <c r="J977" s="7" t="str">
        <f aca="false">IF(A977="","",IFERROR(VLOOKUP(IF(ISNUMBER(SEARCH("(",C977)),LEFT(C977,SEARCH("(",C977)-1),C977),Tipos!$A:$B,2,FALSE()),"outro"))</f>
        <v/>
      </c>
      <c r="K977" s="7" t="str">
        <f aca="false">IF(I977="","",IFERROR(INDEX('Campos Growths'!$L:$L,MATCH(H977,'Campos Growths'!$A:$A,0)),""))</f>
        <v/>
      </c>
      <c r="L977" s="7" t="str">
        <f aca="false">IF(A977="","",IF(G977="não","Sem tabela no Growths",IF(I977="","Sem campo no Growths",IF(J977=K977,"Importa direto","Ajustar tipo"))))</f>
        <v/>
      </c>
      <c r="M977" s="9"/>
    </row>
    <row r="978" customFormat="false" ht="15" hidden="false" customHeight="false" outlineLevel="0" collapsed="false">
      <c r="A978" s="7" t="str">
        <f aca="false">IF('Outro banco'!A978="","",IF(LEFT('Outro banco'!A978,1)="(","",'Outro banco'!A978))</f>
        <v/>
      </c>
      <c r="B978" s="7" t="str">
        <f aca="false">IF(A978="","",'Outro banco'!B978)</f>
        <v/>
      </c>
      <c r="C978" s="7" t="str">
        <f aca="false">IF(A978="","",'Outro banco'!C978)</f>
        <v/>
      </c>
      <c r="D978" s="7" t="str">
        <f aca="false">IF(A978="","",'Outro banco'!D978)</f>
        <v/>
      </c>
      <c r="E978" s="9"/>
      <c r="F978" s="9"/>
      <c r="G978" s="7" t="str">
        <f aca="false">IF(A978="","",IF(COUNTIF(Tabelas!$A:$A,IF(E978="",A978,E978))&gt;0,"sim","não"))</f>
        <v/>
      </c>
      <c r="H978" s="7" t="str">
        <f aca="false">IF(A978="","",IF(E978="",A978,E978)&amp;"."&amp;IF(F978="",B978,F978))</f>
        <v/>
      </c>
      <c r="I978" s="7" t="str">
        <f aca="false">IF(A978="","",IFERROR(INDEX('Campos Growths'!$F:$F,MATCH(H978,'Campos Growths'!$A:$A,0)),""))</f>
        <v/>
      </c>
      <c r="J978" s="7" t="str">
        <f aca="false">IF(A978="","",IFERROR(VLOOKUP(IF(ISNUMBER(SEARCH("(",C978)),LEFT(C978,SEARCH("(",C978)-1),C978),Tipos!$A:$B,2,FALSE()),"outro"))</f>
        <v/>
      </c>
      <c r="K978" s="7" t="str">
        <f aca="false">IF(I978="","",IFERROR(INDEX('Campos Growths'!$L:$L,MATCH(H978,'Campos Growths'!$A:$A,0)),""))</f>
        <v/>
      </c>
      <c r="L978" s="7" t="str">
        <f aca="false">IF(A978="","",IF(G978="não","Sem tabela no Growths",IF(I978="","Sem campo no Growths",IF(J978=K978,"Importa direto","Ajustar tipo"))))</f>
        <v/>
      </c>
      <c r="M978" s="9"/>
    </row>
    <row r="979" customFormat="false" ht="15" hidden="false" customHeight="false" outlineLevel="0" collapsed="false">
      <c r="A979" s="7" t="str">
        <f aca="false">IF('Outro banco'!A979="","",IF(LEFT('Outro banco'!A979,1)="(","",'Outro banco'!A979))</f>
        <v/>
      </c>
      <c r="B979" s="7" t="str">
        <f aca="false">IF(A979="","",'Outro banco'!B979)</f>
        <v/>
      </c>
      <c r="C979" s="7" t="str">
        <f aca="false">IF(A979="","",'Outro banco'!C979)</f>
        <v/>
      </c>
      <c r="D979" s="7" t="str">
        <f aca="false">IF(A979="","",'Outro banco'!D979)</f>
        <v/>
      </c>
      <c r="E979" s="9"/>
      <c r="F979" s="9"/>
      <c r="G979" s="7" t="str">
        <f aca="false">IF(A979="","",IF(COUNTIF(Tabelas!$A:$A,IF(E979="",A979,E979))&gt;0,"sim","não"))</f>
        <v/>
      </c>
      <c r="H979" s="7" t="str">
        <f aca="false">IF(A979="","",IF(E979="",A979,E979)&amp;"."&amp;IF(F979="",B979,F979))</f>
        <v/>
      </c>
      <c r="I979" s="7" t="str">
        <f aca="false">IF(A979="","",IFERROR(INDEX('Campos Growths'!$F:$F,MATCH(H979,'Campos Growths'!$A:$A,0)),""))</f>
        <v/>
      </c>
      <c r="J979" s="7" t="str">
        <f aca="false">IF(A979="","",IFERROR(VLOOKUP(IF(ISNUMBER(SEARCH("(",C979)),LEFT(C979,SEARCH("(",C979)-1),C979),Tipos!$A:$B,2,FALSE()),"outro"))</f>
        <v/>
      </c>
      <c r="K979" s="7" t="str">
        <f aca="false">IF(I979="","",IFERROR(INDEX('Campos Growths'!$L:$L,MATCH(H979,'Campos Growths'!$A:$A,0)),""))</f>
        <v/>
      </c>
      <c r="L979" s="7" t="str">
        <f aca="false">IF(A979="","",IF(G979="não","Sem tabela no Growths",IF(I979="","Sem campo no Growths",IF(J979=K979,"Importa direto","Ajustar tipo"))))</f>
        <v/>
      </c>
      <c r="M979" s="9"/>
    </row>
    <row r="980" customFormat="false" ht="15" hidden="false" customHeight="false" outlineLevel="0" collapsed="false">
      <c r="A980" s="7" t="str">
        <f aca="false">IF('Outro banco'!A980="","",IF(LEFT('Outro banco'!A980,1)="(","",'Outro banco'!A980))</f>
        <v/>
      </c>
      <c r="B980" s="7" t="str">
        <f aca="false">IF(A980="","",'Outro banco'!B980)</f>
        <v/>
      </c>
      <c r="C980" s="7" t="str">
        <f aca="false">IF(A980="","",'Outro banco'!C980)</f>
        <v/>
      </c>
      <c r="D980" s="7" t="str">
        <f aca="false">IF(A980="","",'Outro banco'!D980)</f>
        <v/>
      </c>
      <c r="E980" s="9"/>
      <c r="F980" s="9"/>
      <c r="G980" s="7" t="str">
        <f aca="false">IF(A980="","",IF(COUNTIF(Tabelas!$A:$A,IF(E980="",A980,E980))&gt;0,"sim","não"))</f>
        <v/>
      </c>
      <c r="H980" s="7" t="str">
        <f aca="false">IF(A980="","",IF(E980="",A980,E980)&amp;"."&amp;IF(F980="",B980,F980))</f>
        <v/>
      </c>
      <c r="I980" s="7" t="str">
        <f aca="false">IF(A980="","",IFERROR(INDEX('Campos Growths'!$F:$F,MATCH(H980,'Campos Growths'!$A:$A,0)),""))</f>
        <v/>
      </c>
      <c r="J980" s="7" t="str">
        <f aca="false">IF(A980="","",IFERROR(VLOOKUP(IF(ISNUMBER(SEARCH("(",C980)),LEFT(C980,SEARCH("(",C980)-1),C980),Tipos!$A:$B,2,FALSE()),"outro"))</f>
        <v/>
      </c>
      <c r="K980" s="7" t="str">
        <f aca="false">IF(I980="","",IFERROR(INDEX('Campos Growths'!$L:$L,MATCH(H980,'Campos Growths'!$A:$A,0)),""))</f>
        <v/>
      </c>
      <c r="L980" s="7" t="str">
        <f aca="false">IF(A980="","",IF(G980="não","Sem tabela no Growths",IF(I980="","Sem campo no Growths",IF(J980=K980,"Importa direto","Ajustar tipo"))))</f>
        <v/>
      </c>
      <c r="M980" s="9"/>
    </row>
    <row r="981" customFormat="false" ht="15" hidden="false" customHeight="false" outlineLevel="0" collapsed="false">
      <c r="A981" s="7" t="str">
        <f aca="false">IF('Outro banco'!A981="","",IF(LEFT('Outro banco'!A981,1)="(","",'Outro banco'!A981))</f>
        <v/>
      </c>
      <c r="B981" s="7" t="str">
        <f aca="false">IF(A981="","",'Outro banco'!B981)</f>
        <v/>
      </c>
      <c r="C981" s="7" t="str">
        <f aca="false">IF(A981="","",'Outro banco'!C981)</f>
        <v/>
      </c>
      <c r="D981" s="7" t="str">
        <f aca="false">IF(A981="","",'Outro banco'!D981)</f>
        <v/>
      </c>
      <c r="E981" s="9"/>
      <c r="F981" s="9"/>
      <c r="G981" s="7" t="str">
        <f aca="false">IF(A981="","",IF(COUNTIF(Tabelas!$A:$A,IF(E981="",A981,E981))&gt;0,"sim","não"))</f>
        <v/>
      </c>
      <c r="H981" s="7" t="str">
        <f aca="false">IF(A981="","",IF(E981="",A981,E981)&amp;"."&amp;IF(F981="",B981,F981))</f>
        <v/>
      </c>
      <c r="I981" s="7" t="str">
        <f aca="false">IF(A981="","",IFERROR(INDEX('Campos Growths'!$F:$F,MATCH(H981,'Campos Growths'!$A:$A,0)),""))</f>
        <v/>
      </c>
      <c r="J981" s="7" t="str">
        <f aca="false">IF(A981="","",IFERROR(VLOOKUP(IF(ISNUMBER(SEARCH("(",C981)),LEFT(C981,SEARCH("(",C981)-1),C981),Tipos!$A:$B,2,FALSE()),"outro"))</f>
        <v/>
      </c>
      <c r="K981" s="7" t="str">
        <f aca="false">IF(I981="","",IFERROR(INDEX('Campos Growths'!$L:$L,MATCH(H981,'Campos Growths'!$A:$A,0)),""))</f>
        <v/>
      </c>
      <c r="L981" s="7" t="str">
        <f aca="false">IF(A981="","",IF(G981="não","Sem tabela no Growths",IF(I981="","Sem campo no Growths",IF(J981=K981,"Importa direto","Ajustar tipo"))))</f>
        <v/>
      </c>
      <c r="M981" s="9"/>
    </row>
    <row r="982" customFormat="false" ht="15" hidden="false" customHeight="false" outlineLevel="0" collapsed="false">
      <c r="A982" s="7" t="str">
        <f aca="false">IF('Outro banco'!A982="","",IF(LEFT('Outro banco'!A982,1)="(","",'Outro banco'!A982))</f>
        <v/>
      </c>
      <c r="B982" s="7" t="str">
        <f aca="false">IF(A982="","",'Outro banco'!B982)</f>
        <v/>
      </c>
      <c r="C982" s="7" t="str">
        <f aca="false">IF(A982="","",'Outro banco'!C982)</f>
        <v/>
      </c>
      <c r="D982" s="7" t="str">
        <f aca="false">IF(A982="","",'Outro banco'!D982)</f>
        <v/>
      </c>
      <c r="E982" s="9"/>
      <c r="F982" s="9"/>
      <c r="G982" s="7" t="str">
        <f aca="false">IF(A982="","",IF(COUNTIF(Tabelas!$A:$A,IF(E982="",A982,E982))&gt;0,"sim","não"))</f>
        <v/>
      </c>
      <c r="H982" s="7" t="str">
        <f aca="false">IF(A982="","",IF(E982="",A982,E982)&amp;"."&amp;IF(F982="",B982,F982))</f>
        <v/>
      </c>
      <c r="I982" s="7" t="str">
        <f aca="false">IF(A982="","",IFERROR(INDEX('Campos Growths'!$F:$F,MATCH(H982,'Campos Growths'!$A:$A,0)),""))</f>
        <v/>
      </c>
      <c r="J982" s="7" t="str">
        <f aca="false">IF(A982="","",IFERROR(VLOOKUP(IF(ISNUMBER(SEARCH("(",C982)),LEFT(C982,SEARCH("(",C982)-1),C982),Tipos!$A:$B,2,FALSE()),"outro"))</f>
        <v/>
      </c>
      <c r="K982" s="7" t="str">
        <f aca="false">IF(I982="","",IFERROR(INDEX('Campos Growths'!$L:$L,MATCH(H982,'Campos Growths'!$A:$A,0)),""))</f>
        <v/>
      </c>
      <c r="L982" s="7" t="str">
        <f aca="false">IF(A982="","",IF(G982="não","Sem tabela no Growths",IF(I982="","Sem campo no Growths",IF(J982=K982,"Importa direto","Ajustar tipo"))))</f>
        <v/>
      </c>
      <c r="M982" s="9"/>
    </row>
    <row r="983" customFormat="false" ht="15" hidden="false" customHeight="false" outlineLevel="0" collapsed="false">
      <c r="A983" s="7" t="str">
        <f aca="false">IF('Outro banco'!A983="","",IF(LEFT('Outro banco'!A983,1)="(","",'Outro banco'!A983))</f>
        <v/>
      </c>
      <c r="B983" s="7" t="str">
        <f aca="false">IF(A983="","",'Outro banco'!B983)</f>
        <v/>
      </c>
      <c r="C983" s="7" t="str">
        <f aca="false">IF(A983="","",'Outro banco'!C983)</f>
        <v/>
      </c>
      <c r="D983" s="7" t="str">
        <f aca="false">IF(A983="","",'Outro banco'!D983)</f>
        <v/>
      </c>
      <c r="E983" s="9"/>
      <c r="F983" s="9"/>
      <c r="G983" s="7" t="str">
        <f aca="false">IF(A983="","",IF(COUNTIF(Tabelas!$A:$A,IF(E983="",A983,E983))&gt;0,"sim","não"))</f>
        <v/>
      </c>
      <c r="H983" s="7" t="str">
        <f aca="false">IF(A983="","",IF(E983="",A983,E983)&amp;"."&amp;IF(F983="",B983,F983))</f>
        <v/>
      </c>
      <c r="I983" s="7" t="str">
        <f aca="false">IF(A983="","",IFERROR(INDEX('Campos Growths'!$F:$F,MATCH(H983,'Campos Growths'!$A:$A,0)),""))</f>
        <v/>
      </c>
      <c r="J983" s="7" t="str">
        <f aca="false">IF(A983="","",IFERROR(VLOOKUP(IF(ISNUMBER(SEARCH("(",C983)),LEFT(C983,SEARCH("(",C983)-1),C983),Tipos!$A:$B,2,FALSE()),"outro"))</f>
        <v/>
      </c>
      <c r="K983" s="7" t="str">
        <f aca="false">IF(I983="","",IFERROR(INDEX('Campos Growths'!$L:$L,MATCH(H983,'Campos Growths'!$A:$A,0)),""))</f>
        <v/>
      </c>
      <c r="L983" s="7" t="str">
        <f aca="false">IF(A983="","",IF(G983="não","Sem tabela no Growths",IF(I983="","Sem campo no Growths",IF(J983=K983,"Importa direto","Ajustar tipo"))))</f>
        <v/>
      </c>
      <c r="M983" s="9"/>
    </row>
    <row r="984" customFormat="false" ht="15" hidden="false" customHeight="false" outlineLevel="0" collapsed="false">
      <c r="A984" s="7" t="str">
        <f aca="false">IF('Outro banco'!A984="","",IF(LEFT('Outro banco'!A984,1)="(","",'Outro banco'!A984))</f>
        <v/>
      </c>
      <c r="B984" s="7" t="str">
        <f aca="false">IF(A984="","",'Outro banco'!B984)</f>
        <v/>
      </c>
      <c r="C984" s="7" t="str">
        <f aca="false">IF(A984="","",'Outro banco'!C984)</f>
        <v/>
      </c>
      <c r="D984" s="7" t="str">
        <f aca="false">IF(A984="","",'Outro banco'!D984)</f>
        <v/>
      </c>
      <c r="E984" s="9"/>
      <c r="F984" s="9"/>
      <c r="G984" s="7" t="str">
        <f aca="false">IF(A984="","",IF(COUNTIF(Tabelas!$A:$A,IF(E984="",A984,E984))&gt;0,"sim","não"))</f>
        <v/>
      </c>
      <c r="H984" s="7" t="str">
        <f aca="false">IF(A984="","",IF(E984="",A984,E984)&amp;"."&amp;IF(F984="",B984,F984))</f>
        <v/>
      </c>
      <c r="I984" s="7" t="str">
        <f aca="false">IF(A984="","",IFERROR(INDEX('Campos Growths'!$F:$F,MATCH(H984,'Campos Growths'!$A:$A,0)),""))</f>
        <v/>
      </c>
      <c r="J984" s="7" t="str">
        <f aca="false">IF(A984="","",IFERROR(VLOOKUP(IF(ISNUMBER(SEARCH("(",C984)),LEFT(C984,SEARCH("(",C984)-1),C984),Tipos!$A:$B,2,FALSE()),"outro"))</f>
        <v/>
      </c>
      <c r="K984" s="7" t="str">
        <f aca="false">IF(I984="","",IFERROR(INDEX('Campos Growths'!$L:$L,MATCH(H984,'Campos Growths'!$A:$A,0)),""))</f>
        <v/>
      </c>
      <c r="L984" s="7" t="str">
        <f aca="false">IF(A984="","",IF(G984="não","Sem tabela no Growths",IF(I984="","Sem campo no Growths",IF(J984=K984,"Importa direto","Ajustar tipo"))))</f>
        <v/>
      </c>
      <c r="M984" s="9"/>
    </row>
    <row r="985" customFormat="false" ht="15" hidden="false" customHeight="false" outlineLevel="0" collapsed="false">
      <c r="A985" s="7" t="str">
        <f aca="false">IF('Outro banco'!A985="","",IF(LEFT('Outro banco'!A985,1)="(","",'Outro banco'!A985))</f>
        <v/>
      </c>
      <c r="B985" s="7" t="str">
        <f aca="false">IF(A985="","",'Outro banco'!B985)</f>
        <v/>
      </c>
      <c r="C985" s="7" t="str">
        <f aca="false">IF(A985="","",'Outro banco'!C985)</f>
        <v/>
      </c>
      <c r="D985" s="7" t="str">
        <f aca="false">IF(A985="","",'Outro banco'!D985)</f>
        <v/>
      </c>
      <c r="E985" s="9"/>
      <c r="F985" s="9"/>
      <c r="G985" s="7" t="str">
        <f aca="false">IF(A985="","",IF(COUNTIF(Tabelas!$A:$A,IF(E985="",A985,E985))&gt;0,"sim","não"))</f>
        <v/>
      </c>
      <c r="H985" s="7" t="str">
        <f aca="false">IF(A985="","",IF(E985="",A985,E985)&amp;"."&amp;IF(F985="",B985,F985))</f>
        <v/>
      </c>
      <c r="I985" s="7" t="str">
        <f aca="false">IF(A985="","",IFERROR(INDEX('Campos Growths'!$F:$F,MATCH(H985,'Campos Growths'!$A:$A,0)),""))</f>
        <v/>
      </c>
      <c r="J985" s="7" t="str">
        <f aca="false">IF(A985="","",IFERROR(VLOOKUP(IF(ISNUMBER(SEARCH("(",C985)),LEFT(C985,SEARCH("(",C985)-1),C985),Tipos!$A:$B,2,FALSE()),"outro"))</f>
        <v/>
      </c>
      <c r="K985" s="7" t="str">
        <f aca="false">IF(I985="","",IFERROR(INDEX('Campos Growths'!$L:$L,MATCH(H985,'Campos Growths'!$A:$A,0)),""))</f>
        <v/>
      </c>
      <c r="L985" s="7" t="str">
        <f aca="false">IF(A985="","",IF(G985="não","Sem tabela no Growths",IF(I985="","Sem campo no Growths",IF(J985=K985,"Importa direto","Ajustar tipo"))))</f>
        <v/>
      </c>
      <c r="M985" s="9"/>
    </row>
    <row r="986" customFormat="false" ht="15" hidden="false" customHeight="false" outlineLevel="0" collapsed="false">
      <c r="A986" s="7" t="str">
        <f aca="false">IF('Outro banco'!A986="","",IF(LEFT('Outro banco'!A986,1)="(","",'Outro banco'!A986))</f>
        <v/>
      </c>
      <c r="B986" s="7" t="str">
        <f aca="false">IF(A986="","",'Outro banco'!B986)</f>
        <v/>
      </c>
      <c r="C986" s="7" t="str">
        <f aca="false">IF(A986="","",'Outro banco'!C986)</f>
        <v/>
      </c>
      <c r="D986" s="7" t="str">
        <f aca="false">IF(A986="","",'Outro banco'!D986)</f>
        <v/>
      </c>
      <c r="E986" s="9"/>
      <c r="F986" s="9"/>
      <c r="G986" s="7" t="str">
        <f aca="false">IF(A986="","",IF(COUNTIF(Tabelas!$A:$A,IF(E986="",A986,E986))&gt;0,"sim","não"))</f>
        <v/>
      </c>
      <c r="H986" s="7" t="str">
        <f aca="false">IF(A986="","",IF(E986="",A986,E986)&amp;"."&amp;IF(F986="",B986,F986))</f>
        <v/>
      </c>
      <c r="I986" s="7" t="str">
        <f aca="false">IF(A986="","",IFERROR(INDEX('Campos Growths'!$F:$F,MATCH(H986,'Campos Growths'!$A:$A,0)),""))</f>
        <v/>
      </c>
      <c r="J986" s="7" t="str">
        <f aca="false">IF(A986="","",IFERROR(VLOOKUP(IF(ISNUMBER(SEARCH("(",C986)),LEFT(C986,SEARCH("(",C986)-1),C986),Tipos!$A:$B,2,FALSE()),"outro"))</f>
        <v/>
      </c>
      <c r="K986" s="7" t="str">
        <f aca="false">IF(I986="","",IFERROR(INDEX('Campos Growths'!$L:$L,MATCH(H986,'Campos Growths'!$A:$A,0)),""))</f>
        <v/>
      </c>
      <c r="L986" s="7" t="str">
        <f aca="false">IF(A986="","",IF(G986="não","Sem tabela no Growths",IF(I986="","Sem campo no Growths",IF(J986=K986,"Importa direto","Ajustar tipo"))))</f>
        <v/>
      </c>
      <c r="M986" s="9"/>
    </row>
    <row r="987" customFormat="false" ht="15" hidden="false" customHeight="false" outlineLevel="0" collapsed="false">
      <c r="A987" s="7" t="str">
        <f aca="false">IF('Outro banco'!A987="","",IF(LEFT('Outro banco'!A987,1)="(","",'Outro banco'!A987))</f>
        <v/>
      </c>
      <c r="B987" s="7" t="str">
        <f aca="false">IF(A987="","",'Outro banco'!B987)</f>
        <v/>
      </c>
      <c r="C987" s="7" t="str">
        <f aca="false">IF(A987="","",'Outro banco'!C987)</f>
        <v/>
      </c>
      <c r="D987" s="7" t="str">
        <f aca="false">IF(A987="","",'Outro banco'!D987)</f>
        <v/>
      </c>
      <c r="E987" s="9"/>
      <c r="F987" s="9"/>
      <c r="G987" s="7" t="str">
        <f aca="false">IF(A987="","",IF(COUNTIF(Tabelas!$A:$A,IF(E987="",A987,E987))&gt;0,"sim","não"))</f>
        <v/>
      </c>
      <c r="H987" s="7" t="str">
        <f aca="false">IF(A987="","",IF(E987="",A987,E987)&amp;"."&amp;IF(F987="",B987,F987))</f>
        <v/>
      </c>
      <c r="I987" s="7" t="str">
        <f aca="false">IF(A987="","",IFERROR(INDEX('Campos Growths'!$F:$F,MATCH(H987,'Campos Growths'!$A:$A,0)),""))</f>
        <v/>
      </c>
      <c r="J987" s="7" t="str">
        <f aca="false">IF(A987="","",IFERROR(VLOOKUP(IF(ISNUMBER(SEARCH("(",C987)),LEFT(C987,SEARCH("(",C987)-1),C987),Tipos!$A:$B,2,FALSE()),"outro"))</f>
        <v/>
      </c>
      <c r="K987" s="7" t="str">
        <f aca="false">IF(I987="","",IFERROR(INDEX('Campos Growths'!$L:$L,MATCH(H987,'Campos Growths'!$A:$A,0)),""))</f>
        <v/>
      </c>
      <c r="L987" s="7" t="str">
        <f aca="false">IF(A987="","",IF(G987="não","Sem tabela no Growths",IF(I987="","Sem campo no Growths",IF(J987=K987,"Importa direto","Ajustar tipo"))))</f>
        <v/>
      </c>
      <c r="M987" s="9"/>
    </row>
    <row r="988" customFormat="false" ht="15" hidden="false" customHeight="false" outlineLevel="0" collapsed="false">
      <c r="A988" s="7" t="str">
        <f aca="false">IF('Outro banco'!A988="","",IF(LEFT('Outro banco'!A988,1)="(","",'Outro banco'!A988))</f>
        <v/>
      </c>
      <c r="B988" s="7" t="str">
        <f aca="false">IF(A988="","",'Outro banco'!B988)</f>
        <v/>
      </c>
      <c r="C988" s="7" t="str">
        <f aca="false">IF(A988="","",'Outro banco'!C988)</f>
        <v/>
      </c>
      <c r="D988" s="7" t="str">
        <f aca="false">IF(A988="","",'Outro banco'!D988)</f>
        <v/>
      </c>
      <c r="E988" s="9"/>
      <c r="F988" s="9"/>
      <c r="G988" s="7" t="str">
        <f aca="false">IF(A988="","",IF(COUNTIF(Tabelas!$A:$A,IF(E988="",A988,E988))&gt;0,"sim","não"))</f>
        <v/>
      </c>
      <c r="H988" s="7" t="str">
        <f aca="false">IF(A988="","",IF(E988="",A988,E988)&amp;"."&amp;IF(F988="",B988,F988))</f>
        <v/>
      </c>
      <c r="I988" s="7" t="str">
        <f aca="false">IF(A988="","",IFERROR(INDEX('Campos Growths'!$F:$F,MATCH(H988,'Campos Growths'!$A:$A,0)),""))</f>
        <v/>
      </c>
      <c r="J988" s="7" t="str">
        <f aca="false">IF(A988="","",IFERROR(VLOOKUP(IF(ISNUMBER(SEARCH("(",C988)),LEFT(C988,SEARCH("(",C988)-1),C988),Tipos!$A:$B,2,FALSE()),"outro"))</f>
        <v/>
      </c>
      <c r="K988" s="7" t="str">
        <f aca="false">IF(I988="","",IFERROR(INDEX('Campos Growths'!$L:$L,MATCH(H988,'Campos Growths'!$A:$A,0)),""))</f>
        <v/>
      </c>
      <c r="L988" s="7" t="str">
        <f aca="false">IF(A988="","",IF(G988="não","Sem tabela no Growths",IF(I988="","Sem campo no Growths",IF(J988=K988,"Importa direto","Ajustar tipo"))))</f>
        <v/>
      </c>
      <c r="M988" s="9"/>
    </row>
    <row r="989" customFormat="false" ht="15" hidden="false" customHeight="false" outlineLevel="0" collapsed="false">
      <c r="A989" s="7" t="str">
        <f aca="false">IF('Outro banco'!A989="","",IF(LEFT('Outro banco'!A989,1)="(","",'Outro banco'!A989))</f>
        <v/>
      </c>
      <c r="B989" s="7" t="str">
        <f aca="false">IF(A989="","",'Outro banco'!B989)</f>
        <v/>
      </c>
      <c r="C989" s="7" t="str">
        <f aca="false">IF(A989="","",'Outro banco'!C989)</f>
        <v/>
      </c>
      <c r="D989" s="7" t="str">
        <f aca="false">IF(A989="","",'Outro banco'!D989)</f>
        <v/>
      </c>
      <c r="E989" s="9"/>
      <c r="F989" s="9"/>
      <c r="G989" s="7" t="str">
        <f aca="false">IF(A989="","",IF(COUNTIF(Tabelas!$A:$A,IF(E989="",A989,E989))&gt;0,"sim","não"))</f>
        <v/>
      </c>
      <c r="H989" s="7" t="str">
        <f aca="false">IF(A989="","",IF(E989="",A989,E989)&amp;"."&amp;IF(F989="",B989,F989))</f>
        <v/>
      </c>
      <c r="I989" s="7" t="str">
        <f aca="false">IF(A989="","",IFERROR(INDEX('Campos Growths'!$F:$F,MATCH(H989,'Campos Growths'!$A:$A,0)),""))</f>
        <v/>
      </c>
      <c r="J989" s="7" t="str">
        <f aca="false">IF(A989="","",IFERROR(VLOOKUP(IF(ISNUMBER(SEARCH("(",C989)),LEFT(C989,SEARCH("(",C989)-1),C989),Tipos!$A:$B,2,FALSE()),"outro"))</f>
        <v/>
      </c>
      <c r="K989" s="7" t="str">
        <f aca="false">IF(I989="","",IFERROR(INDEX('Campos Growths'!$L:$L,MATCH(H989,'Campos Growths'!$A:$A,0)),""))</f>
        <v/>
      </c>
      <c r="L989" s="7" t="str">
        <f aca="false">IF(A989="","",IF(G989="não","Sem tabela no Growths",IF(I989="","Sem campo no Growths",IF(J989=K989,"Importa direto","Ajustar tipo"))))</f>
        <v/>
      </c>
      <c r="M989" s="9"/>
    </row>
    <row r="990" customFormat="false" ht="15" hidden="false" customHeight="false" outlineLevel="0" collapsed="false">
      <c r="A990" s="7" t="str">
        <f aca="false">IF('Outro banco'!A990="","",IF(LEFT('Outro banco'!A990,1)="(","",'Outro banco'!A990))</f>
        <v/>
      </c>
      <c r="B990" s="7" t="str">
        <f aca="false">IF(A990="","",'Outro banco'!B990)</f>
        <v/>
      </c>
      <c r="C990" s="7" t="str">
        <f aca="false">IF(A990="","",'Outro banco'!C990)</f>
        <v/>
      </c>
      <c r="D990" s="7" t="str">
        <f aca="false">IF(A990="","",'Outro banco'!D990)</f>
        <v/>
      </c>
      <c r="E990" s="9"/>
      <c r="F990" s="9"/>
      <c r="G990" s="7" t="str">
        <f aca="false">IF(A990="","",IF(COUNTIF(Tabelas!$A:$A,IF(E990="",A990,E990))&gt;0,"sim","não"))</f>
        <v/>
      </c>
      <c r="H990" s="7" t="str">
        <f aca="false">IF(A990="","",IF(E990="",A990,E990)&amp;"."&amp;IF(F990="",B990,F990))</f>
        <v/>
      </c>
      <c r="I990" s="7" t="str">
        <f aca="false">IF(A990="","",IFERROR(INDEX('Campos Growths'!$F:$F,MATCH(H990,'Campos Growths'!$A:$A,0)),""))</f>
        <v/>
      </c>
      <c r="J990" s="7" t="str">
        <f aca="false">IF(A990="","",IFERROR(VLOOKUP(IF(ISNUMBER(SEARCH("(",C990)),LEFT(C990,SEARCH("(",C990)-1),C990),Tipos!$A:$B,2,FALSE()),"outro"))</f>
        <v/>
      </c>
      <c r="K990" s="7" t="str">
        <f aca="false">IF(I990="","",IFERROR(INDEX('Campos Growths'!$L:$L,MATCH(H990,'Campos Growths'!$A:$A,0)),""))</f>
        <v/>
      </c>
      <c r="L990" s="7" t="str">
        <f aca="false">IF(A990="","",IF(G990="não","Sem tabela no Growths",IF(I990="","Sem campo no Growths",IF(J990=K990,"Importa direto","Ajustar tipo"))))</f>
        <v/>
      </c>
      <c r="M990" s="9"/>
    </row>
    <row r="991" customFormat="false" ht="15" hidden="false" customHeight="false" outlineLevel="0" collapsed="false">
      <c r="A991" s="7" t="str">
        <f aca="false">IF('Outro banco'!A991="","",IF(LEFT('Outro banco'!A991,1)="(","",'Outro banco'!A991))</f>
        <v/>
      </c>
      <c r="B991" s="7" t="str">
        <f aca="false">IF(A991="","",'Outro banco'!B991)</f>
        <v/>
      </c>
      <c r="C991" s="7" t="str">
        <f aca="false">IF(A991="","",'Outro banco'!C991)</f>
        <v/>
      </c>
      <c r="D991" s="7" t="str">
        <f aca="false">IF(A991="","",'Outro banco'!D991)</f>
        <v/>
      </c>
      <c r="E991" s="9"/>
      <c r="F991" s="9"/>
      <c r="G991" s="7" t="str">
        <f aca="false">IF(A991="","",IF(COUNTIF(Tabelas!$A:$A,IF(E991="",A991,E991))&gt;0,"sim","não"))</f>
        <v/>
      </c>
      <c r="H991" s="7" t="str">
        <f aca="false">IF(A991="","",IF(E991="",A991,E991)&amp;"."&amp;IF(F991="",B991,F991))</f>
        <v/>
      </c>
      <c r="I991" s="7" t="str">
        <f aca="false">IF(A991="","",IFERROR(INDEX('Campos Growths'!$F:$F,MATCH(H991,'Campos Growths'!$A:$A,0)),""))</f>
        <v/>
      </c>
      <c r="J991" s="7" t="str">
        <f aca="false">IF(A991="","",IFERROR(VLOOKUP(IF(ISNUMBER(SEARCH("(",C991)),LEFT(C991,SEARCH("(",C991)-1),C991),Tipos!$A:$B,2,FALSE()),"outro"))</f>
        <v/>
      </c>
      <c r="K991" s="7" t="str">
        <f aca="false">IF(I991="","",IFERROR(INDEX('Campos Growths'!$L:$L,MATCH(H991,'Campos Growths'!$A:$A,0)),""))</f>
        <v/>
      </c>
      <c r="L991" s="7" t="str">
        <f aca="false">IF(A991="","",IF(G991="não","Sem tabela no Growths",IF(I991="","Sem campo no Growths",IF(J991=K991,"Importa direto","Ajustar tipo"))))</f>
        <v/>
      </c>
      <c r="M991" s="9"/>
    </row>
    <row r="992" customFormat="false" ht="15" hidden="false" customHeight="false" outlineLevel="0" collapsed="false">
      <c r="A992" s="7" t="str">
        <f aca="false">IF('Outro banco'!A992="","",IF(LEFT('Outro banco'!A992,1)="(","",'Outro banco'!A992))</f>
        <v/>
      </c>
      <c r="B992" s="7" t="str">
        <f aca="false">IF(A992="","",'Outro banco'!B992)</f>
        <v/>
      </c>
      <c r="C992" s="7" t="str">
        <f aca="false">IF(A992="","",'Outro banco'!C992)</f>
        <v/>
      </c>
      <c r="D992" s="7" t="str">
        <f aca="false">IF(A992="","",'Outro banco'!D992)</f>
        <v/>
      </c>
      <c r="E992" s="9"/>
      <c r="F992" s="9"/>
      <c r="G992" s="7" t="str">
        <f aca="false">IF(A992="","",IF(COUNTIF(Tabelas!$A:$A,IF(E992="",A992,E992))&gt;0,"sim","não"))</f>
        <v/>
      </c>
      <c r="H992" s="7" t="str">
        <f aca="false">IF(A992="","",IF(E992="",A992,E992)&amp;"."&amp;IF(F992="",B992,F992))</f>
        <v/>
      </c>
      <c r="I992" s="7" t="str">
        <f aca="false">IF(A992="","",IFERROR(INDEX('Campos Growths'!$F:$F,MATCH(H992,'Campos Growths'!$A:$A,0)),""))</f>
        <v/>
      </c>
      <c r="J992" s="7" t="str">
        <f aca="false">IF(A992="","",IFERROR(VLOOKUP(IF(ISNUMBER(SEARCH("(",C992)),LEFT(C992,SEARCH("(",C992)-1),C992),Tipos!$A:$B,2,FALSE()),"outro"))</f>
        <v/>
      </c>
      <c r="K992" s="7" t="str">
        <f aca="false">IF(I992="","",IFERROR(INDEX('Campos Growths'!$L:$L,MATCH(H992,'Campos Growths'!$A:$A,0)),""))</f>
        <v/>
      </c>
      <c r="L992" s="7" t="str">
        <f aca="false">IF(A992="","",IF(G992="não","Sem tabela no Growths",IF(I992="","Sem campo no Growths",IF(J992=K992,"Importa direto","Ajustar tipo"))))</f>
        <v/>
      </c>
      <c r="M992" s="9"/>
    </row>
    <row r="993" customFormat="false" ht="15" hidden="false" customHeight="false" outlineLevel="0" collapsed="false">
      <c r="A993" s="7" t="str">
        <f aca="false">IF('Outro banco'!A993="","",IF(LEFT('Outro banco'!A993,1)="(","",'Outro banco'!A993))</f>
        <v/>
      </c>
      <c r="B993" s="7" t="str">
        <f aca="false">IF(A993="","",'Outro banco'!B993)</f>
        <v/>
      </c>
      <c r="C993" s="7" t="str">
        <f aca="false">IF(A993="","",'Outro banco'!C993)</f>
        <v/>
      </c>
      <c r="D993" s="7" t="str">
        <f aca="false">IF(A993="","",'Outro banco'!D993)</f>
        <v/>
      </c>
      <c r="E993" s="9"/>
      <c r="F993" s="9"/>
      <c r="G993" s="7" t="str">
        <f aca="false">IF(A993="","",IF(COUNTIF(Tabelas!$A:$A,IF(E993="",A993,E993))&gt;0,"sim","não"))</f>
        <v/>
      </c>
      <c r="H993" s="7" t="str">
        <f aca="false">IF(A993="","",IF(E993="",A993,E993)&amp;"."&amp;IF(F993="",B993,F993))</f>
        <v/>
      </c>
      <c r="I993" s="7" t="str">
        <f aca="false">IF(A993="","",IFERROR(INDEX('Campos Growths'!$F:$F,MATCH(H993,'Campos Growths'!$A:$A,0)),""))</f>
        <v/>
      </c>
      <c r="J993" s="7" t="str">
        <f aca="false">IF(A993="","",IFERROR(VLOOKUP(IF(ISNUMBER(SEARCH("(",C993)),LEFT(C993,SEARCH("(",C993)-1),C993),Tipos!$A:$B,2,FALSE()),"outro"))</f>
        <v/>
      </c>
      <c r="K993" s="7" t="str">
        <f aca="false">IF(I993="","",IFERROR(INDEX('Campos Growths'!$L:$L,MATCH(H993,'Campos Growths'!$A:$A,0)),""))</f>
        <v/>
      </c>
      <c r="L993" s="7" t="str">
        <f aca="false">IF(A993="","",IF(G993="não","Sem tabela no Growths",IF(I993="","Sem campo no Growths",IF(J993=K993,"Importa direto","Ajustar tipo"))))</f>
        <v/>
      </c>
      <c r="M993" s="9"/>
    </row>
    <row r="994" customFormat="false" ht="15" hidden="false" customHeight="false" outlineLevel="0" collapsed="false">
      <c r="A994" s="7" t="str">
        <f aca="false">IF('Outro banco'!A994="","",IF(LEFT('Outro banco'!A994,1)="(","",'Outro banco'!A994))</f>
        <v/>
      </c>
      <c r="B994" s="7" t="str">
        <f aca="false">IF(A994="","",'Outro banco'!B994)</f>
        <v/>
      </c>
      <c r="C994" s="7" t="str">
        <f aca="false">IF(A994="","",'Outro banco'!C994)</f>
        <v/>
      </c>
      <c r="D994" s="7" t="str">
        <f aca="false">IF(A994="","",'Outro banco'!D994)</f>
        <v/>
      </c>
      <c r="E994" s="9"/>
      <c r="F994" s="9"/>
      <c r="G994" s="7" t="str">
        <f aca="false">IF(A994="","",IF(COUNTIF(Tabelas!$A:$A,IF(E994="",A994,E994))&gt;0,"sim","não"))</f>
        <v/>
      </c>
      <c r="H994" s="7" t="str">
        <f aca="false">IF(A994="","",IF(E994="",A994,E994)&amp;"."&amp;IF(F994="",B994,F994))</f>
        <v/>
      </c>
      <c r="I994" s="7" t="str">
        <f aca="false">IF(A994="","",IFERROR(INDEX('Campos Growths'!$F:$F,MATCH(H994,'Campos Growths'!$A:$A,0)),""))</f>
        <v/>
      </c>
      <c r="J994" s="7" t="str">
        <f aca="false">IF(A994="","",IFERROR(VLOOKUP(IF(ISNUMBER(SEARCH("(",C994)),LEFT(C994,SEARCH("(",C994)-1),C994),Tipos!$A:$B,2,FALSE()),"outro"))</f>
        <v/>
      </c>
      <c r="K994" s="7" t="str">
        <f aca="false">IF(I994="","",IFERROR(INDEX('Campos Growths'!$L:$L,MATCH(H994,'Campos Growths'!$A:$A,0)),""))</f>
        <v/>
      </c>
      <c r="L994" s="7" t="str">
        <f aca="false">IF(A994="","",IF(G994="não","Sem tabela no Growths",IF(I994="","Sem campo no Growths",IF(J994=K994,"Importa direto","Ajustar tipo"))))</f>
        <v/>
      </c>
      <c r="M994" s="9"/>
    </row>
    <row r="995" customFormat="false" ht="15" hidden="false" customHeight="false" outlineLevel="0" collapsed="false">
      <c r="A995" s="7" t="str">
        <f aca="false">IF('Outro banco'!A995="","",IF(LEFT('Outro banco'!A995,1)="(","",'Outro banco'!A995))</f>
        <v/>
      </c>
      <c r="B995" s="7" t="str">
        <f aca="false">IF(A995="","",'Outro banco'!B995)</f>
        <v/>
      </c>
      <c r="C995" s="7" t="str">
        <f aca="false">IF(A995="","",'Outro banco'!C995)</f>
        <v/>
      </c>
      <c r="D995" s="7" t="str">
        <f aca="false">IF(A995="","",'Outro banco'!D995)</f>
        <v/>
      </c>
      <c r="E995" s="9"/>
      <c r="F995" s="9"/>
      <c r="G995" s="7" t="str">
        <f aca="false">IF(A995="","",IF(COUNTIF(Tabelas!$A:$A,IF(E995="",A995,E995))&gt;0,"sim","não"))</f>
        <v/>
      </c>
      <c r="H995" s="7" t="str">
        <f aca="false">IF(A995="","",IF(E995="",A995,E995)&amp;"."&amp;IF(F995="",B995,F995))</f>
        <v/>
      </c>
      <c r="I995" s="7" t="str">
        <f aca="false">IF(A995="","",IFERROR(INDEX('Campos Growths'!$F:$F,MATCH(H995,'Campos Growths'!$A:$A,0)),""))</f>
        <v/>
      </c>
      <c r="J995" s="7" t="str">
        <f aca="false">IF(A995="","",IFERROR(VLOOKUP(IF(ISNUMBER(SEARCH("(",C995)),LEFT(C995,SEARCH("(",C995)-1),C995),Tipos!$A:$B,2,FALSE()),"outro"))</f>
        <v/>
      </c>
      <c r="K995" s="7" t="str">
        <f aca="false">IF(I995="","",IFERROR(INDEX('Campos Growths'!$L:$L,MATCH(H995,'Campos Growths'!$A:$A,0)),""))</f>
        <v/>
      </c>
      <c r="L995" s="7" t="str">
        <f aca="false">IF(A995="","",IF(G995="não","Sem tabela no Growths",IF(I995="","Sem campo no Growths",IF(J995=K995,"Importa direto","Ajustar tipo"))))</f>
        <v/>
      </c>
      <c r="M995" s="9"/>
    </row>
    <row r="996" customFormat="false" ht="15" hidden="false" customHeight="false" outlineLevel="0" collapsed="false">
      <c r="A996" s="7" t="str">
        <f aca="false">IF('Outro banco'!A996="","",IF(LEFT('Outro banco'!A996,1)="(","",'Outro banco'!A996))</f>
        <v/>
      </c>
      <c r="B996" s="7" t="str">
        <f aca="false">IF(A996="","",'Outro banco'!B996)</f>
        <v/>
      </c>
      <c r="C996" s="7" t="str">
        <f aca="false">IF(A996="","",'Outro banco'!C996)</f>
        <v/>
      </c>
      <c r="D996" s="7" t="str">
        <f aca="false">IF(A996="","",'Outro banco'!D996)</f>
        <v/>
      </c>
      <c r="E996" s="9"/>
      <c r="F996" s="9"/>
      <c r="G996" s="7" t="str">
        <f aca="false">IF(A996="","",IF(COUNTIF(Tabelas!$A:$A,IF(E996="",A996,E996))&gt;0,"sim","não"))</f>
        <v/>
      </c>
      <c r="H996" s="7" t="str">
        <f aca="false">IF(A996="","",IF(E996="",A996,E996)&amp;"."&amp;IF(F996="",B996,F996))</f>
        <v/>
      </c>
      <c r="I996" s="7" t="str">
        <f aca="false">IF(A996="","",IFERROR(INDEX('Campos Growths'!$F:$F,MATCH(H996,'Campos Growths'!$A:$A,0)),""))</f>
        <v/>
      </c>
      <c r="J996" s="7" t="str">
        <f aca="false">IF(A996="","",IFERROR(VLOOKUP(IF(ISNUMBER(SEARCH("(",C996)),LEFT(C996,SEARCH("(",C996)-1),C996),Tipos!$A:$B,2,FALSE()),"outro"))</f>
        <v/>
      </c>
      <c r="K996" s="7" t="str">
        <f aca="false">IF(I996="","",IFERROR(INDEX('Campos Growths'!$L:$L,MATCH(H996,'Campos Growths'!$A:$A,0)),""))</f>
        <v/>
      </c>
      <c r="L996" s="7" t="str">
        <f aca="false">IF(A996="","",IF(G996="não","Sem tabela no Growths",IF(I996="","Sem campo no Growths",IF(J996=K996,"Importa direto","Ajustar tipo"))))</f>
        <v/>
      </c>
      <c r="M996" s="9"/>
    </row>
    <row r="997" customFormat="false" ht="15" hidden="false" customHeight="false" outlineLevel="0" collapsed="false">
      <c r="A997" s="7" t="str">
        <f aca="false">IF('Outro banco'!A997="","",IF(LEFT('Outro banco'!A997,1)="(","",'Outro banco'!A997))</f>
        <v/>
      </c>
      <c r="B997" s="7" t="str">
        <f aca="false">IF(A997="","",'Outro banco'!B997)</f>
        <v/>
      </c>
      <c r="C997" s="7" t="str">
        <f aca="false">IF(A997="","",'Outro banco'!C997)</f>
        <v/>
      </c>
      <c r="D997" s="7" t="str">
        <f aca="false">IF(A997="","",'Outro banco'!D997)</f>
        <v/>
      </c>
      <c r="E997" s="9"/>
      <c r="F997" s="9"/>
      <c r="G997" s="7" t="str">
        <f aca="false">IF(A997="","",IF(COUNTIF(Tabelas!$A:$A,IF(E997="",A997,E997))&gt;0,"sim","não"))</f>
        <v/>
      </c>
      <c r="H997" s="7" t="str">
        <f aca="false">IF(A997="","",IF(E997="",A997,E997)&amp;"."&amp;IF(F997="",B997,F997))</f>
        <v/>
      </c>
      <c r="I997" s="7" t="str">
        <f aca="false">IF(A997="","",IFERROR(INDEX('Campos Growths'!$F:$F,MATCH(H997,'Campos Growths'!$A:$A,0)),""))</f>
        <v/>
      </c>
      <c r="J997" s="7" t="str">
        <f aca="false">IF(A997="","",IFERROR(VLOOKUP(IF(ISNUMBER(SEARCH("(",C997)),LEFT(C997,SEARCH("(",C997)-1),C997),Tipos!$A:$B,2,FALSE()),"outro"))</f>
        <v/>
      </c>
      <c r="K997" s="7" t="str">
        <f aca="false">IF(I997="","",IFERROR(INDEX('Campos Growths'!$L:$L,MATCH(H997,'Campos Growths'!$A:$A,0)),""))</f>
        <v/>
      </c>
      <c r="L997" s="7" t="str">
        <f aca="false">IF(A997="","",IF(G997="não","Sem tabela no Growths",IF(I997="","Sem campo no Growths",IF(J997=K997,"Importa direto","Ajustar tipo"))))</f>
        <v/>
      </c>
      <c r="M997" s="9"/>
    </row>
    <row r="998" customFormat="false" ht="15" hidden="false" customHeight="false" outlineLevel="0" collapsed="false">
      <c r="A998" s="7" t="str">
        <f aca="false">IF('Outro banco'!A998="","",IF(LEFT('Outro banco'!A998,1)="(","",'Outro banco'!A998))</f>
        <v/>
      </c>
      <c r="B998" s="7" t="str">
        <f aca="false">IF(A998="","",'Outro banco'!B998)</f>
        <v/>
      </c>
      <c r="C998" s="7" t="str">
        <f aca="false">IF(A998="","",'Outro banco'!C998)</f>
        <v/>
      </c>
      <c r="D998" s="7" t="str">
        <f aca="false">IF(A998="","",'Outro banco'!D998)</f>
        <v/>
      </c>
      <c r="E998" s="9"/>
      <c r="F998" s="9"/>
      <c r="G998" s="7" t="str">
        <f aca="false">IF(A998="","",IF(COUNTIF(Tabelas!$A:$A,IF(E998="",A998,E998))&gt;0,"sim","não"))</f>
        <v/>
      </c>
      <c r="H998" s="7" t="str">
        <f aca="false">IF(A998="","",IF(E998="",A998,E998)&amp;"."&amp;IF(F998="",B998,F998))</f>
        <v/>
      </c>
      <c r="I998" s="7" t="str">
        <f aca="false">IF(A998="","",IFERROR(INDEX('Campos Growths'!$F:$F,MATCH(H998,'Campos Growths'!$A:$A,0)),""))</f>
        <v/>
      </c>
      <c r="J998" s="7" t="str">
        <f aca="false">IF(A998="","",IFERROR(VLOOKUP(IF(ISNUMBER(SEARCH("(",C998)),LEFT(C998,SEARCH("(",C998)-1),C998),Tipos!$A:$B,2,FALSE()),"outro"))</f>
        <v/>
      </c>
      <c r="K998" s="7" t="str">
        <f aca="false">IF(I998="","",IFERROR(INDEX('Campos Growths'!$L:$L,MATCH(H998,'Campos Growths'!$A:$A,0)),""))</f>
        <v/>
      </c>
      <c r="L998" s="7" t="str">
        <f aca="false">IF(A998="","",IF(G998="não","Sem tabela no Growths",IF(I998="","Sem campo no Growths",IF(J998=K998,"Importa direto","Ajustar tipo"))))</f>
        <v/>
      </c>
      <c r="M998" s="9"/>
    </row>
    <row r="999" customFormat="false" ht="15" hidden="false" customHeight="false" outlineLevel="0" collapsed="false">
      <c r="A999" s="7" t="str">
        <f aca="false">IF('Outro banco'!A999="","",IF(LEFT('Outro banco'!A999,1)="(","",'Outro banco'!A999))</f>
        <v/>
      </c>
      <c r="B999" s="7" t="str">
        <f aca="false">IF(A999="","",'Outro banco'!B999)</f>
        <v/>
      </c>
      <c r="C999" s="7" t="str">
        <f aca="false">IF(A999="","",'Outro banco'!C999)</f>
        <v/>
      </c>
      <c r="D999" s="7" t="str">
        <f aca="false">IF(A999="","",'Outro banco'!D999)</f>
        <v/>
      </c>
      <c r="E999" s="9"/>
      <c r="F999" s="9"/>
      <c r="G999" s="7" t="str">
        <f aca="false">IF(A999="","",IF(COUNTIF(Tabelas!$A:$A,IF(E999="",A999,E999))&gt;0,"sim","não"))</f>
        <v/>
      </c>
      <c r="H999" s="7" t="str">
        <f aca="false">IF(A999="","",IF(E999="",A999,E999)&amp;"."&amp;IF(F999="",B999,F999))</f>
        <v/>
      </c>
      <c r="I999" s="7" t="str">
        <f aca="false">IF(A999="","",IFERROR(INDEX('Campos Growths'!$F:$F,MATCH(H999,'Campos Growths'!$A:$A,0)),""))</f>
        <v/>
      </c>
      <c r="J999" s="7" t="str">
        <f aca="false">IF(A999="","",IFERROR(VLOOKUP(IF(ISNUMBER(SEARCH("(",C999)),LEFT(C999,SEARCH("(",C999)-1),C999),Tipos!$A:$B,2,FALSE()),"outro"))</f>
        <v/>
      </c>
      <c r="K999" s="7" t="str">
        <f aca="false">IF(I999="","",IFERROR(INDEX('Campos Growths'!$L:$L,MATCH(H999,'Campos Growths'!$A:$A,0)),""))</f>
        <v/>
      </c>
      <c r="L999" s="7" t="str">
        <f aca="false">IF(A999="","",IF(G999="não","Sem tabela no Growths",IF(I999="","Sem campo no Growths",IF(J999=K999,"Importa direto","Ajustar tipo"))))</f>
        <v/>
      </c>
      <c r="M999" s="9"/>
    </row>
    <row r="1000" customFormat="false" ht="15" hidden="false" customHeight="false" outlineLevel="0" collapsed="false">
      <c r="A1000" s="7" t="str">
        <f aca="false">IF('Outro banco'!A1000="","",IF(LEFT('Outro banco'!A1000,1)="(","",'Outro banco'!A1000))</f>
        <v/>
      </c>
      <c r="B1000" s="7" t="str">
        <f aca="false">IF(A1000="","",'Outro banco'!B1000)</f>
        <v/>
      </c>
      <c r="C1000" s="7" t="str">
        <f aca="false">IF(A1000="","",'Outro banco'!C1000)</f>
        <v/>
      </c>
      <c r="D1000" s="7" t="str">
        <f aca="false">IF(A1000="","",'Outro banco'!D1000)</f>
        <v/>
      </c>
      <c r="E1000" s="9"/>
      <c r="F1000" s="9"/>
      <c r="G1000" s="7" t="str">
        <f aca="false">IF(A1000="","",IF(COUNTIF(Tabelas!$A:$A,IF(E1000="",A1000,E1000))&gt;0,"sim","não"))</f>
        <v/>
      </c>
      <c r="H1000" s="7" t="str">
        <f aca="false">IF(A1000="","",IF(E1000="",A1000,E1000)&amp;"."&amp;IF(F1000="",B1000,F1000))</f>
        <v/>
      </c>
      <c r="I1000" s="7" t="str">
        <f aca="false">IF(A1000="","",IFERROR(INDEX('Campos Growths'!$F:$F,MATCH(H1000,'Campos Growths'!$A:$A,0)),""))</f>
        <v/>
      </c>
      <c r="J1000" s="7" t="str">
        <f aca="false">IF(A1000="","",IFERROR(VLOOKUP(IF(ISNUMBER(SEARCH("(",C1000)),LEFT(C1000,SEARCH("(",C1000)-1),C1000),Tipos!$A:$B,2,FALSE()),"outro"))</f>
        <v/>
      </c>
      <c r="K1000" s="7" t="str">
        <f aca="false">IF(I1000="","",IFERROR(INDEX('Campos Growths'!$L:$L,MATCH(H1000,'Campos Growths'!$A:$A,0)),""))</f>
        <v/>
      </c>
      <c r="L1000" s="7" t="str">
        <f aca="false">IF(A1000="","",IF(G1000="não","Sem tabela no Growths",IF(I1000="","Sem campo no Growths",IF(J1000=K1000,"Importa direto","Ajustar tipo"))))</f>
        <v/>
      </c>
      <c r="M1000" s="9"/>
    </row>
    <row r="1001" customFormat="false" ht="15" hidden="false" customHeight="false" outlineLevel="0" collapsed="false">
      <c r="A1001" s="7" t="str">
        <f aca="false">IF('Outro banco'!A1001="","",IF(LEFT('Outro banco'!A1001,1)="(","",'Outro banco'!A1001))</f>
        <v/>
      </c>
      <c r="B1001" s="7" t="str">
        <f aca="false">IF(A1001="","",'Outro banco'!B1001)</f>
        <v/>
      </c>
      <c r="C1001" s="7" t="str">
        <f aca="false">IF(A1001="","",'Outro banco'!C1001)</f>
        <v/>
      </c>
      <c r="D1001" s="7" t="str">
        <f aca="false">IF(A1001="","",'Outro banco'!D1001)</f>
        <v/>
      </c>
      <c r="E1001" s="9"/>
      <c r="F1001" s="9"/>
      <c r="G1001" s="7" t="str">
        <f aca="false">IF(A1001="","",IF(COUNTIF(Tabelas!$A:$A,IF(E1001="",A1001,E1001))&gt;0,"sim","não"))</f>
        <v/>
      </c>
      <c r="H1001" s="7" t="str">
        <f aca="false">IF(A1001="","",IF(E1001="",A1001,E1001)&amp;"."&amp;IF(F1001="",B1001,F1001))</f>
        <v/>
      </c>
      <c r="I1001" s="7" t="str">
        <f aca="false">IF(A1001="","",IFERROR(INDEX('Campos Growths'!$F:$F,MATCH(H1001,'Campos Growths'!$A:$A,0)),""))</f>
        <v/>
      </c>
      <c r="J1001" s="7" t="str">
        <f aca="false">IF(A1001="","",IFERROR(VLOOKUP(IF(ISNUMBER(SEARCH("(",C1001)),LEFT(C1001,SEARCH("(",C1001)-1),C1001),Tipos!$A:$B,2,FALSE()),"outro"))</f>
        <v/>
      </c>
      <c r="K1001" s="7" t="str">
        <f aca="false">IF(I1001="","",IFERROR(INDEX('Campos Growths'!$L:$L,MATCH(H1001,'Campos Growths'!$A:$A,0)),""))</f>
        <v/>
      </c>
      <c r="L1001" s="7" t="str">
        <f aca="false">IF(A1001="","",IF(G1001="não","Sem tabela no Growths",IF(I1001="","Sem campo no Growths",IF(J1001=K1001,"Importa direto","Ajustar tipo"))))</f>
        <v/>
      </c>
      <c r="M1001" s="9"/>
    </row>
    <row r="1002" customFormat="false" ht="15" hidden="false" customHeight="false" outlineLevel="0" collapsed="false">
      <c r="A1002" s="7" t="str">
        <f aca="false">IF('Outro banco'!A1002="","",IF(LEFT('Outro banco'!A1002,1)="(","",'Outro banco'!A1002))</f>
        <v/>
      </c>
      <c r="B1002" s="7" t="str">
        <f aca="false">IF(A1002="","",'Outro banco'!B1002)</f>
        <v/>
      </c>
      <c r="C1002" s="7" t="str">
        <f aca="false">IF(A1002="","",'Outro banco'!C1002)</f>
        <v/>
      </c>
      <c r="D1002" s="7" t="str">
        <f aca="false">IF(A1002="","",'Outro banco'!D1002)</f>
        <v/>
      </c>
      <c r="E1002" s="9"/>
      <c r="F1002" s="9"/>
      <c r="G1002" s="7" t="str">
        <f aca="false">IF(A1002="","",IF(COUNTIF(Tabelas!$A:$A,IF(E1002="",A1002,E1002))&gt;0,"sim","não"))</f>
        <v/>
      </c>
      <c r="H1002" s="7" t="str">
        <f aca="false">IF(A1002="","",IF(E1002="",A1002,E1002)&amp;"."&amp;IF(F1002="",B1002,F1002))</f>
        <v/>
      </c>
      <c r="I1002" s="7" t="str">
        <f aca="false">IF(A1002="","",IFERROR(INDEX('Campos Growths'!$F:$F,MATCH(H1002,'Campos Growths'!$A:$A,0)),""))</f>
        <v/>
      </c>
      <c r="J1002" s="7" t="str">
        <f aca="false">IF(A1002="","",IFERROR(VLOOKUP(IF(ISNUMBER(SEARCH("(",C1002)),LEFT(C1002,SEARCH("(",C1002)-1),C1002),Tipos!$A:$B,2,FALSE()),"outro"))</f>
        <v/>
      </c>
      <c r="K1002" s="7" t="str">
        <f aca="false">IF(I1002="","",IFERROR(INDEX('Campos Growths'!$L:$L,MATCH(H1002,'Campos Growths'!$A:$A,0)),""))</f>
        <v/>
      </c>
      <c r="L1002" s="7" t="str">
        <f aca="false">IF(A1002="","",IF(G1002="não","Sem tabela no Growths",IF(I1002="","Sem campo no Growths",IF(J1002=K1002,"Importa direto","Ajustar tipo"))))</f>
        <v/>
      </c>
      <c r="M1002" s="9"/>
    </row>
    <row r="1003" customFormat="false" ht="15" hidden="false" customHeight="false" outlineLevel="0" collapsed="false">
      <c r="A1003" s="7" t="str">
        <f aca="false">IF('Outro banco'!A1003="","",IF(LEFT('Outro banco'!A1003,1)="(","",'Outro banco'!A1003))</f>
        <v/>
      </c>
      <c r="B1003" s="7" t="str">
        <f aca="false">IF(A1003="","",'Outro banco'!B1003)</f>
        <v/>
      </c>
      <c r="C1003" s="7" t="str">
        <f aca="false">IF(A1003="","",'Outro banco'!C1003)</f>
        <v/>
      </c>
      <c r="D1003" s="7" t="str">
        <f aca="false">IF(A1003="","",'Outro banco'!D1003)</f>
        <v/>
      </c>
      <c r="E1003" s="9"/>
      <c r="F1003" s="9"/>
      <c r="G1003" s="7" t="str">
        <f aca="false">IF(A1003="","",IF(COUNTIF(Tabelas!$A:$A,IF(E1003="",A1003,E1003))&gt;0,"sim","não"))</f>
        <v/>
      </c>
      <c r="H1003" s="7" t="str">
        <f aca="false">IF(A1003="","",IF(E1003="",A1003,E1003)&amp;"."&amp;IF(F1003="",B1003,F1003))</f>
        <v/>
      </c>
      <c r="I1003" s="7" t="str">
        <f aca="false">IF(A1003="","",IFERROR(INDEX('Campos Growths'!$F:$F,MATCH(H1003,'Campos Growths'!$A:$A,0)),""))</f>
        <v/>
      </c>
      <c r="J1003" s="7" t="str">
        <f aca="false">IF(A1003="","",IFERROR(VLOOKUP(IF(ISNUMBER(SEARCH("(",C1003)),LEFT(C1003,SEARCH("(",C1003)-1),C1003),Tipos!$A:$B,2,FALSE()),"outro"))</f>
        <v/>
      </c>
      <c r="K1003" s="7" t="str">
        <f aca="false">IF(I1003="","",IFERROR(INDEX('Campos Growths'!$L:$L,MATCH(H1003,'Campos Growths'!$A:$A,0)),""))</f>
        <v/>
      </c>
      <c r="L1003" s="7" t="str">
        <f aca="false">IF(A1003="","",IF(G1003="não","Sem tabela no Growths",IF(I1003="","Sem campo no Growths",IF(J1003=K1003,"Importa direto","Ajustar tipo"))))</f>
        <v/>
      </c>
      <c r="M1003" s="9"/>
    </row>
    <row r="1004" customFormat="false" ht="15" hidden="false" customHeight="false" outlineLevel="0" collapsed="false">
      <c r="A1004" s="7" t="str">
        <f aca="false">IF('Outro banco'!A1004="","",IF(LEFT('Outro banco'!A1004,1)="(","",'Outro banco'!A1004))</f>
        <v/>
      </c>
      <c r="B1004" s="7" t="str">
        <f aca="false">IF(A1004="","",'Outro banco'!B1004)</f>
        <v/>
      </c>
      <c r="C1004" s="7" t="str">
        <f aca="false">IF(A1004="","",'Outro banco'!C1004)</f>
        <v/>
      </c>
      <c r="D1004" s="7" t="str">
        <f aca="false">IF(A1004="","",'Outro banco'!D1004)</f>
        <v/>
      </c>
      <c r="E1004" s="9"/>
      <c r="F1004" s="9"/>
      <c r="G1004" s="7" t="str">
        <f aca="false">IF(A1004="","",IF(COUNTIF(Tabelas!$A:$A,IF(E1004="",A1004,E1004))&gt;0,"sim","não"))</f>
        <v/>
      </c>
      <c r="H1004" s="7" t="str">
        <f aca="false">IF(A1004="","",IF(E1004="",A1004,E1004)&amp;"."&amp;IF(F1004="",B1004,F1004))</f>
        <v/>
      </c>
      <c r="I1004" s="7" t="str">
        <f aca="false">IF(A1004="","",IFERROR(INDEX('Campos Growths'!$F:$F,MATCH(H1004,'Campos Growths'!$A:$A,0)),""))</f>
        <v/>
      </c>
      <c r="J1004" s="7" t="str">
        <f aca="false">IF(A1004="","",IFERROR(VLOOKUP(IF(ISNUMBER(SEARCH("(",C1004)),LEFT(C1004,SEARCH("(",C1004)-1),C1004),Tipos!$A:$B,2,FALSE()),"outro"))</f>
        <v/>
      </c>
      <c r="K1004" s="7" t="str">
        <f aca="false">IF(I1004="","",IFERROR(INDEX('Campos Growths'!$L:$L,MATCH(H1004,'Campos Growths'!$A:$A,0)),""))</f>
        <v/>
      </c>
      <c r="L1004" s="7" t="str">
        <f aca="false">IF(A1004="","",IF(G1004="não","Sem tabela no Growths",IF(I1004="","Sem campo no Growths",IF(J1004=K1004,"Importa direto","Ajustar tipo"))))</f>
        <v/>
      </c>
      <c r="M1004" s="9"/>
    </row>
    <row r="1005" customFormat="false" ht="15" hidden="false" customHeight="false" outlineLevel="0" collapsed="false">
      <c r="A1005" s="7" t="str">
        <f aca="false">IF('Outro banco'!A1005="","",IF(LEFT('Outro banco'!A1005,1)="(","",'Outro banco'!A1005))</f>
        <v/>
      </c>
      <c r="B1005" s="7" t="str">
        <f aca="false">IF(A1005="","",'Outro banco'!B1005)</f>
        <v/>
      </c>
      <c r="C1005" s="7" t="str">
        <f aca="false">IF(A1005="","",'Outro banco'!C1005)</f>
        <v/>
      </c>
      <c r="D1005" s="7" t="str">
        <f aca="false">IF(A1005="","",'Outro banco'!D1005)</f>
        <v/>
      </c>
      <c r="E1005" s="9"/>
      <c r="F1005" s="9"/>
      <c r="G1005" s="7" t="str">
        <f aca="false">IF(A1005="","",IF(COUNTIF(Tabelas!$A:$A,IF(E1005="",A1005,E1005))&gt;0,"sim","não"))</f>
        <v/>
      </c>
      <c r="H1005" s="7" t="str">
        <f aca="false">IF(A1005="","",IF(E1005="",A1005,E1005)&amp;"."&amp;IF(F1005="",B1005,F1005))</f>
        <v/>
      </c>
      <c r="I1005" s="7" t="str">
        <f aca="false">IF(A1005="","",IFERROR(INDEX('Campos Growths'!$F:$F,MATCH(H1005,'Campos Growths'!$A:$A,0)),""))</f>
        <v/>
      </c>
      <c r="J1005" s="7" t="str">
        <f aca="false">IF(A1005="","",IFERROR(VLOOKUP(IF(ISNUMBER(SEARCH("(",C1005)),LEFT(C1005,SEARCH("(",C1005)-1),C1005),Tipos!$A:$B,2,FALSE()),"outro"))</f>
        <v/>
      </c>
      <c r="K1005" s="7" t="str">
        <f aca="false">IF(I1005="","",IFERROR(INDEX('Campos Growths'!$L:$L,MATCH(H1005,'Campos Growths'!$A:$A,0)),""))</f>
        <v/>
      </c>
      <c r="L1005" s="7" t="str">
        <f aca="false">IF(A1005="","",IF(G1005="não","Sem tabela no Growths",IF(I1005="","Sem campo no Growths",IF(J1005=K1005,"Importa direto","Ajustar tipo"))))</f>
        <v/>
      </c>
      <c r="M1005" s="9"/>
    </row>
    <row r="1006" customFormat="false" ht="15" hidden="false" customHeight="false" outlineLevel="0" collapsed="false">
      <c r="A1006" s="7" t="str">
        <f aca="false">IF('Outro banco'!A1006="","",IF(LEFT('Outro banco'!A1006,1)="(","",'Outro banco'!A1006))</f>
        <v/>
      </c>
      <c r="B1006" s="7" t="str">
        <f aca="false">IF(A1006="","",'Outro banco'!B1006)</f>
        <v/>
      </c>
      <c r="C1006" s="7" t="str">
        <f aca="false">IF(A1006="","",'Outro banco'!C1006)</f>
        <v/>
      </c>
      <c r="D1006" s="7" t="str">
        <f aca="false">IF(A1006="","",'Outro banco'!D1006)</f>
        <v/>
      </c>
      <c r="E1006" s="9"/>
      <c r="F1006" s="9"/>
      <c r="G1006" s="7" t="str">
        <f aca="false">IF(A1006="","",IF(COUNTIF(Tabelas!$A:$A,IF(E1006="",A1006,E1006))&gt;0,"sim","não"))</f>
        <v/>
      </c>
      <c r="H1006" s="7" t="str">
        <f aca="false">IF(A1006="","",IF(E1006="",A1006,E1006)&amp;"."&amp;IF(F1006="",B1006,F1006))</f>
        <v/>
      </c>
      <c r="I1006" s="7" t="str">
        <f aca="false">IF(A1006="","",IFERROR(INDEX('Campos Growths'!$F:$F,MATCH(H1006,'Campos Growths'!$A:$A,0)),""))</f>
        <v/>
      </c>
      <c r="J1006" s="7" t="str">
        <f aca="false">IF(A1006="","",IFERROR(VLOOKUP(IF(ISNUMBER(SEARCH("(",C1006)),LEFT(C1006,SEARCH("(",C1006)-1),C1006),Tipos!$A:$B,2,FALSE()),"outro"))</f>
        <v/>
      </c>
      <c r="K1006" s="7" t="str">
        <f aca="false">IF(I1006="","",IFERROR(INDEX('Campos Growths'!$L:$L,MATCH(H1006,'Campos Growths'!$A:$A,0)),""))</f>
        <v/>
      </c>
      <c r="L1006" s="7" t="str">
        <f aca="false">IF(A1006="","",IF(G1006="não","Sem tabela no Growths",IF(I1006="","Sem campo no Growths",IF(J1006=K1006,"Importa direto","Ajustar tipo"))))</f>
        <v/>
      </c>
      <c r="M1006" s="9"/>
    </row>
    <row r="1007" customFormat="false" ht="15" hidden="false" customHeight="false" outlineLevel="0" collapsed="false">
      <c r="A1007" s="7" t="str">
        <f aca="false">IF('Outro banco'!A1007="","",IF(LEFT('Outro banco'!A1007,1)="(","",'Outro banco'!A1007))</f>
        <v/>
      </c>
      <c r="B1007" s="7" t="str">
        <f aca="false">IF(A1007="","",'Outro banco'!B1007)</f>
        <v/>
      </c>
      <c r="C1007" s="7" t="str">
        <f aca="false">IF(A1007="","",'Outro banco'!C1007)</f>
        <v/>
      </c>
      <c r="D1007" s="7" t="str">
        <f aca="false">IF(A1007="","",'Outro banco'!D1007)</f>
        <v/>
      </c>
      <c r="E1007" s="9"/>
      <c r="F1007" s="9"/>
      <c r="G1007" s="7" t="str">
        <f aca="false">IF(A1007="","",IF(COUNTIF(Tabelas!$A:$A,IF(E1007="",A1007,E1007))&gt;0,"sim","não"))</f>
        <v/>
      </c>
      <c r="H1007" s="7" t="str">
        <f aca="false">IF(A1007="","",IF(E1007="",A1007,E1007)&amp;"."&amp;IF(F1007="",B1007,F1007))</f>
        <v/>
      </c>
      <c r="I1007" s="7" t="str">
        <f aca="false">IF(A1007="","",IFERROR(INDEX('Campos Growths'!$F:$F,MATCH(H1007,'Campos Growths'!$A:$A,0)),""))</f>
        <v/>
      </c>
      <c r="J1007" s="7" t="str">
        <f aca="false">IF(A1007="","",IFERROR(VLOOKUP(IF(ISNUMBER(SEARCH("(",C1007)),LEFT(C1007,SEARCH("(",C1007)-1),C1007),Tipos!$A:$B,2,FALSE()),"outro"))</f>
        <v/>
      </c>
      <c r="K1007" s="7" t="str">
        <f aca="false">IF(I1007="","",IFERROR(INDEX('Campos Growths'!$L:$L,MATCH(H1007,'Campos Growths'!$A:$A,0)),""))</f>
        <v/>
      </c>
      <c r="L1007" s="7" t="str">
        <f aca="false">IF(A1007="","",IF(G1007="não","Sem tabela no Growths",IF(I1007="","Sem campo no Growths",IF(J1007=K1007,"Importa direto","Ajustar tipo"))))</f>
        <v/>
      </c>
      <c r="M1007" s="9"/>
    </row>
    <row r="1008" customFormat="false" ht="15" hidden="false" customHeight="false" outlineLevel="0" collapsed="false">
      <c r="A1008" s="7" t="str">
        <f aca="false">IF('Outro banco'!A1008="","",IF(LEFT('Outro banco'!A1008,1)="(","",'Outro banco'!A1008))</f>
        <v/>
      </c>
      <c r="B1008" s="7" t="str">
        <f aca="false">IF(A1008="","",'Outro banco'!B1008)</f>
        <v/>
      </c>
      <c r="C1008" s="7" t="str">
        <f aca="false">IF(A1008="","",'Outro banco'!C1008)</f>
        <v/>
      </c>
      <c r="D1008" s="7" t="str">
        <f aca="false">IF(A1008="","",'Outro banco'!D1008)</f>
        <v/>
      </c>
      <c r="E1008" s="9"/>
      <c r="F1008" s="9"/>
      <c r="G1008" s="7" t="str">
        <f aca="false">IF(A1008="","",IF(COUNTIF(Tabelas!$A:$A,IF(E1008="",A1008,E1008))&gt;0,"sim","não"))</f>
        <v/>
      </c>
      <c r="H1008" s="7" t="str">
        <f aca="false">IF(A1008="","",IF(E1008="",A1008,E1008)&amp;"."&amp;IF(F1008="",B1008,F1008))</f>
        <v/>
      </c>
      <c r="I1008" s="7" t="str">
        <f aca="false">IF(A1008="","",IFERROR(INDEX('Campos Growths'!$F:$F,MATCH(H1008,'Campos Growths'!$A:$A,0)),""))</f>
        <v/>
      </c>
      <c r="J1008" s="7" t="str">
        <f aca="false">IF(A1008="","",IFERROR(VLOOKUP(IF(ISNUMBER(SEARCH("(",C1008)),LEFT(C1008,SEARCH("(",C1008)-1),C1008),Tipos!$A:$B,2,FALSE()),"outro"))</f>
        <v/>
      </c>
      <c r="K1008" s="7" t="str">
        <f aca="false">IF(I1008="","",IFERROR(INDEX('Campos Growths'!$L:$L,MATCH(H1008,'Campos Growths'!$A:$A,0)),""))</f>
        <v/>
      </c>
      <c r="L1008" s="7" t="str">
        <f aca="false">IF(A1008="","",IF(G1008="não","Sem tabela no Growths",IF(I1008="","Sem campo no Growths",IF(J1008=K1008,"Importa direto","Ajustar tipo"))))</f>
        <v/>
      </c>
      <c r="M1008" s="9"/>
    </row>
    <row r="1009" customFormat="false" ht="15" hidden="false" customHeight="false" outlineLevel="0" collapsed="false">
      <c r="A1009" s="7" t="str">
        <f aca="false">IF('Outro banco'!A1009="","",IF(LEFT('Outro banco'!A1009,1)="(","",'Outro banco'!A1009))</f>
        <v/>
      </c>
      <c r="B1009" s="7" t="str">
        <f aca="false">IF(A1009="","",'Outro banco'!B1009)</f>
        <v/>
      </c>
      <c r="C1009" s="7" t="str">
        <f aca="false">IF(A1009="","",'Outro banco'!C1009)</f>
        <v/>
      </c>
      <c r="D1009" s="7" t="str">
        <f aca="false">IF(A1009="","",'Outro banco'!D1009)</f>
        <v/>
      </c>
      <c r="E1009" s="9"/>
      <c r="F1009" s="9"/>
      <c r="G1009" s="7" t="str">
        <f aca="false">IF(A1009="","",IF(COUNTIF(Tabelas!$A:$A,IF(E1009="",A1009,E1009))&gt;0,"sim","não"))</f>
        <v/>
      </c>
      <c r="H1009" s="7" t="str">
        <f aca="false">IF(A1009="","",IF(E1009="",A1009,E1009)&amp;"."&amp;IF(F1009="",B1009,F1009))</f>
        <v/>
      </c>
      <c r="I1009" s="7" t="str">
        <f aca="false">IF(A1009="","",IFERROR(INDEX('Campos Growths'!$F:$F,MATCH(H1009,'Campos Growths'!$A:$A,0)),""))</f>
        <v/>
      </c>
      <c r="J1009" s="7" t="str">
        <f aca="false">IF(A1009="","",IFERROR(VLOOKUP(IF(ISNUMBER(SEARCH("(",C1009)),LEFT(C1009,SEARCH("(",C1009)-1),C1009),Tipos!$A:$B,2,FALSE()),"outro"))</f>
        <v/>
      </c>
      <c r="K1009" s="7" t="str">
        <f aca="false">IF(I1009="","",IFERROR(INDEX('Campos Growths'!$L:$L,MATCH(H1009,'Campos Growths'!$A:$A,0)),""))</f>
        <v/>
      </c>
      <c r="L1009" s="7" t="str">
        <f aca="false">IF(A1009="","",IF(G1009="não","Sem tabela no Growths",IF(I1009="","Sem campo no Growths",IF(J1009=K1009,"Importa direto","Ajustar tipo"))))</f>
        <v/>
      </c>
      <c r="M1009" s="9"/>
    </row>
    <row r="1010" customFormat="false" ht="15" hidden="false" customHeight="false" outlineLevel="0" collapsed="false">
      <c r="A1010" s="7" t="str">
        <f aca="false">IF('Outro banco'!A1010="","",IF(LEFT('Outro banco'!A1010,1)="(","",'Outro banco'!A1010))</f>
        <v/>
      </c>
      <c r="B1010" s="7" t="str">
        <f aca="false">IF(A1010="","",'Outro banco'!B1010)</f>
        <v/>
      </c>
      <c r="C1010" s="7" t="str">
        <f aca="false">IF(A1010="","",'Outro banco'!C1010)</f>
        <v/>
      </c>
      <c r="D1010" s="7" t="str">
        <f aca="false">IF(A1010="","",'Outro banco'!D1010)</f>
        <v/>
      </c>
      <c r="E1010" s="9"/>
      <c r="F1010" s="9"/>
      <c r="G1010" s="7" t="str">
        <f aca="false">IF(A1010="","",IF(COUNTIF(Tabelas!$A:$A,IF(E1010="",A1010,E1010))&gt;0,"sim","não"))</f>
        <v/>
      </c>
      <c r="H1010" s="7" t="str">
        <f aca="false">IF(A1010="","",IF(E1010="",A1010,E1010)&amp;"."&amp;IF(F1010="",B1010,F1010))</f>
        <v/>
      </c>
      <c r="I1010" s="7" t="str">
        <f aca="false">IF(A1010="","",IFERROR(INDEX('Campos Growths'!$F:$F,MATCH(H1010,'Campos Growths'!$A:$A,0)),""))</f>
        <v/>
      </c>
      <c r="J1010" s="7" t="str">
        <f aca="false">IF(A1010="","",IFERROR(VLOOKUP(IF(ISNUMBER(SEARCH("(",C1010)),LEFT(C1010,SEARCH("(",C1010)-1),C1010),Tipos!$A:$B,2,FALSE()),"outro"))</f>
        <v/>
      </c>
      <c r="K1010" s="7" t="str">
        <f aca="false">IF(I1010="","",IFERROR(INDEX('Campos Growths'!$L:$L,MATCH(H1010,'Campos Growths'!$A:$A,0)),""))</f>
        <v/>
      </c>
      <c r="L1010" s="7" t="str">
        <f aca="false">IF(A1010="","",IF(G1010="não","Sem tabela no Growths",IF(I1010="","Sem campo no Growths",IF(J1010=K1010,"Importa direto","Ajustar tipo"))))</f>
        <v/>
      </c>
      <c r="M1010" s="9"/>
    </row>
    <row r="1011" customFormat="false" ht="15" hidden="false" customHeight="false" outlineLevel="0" collapsed="false">
      <c r="A1011" s="7" t="str">
        <f aca="false">IF('Outro banco'!A1011="","",IF(LEFT('Outro banco'!A1011,1)="(","",'Outro banco'!A1011))</f>
        <v/>
      </c>
      <c r="B1011" s="7" t="str">
        <f aca="false">IF(A1011="","",'Outro banco'!B1011)</f>
        <v/>
      </c>
      <c r="C1011" s="7" t="str">
        <f aca="false">IF(A1011="","",'Outro banco'!C1011)</f>
        <v/>
      </c>
      <c r="D1011" s="7" t="str">
        <f aca="false">IF(A1011="","",'Outro banco'!D1011)</f>
        <v/>
      </c>
      <c r="E1011" s="9"/>
      <c r="F1011" s="9"/>
      <c r="G1011" s="7" t="str">
        <f aca="false">IF(A1011="","",IF(COUNTIF(Tabelas!$A:$A,IF(E1011="",A1011,E1011))&gt;0,"sim","não"))</f>
        <v/>
      </c>
      <c r="H1011" s="7" t="str">
        <f aca="false">IF(A1011="","",IF(E1011="",A1011,E1011)&amp;"."&amp;IF(F1011="",B1011,F1011))</f>
        <v/>
      </c>
      <c r="I1011" s="7" t="str">
        <f aca="false">IF(A1011="","",IFERROR(INDEX('Campos Growths'!$F:$F,MATCH(H1011,'Campos Growths'!$A:$A,0)),""))</f>
        <v/>
      </c>
      <c r="J1011" s="7" t="str">
        <f aca="false">IF(A1011="","",IFERROR(VLOOKUP(IF(ISNUMBER(SEARCH("(",C1011)),LEFT(C1011,SEARCH("(",C1011)-1),C1011),Tipos!$A:$B,2,FALSE()),"outro"))</f>
        <v/>
      </c>
      <c r="K1011" s="7" t="str">
        <f aca="false">IF(I1011="","",IFERROR(INDEX('Campos Growths'!$L:$L,MATCH(H1011,'Campos Growths'!$A:$A,0)),""))</f>
        <v/>
      </c>
      <c r="L1011" s="7" t="str">
        <f aca="false">IF(A1011="","",IF(G1011="não","Sem tabela no Growths",IF(I1011="","Sem campo no Growths",IF(J1011=K1011,"Importa direto","Ajustar tipo"))))</f>
        <v/>
      </c>
      <c r="M1011" s="9"/>
    </row>
    <row r="1012" customFormat="false" ht="15" hidden="false" customHeight="false" outlineLevel="0" collapsed="false">
      <c r="A1012" s="7" t="str">
        <f aca="false">IF('Outro banco'!A1012="","",IF(LEFT('Outro banco'!A1012,1)="(","",'Outro banco'!A1012))</f>
        <v/>
      </c>
      <c r="B1012" s="7" t="str">
        <f aca="false">IF(A1012="","",'Outro banco'!B1012)</f>
        <v/>
      </c>
      <c r="C1012" s="7" t="str">
        <f aca="false">IF(A1012="","",'Outro banco'!C1012)</f>
        <v/>
      </c>
      <c r="D1012" s="7" t="str">
        <f aca="false">IF(A1012="","",'Outro banco'!D1012)</f>
        <v/>
      </c>
      <c r="E1012" s="9"/>
      <c r="F1012" s="9"/>
      <c r="G1012" s="7" t="str">
        <f aca="false">IF(A1012="","",IF(COUNTIF(Tabelas!$A:$A,IF(E1012="",A1012,E1012))&gt;0,"sim","não"))</f>
        <v/>
      </c>
      <c r="H1012" s="7" t="str">
        <f aca="false">IF(A1012="","",IF(E1012="",A1012,E1012)&amp;"."&amp;IF(F1012="",B1012,F1012))</f>
        <v/>
      </c>
      <c r="I1012" s="7" t="str">
        <f aca="false">IF(A1012="","",IFERROR(INDEX('Campos Growths'!$F:$F,MATCH(H1012,'Campos Growths'!$A:$A,0)),""))</f>
        <v/>
      </c>
      <c r="J1012" s="7" t="str">
        <f aca="false">IF(A1012="","",IFERROR(VLOOKUP(IF(ISNUMBER(SEARCH("(",C1012)),LEFT(C1012,SEARCH("(",C1012)-1),C1012),Tipos!$A:$B,2,FALSE()),"outro"))</f>
        <v/>
      </c>
      <c r="K1012" s="7" t="str">
        <f aca="false">IF(I1012="","",IFERROR(INDEX('Campos Growths'!$L:$L,MATCH(H1012,'Campos Growths'!$A:$A,0)),""))</f>
        <v/>
      </c>
      <c r="L1012" s="7" t="str">
        <f aca="false">IF(A1012="","",IF(G1012="não","Sem tabela no Growths",IF(I1012="","Sem campo no Growths",IF(J1012=K1012,"Importa direto","Ajustar tipo"))))</f>
        <v/>
      </c>
      <c r="M1012" s="9"/>
    </row>
    <row r="1013" customFormat="false" ht="15" hidden="false" customHeight="false" outlineLevel="0" collapsed="false">
      <c r="A1013" s="7" t="str">
        <f aca="false">IF('Outro banco'!A1013="","",IF(LEFT('Outro banco'!A1013,1)="(","",'Outro banco'!A1013))</f>
        <v/>
      </c>
      <c r="B1013" s="7" t="str">
        <f aca="false">IF(A1013="","",'Outro banco'!B1013)</f>
        <v/>
      </c>
      <c r="C1013" s="7" t="str">
        <f aca="false">IF(A1013="","",'Outro banco'!C1013)</f>
        <v/>
      </c>
      <c r="D1013" s="7" t="str">
        <f aca="false">IF(A1013="","",'Outro banco'!D1013)</f>
        <v/>
      </c>
      <c r="E1013" s="9"/>
      <c r="F1013" s="9"/>
      <c r="G1013" s="7" t="str">
        <f aca="false">IF(A1013="","",IF(COUNTIF(Tabelas!$A:$A,IF(E1013="",A1013,E1013))&gt;0,"sim","não"))</f>
        <v/>
      </c>
      <c r="H1013" s="7" t="str">
        <f aca="false">IF(A1013="","",IF(E1013="",A1013,E1013)&amp;"."&amp;IF(F1013="",B1013,F1013))</f>
        <v/>
      </c>
      <c r="I1013" s="7" t="str">
        <f aca="false">IF(A1013="","",IFERROR(INDEX('Campos Growths'!$F:$F,MATCH(H1013,'Campos Growths'!$A:$A,0)),""))</f>
        <v/>
      </c>
      <c r="J1013" s="7" t="str">
        <f aca="false">IF(A1013="","",IFERROR(VLOOKUP(IF(ISNUMBER(SEARCH("(",C1013)),LEFT(C1013,SEARCH("(",C1013)-1),C1013),Tipos!$A:$B,2,FALSE()),"outro"))</f>
        <v/>
      </c>
      <c r="K1013" s="7" t="str">
        <f aca="false">IF(I1013="","",IFERROR(INDEX('Campos Growths'!$L:$L,MATCH(H1013,'Campos Growths'!$A:$A,0)),""))</f>
        <v/>
      </c>
      <c r="L1013" s="7" t="str">
        <f aca="false">IF(A1013="","",IF(G1013="não","Sem tabela no Growths",IF(I1013="","Sem campo no Growths",IF(J1013=K1013,"Importa direto","Ajustar tipo"))))</f>
        <v/>
      </c>
      <c r="M1013" s="9"/>
    </row>
    <row r="1014" customFormat="false" ht="15" hidden="false" customHeight="false" outlineLevel="0" collapsed="false">
      <c r="A1014" s="7" t="str">
        <f aca="false">IF('Outro banco'!A1014="","",IF(LEFT('Outro banco'!A1014,1)="(","",'Outro banco'!A1014))</f>
        <v/>
      </c>
      <c r="B1014" s="7" t="str">
        <f aca="false">IF(A1014="","",'Outro banco'!B1014)</f>
        <v/>
      </c>
      <c r="C1014" s="7" t="str">
        <f aca="false">IF(A1014="","",'Outro banco'!C1014)</f>
        <v/>
      </c>
      <c r="D1014" s="7" t="str">
        <f aca="false">IF(A1014="","",'Outro banco'!D1014)</f>
        <v/>
      </c>
      <c r="E1014" s="9"/>
      <c r="F1014" s="9"/>
      <c r="G1014" s="7" t="str">
        <f aca="false">IF(A1014="","",IF(COUNTIF(Tabelas!$A:$A,IF(E1014="",A1014,E1014))&gt;0,"sim","não"))</f>
        <v/>
      </c>
      <c r="H1014" s="7" t="str">
        <f aca="false">IF(A1014="","",IF(E1014="",A1014,E1014)&amp;"."&amp;IF(F1014="",B1014,F1014))</f>
        <v/>
      </c>
      <c r="I1014" s="7" t="str">
        <f aca="false">IF(A1014="","",IFERROR(INDEX('Campos Growths'!$F:$F,MATCH(H1014,'Campos Growths'!$A:$A,0)),""))</f>
        <v/>
      </c>
      <c r="J1014" s="7" t="str">
        <f aca="false">IF(A1014="","",IFERROR(VLOOKUP(IF(ISNUMBER(SEARCH("(",C1014)),LEFT(C1014,SEARCH("(",C1014)-1),C1014),Tipos!$A:$B,2,FALSE()),"outro"))</f>
        <v/>
      </c>
      <c r="K1014" s="7" t="str">
        <f aca="false">IF(I1014="","",IFERROR(INDEX('Campos Growths'!$L:$L,MATCH(H1014,'Campos Growths'!$A:$A,0)),""))</f>
        <v/>
      </c>
      <c r="L1014" s="7" t="str">
        <f aca="false">IF(A1014="","",IF(G1014="não","Sem tabela no Growths",IF(I1014="","Sem campo no Growths",IF(J1014=K1014,"Importa direto","Ajustar tipo"))))</f>
        <v/>
      </c>
      <c r="M1014" s="9"/>
    </row>
    <row r="1015" customFormat="false" ht="15" hidden="false" customHeight="false" outlineLevel="0" collapsed="false">
      <c r="A1015" s="7" t="str">
        <f aca="false">IF('Outro banco'!A1015="","",IF(LEFT('Outro banco'!A1015,1)="(","",'Outro banco'!A1015))</f>
        <v/>
      </c>
      <c r="B1015" s="7" t="str">
        <f aca="false">IF(A1015="","",'Outro banco'!B1015)</f>
        <v/>
      </c>
      <c r="C1015" s="7" t="str">
        <f aca="false">IF(A1015="","",'Outro banco'!C1015)</f>
        <v/>
      </c>
      <c r="D1015" s="7" t="str">
        <f aca="false">IF(A1015="","",'Outro banco'!D1015)</f>
        <v/>
      </c>
      <c r="E1015" s="9"/>
      <c r="F1015" s="9"/>
      <c r="G1015" s="7" t="str">
        <f aca="false">IF(A1015="","",IF(COUNTIF(Tabelas!$A:$A,IF(E1015="",A1015,E1015))&gt;0,"sim","não"))</f>
        <v/>
      </c>
      <c r="H1015" s="7" t="str">
        <f aca="false">IF(A1015="","",IF(E1015="",A1015,E1015)&amp;"."&amp;IF(F1015="",B1015,F1015))</f>
        <v/>
      </c>
      <c r="I1015" s="7" t="str">
        <f aca="false">IF(A1015="","",IFERROR(INDEX('Campos Growths'!$F:$F,MATCH(H1015,'Campos Growths'!$A:$A,0)),""))</f>
        <v/>
      </c>
      <c r="J1015" s="7" t="str">
        <f aca="false">IF(A1015="","",IFERROR(VLOOKUP(IF(ISNUMBER(SEARCH("(",C1015)),LEFT(C1015,SEARCH("(",C1015)-1),C1015),Tipos!$A:$B,2,FALSE()),"outro"))</f>
        <v/>
      </c>
      <c r="K1015" s="7" t="str">
        <f aca="false">IF(I1015="","",IFERROR(INDEX('Campos Growths'!$L:$L,MATCH(H1015,'Campos Growths'!$A:$A,0)),""))</f>
        <v/>
      </c>
      <c r="L1015" s="7" t="str">
        <f aca="false">IF(A1015="","",IF(G1015="não","Sem tabela no Growths",IF(I1015="","Sem campo no Growths",IF(J1015=K1015,"Importa direto","Ajustar tipo"))))</f>
        <v/>
      </c>
      <c r="M1015" s="9"/>
    </row>
    <row r="1016" customFormat="false" ht="15" hidden="false" customHeight="false" outlineLevel="0" collapsed="false">
      <c r="A1016" s="7" t="str">
        <f aca="false">IF('Outro banco'!A1016="","",IF(LEFT('Outro banco'!A1016,1)="(","",'Outro banco'!A1016))</f>
        <v/>
      </c>
      <c r="B1016" s="7" t="str">
        <f aca="false">IF(A1016="","",'Outro banco'!B1016)</f>
        <v/>
      </c>
      <c r="C1016" s="7" t="str">
        <f aca="false">IF(A1016="","",'Outro banco'!C1016)</f>
        <v/>
      </c>
      <c r="D1016" s="7" t="str">
        <f aca="false">IF(A1016="","",'Outro banco'!D1016)</f>
        <v/>
      </c>
      <c r="E1016" s="9"/>
      <c r="F1016" s="9"/>
      <c r="G1016" s="7" t="str">
        <f aca="false">IF(A1016="","",IF(COUNTIF(Tabelas!$A:$A,IF(E1016="",A1016,E1016))&gt;0,"sim","não"))</f>
        <v/>
      </c>
      <c r="H1016" s="7" t="str">
        <f aca="false">IF(A1016="","",IF(E1016="",A1016,E1016)&amp;"."&amp;IF(F1016="",B1016,F1016))</f>
        <v/>
      </c>
      <c r="I1016" s="7" t="str">
        <f aca="false">IF(A1016="","",IFERROR(INDEX('Campos Growths'!$F:$F,MATCH(H1016,'Campos Growths'!$A:$A,0)),""))</f>
        <v/>
      </c>
      <c r="J1016" s="7" t="str">
        <f aca="false">IF(A1016="","",IFERROR(VLOOKUP(IF(ISNUMBER(SEARCH("(",C1016)),LEFT(C1016,SEARCH("(",C1016)-1),C1016),Tipos!$A:$B,2,FALSE()),"outro"))</f>
        <v/>
      </c>
      <c r="K1016" s="7" t="str">
        <f aca="false">IF(I1016="","",IFERROR(INDEX('Campos Growths'!$L:$L,MATCH(H1016,'Campos Growths'!$A:$A,0)),""))</f>
        <v/>
      </c>
      <c r="L1016" s="7" t="str">
        <f aca="false">IF(A1016="","",IF(G1016="não","Sem tabela no Growths",IF(I1016="","Sem campo no Growths",IF(J1016=K1016,"Importa direto","Ajustar tipo"))))</f>
        <v/>
      </c>
      <c r="M1016" s="9"/>
    </row>
    <row r="1017" customFormat="false" ht="15" hidden="false" customHeight="false" outlineLevel="0" collapsed="false">
      <c r="A1017" s="7" t="str">
        <f aca="false">IF('Outro banco'!A1017="","",IF(LEFT('Outro banco'!A1017,1)="(","",'Outro banco'!A1017))</f>
        <v/>
      </c>
      <c r="B1017" s="7" t="str">
        <f aca="false">IF(A1017="","",'Outro banco'!B1017)</f>
        <v/>
      </c>
      <c r="C1017" s="7" t="str">
        <f aca="false">IF(A1017="","",'Outro banco'!C1017)</f>
        <v/>
      </c>
      <c r="D1017" s="7" t="str">
        <f aca="false">IF(A1017="","",'Outro banco'!D1017)</f>
        <v/>
      </c>
      <c r="E1017" s="9"/>
      <c r="F1017" s="9"/>
      <c r="G1017" s="7" t="str">
        <f aca="false">IF(A1017="","",IF(COUNTIF(Tabelas!$A:$A,IF(E1017="",A1017,E1017))&gt;0,"sim","não"))</f>
        <v/>
      </c>
      <c r="H1017" s="7" t="str">
        <f aca="false">IF(A1017="","",IF(E1017="",A1017,E1017)&amp;"."&amp;IF(F1017="",B1017,F1017))</f>
        <v/>
      </c>
      <c r="I1017" s="7" t="str">
        <f aca="false">IF(A1017="","",IFERROR(INDEX('Campos Growths'!$F:$F,MATCH(H1017,'Campos Growths'!$A:$A,0)),""))</f>
        <v/>
      </c>
      <c r="J1017" s="7" t="str">
        <f aca="false">IF(A1017="","",IFERROR(VLOOKUP(IF(ISNUMBER(SEARCH("(",C1017)),LEFT(C1017,SEARCH("(",C1017)-1),C1017),Tipos!$A:$B,2,FALSE()),"outro"))</f>
        <v/>
      </c>
      <c r="K1017" s="7" t="str">
        <f aca="false">IF(I1017="","",IFERROR(INDEX('Campos Growths'!$L:$L,MATCH(H1017,'Campos Growths'!$A:$A,0)),""))</f>
        <v/>
      </c>
      <c r="L1017" s="7" t="str">
        <f aca="false">IF(A1017="","",IF(G1017="não","Sem tabela no Growths",IF(I1017="","Sem campo no Growths",IF(J1017=K1017,"Importa direto","Ajustar tipo"))))</f>
        <v/>
      </c>
      <c r="M1017" s="9"/>
    </row>
    <row r="1018" customFormat="false" ht="15" hidden="false" customHeight="false" outlineLevel="0" collapsed="false">
      <c r="A1018" s="7" t="str">
        <f aca="false">IF('Outro banco'!A1018="","",IF(LEFT('Outro banco'!A1018,1)="(","",'Outro banco'!A1018))</f>
        <v/>
      </c>
      <c r="B1018" s="7" t="str">
        <f aca="false">IF(A1018="","",'Outro banco'!B1018)</f>
        <v/>
      </c>
      <c r="C1018" s="7" t="str">
        <f aca="false">IF(A1018="","",'Outro banco'!C1018)</f>
        <v/>
      </c>
      <c r="D1018" s="7" t="str">
        <f aca="false">IF(A1018="","",'Outro banco'!D1018)</f>
        <v/>
      </c>
      <c r="E1018" s="9"/>
      <c r="F1018" s="9"/>
      <c r="G1018" s="7" t="str">
        <f aca="false">IF(A1018="","",IF(COUNTIF(Tabelas!$A:$A,IF(E1018="",A1018,E1018))&gt;0,"sim","não"))</f>
        <v/>
      </c>
      <c r="H1018" s="7" t="str">
        <f aca="false">IF(A1018="","",IF(E1018="",A1018,E1018)&amp;"."&amp;IF(F1018="",B1018,F1018))</f>
        <v/>
      </c>
      <c r="I1018" s="7" t="str">
        <f aca="false">IF(A1018="","",IFERROR(INDEX('Campos Growths'!$F:$F,MATCH(H1018,'Campos Growths'!$A:$A,0)),""))</f>
        <v/>
      </c>
      <c r="J1018" s="7" t="str">
        <f aca="false">IF(A1018="","",IFERROR(VLOOKUP(IF(ISNUMBER(SEARCH("(",C1018)),LEFT(C1018,SEARCH("(",C1018)-1),C1018),Tipos!$A:$B,2,FALSE()),"outro"))</f>
        <v/>
      </c>
      <c r="K1018" s="7" t="str">
        <f aca="false">IF(I1018="","",IFERROR(INDEX('Campos Growths'!$L:$L,MATCH(H1018,'Campos Growths'!$A:$A,0)),""))</f>
        <v/>
      </c>
      <c r="L1018" s="7" t="str">
        <f aca="false">IF(A1018="","",IF(G1018="não","Sem tabela no Growths",IF(I1018="","Sem campo no Growths",IF(J1018=K1018,"Importa direto","Ajustar tipo"))))</f>
        <v/>
      </c>
      <c r="M1018" s="9"/>
    </row>
    <row r="1019" customFormat="false" ht="15" hidden="false" customHeight="false" outlineLevel="0" collapsed="false">
      <c r="A1019" s="7" t="str">
        <f aca="false">IF('Outro banco'!A1019="","",IF(LEFT('Outro banco'!A1019,1)="(","",'Outro banco'!A1019))</f>
        <v/>
      </c>
      <c r="B1019" s="7" t="str">
        <f aca="false">IF(A1019="","",'Outro banco'!B1019)</f>
        <v/>
      </c>
      <c r="C1019" s="7" t="str">
        <f aca="false">IF(A1019="","",'Outro banco'!C1019)</f>
        <v/>
      </c>
      <c r="D1019" s="7" t="str">
        <f aca="false">IF(A1019="","",'Outro banco'!D1019)</f>
        <v/>
      </c>
      <c r="E1019" s="9"/>
      <c r="F1019" s="9"/>
      <c r="G1019" s="7" t="str">
        <f aca="false">IF(A1019="","",IF(COUNTIF(Tabelas!$A:$A,IF(E1019="",A1019,E1019))&gt;0,"sim","não"))</f>
        <v/>
      </c>
      <c r="H1019" s="7" t="str">
        <f aca="false">IF(A1019="","",IF(E1019="",A1019,E1019)&amp;"."&amp;IF(F1019="",B1019,F1019))</f>
        <v/>
      </c>
      <c r="I1019" s="7" t="str">
        <f aca="false">IF(A1019="","",IFERROR(INDEX('Campos Growths'!$F:$F,MATCH(H1019,'Campos Growths'!$A:$A,0)),""))</f>
        <v/>
      </c>
      <c r="J1019" s="7" t="str">
        <f aca="false">IF(A1019="","",IFERROR(VLOOKUP(IF(ISNUMBER(SEARCH("(",C1019)),LEFT(C1019,SEARCH("(",C1019)-1),C1019),Tipos!$A:$B,2,FALSE()),"outro"))</f>
        <v/>
      </c>
      <c r="K1019" s="7" t="str">
        <f aca="false">IF(I1019="","",IFERROR(INDEX('Campos Growths'!$L:$L,MATCH(H1019,'Campos Growths'!$A:$A,0)),""))</f>
        <v/>
      </c>
      <c r="L1019" s="7" t="str">
        <f aca="false">IF(A1019="","",IF(G1019="não","Sem tabela no Growths",IF(I1019="","Sem campo no Growths",IF(J1019=K1019,"Importa direto","Ajustar tipo"))))</f>
        <v/>
      </c>
      <c r="M1019" s="9"/>
    </row>
    <row r="1020" customFormat="false" ht="15" hidden="false" customHeight="false" outlineLevel="0" collapsed="false">
      <c r="A1020" s="7" t="str">
        <f aca="false">IF('Outro banco'!A1020="","",IF(LEFT('Outro banco'!A1020,1)="(","",'Outro banco'!A1020))</f>
        <v/>
      </c>
      <c r="B1020" s="7" t="str">
        <f aca="false">IF(A1020="","",'Outro banco'!B1020)</f>
        <v/>
      </c>
      <c r="C1020" s="7" t="str">
        <f aca="false">IF(A1020="","",'Outro banco'!C1020)</f>
        <v/>
      </c>
      <c r="D1020" s="7" t="str">
        <f aca="false">IF(A1020="","",'Outro banco'!D1020)</f>
        <v/>
      </c>
      <c r="E1020" s="9"/>
      <c r="F1020" s="9"/>
      <c r="G1020" s="7" t="str">
        <f aca="false">IF(A1020="","",IF(COUNTIF(Tabelas!$A:$A,IF(E1020="",A1020,E1020))&gt;0,"sim","não"))</f>
        <v/>
      </c>
      <c r="H1020" s="7" t="str">
        <f aca="false">IF(A1020="","",IF(E1020="",A1020,E1020)&amp;"."&amp;IF(F1020="",B1020,F1020))</f>
        <v/>
      </c>
      <c r="I1020" s="7" t="str">
        <f aca="false">IF(A1020="","",IFERROR(INDEX('Campos Growths'!$F:$F,MATCH(H1020,'Campos Growths'!$A:$A,0)),""))</f>
        <v/>
      </c>
      <c r="J1020" s="7" t="str">
        <f aca="false">IF(A1020="","",IFERROR(VLOOKUP(IF(ISNUMBER(SEARCH("(",C1020)),LEFT(C1020,SEARCH("(",C1020)-1),C1020),Tipos!$A:$B,2,FALSE()),"outro"))</f>
        <v/>
      </c>
      <c r="K1020" s="7" t="str">
        <f aca="false">IF(I1020="","",IFERROR(INDEX('Campos Growths'!$L:$L,MATCH(H1020,'Campos Growths'!$A:$A,0)),""))</f>
        <v/>
      </c>
      <c r="L1020" s="7" t="str">
        <f aca="false">IF(A1020="","",IF(G1020="não","Sem tabela no Growths",IF(I1020="","Sem campo no Growths",IF(J1020=K1020,"Importa direto","Ajustar tipo"))))</f>
        <v/>
      </c>
      <c r="M1020" s="9"/>
    </row>
    <row r="1021" customFormat="false" ht="15" hidden="false" customHeight="false" outlineLevel="0" collapsed="false">
      <c r="A1021" s="7" t="str">
        <f aca="false">IF('Outro banco'!A1021="","",IF(LEFT('Outro banco'!A1021,1)="(","",'Outro banco'!A1021))</f>
        <v/>
      </c>
      <c r="B1021" s="7" t="str">
        <f aca="false">IF(A1021="","",'Outro banco'!B1021)</f>
        <v/>
      </c>
      <c r="C1021" s="7" t="str">
        <f aca="false">IF(A1021="","",'Outro banco'!C1021)</f>
        <v/>
      </c>
      <c r="D1021" s="7" t="str">
        <f aca="false">IF(A1021="","",'Outro banco'!D1021)</f>
        <v/>
      </c>
      <c r="E1021" s="9"/>
      <c r="F1021" s="9"/>
      <c r="G1021" s="7" t="str">
        <f aca="false">IF(A1021="","",IF(COUNTIF(Tabelas!$A:$A,IF(E1021="",A1021,E1021))&gt;0,"sim","não"))</f>
        <v/>
      </c>
      <c r="H1021" s="7" t="str">
        <f aca="false">IF(A1021="","",IF(E1021="",A1021,E1021)&amp;"."&amp;IF(F1021="",B1021,F1021))</f>
        <v/>
      </c>
      <c r="I1021" s="7" t="str">
        <f aca="false">IF(A1021="","",IFERROR(INDEX('Campos Growths'!$F:$F,MATCH(H1021,'Campos Growths'!$A:$A,0)),""))</f>
        <v/>
      </c>
      <c r="J1021" s="7" t="str">
        <f aca="false">IF(A1021="","",IFERROR(VLOOKUP(IF(ISNUMBER(SEARCH("(",C1021)),LEFT(C1021,SEARCH("(",C1021)-1),C1021),Tipos!$A:$B,2,FALSE()),"outro"))</f>
        <v/>
      </c>
      <c r="K1021" s="7" t="str">
        <f aca="false">IF(I1021="","",IFERROR(INDEX('Campos Growths'!$L:$L,MATCH(H1021,'Campos Growths'!$A:$A,0)),""))</f>
        <v/>
      </c>
      <c r="L1021" s="7" t="str">
        <f aca="false">IF(A1021="","",IF(G1021="não","Sem tabela no Growths",IF(I1021="","Sem campo no Growths",IF(J1021=K1021,"Importa direto","Ajustar tipo"))))</f>
        <v/>
      </c>
      <c r="M1021" s="9"/>
    </row>
    <row r="1022" customFormat="false" ht="15" hidden="false" customHeight="false" outlineLevel="0" collapsed="false">
      <c r="A1022" s="7" t="str">
        <f aca="false">IF('Outro banco'!A1022="","",IF(LEFT('Outro banco'!A1022,1)="(","",'Outro banco'!A1022))</f>
        <v/>
      </c>
      <c r="B1022" s="7" t="str">
        <f aca="false">IF(A1022="","",'Outro banco'!B1022)</f>
        <v/>
      </c>
      <c r="C1022" s="7" t="str">
        <f aca="false">IF(A1022="","",'Outro banco'!C1022)</f>
        <v/>
      </c>
      <c r="D1022" s="7" t="str">
        <f aca="false">IF(A1022="","",'Outro banco'!D1022)</f>
        <v/>
      </c>
      <c r="E1022" s="9"/>
      <c r="F1022" s="9"/>
      <c r="G1022" s="7" t="str">
        <f aca="false">IF(A1022="","",IF(COUNTIF(Tabelas!$A:$A,IF(E1022="",A1022,E1022))&gt;0,"sim","não"))</f>
        <v/>
      </c>
      <c r="H1022" s="7" t="str">
        <f aca="false">IF(A1022="","",IF(E1022="",A1022,E1022)&amp;"."&amp;IF(F1022="",B1022,F1022))</f>
        <v/>
      </c>
      <c r="I1022" s="7" t="str">
        <f aca="false">IF(A1022="","",IFERROR(INDEX('Campos Growths'!$F:$F,MATCH(H1022,'Campos Growths'!$A:$A,0)),""))</f>
        <v/>
      </c>
      <c r="J1022" s="7" t="str">
        <f aca="false">IF(A1022="","",IFERROR(VLOOKUP(IF(ISNUMBER(SEARCH("(",C1022)),LEFT(C1022,SEARCH("(",C1022)-1),C1022),Tipos!$A:$B,2,FALSE()),"outro"))</f>
        <v/>
      </c>
      <c r="K1022" s="7" t="str">
        <f aca="false">IF(I1022="","",IFERROR(INDEX('Campos Growths'!$L:$L,MATCH(H1022,'Campos Growths'!$A:$A,0)),""))</f>
        <v/>
      </c>
      <c r="L1022" s="7" t="str">
        <f aca="false">IF(A1022="","",IF(G1022="não","Sem tabela no Growths",IF(I1022="","Sem campo no Growths",IF(J1022=K1022,"Importa direto","Ajustar tipo"))))</f>
        <v/>
      </c>
      <c r="M1022" s="9"/>
    </row>
    <row r="1023" customFormat="false" ht="15" hidden="false" customHeight="false" outlineLevel="0" collapsed="false">
      <c r="A1023" s="7" t="str">
        <f aca="false">IF('Outro banco'!A1023="","",IF(LEFT('Outro banco'!A1023,1)="(","",'Outro banco'!A1023))</f>
        <v/>
      </c>
      <c r="B1023" s="7" t="str">
        <f aca="false">IF(A1023="","",'Outro banco'!B1023)</f>
        <v/>
      </c>
      <c r="C1023" s="7" t="str">
        <f aca="false">IF(A1023="","",'Outro banco'!C1023)</f>
        <v/>
      </c>
      <c r="D1023" s="7" t="str">
        <f aca="false">IF(A1023="","",'Outro banco'!D1023)</f>
        <v/>
      </c>
      <c r="E1023" s="9"/>
      <c r="F1023" s="9"/>
      <c r="G1023" s="7" t="str">
        <f aca="false">IF(A1023="","",IF(COUNTIF(Tabelas!$A:$A,IF(E1023="",A1023,E1023))&gt;0,"sim","não"))</f>
        <v/>
      </c>
      <c r="H1023" s="7" t="str">
        <f aca="false">IF(A1023="","",IF(E1023="",A1023,E1023)&amp;"."&amp;IF(F1023="",B1023,F1023))</f>
        <v/>
      </c>
      <c r="I1023" s="7" t="str">
        <f aca="false">IF(A1023="","",IFERROR(INDEX('Campos Growths'!$F:$F,MATCH(H1023,'Campos Growths'!$A:$A,0)),""))</f>
        <v/>
      </c>
      <c r="J1023" s="7" t="str">
        <f aca="false">IF(A1023="","",IFERROR(VLOOKUP(IF(ISNUMBER(SEARCH("(",C1023)),LEFT(C1023,SEARCH("(",C1023)-1),C1023),Tipos!$A:$B,2,FALSE()),"outro"))</f>
        <v/>
      </c>
      <c r="K1023" s="7" t="str">
        <f aca="false">IF(I1023="","",IFERROR(INDEX('Campos Growths'!$L:$L,MATCH(H1023,'Campos Growths'!$A:$A,0)),""))</f>
        <v/>
      </c>
      <c r="L1023" s="7" t="str">
        <f aca="false">IF(A1023="","",IF(G1023="não","Sem tabela no Growths",IF(I1023="","Sem campo no Growths",IF(J1023=K1023,"Importa direto","Ajustar tipo"))))</f>
        <v/>
      </c>
      <c r="M1023" s="9"/>
    </row>
    <row r="1024" customFormat="false" ht="15" hidden="false" customHeight="false" outlineLevel="0" collapsed="false">
      <c r="A1024" s="7" t="str">
        <f aca="false">IF('Outro banco'!A1024="","",IF(LEFT('Outro banco'!A1024,1)="(","",'Outro banco'!A1024))</f>
        <v/>
      </c>
      <c r="B1024" s="7" t="str">
        <f aca="false">IF(A1024="","",'Outro banco'!B1024)</f>
        <v/>
      </c>
      <c r="C1024" s="7" t="str">
        <f aca="false">IF(A1024="","",'Outro banco'!C1024)</f>
        <v/>
      </c>
      <c r="D1024" s="7" t="str">
        <f aca="false">IF(A1024="","",'Outro banco'!D1024)</f>
        <v/>
      </c>
      <c r="E1024" s="9"/>
      <c r="F1024" s="9"/>
      <c r="G1024" s="7" t="str">
        <f aca="false">IF(A1024="","",IF(COUNTIF(Tabelas!$A:$A,IF(E1024="",A1024,E1024))&gt;0,"sim","não"))</f>
        <v/>
      </c>
      <c r="H1024" s="7" t="str">
        <f aca="false">IF(A1024="","",IF(E1024="",A1024,E1024)&amp;"."&amp;IF(F1024="",B1024,F1024))</f>
        <v/>
      </c>
      <c r="I1024" s="7" t="str">
        <f aca="false">IF(A1024="","",IFERROR(INDEX('Campos Growths'!$F:$F,MATCH(H1024,'Campos Growths'!$A:$A,0)),""))</f>
        <v/>
      </c>
      <c r="J1024" s="7" t="str">
        <f aca="false">IF(A1024="","",IFERROR(VLOOKUP(IF(ISNUMBER(SEARCH("(",C1024)),LEFT(C1024,SEARCH("(",C1024)-1),C1024),Tipos!$A:$B,2,FALSE()),"outro"))</f>
        <v/>
      </c>
      <c r="K1024" s="7" t="str">
        <f aca="false">IF(I1024="","",IFERROR(INDEX('Campos Growths'!$L:$L,MATCH(H1024,'Campos Growths'!$A:$A,0)),""))</f>
        <v/>
      </c>
      <c r="L1024" s="7" t="str">
        <f aca="false">IF(A1024="","",IF(G1024="não","Sem tabela no Growths",IF(I1024="","Sem campo no Growths",IF(J1024=K1024,"Importa direto","Ajustar tipo"))))</f>
        <v/>
      </c>
      <c r="M1024" s="9"/>
    </row>
    <row r="1025" customFormat="false" ht="15" hidden="false" customHeight="false" outlineLevel="0" collapsed="false">
      <c r="A1025" s="7" t="str">
        <f aca="false">IF('Outro banco'!A1025="","",IF(LEFT('Outro banco'!A1025,1)="(","",'Outro banco'!A1025))</f>
        <v/>
      </c>
      <c r="B1025" s="7" t="str">
        <f aca="false">IF(A1025="","",'Outro banco'!B1025)</f>
        <v/>
      </c>
      <c r="C1025" s="7" t="str">
        <f aca="false">IF(A1025="","",'Outro banco'!C1025)</f>
        <v/>
      </c>
      <c r="D1025" s="7" t="str">
        <f aca="false">IF(A1025="","",'Outro banco'!D1025)</f>
        <v/>
      </c>
      <c r="E1025" s="9"/>
      <c r="F1025" s="9"/>
      <c r="G1025" s="7" t="str">
        <f aca="false">IF(A1025="","",IF(COUNTIF(Tabelas!$A:$A,IF(E1025="",A1025,E1025))&gt;0,"sim","não"))</f>
        <v/>
      </c>
      <c r="H1025" s="7" t="str">
        <f aca="false">IF(A1025="","",IF(E1025="",A1025,E1025)&amp;"."&amp;IF(F1025="",B1025,F1025))</f>
        <v/>
      </c>
      <c r="I1025" s="7" t="str">
        <f aca="false">IF(A1025="","",IFERROR(INDEX('Campos Growths'!$F:$F,MATCH(H1025,'Campos Growths'!$A:$A,0)),""))</f>
        <v/>
      </c>
      <c r="J1025" s="7" t="str">
        <f aca="false">IF(A1025="","",IFERROR(VLOOKUP(IF(ISNUMBER(SEARCH("(",C1025)),LEFT(C1025,SEARCH("(",C1025)-1),C1025),Tipos!$A:$B,2,FALSE()),"outro"))</f>
        <v/>
      </c>
      <c r="K1025" s="7" t="str">
        <f aca="false">IF(I1025="","",IFERROR(INDEX('Campos Growths'!$L:$L,MATCH(H1025,'Campos Growths'!$A:$A,0)),""))</f>
        <v/>
      </c>
      <c r="L1025" s="7" t="str">
        <f aca="false">IF(A1025="","",IF(G1025="não","Sem tabela no Growths",IF(I1025="","Sem campo no Growths",IF(J1025=K1025,"Importa direto","Ajustar tipo"))))</f>
        <v/>
      </c>
      <c r="M1025" s="9"/>
    </row>
    <row r="1026" customFormat="false" ht="15" hidden="false" customHeight="false" outlineLevel="0" collapsed="false">
      <c r="A1026" s="7" t="str">
        <f aca="false">IF('Outro banco'!A1026="","",IF(LEFT('Outro banco'!A1026,1)="(","",'Outro banco'!A1026))</f>
        <v/>
      </c>
      <c r="B1026" s="7" t="str">
        <f aca="false">IF(A1026="","",'Outro banco'!B1026)</f>
        <v/>
      </c>
      <c r="C1026" s="7" t="str">
        <f aca="false">IF(A1026="","",'Outro banco'!C1026)</f>
        <v/>
      </c>
      <c r="D1026" s="7" t="str">
        <f aca="false">IF(A1026="","",'Outro banco'!D1026)</f>
        <v/>
      </c>
      <c r="E1026" s="9"/>
      <c r="F1026" s="9"/>
      <c r="G1026" s="7" t="str">
        <f aca="false">IF(A1026="","",IF(COUNTIF(Tabelas!$A:$A,IF(E1026="",A1026,E1026))&gt;0,"sim","não"))</f>
        <v/>
      </c>
      <c r="H1026" s="7" t="str">
        <f aca="false">IF(A1026="","",IF(E1026="",A1026,E1026)&amp;"."&amp;IF(F1026="",B1026,F1026))</f>
        <v/>
      </c>
      <c r="I1026" s="7" t="str">
        <f aca="false">IF(A1026="","",IFERROR(INDEX('Campos Growths'!$F:$F,MATCH(H1026,'Campos Growths'!$A:$A,0)),""))</f>
        <v/>
      </c>
      <c r="J1026" s="7" t="str">
        <f aca="false">IF(A1026="","",IFERROR(VLOOKUP(IF(ISNUMBER(SEARCH("(",C1026)),LEFT(C1026,SEARCH("(",C1026)-1),C1026),Tipos!$A:$B,2,FALSE()),"outro"))</f>
        <v/>
      </c>
      <c r="K1026" s="7" t="str">
        <f aca="false">IF(I1026="","",IFERROR(INDEX('Campos Growths'!$L:$L,MATCH(H1026,'Campos Growths'!$A:$A,0)),""))</f>
        <v/>
      </c>
      <c r="L1026" s="7" t="str">
        <f aca="false">IF(A1026="","",IF(G1026="não","Sem tabela no Growths",IF(I1026="","Sem campo no Growths",IF(J1026=K1026,"Importa direto","Ajustar tipo"))))</f>
        <v/>
      </c>
      <c r="M1026" s="9"/>
    </row>
    <row r="1027" customFormat="false" ht="15" hidden="false" customHeight="false" outlineLevel="0" collapsed="false">
      <c r="A1027" s="7" t="str">
        <f aca="false">IF('Outro banco'!A1027="","",IF(LEFT('Outro banco'!A1027,1)="(","",'Outro banco'!A1027))</f>
        <v/>
      </c>
      <c r="B1027" s="7" t="str">
        <f aca="false">IF(A1027="","",'Outro banco'!B1027)</f>
        <v/>
      </c>
      <c r="C1027" s="7" t="str">
        <f aca="false">IF(A1027="","",'Outro banco'!C1027)</f>
        <v/>
      </c>
      <c r="D1027" s="7" t="str">
        <f aca="false">IF(A1027="","",'Outro banco'!D1027)</f>
        <v/>
      </c>
      <c r="E1027" s="9"/>
      <c r="F1027" s="9"/>
      <c r="G1027" s="7" t="str">
        <f aca="false">IF(A1027="","",IF(COUNTIF(Tabelas!$A:$A,IF(E1027="",A1027,E1027))&gt;0,"sim","não"))</f>
        <v/>
      </c>
      <c r="H1027" s="7" t="str">
        <f aca="false">IF(A1027="","",IF(E1027="",A1027,E1027)&amp;"."&amp;IF(F1027="",B1027,F1027))</f>
        <v/>
      </c>
      <c r="I1027" s="7" t="str">
        <f aca="false">IF(A1027="","",IFERROR(INDEX('Campos Growths'!$F:$F,MATCH(H1027,'Campos Growths'!$A:$A,0)),""))</f>
        <v/>
      </c>
      <c r="J1027" s="7" t="str">
        <f aca="false">IF(A1027="","",IFERROR(VLOOKUP(IF(ISNUMBER(SEARCH("(",C1027)),LEFT(C1027,SEARCH("(",C1027)-1),C1027),Tipos!$A:$B,2,FALSE()),"outro"))</f>
        <v/>
      </c>
      <c r="K1027" s="7" t="str">
        <f aca="false">IF(I1027="","",IFERROR(INDEX('Campos Growths'!$L:$L,MATCH(H1027,'Campos Growths'!$A:$A,0)),""))</f>
        <v/>
      </c>
      <c r="L1027" s="7" t="str">
        <f aca="false">IF(A1027="","",IF(G1027="não","Sem tabela no Growths",IF(I1027="","Sem campo no Growths",IF(J1027=K1027,"Importa direto","Ajustar tipo"))))</f>
        <v/>
      </c>
      <c r="M1027" s="9"/>
    </row>
    <row r="1028" customFormat="false" ht="15" hidden="false" customHeight="false" outlineLevel="0" collapsed="false">
      <c r="A1028" s="7" t="str">
        <f aca="false">IF('Outro banco'!A1028="","",IF(LEFT('Outro banco'!A1028,1)="(","",'Outro banco'!A1028))</f>
        <v/>
      </c>
      <c r="B1028" s="7" t="str">
        <f aca="false">IF(A1028="","",'Outro banco'!B1028)</f>
        <v/>
      </c>
      <c r="C1028" s="7" t="str">
        <f aca="false">IF(A1028="","",'Outro banco'!C1028)</f>
        <v/>
      </c>
      <c r="D1028" s="7" t="str">
        <f aca="false">IF(A1028="","",'Outro banco'!D1028)</f>
        <v/>
      </c>
      <c r="E1028" s="9"/>
      <c r="F1028" s="9"/>
      <c r="G1028" s="7" t="str">
        <f aca="false">IF(A1028="","",IF(COUNTIF(Tabelas!$A:$A,IF(E1028="",A1028,E1028))&gt;0,"sim","não"))</f>
        <v/>
      </c>
      <c r="H1028" s="7" t="str">
        <f aca="false">IF(A1028="","",IF(E1028="",A1028,E1028)&amp;"."&amp;IF(F1028="",B1028,F1028))</f>
        <v/>
      </c>
      <c r="I1028" s="7" t="str">
        <f aca="false">IF(A1028="","",IFERROR(INDEX('Campos Growths'!$F:$F,MATCH(H1028,'Campos Growths'!$A:$A,0)),""))</f>
        <v/>
      </c>
      <c r="J1028" s="7" t="str">
        <f aca="false">IF(A1028="","",IFERROR(VLOOKUP(IF(ISNUMBER(SEARCH("(",C1028)),LEFT(C1028,SEARCH("(",C1028)-1),C1028),Tipos!$A:$B,2,FALSE()),"outro"))</f>
        <v/>
      </c>
      <c r="K1028" s="7" t="str">
        <f aca="false">IF(I1028="","",IFERROR(INDEX('Campos Growths'!$L:$L,MATCH(H1028,'Campos Growths'!$A:$A,0)),""))</f>
        <v/>
      </c>
      <c r="L1028" s="7" t="str">
        <f aca="false">IF(A1028="","",IF(G1028="não","Sem tabela no Growths",IF(I1028="","Sem campo no Growths",IF(J1028=K1028,"Importa direto","Ajustar tipo"))))</f>
        <v/>
      </c>
      <c r="M1028" s="9"/>
    </row>
    <row r="1029" customFormat="false" ht="15" hidden="false" customHeight="false" outlineLevel="0" collapsed="false">
      <c r="A1029" s="7" t="str">
        <f aca="false">IF('Outro banco'!A1029="","",IF(LEFT('Outro banco'!A1029,1)="(","",'Outro banco'!A1029))</f>
        <v/>
      </c>
      <c r="B1029" s="7" t="str">
        <f aca="false">IF(A1029="","",'Outro banco'!B1029)</f>
        <v/>
      </c>
      <c r="C1029" s="7" t="str">
        <f aca="false">IF(A1029="","",'Outro banco'!C1029)</f>
        <v/>
      </c>
      <c r="D1029" s="7" t="str">
        <f aca="false">IF(A1029="","",'Outro banco'!D1029)</f>
        <v/>
      </c>
      <c r="E1029" s="9"/>
      <c r="F1029" s="9"/>
      <c r="G1029" s="7" t="str">
        <f aca="false">IF(A1029="","",IF(COUNTIF(Tabelas!$A:$A,IF(E1029="",A1029,E1029))&gt;0,"sim","não"))</f>
        <v/>
      </c>
      <c r="H1029" s="7" t="str">
        <f aca="false">IF(A1029="","",IF(E1029="",A1029,E1029)&amp;"."&amp;IF(F1029="",B1029,F1029))</f>
        <v/>
      </c>
      <c r="I1029" s="7" t="str">
        <f aca="false">IF(A1029="","",IFERROR(INDEX('Campos Growths'!$F:$F,MATCH(H1029,'Campos Growths'!$A:$A,0)),""))</f>
        <v/>
      </c>
      <c r="J1029" s="7" t="str">
        <f aca="false">IF(A1029="","",IFERROR(VLOOKUP(IF(ISNUMBER(SEARCH("(",C1029)),LEFT(C1029,SEARCH("(",C1029)-1),C1029),Tipos!$A:$B,2,FALSE()),"outro"))</f>
        <v/>
      </c>
      <c r="K1029" s="7" t="str">
        <f aca="false">IF(I1029="","",IFERROR(INDEX('Campos Growths'!$L:$L,MATCH(H1029,'Campos Growths'!$A:$A,0)),""))</f>
        <v/>
      </c>
      <c r="L1029" s="7" t="str">
        <f aca="false">IF(A1029="","",IF(G1029="não","Sem tabela no Growths",IF(I1029="","Sem campo no Growths",IF(J1029=K1029,"Importa direto","Ajustar tipo"))))</f>
        <v/>
      </c>
      <c r="M1029" s="9"/>
    </row>
    <row r="1030" customFormat="false" ht="15" hidden="false" customHeight="false" outlineLevel="0" collapsed="false">
      <c r="A1030" s="7" t="str">
        <f aca="false">IF('Outro banco'!A1030="","",IF(LEFT('Outro banco'!A1030,1)="(","",'Outro banco'!A1030))</f>
        <v/>
      </c>
      <c r="B1030" s="7" t="str">
        <f aca="false">IF(A1030="","",'Outro banco'!B1030)</f>
        <v/>
      </c>
      <c r="C1030" s="7" t="str">
        <f aca="false">IF(A1030="","",'Outro banco'!C1030)</f>
        <v/>
      </c>
      <c r="D1030" s="7" t="str">
        <f aca="false">IF(A1030="","",'Outro banco'!D1030)</f>
        <v/>
      </c>
      <c r="E1030" s="9"/>
      <c r="F1030" s="9"/>
      <c r="G1030" s="7" t="str">
        <f aca="false">IF(A1030="","",IF(COUNTIF(Tabelas!$A:$A,IF(E1030="",A1030,E1030))&gt;0,"sim","não"))</f>
        <v/>
      </c>
      <c r="H1030" s="7" t="str">
        <f aca="false">IF(A1030="","",IF(E1030="",A1030,E1030)&amp;"."&amp;IF(F1030="",B1030,F1030))</f>
        <v/>
      </c>
      <c r="I1030" s="7" t="str">
        <f aca="false">IF(A1030="","",IFERROR(INDEX('Campos Growths'!$F:$F,MATCH(H1030,'Campos Growths'!$A:$A,0)),""))</f>
        <v/>
      </c>
      <c r="J1030" s="7" t="str">
        <f aca="false">IF(A1030="","",IFERROR(VLOOKUP(IF(ISNUMBER(SEARCH("(",C1030)),LEFT(C1030,SEARCH("(",C1030)-1),C1030),Tipos!$A:$B,2,FALSE()),"outro"))</f>
        <v/>
      </c>
      <c r="K1030" s="7" t="str">
        <f aca="false">IF(I1030="","",IFERROR(INDEX('Campos Growths'!$L:$L,MATCH(H1030,'Campos Growths'!$A:$A,0)),""))</f>
        <v/>
      </c>
      <c r="L1030" s="7" t="str">
        <f aca="false">IF(A1030="","",IF(G1030="não","Sem tabela no Growths",IF(I1030="","Sem campo no Growths",IF(J1030=K1030,"Importa direto","Ajustar tipo"))))</f>
        <v/>
      </c>
      <c r="M1030" s="9"/>
    </row>
    <row r="1031" customFormat="false" ht="15" hidden="false" customHeight="false" outlineLevel="0" collapsed="false">
      <c r="A1031" s="7" t="str">
        <f aca="false">IF('Outro banco'!A1031="","",IF(LEFT('Outro banco'!A1031,1)="(","",'Outro banco'!A1031))</f>
        <v/>
      </c>
      <c r="B1031" s="7" t="str">
        <f aca="false">IF(A1031="","",'Outro banco'!B1031)</f>
        <v/>
      </c>
      <c r="C1031" s="7" t="str">
        <f aca="false">IF(A1031="","",'Outro banco'!C1031)</f>
        <v/>
      </c>
      <c r="D1031" s="7" t="str">
        <f aca="false">IF(A1031="","",'Outro banco'!D1031)</f>
        <v/>
      </c>
      <c r="E1031" s="9"/>
      <c r="F1031" s="9"/>
      <c r="G1031" s="7" t="str">
        <f aca="false">IF(A1031="","",IF(COUNTIF(Tabelas!$A:$A,IF(E1031="",A1031,E1031))&gt;0,"sim","não"))</f>
        <v/>
      </c>
      <c r="H1031" s="7" t="str">
        <f aca="false">IF(A1031="","",IF(E1031="",A1031,E1031)&amp;"."&amp;IF(F1031="",B1031,F1031))</f>
        <v/>
      </c>
      <c r="I1031" s="7" t="str">
        <f aca="false">IF(A1031="","",IFERROR(INDEX('Campos Growths'!$F:$F,MATCH(H1031,'Campos Growths'!$A:$A,0)),""))</f>
        <v/>
      </c>
      <c r="J1031" s="7" t="str">
        <f aca="false">IF(A1031="","",IFERROR(VLOOKUP(IF(ISNUMBER(SEARCH("(",C1031)),LEFT(C1031,SEARCH("(",C1031)-1),C1031),Tipos!$A:$B,2,FALSE()),"outro"))</f>
        <v/>
      </c>
      <c r="K1031" s="7" t="str">
        <f aca="false">IF(I1031="","",IFERROR(INDEX('Campos Growths'!$L:$L,MATCH(H1031,'Campos Growths'!$A:$A,0)),""))</f>
        <v/>
      </c>
      <c r="L1031" s="7" t="str">
        <f aca="false">IF(A1031="","",IF(G1031="não","Sem tabela no Growths",IF(I1031="","Sem campo no Growths",IF(J1031=K1031,"Importa direto","Ajustar tipo"))))</f>
        <v/>
      </c>
      <c r="M1031" s="9"/>
    </row>
    <row r="1032" customFormat="false" ht="15" hidden="false" customHeight="false" outlineLevel="0" collapsed="false">
      <c r="A1032" s="7" t="str">
        <f aca="false">IF('Outro banco'!A1032="","",IF(LEFT('Outro banco'!A1032,1)="(","",'Outro banco'!A1032))</f>
        <v/>
      </c>
      <c r="B1032" s="7" t="str">
        <f aca="false">IF(A1032="","",'Outro banco'!B1032)</f>
        <v/>
      </c>
      <c r="C1032" s="7" t="str">
        <f aca="false">IF(A1032="","",'Outro banco'!C1032)</f>
        <v/>
      </c>
      <c r="D1032" s="7" t="str">
        <f aca="false">IF(A1032="","",'Outro banco'!D1032)</f>
        <v/>
      </c>
      <c r="E1032" s="9"/>
      <c r="F1032" s="9"/>
      <c r="G1032" s="7" t="str">
        <f aca="false">IF(A1032="","",IF(COUNTIF(Tabelas!$A:$A,IF(E1032="",A1032,E1032))&gt;0,"sim","não"))</f>
        <v/>
      </c>
      <c r="H1032" s="7" t="str">
        <f aca="false">IF(A1032="","",IF(E1032="",A1032,E1032)&amp;"."&amp;IF(F1032="",B1032,F1032))</f>
        <v/>
      </c>
      <c r="I1032" s="7" t="str">
        <f aca="false">IF(A1032="","",IFERROR(INDEX('Campos Growths'!$F:$F,MATCH(H1032,'Campos Growths'!$A:$A,0)),""))</f>
        <v/>
      </c>
      <c r="J1032" s="7" t="str">
        <f aca="false">IF(A1032="","",IFERROR(VLOOKUP(IF(ISNUMBER(SEARCH("(",C1032)),LEFT(C1032,SEARCH("(",C1032)-1),C1032),Tipos!$A:$B,2,FALSE()),"outro"))</f>
        <v/>
      </c>
      <c r="K1032" s="7" t="str">
        <f aca="false">IF(I1032="","",IFERROR(INDEX('Campos Growths'!$L:$L,MATCH(H1032,'Campos Growths'!$A:$A,0)),""))</f>
        <v/>
      </c>
      <c r="L1032" s="7" t="str">
        <f aca="false">IF(A1032="","",IF(G1032="não","Sem tabela no Growths",IF(I1032="","Sem campo no Growths",IF(J1032=K1032,"Importa direto","Ajustar tipo"))))</f>
        <v/>
      </c>
      <c r="M1032" s="9"/>
    </row>
    <row r="1033" customFormat="false" ht="15" hidden="false" customHeight="false" outlineLevel="0" collapsed="false">
      <c r="A1033" s="7" t="str">
        <f aca="false">IF('Outro banco'!A1033="","",IF(LEFT('Outro banco'!A1033,1)="(","",'Outro banco'!A1033))</f>
        <v/>
      </c>
      <c r="B1033" s="7" t="str">
        <f aca="false">IF(A1033="","",'Outro banco'!B1033)</f>
        <v/>
      </c>
      <c r="C1033" s="7" t="str">
        <f aca="false">IF(A1033="","",'Outro banco'!C1033)</f>
        <v/>
      </c>
      <c r="D1033" s="7" t="str">
        <f aca="false">IF(A1033="","",'Outro banco'!D1033)</f>
        <v/>
      </c>
      <c r="E1033" s="9"/>
      <c r="F1033" s="9"/>
      <c r="G1033" s="7" t="str">
        <f aca="false">IF(A1033="","",IF(COUNTIF(Tabelas!$A:$A,IF(E1033="",A1033,E1033))&gt;0,"sim","não"))</f>
        <v/>
      </c>
      <c r="H1033" s="7" t="str">
        <f aca="false">IF(A1033="","",IF(E1033="",A1033,E1033)&amp;"."&amp;IF(F1033="",B1033,F1033))</f>
        <v/>
      </c>
      <c r="I1033" s="7" t="str">
        <f aca="false">IF(A1033="","",IFERROR(INDEX('Campos Growths'!$F:$F,MATCH(H1033,'Campos Growths'!$A:$A,0)),""))</f>
        <v/>
      </c>
      <c r="J1033" s="7" t="str">
        <f aca="false">IF(A1033="","",IFERROR(VLOOKUP(IF(ISNUMBER(SEARCH("(",C1033)),LEFT(C1033,SEARCH("(",C1033)-1),C1033),Tipos!$A:$B,2,FALSE()),"outro"))</f>
        <v/>
      </c>
      <c r="K1033" s="7" t="str">
        <f aca="false">IF(I1033="","",IFERROR(INDEX('Campos Growths'!$L:$L,MATCH(H1033,'Campos Growths'!$A:$A,0)),""))</f>
        <v/>
      </c>
      <c r="L1033" s="7" t="str">
        <f aca="false">IF(A1033="","",IF(G1033="não","Sem tabela no Growths",IF(I1033="","Sem campo no Growths",IF(J1033=K1033,"Importa direto","Ajustar tipo"))))</f>
        <v/>
      </c>
      <c r="M1033" s="9"/>
    </row>
    <row r="1034" customFormat="false" ht="15" hidden="false" customHeight="false" outlineLevel="0" collapsed="false">
      <c r="A1034" s="7" t="str">
        <f aca="false">IF('Outro banco'!A1034="","",IF(LEFT('Outro banco'!A1034,1)="(","",'Outro banco'!A1034))</f>
        <v/>
      </c>
      <c r="B1034" s="7" t="str">
        <f aca="false">IF(A1034="","",'Outro banco'!B1034)</f>
        <v/>
      </c>
      <c r="C1034" s="7" t="str">
        <f aca="false">IF(A1034="","",'Outro banco'!C1034)</f>
        <v/>
      </c>
      <c r="D1034" s="7" t="str">
        <f aca="false">IF(A1034="","",'Outro banco'!D1034)</f>
        <v/>
      </c>
      <c r="E1034" s="9"/>
      <c r="F1034" s="9"/>
      <c r="G1034" s="7" t="str">
        <f aca="false">IF(A1034="","",IF(COUNTIF(Tabelas!$A:$A,IF(E1034="",A1034,E1034))&gt;0,"sim","não"))</f>
        <v/>
      </c>
      <c r="H1034" s="7" t="str">
        <f aca="false">IF(A1034="","",IF(E1034="",A1034,E1034)&amp;"."&amp;IF(F1034="",B1034,F1034))</f>
        <v/>
      </c>
      <c r="I1034" s="7" t="str">
        <f aca="false">IF(A1034="","",IFERROR(INDEX('Campos Growths'!$F:$F,MATCH(H1034,'Campos Growths'!$A:$A,0)),""))</f>
        <v/>
      </c>
      <c r="J1034" s="7" t="str">
        <f aca="false">IF(A1034="","",IFERROR(VLOOKUP(IF(ISNUMBER(SEARCH("(",C1034)),LEFT(C1034,SEARCH("(",C1034)-1),C1034),Tipos!$A:$B,2,FALSE()),"outro"))</f>
        <v/>
      </c>
      <c r="K1034" s="7" t="str">
        <f aca="false">IF(I1034="","",IFERROR(INDEX('Campos Growths'!$L:$L,MATCH(H1034,'Campos Growths'!$A:$A,0)),""))</f>
        <v/>
      </c>
      <c r="L1034" s="7" t="str">
        <f aca="false">IF(A1034="","",IF(G1034="não","Sem tabela no Growths",IF(I1034="","Sem campo no Growths",IF(J1034=K1034,"Importa direto","Ajustar tipo"))))</f>
        <v/>
      </c>
      <c r="M1034" s="9"/>
    </row>
    <row r="1035" customFormat="false" ht="15" hidden="false" customHeight="false" outlineLevel="0" collapsed="false">
      <c r="A1035" s="7" t="str">
        <f aca="false">IF('Outro banco'!A1035="","",IF(LEFT('Outro banco'!A1035,1)="(","",'Outro banco'!A1035))</f>
        <v/>
      </c>
      <c r="B1035" s="7" t="str">
        <f aca="false">IF(A1035="","",'Outro banco'!B1035)</f>
        <v/>
      </c>
      <c r="C1035" s="7" t="str">
        <f aca="false">IF(A1035="","",'Outro banco'!C1035)</f>
        <v/>
      </c>
      <c r="D1035" s="7" t="str">
        <f aca="false">IF(A1035="","",'Outro banco'!D1035)</f>
        <v/>
      </c>
      <c r="E1035" s="9"/>
      <c r="F1035" s="9"/>
      <c r="G1035" s="7" t="str">
        <f aca="false">IF(A1035="","",IF(COUNTIF(Tabelas!$A:$A,IF(E1035="",A1035,E1035))&gt;0,"sim","não"))</f>
        <v/>
      </c>
      <c r="H1035" s="7" t="str">
        <f aca="false">IF(A1035="","",IF(E1035="",A1035,E1035)&amp;"."&amp;IF(F1035="",B1035,F1035))</f>
        <v/>
      </c>
      <c r="I1035" s="7" t="str">
        <f aca="false">IF(A1035="","",IFERROR(INDEX('Campos Growths'!$F:$F,MATCH(H1035,'Campos Growths'!$A:$A,0)),""))</f>
        <v/>
      </c>
      <c r="J1035" s="7" t="str">
        <f aca="false">IF(A1035="","",IFERROR(VLOOKUP(IF(ISNUMBER(SEARCH("(",C1035)),LEFT(C1035,SEARCH("(",C1035)-1),C1035),Tipos!$A:$B,2,FALSE()),"outro"))</f>
        <v/>
      </c>
      <c r="K1035" s="7" t="str">
        <f aca="false">IF(I1035="","",IFERROR(INDEX('Campos Growths'!$L:$L,MATCH(H1035,'Campos Growths'!$A:$A,0)),""))</f>
        <v/>
      </c>
      <c r="L1035" s="7" t="str">
        <f aca="false">IF(A1035="","",IF(G1035="não","Sem tabela no Growths",IF(I1035="","Sem campo no Growths",IF(J1035=K1035,"Importa direto","Ajustar tipo"))))</f>
        <v/>
      </c>
      <c r="M1035" s="9"/>
    </row>
    <row r="1036" customFormat="false" ht="15" hidden="false" customHeight="false" outlineLevel="0" collapsed="false">
      <c r="A1036" s="7" t="str">
        <f aca="false">IF('Outro banco'!A1036="","",IF(LEFT('Outro banco'!A1036,1)="(","",'Outro banco'!A1036))</f>
        <v/>
      </c>
      <c r="B1036" s="7" t="str">
        <f aca="false">IF(A1036="","",'Outro banco'!B1036)</f>
        <v/>
      </c>
      <c r="C1036" s="7" t="str">
        <f aca="false">IF(A1036="","",'Outro banco'!C1036)</f>
        <v/>
      </c>
      <c r="D1036" s="7" t="str">
        <f aca="false">IF(A1036="","",'Outro banco'!D1036)</f>
        <v/>
      </c>
      <c r="E1036" s="9"/>
      <c r="F1036" s="9"/>
      <c r="G1036" s="7" t="str">
        <f aca="false">IF(A1036="","",IF(COUNTIF(Tabelas!$A:$A,IF(E1036="",A1036,E1036))&gt;0,"sim","não"))</f>
        <v/>
      </c>
      <c r="H1036" s="7" t="str">
        <f aca="false">IF(A1036="","",IF(E1036="",A1036,E1036)&amp;"."&amp;IF(F1036="",B1036,F1036))</f>
        <v/>
      </c>
      <c r="I1036" s="7" t="str">
        <f aca="false">IF(A1036="","",IFERROR(INDEX('Campos Growths'!$F:$F,MATCH(H1036,'Campos Growths'!$A:$A,0)),""))</f>
        <v/>
      </c>
      <c r="J1036" s="7" t="str">
        <f aca="false">IF(A1036="","",IFERROR(VLOOKUP(IF(ISNUMBER(SEARCH("(",C1036)),LEFT(C1036,SEARCH("(",C1036)-1),C1036),Tipos!$A:$B,2,FALSE()),"outro"))</f>
        <v/>
      </c>
      <c r="K1036" s="7" t="str">
        <f aca="false">IF(I1036="","",IFERROR(INDEX('Campos Growths'!$L:$L,MATCH(H1036,'Campos Growths'!$A:$A,0)),""))</f>
        <v/>
      </c>
      <c r="L1036" s="7" t="str">
        <f aca="false">IF(A1036="","",IF(G1036="não","Sem tabela no Growths",IF(I1036="","Sem campo no Growths",IF(J1036=K1036,"Importa direto","Ajustar tipo"))))</f>
        <v/>
      </c>
      <c r="M1036" s="9"/>
    </row>
    <row r="1037" customFormat="false" ht="15" hidden="false" customHeight="false" outlineLevel="0" collapsed="false">
      <c r="A1037" s="7" t="str">
        <f aca="false">IF('Outro banco'!A1037="","",IF(LEFT('Outro banco'!A1037,1)="(","",'Outro banco'!A1037))</f>
        <v/>
      </c>
      <c r="B1037" s="7" t="str">
        <f aca="false">IF(A1037="","",'Outro banco'!B1037)</f>
        <v/>
      </c>
      <c r="C1037" s="7" t="str">
        <f aca="false">IF(A1037="","",'Outro banco'!C1037)</f>
        <v/>
      </c>
      <c r="D1037" s="7" t="str">
        <f aca="false">IF(A1037="","",'Outro banco'!D1037)</f>
        <v/>
      </c>
      <c r="E1037" s="9"/>
      <c r="F1037" s="9"/>
      <c r="G1037" s="7" t="str">
        <f aca="false">IF(A1037="","",IF(COUNTIF(Tabelas!$A:$A,IF(E1037="",A1037,E1037))&gt;0,"sim","não"))</f>
        <v/>
      </c>
      <c r="H1037" s="7" t="str">
        <f aca="false">IF(A1037="","",IF(E1037="",A1037,E1037)&amp;"."&amp;IF(F1037="",B1037,F1037))</f>
        <v/>
      </c>
      <c r="I1037" s="7" t="str">
        <f aca="false">IF(A1037="","",IFERROR(INDEX('Campos Growths'!$F:$F,MATCH(H1037,'Campos Growths'!$A:$A,0)),""))</f>
        <v/>
      </c>
      <c r="J1037" s="7" t="str">
        <f aca="false">IF(A1037="","",IFERROR(VLOOKUP(IF(ISNUMBER(SEARCH("(",C1037)),LEFT(C1037,SEARCH("(",C1037)-1),C1037),Tipos!$A:$B,2,FALSE()),"outro"))</f>
        <v/>
      </c>
      <c r="K1037" s="7" t="str">
        <f aca="false">IF(I1037="","",IFERROR(INDEX('Campos Growths'!$L:$L,MATCH(H1037,'Campos Growths'!$A:$A,0)),""))</f>
        <v/>
      </c>
      <c r="L1037" s="7" t="str">
        <f aca="false">IF(A1037="","",IF(G1037="não","Sem tabela no Growths",IF(I1037="","Sem campo no Growths",IF(J1037=K1037,"Importa direto","Ajustar tipo"))))</f>
        <v/>
      </c>
      <c r="M1037" s="9"/>
    </row>
    <row r="1038" customFormat="false" ht="15" hidden="false" customHeight="false" outlineLevel="0" collapsed="false">
      <c r="A1038" s="7" t="str">
        <f aca="false">IF('Outro banco'!A1038="","",IF(LEFT('Outro banco'!A1038,1)="(","",'Outro banco'!A1038))</f>
        <v/>
      </c>
      <c r="B1038" s="7" t="str">
        <f aca="false">IF(A1038="","",'Outro banco'!B1038)</f>
        <v/>
      </c>
      <c r="C1038" s="7" t="str">
        <f aca="false">IF(A1038="","",'Outro banco'!C1038)</f>
        <v/>
      </c>
      <c r="D1038" s="7" t="str">
        <f aca="false">IF(A1038="","",'Outro banco'!D1038)</f>
        <v/>
      </c>
      <c r="E1038" s="9"/>
      <c r="F1038" s="9"/>
      <c r="G1038" s="7" t="str">
        <f aca="false">IF(A1038="","",IF(COUNTIF(Tabelas!$A:$A,IF(E1038="",A1038,E1038))&gt;0,"sim","não"))</f>
        <v/>
      </c>
      <c r="H1038" s="7" t="str">
        <f aca="false">IF(A1038="","",IF(E1038="",A1038,E1038)&amp;"."&amp;IF(F1038="",B1038,F1038))</f>
        <v/>
      </c>
      <c r="I1038" s="7" t="str">
        <f aca="false">IF(A1038="","",IFERROR(INDEX('Campos Growths'!$F:$F,MATCH(H1038,'Campos Growths'!$A:$A,0)),""))</f>
        <v/>
      </c>
      <c r="J1038" s="7" t="str">
        <f aca="false">IF(A1038="","",IFERROR(VLOOKUP(IF(ISNUMBER(SEARCH("(",C1038)),LEFT(C1038,SEARCH("(",C1038)-1),C1038),Tipos!$A:$B,2,FALSE()),"outro"))</f>
        <v/>
      </c>
      <c r="K1038" s="7" t="str">
        <f aca="false">IF(I1038="","",IFERROR(INDEX('Campos Growths'!$L:$L,MATCH(H1038,'Campos Growths'!$A:$A,0)),""))</f>
        <v/>
      </c>
      <c r="L1038" s="7" t="str">
        <f aca="false">IF(A1038="","",IF(G1038="não","Sem tabela no Growths",IF(I1038="","Sem campo no Growths",IF(J1038=K1038,"Importa direto","Ajustar tipo"))))</f>
        <v/>
      </c>
      <c r="M1038" s="9"/>
    </row>
    <row r="1039" customFormat="false" ht="15" hidden="false" customHeight="false" outlineLevel="0" collapsed="false">
      <c r="A1039" s="7" t="str">
        <f aca="false">IF('Outro banco'!A1039="","",IF(LEFT('Outro banco'!A1039,1)="(","",'Outro banco'!A1039))</f>
        <v/>
      </c>
      <c r="B1039" s="7" t="str">
        <f aca="false">IF(A1039="","",'Outro banco'!B1039)</f>
        <v/>
      </c>
      <c r="C1039" s="7" t="str">
        <f aca="false">IF(A1039="","",'Outro banco'!C1039)</f>
        <v/>
      </c>
      <c r="D1039" s="7" t="str">
        <f aca="false">IF(A1039="","",'Outro banco'!D1039)</f>
        <v/>
      </c>
      <c r="E1039" s="9"/>
      <c r="F1039" s="9"/>
      <c r="G1039" s="7" t="str">
        <f aca="false">IF(A1039="","",IF(COUNTIF(Tabelas!$A:$A,IF(E1039="",A1039,E1039))&gt;0,"sim","não"))</f>
        <v/>
      </c>
      <c r="H1039" s="7" t="str">
        <f aca="false">IF(A1039="","",IF(E1039="",A1039,E1039)&amp;"."&amp;IF(F1039="",B1039,F1039))</f>
        <v/>
      </c>
      <c r="I1039" s="7" t="str">
        <f aca="false">IF(A1039="","",IFERROR(INDEX('Campos Growths'!$F:$F,MATCH(H1039,'Campos Growths'!$A:$A,0)),""))</f>
        <v/>
      </c>
      <c r="J1039" s="7" t="str">
        <f aca="false">IF(A1039="","",IFERROR(VLOOKUP(IF(ISNUMBER(SEARCH("(",C1039)),LEFT(C1039,SEARCH("(",C1039)-1),C1039),Tipos!$A:$B,2,FALSE()),"outro"))</f>
        <v/>
      </c>
      <c r="K1039" s="7" t="str">
        <f aca="false">IF(I1039="","",IFERROR(INDEX('Campos Growths'!$L:$L,MATCH(H1039,'Campos Growths'!$A:$A,0)),""))</f>
        <v/>
      </c>
      <c r="L1039" s="7" t="str">
        <f aca="false">IF(A1039="","",IF(G1039="não","Sem tabela no Growths",IF(I1039="","Sem campo no Growths",IF(J1039=K1039,"Importa direto","Ajustar tipo"))))</f>
        <v/>
      </c>
      <c r="M1039" s="9"/>
    </row>
    <row r="1040" customFormat="false" ht="15" hidden="false" customHeight="false" outlineLevel="0" collapsed="false">
      <c r="A1040" s="7" t="str">
        <f aca="false">IF('Outro banco'!A1040="","",IF(LEFT('Outro banco'!A1040,1)="(","",'Outro banco'!A1040))</f>
        <v/>
      </c>
      <c r="B1040" s="7" t="str">
        <f aca="false">IF(A1040="","",'Outro banco'!B1040)</f>
        <v/>
      </c>
      <c r="C1040" s="7" t="str">
        <f aca="false">IF(A1040="","",'Outro banco'!C1040)</f>
        <v/>
      </c>
      <c r="D1040" s="7" t="str">
        <f aca="false">IF(A1040="","",'Outro banco'!D1040)</f>
        <v/>
      </c>
      <c r="E1040" s="9"/>
      <c r="F1040" s="9"/>
      <c r="G1040" s="7" t="str">
        <f aca="false">IF(A1040="","",IF(COUNTIF(Tabelas!$A:$A,IF(E1040="",A1040,E1040))&gt;0,"sim","não"))</f>
        <v/>
      </c>
      <c r="H1040" s="7" t="str">
        <f aca="false">IF(A1040="","",IF(E1040="",A1040,E1040)&amp;"."&amp;IF(F1040="",B1040,F1040))</f>
        <v/>
      </c>
      <c r="I1040" s="7" t="str">
        <f aca="false">IF(A1040="","",IFERROR(INDEX('Campos Growths'!$F:$F,MATCH(H1040,'Campos Growths'!$A:$A,0)),""))</f>
        <v/>
      </c>
      <c r="J1040" s="7" t="str">
        <f aca="false">IF(A1040="","",IFERROR(VLOOKUP(IF(ISNUMBER(SEARCH("(",C1040)),LEFT(C1040,SEARCH("(",C1040)-1),C1040),Tipos!$A:$B,2,FALSE()),"outro"))</f>
        <v/>
      </c>
      <c r="K1040" s="7" t="str">
        <f aca="false">IF(I1040="","",IFERROR(INDEX('Campos Growths'!$L:$L,MATCH(H1040,'Campos Growths'!$A:$A,0)),""))</f>
        <v/>
      </c>
      <c r="L1040" s="7" t="str">
        <f aca="false">IF(A1040="","",IF(G1040="não","Sem tabela no Growths",IF(I1040="","Sem campo no Growths",IF(J1040=K1040,"Importa direto","Ajustar tipo"))))</f>
        <v/>
      </c>
      <c r="M1040" s="9"/>
    </row>
    <row r="1041" customFormat="false" ht="15" hidden="false" customHeight="false" outlineLevel="0" collapsed="false">
      <c r="A1041" s="7" t="str">
        <f aca="false">IF('Outro banco'!A1041="","",IF(LEFT('Outro banco'!A1041,1)="(","",'Outro banco'!A1041))</f>
        <v/>
      </c>
      <c r="B1041" s="7" t="str">
        <f aca="false">IF(A1041="","",'Outro banco'!B1041)</f>
        <v/>
      </c>
      <c r="C1041" s="7" t="str">
        <f aca="false">IF(A1041="","",'Outro banco'!C1041)</f>
        <v/>
      </c>
      <c r="D1041" s="7" t="str">
        <f aca="false">IF(A1041="","",'Outro banco'!D1041)</f>
        <v/>
      </c>
      <c r="E1041" s="9"/>
      <c r="F1041" s="9"/>
      <c r="G1041" s="7" t="str">
        <f aca="false">IF(A1041="","",IF(COUNTIF(Tabelas!$A:$A,IF(E1041="",A1041,E1041))&gt;0,"sim","não"))</f>
        <v/>
      </c>
      <c r="H1041" s="7" t="str">
        <f aca="false">IF(A1041="","",IF(E1041="",A1041,E1041)&amp;"."&amp;IF(F1041="",B1041,F1041))</f>
        <v/>
      </c>
      <c r="I1041" s="7" t="str">
        <f aca="false">IF(A1041="","",IFERROR(INDEX('Campos Growths'!$F:$F,MATCH(H1041,'Campos Growths'!$A:$A,0)),""))</f>
        <v/>
      </c>
      <c r="J1041" s="7" t="str">
        <f aca="false">IF(A1041="","",IFERROR(VLOOKUP(IF(ISNUMBER(SEARCH("(",C1041)),LEFT(C1041,SEARCH("(",C1041)-1),C1041),Tipos!$A:$B,2,FALSE()),"outro"))</f>
        <v/>
      </c>
      <c r="K1041" s="7" t="str">
        <f aca="false">IF(I1041="","",IFERROR(INDEX('Campos Growths'!$L:$L,MATCH(H1041,'Campos Growths'!$A:$A,0)),""))</f>
        <v/>
      </c>
      <c r="L1041" s="7" t="str">
        <f aca="false">IF(A1041="","",IF(G1041="não","Sem tabela no Growths",IF(I1041="","Sem campo no Growths",IF(J1041=K1041,"Importa direto","Ajustar tipo"))))</f>
        <v/>
      </c>
      <c r="M1041" s="9"/>
    </row>
    <row r="1042" customFormat="false" ht="15" hidden="false" customHeight="false" outlineLevel="0" collapsed="false">
      <c r="A1042" s="7" t="str">
        <f aca="false">IF('Outro banco'!A1042="","",IF(LEFT('Outro banco'!A1042,1)="(","",'Outro banco'!A1042))</f>
        <v/>
      </c>
      <c r="B1042" s="7" t="str">
        <f aca="false">IF(A1042="","",'Outro banco'!B1042)</f>
        <v/>
      </c>
      <c r="C1042" s="7" t="str">
        <f aca="false">IF(A1042="","",'Outro banco'!C1042)</f>
        <v/>
      </c>
      <c r="D1042" s="7" t="str">
        <f aca="false">IF(A1042="","",'Outro banco'!D1042)</f>
        <v/>
      </c>
      <c r="E1042" s="9"/>
      <c r="F1042" s="9"/>
      <c r="G1042" s="7" t="str">
        <f aca="false">IF(A1042="","",IF(COUNTIF(Tabelas!$A:$A,IF(E1042="",A1042,E1042))&gt;0,"sim","não"))</f>
        <v/>
      </c>
      <c r="H1042" s="7" t="str">
        <f aca="false">IF(A1042="","",IF(E1042="",A1042,E1042)&amp;"."&amp;IF(F1042="",B1042,F1042))</f>
        <v/>
      </c>
      <c r="I1042" s="7" t="str">
        <f aca="false">IF(A1042="","",IFERROR(INDEX('Campos Growths'!$F:$F,MATCH(H1042,'Campos Growths'!$A:$A,0)),""))</f>
        <v/>
      </c>
      <c r="J1042" s="7" t="str">
        <f aca="false">IF(A1042="","",IFERROR(VLOOKUP(IF(ISNUMBER(SEARCH("(",C1042)),LEFT(C1042,SEARCH("(",C1042)-1),C1042),Tipos!$A:$B,2,FALSE()),"outro"))</f>
        <v/>
      </c>
      <c r="K1042" s="7" t="str">
        <f aca="false">IF(I1042="","",IFERROR(INDEX('Campos Growths'!$L:$L,MATCH(H1042,'Campos Growths'!$A:$A,0)),""))</f>
        <v/>
      </c>
      <c r="L1042" s="7" t="str">
        <f aca="false">IF(A1042="","",IF(G1042="não","Sem tabela no Growths",IF(I1042="","Sem campo no Growths",IF(J1042=K1042,"Importa direto","Ajustar tipo"))))</f>
        <v/>
      </c>
      <c r="M1042" s="9"/>
    </row>
    <row r="1043" customFormat="false" ht="15" hidden="false" customHeight="false" outlineLevel="0" collapsed="false">
      <c r="A1043" s="7" t="str">
        <f aca="false">IF('Outro banco'!A1043="","",IF(LEFT('Outro banco'!A1043,1)="(","",'Outro banco'!A1043))</f>
        <v/>
      </c>
      <c r="B1043" s="7" t="str">
        <f aca="false">IF(A1043="","",'Outro banco'!B1043)</f>
        <v/>
      </c>
      <c r="C1043" s="7" t="str">
        <f aca="false">IF(A1043="","",'Outro banco'!C1043)</f>
        <v/>
      </c>
      <c r="D1043" s="7" t="str">
        <f aca="false">IF(A1043="","",'Outro banco'!D1043)</f>
        <v/>
      </c>
      <c r="E1043" s="9"/>
      <c r="F1043" s="9"/>
      <c r="G1043" s="7" t="str">
        <f aca="false">IF(A1043="","",IF(COUNTIF(Tabelas!$A:$A,IF(E1043="",A1043,E1043))&gt;0,"sim","não"))</f>
        <v/>
      </c>
      <c r="H1043" s="7" t="str">
        <f aca="false">IF(A1043="","",IF(E1043="",A1043,E1043)&amp;"."&amp;IF(F1043="",B1043,F1043))</f>
        <v/>
      </c>
      <c r="I1043" s="7" t="str">
        <f aca="false">IF(A1043="","",IFERROR(INDEX('Campos Growths'!$F:$F,MATCH(H1043,'Campos Growths'!$A:$A,0)),""))</f>
        <v/>
      </c>
      <c r="J1043" s="7" t="str">
        <f aca="false">IF(A1043="","",IFERROR(VLOOKUP(IF(ISNUMBER(SEARCH("(",C1043)),LEFT(C1043,SEARCH("(",C1043)-1),C1043),Tipos!$A:$B,2,FALSE()),"outro"))</f>
        <v/>
      </c>
      <c r="K1043" s="7" t="str">
        <f aca="false">IF(I1043="","",IFERROR(INDEX('Campos Growths'!$L:$L,MATCH(H1043,'Campos Growths'!$A:$A,0)),""))</f>
        <v/>
      </c>
      <c r="L1043" s="7" t="str">
        <f aca="false">IF(A1043="","",IF(G1043="não","Sem tabela no Growths",IF(I1043="","Sem campo no Growths",IF(J1043=K1043,"Importa direto","Ajustar tipo"))))</f>
        <v/>
      </c>
      <c r="M1043" s="9"/>
    </row>
    <row r="1044" customFormat="false" ht="15" hidden="false" customHeight="false" outlineLevel="0" collapsed="false">
      <c r="A1044" s="7" t="str">
        <f aca="false">IF('Outro banco'!A1044="","",IF(LEFT('Outro banco'!A1044,1)="(","",'Outro banco'!A1044))</f>
        <v/>
      </c>
      <c r="B1044" s="7" t="str">
        <f aca="false">IF(A1044="","",'Outro banco'!B1044)</f>
        <v/>
      </c>
      <c r="C1044" s="7" t="str">
        <f aca="false">IF(A1044="","",'Outro banco'!C1044)</f>
        <v/>
      </c>
      <c r="D1044" s="7" t="str">
        <f aca="false">IF(A1044="","",'Outro banco'!D1044)</f>
        <v/>
      </c>
      <c r="E1044" s="9"/>
      <c r="F1044" s="9"/>
      <c r="G1044" s="7" t="str">
        <f aca="false">IF(A1044="","",IF(COUNTIF(Tabelas!$A:$A,IF(E1044="",A1044,E1044))&gt;0,"sim","não"))</f>
        <v/>
      </c>
      <c r="H1044" s="7" t="str">
        <f aca="false">IF(A1044="","",IF(E1044="",A1044,E1044)&amp;"."&amp;IF(F1044="",B1044,F1044))</f>
        <v/>
      </c>
      <c r="I1044" s="7" t="str">
        <f aca="false">IF(A1044="","",IFERROR(INDEX('Campos Growths'!$F:$F,MATCH(H1044,'Campos Growths'!$A:$A,0)),""))</f>
        <v/>
      </c>
      <c r="J1044" s="7" t="str">
        <f aca="false">IF(A1044="","",IFERROR(VLOOKUP(IF(ISNUMBER(SEARCH("(",C1044)),LEFT(C1044,SEARCH("(",C1044)-1),C1044),Tipos!$A:$B,2,FALSE()),"outro"))</f>
        <v/>
      </c>
      <c r="K1044" s="7" t="str">
        <f aca="false">IF(I1044="","",IFERROR(INDEX('Campos Growths'!$L:$L,MATCH(H1044,'Campos Growths'!$A:$A,0)),""))</f>
        <v/>
      </c>
      <c r="L1044" s="7" t="str">
        <f aca="false">IF(A1044="","",IF(G1044="não","Sem tabela no Growths",IF(I1044="","Sem campo no Growths",IF(J1044=K1044,"Importa direto","Ajustar tipo"))))</f>
        <v/>
      </c>
      <c r="M1044" s="9"/>
    </row>
    <row r="1045" customFormat="false" ht="15" hidden="false" customHeight="false" outlineLevel="0" collapsed="false">
      <c r="A1045" s="7" t="str">
        <f aca="false">IF('Outro banco'!A1045="","",IF(LEFT('Outro banco'!A1045,1)="(","",'Outro banco'!A1045))</f>
        <v/>
      </c>
      <c r="B1045" s="7" t="str">
        <f aca="false">IF(A1045="","",'Outro banco'!B1045)</f>
        <v/>
      </c>
      <c r="C1045" s="7" t="str">
        <f aca="false">IF(A1045="","",'Outro banco'!C1045)</f>
        <v/>
      </c>
      <c r="D1045" s="7" t="str">
        <f aca="false">IF(A1045="","",'Outro banco'!D1045)</f>
        <v/>
      </c>
      <c r="E1045" s="9"/>
      <c r="F1045" s="9"/>
      <c r="G1045" s="7" t="str">
        <f aca="false">IF(A1045="","",IF(COUNTIF(Tabelas!$A:$A,IF(E1045="",A1045,E1045))&gt;0,"sim","não"))</f>
        <v/>
      </c>
      <c r="H1045" s="7" t="str">
        <f aca="false">IF(A1045="","",IF(E1045="",A1045,E1045)&amp;"."&amp;IF(F1045="",B1045,F1045))</f>
        <v/>
      </c>
      <c r="I1045" s="7" t="str">
        <f aca="false">IF(A1045="","",IFERROR(INDEX('Campos Growths'!$F:$F,MATCH(H1045,'Campos Growths'!$A:$A,0)),""))</f>
        <v/>
      </c>
      <c r="J1045" s="7" t="str">
        <f aca="false">IF(A1045="","",IFERROR(VLOOKUP(IF(ISNUMBER(SEARCH("(",C1045)),LEFT(C1045,SEARCH("(",C1045)-1),C1045),Tipos!$A:$B,2,FALSE()),"outro"))</f>
        <v/>
      </c>
      <c r="K1045" s="7" t="str">
        <f aca="false">IF(I1045="","",IFERROR(INDEX('Campos Growths'!$L:$L,MATCH(H1045,'Campos Growths'!$A:$A,0)),""))</f>
        <v/>
      </c>
      <c r="L1045" s="7" t="str">
        <f aca="false">IF(A1045="","",IF(G1045="não","Sem tabela no Growths",IF(I1045="","Sem campo no Growths",IF(J1045=K1045,"Importa direto","Ajustar tipo"))))</f>
        <v/>
      </c>
      <c r="M1045" s="9"/>
    </row>
    <row r="1046" customFormat="false" ht="15" hidden="false" customHeight="false" outlineLevel="0" collapsed="false">
      <c r="A1046" s="7" t="str">
        <f aca="false">IF('Outro banco'!A1046="","",IF(LEFT('Outro banco'!A1046,1)="(","",'Outro banco'!A1046))</f>
        <v/>
      </c>
      <c r="B1046" s="7" t="str">
        <f aca="false">IF(A1046="","",'Outro banco'!B1046)</f>
        <v/>
      </c>
      <c r="C1046" s="7" t="str">
        <f aca="false">IF(A1046="","",'Outro banco'!C1046)</f>
        <v/>
      </c>
      <c r="D1046" s="7" t="str">
        <f aca="false">IF(A1046="","",'Outro banco'!D1046)</f>
        <v/>
      </c>
      <c r="E1046" s="9"/>
      <c r="F1046" s="9"/>
      <c r="G1046" s="7" t="str">
        <f aca="false">IF(A1046="","",IF(COUNTIF(Tabelas!$A:$A,IF(E1046="",A1046,E1046))&gt;0,"sim","não"))</f>
        <v/>
      </c>
      <c r="H1046" s="7" t="str">
        <f aca="false">IF(A1046="","",IF(E1046="",A1046,E1046)&amp;"."&amp;IF(F1046="",B1046,F1046))</f>
        <v/>
      </c>
      <c r="I1046" s="7" t="str">
        <f aca="false">IF(A1046="","",IFERROR(INDEX('Campos Growths'!$F:$F,MATCH(H1046,'Campos Growths'!$A:$A,0)),""))</f>
        <v/>
      </c>
      <c r="J1046" s="7" t="str">
        <f aca="false">IF(A1046="","",IFERROR(VLOOKUP(IF(ISNUMBER(SEARCH("(",C1046)),LEFT(C1046,SEARCH("(",C1046)-1),C1046),Tipos!$A:$B,2,FALSE()),"outro"))</f>
        <v/>
      </c>
      <c r="K1046" s="7" t="str">
        <f aca="false">IF(I1046="","",IFERROR(INDEX('Campos Growths'!$L:$L,MATCH(H1046,'Campos Growths'!$A:$A,0)),""))</f>
        <v/>
      </c>
      <c r="L1046" s="7" t="str">
        <f aca="false">IF(A1046="","",IF(G1046="não","Sem tabela no Growths",IF(I1046="","Sem campo no Growths",IF(J1046=K1046,"Importa direto","Ajustar tipo"))))</f>
        <v/>
      </c>
      <c r="M1046" s="9"/>
    </row>
    <row r="1047" customFormat="false" ht="15" hidden="false" customHeight="false" outlineLevel="0" collapsed="false">
      <c r="A1047" s="7" t="str">
        <f aca="false">IF('Outro banco'!A1047="","",IF(LEFT('Outro banco'!A1047,1)="(","",'Outro banco'!A1047))</f>
        <v/>
      </c>
      <c r="B1047" s="7" t="str">
        <f aca="false">IF(A1047="","",'Outro banco'!B1047)</f>
        <v/>
      </c>
      <c r="C1047" s="7" t="str">
        <f aca="false">IF(A1047="","",'Outro banco'!C1047)</f>
        <v/>
      </c>
      <c r="D1047" s="7" t="str">
        <f aca="false">IF(A1047="","",'Outro banco'!D1047)</f>
        <v/>
      </c>
      <c r="E1047" s="9"/>
      <c r="F1047" s="9"/>
      <c r="G1047" s="7" t="str">
        <f aca="false">IF(A1047="","",IF(COUNTIF(Tabelas!$A:$A,IF(E1047="",A1047,E1047))&gt;0,"sim","não"))</f>
        <v/>
      </c>
      <c r="H1047" s="7" t="str">
        <f aca="false">IF(A1047="","",IF(E1047="",A1047,E1047)&amp;"."&amp;IF(F1047="",B1047,F1047))</f>
        <v/>
      </c>
      <c r="I1047" s="7" t="str">
        <f aca="false">IF(A1047="","",IFERROR(INDEX('Campos Growths'!$F:$F,MATCH(H1047,'Campos Growths'!$A:$A,0)),""))</f>
        <v/>
      </c>
      <c r="J1047" s="7" t="str">
        <f aca="false">IF(A1047="","",IFERROR(VLOOKUP(IF(ISNUMBER(SEARCH("(",C1047)),LEFT(C1047,SEARCH("(",C1047)-1),C1047),Tipos!$A:$B,2,FALSE()),"outro"))</f>
        <v/>
      </c>
      <c r="K1047" s="7" t="str">
        <f aca="false">IF(I1047="","",IFERROR(INDEX('Campos Growths'!$L:$L,MATCH(H1047,'Campos Growths'!$A:$A,0)),""))</f>
        <v/>
      </c>
      <c r="L1047" s="7" t="str">
        <f aca="false">IF(A1047="","",IF(G1047="não","Sem tabela no Growths",IF(I1047="","Sem campo no Growths",IF(J1047=K1047,"Importa direto","Ajustar tipo"))))</f>
        <v/>
      </c>
      <c r="M1047" s="9"/>
    </row>
    <row r="1048" customFormat="false" ht="15" hidden="false" customHeight="false" outlineLevel="0" collapsed="false">
      <c r="A1048" s="7" t="str">
        <f aca="false">IF('Outro banco'!A1048="","",IF(LEFT('Outro banco'!A1048,1)="(","",'Outro banco'!A1048))</f>
        <v/>
      </c>
      <c r="B1048" s="7" t="str">
        <f aca="false">IF(A1048="","",'Outro banco'!B1048)</f>
        <v/>
      </c>
      <c r="C1048" s="7" t="str">
        <f aca="false">IF(A1048="","",'Outro banco'!C1048)</f>
        <v/>
      </c>
      <c r="D1048" s="7" t="str">
        <f aca="false">IF(A1048="","",'Outro banco'!D1048)</f>
        <v/>
      </c>
      <c r="E1048" s="9"/>
      <c r="F1048" s="9"/>
      <c r="G1048" s="7" t="str">
        <f aca="false">IF(A1048="","",IF(COUNTIF(Tabelas!$A:$A,IF(E1048="",A1048,E1048))&gt;0,"sim","não"))</f>
        <v/>
      </c>
      <c r="H1048" s="7" t="str">
        <f aca="false">IF(A1048="","",IF(E1048="",A1048,E1048)&amp;"."&amp;IF(F1048="",B1048,F1048))</f>
        <v/>
      </c>
      <c r="I1048" s="7" t="str">
        <f aca="false">IF(A1048="","",IFERROR(INDEX('Campos Growths'!$F:$F,MATCH(H1048,'Campos Growths'!$A:$A,0)),""))</f>
        <v/>
      </c>
      <c r="J1048" s="7" t="str">
        <f aca="false">IF(A1048="","",IFERROR(VLOOKUP(IF(ISNUMBER(SEARCH("(",C1048)),LEFT(C1048,SEARCH("(",C1048)-1),C1048),Tipos!$A:$B,2,FALSE()),"outro"))</f>
        <v/>
      </c>
      <c r="K1048" s="7" t="str">
        <f aca="false">IF(I1048="","",IFERROR(INDEX('Campos Growths'!$L:$L,MATCH(H1048,'Campos Growths'!$A:$A,0)),""))</f>
        <v/>
      </c>
      <c r="L1048" s="7" t="str">
        <f aca="false">IF(A1048="","",IF(G1048="não","Sem tabela no Growths",IF(I1048="","Sem campo no Growths",IF(J1048=K1048,"Importa direto","Ajustar tipo"))))</f>
        <v/>
      </c>
      <c r="M1048" s="9"/>
    </row>
    <row r="1049" customFormat="false" ht="15" hidden="false" customHeight="false" outlineLevel="0" collapsed="false">
      <c r="A1049" s="7" t="str">
        <f aca="false">IF('Outro banco'!A1049="","",IF(LEFT('Outro banco'!A1049,1)="(","",'Outro banco'!A1049))</f>
        <v/>
      </c>
      <c r="B1049" s="7" t="str">
        <f aca="false">IF(A1049="","",'Outro banco'!B1049)</f>
        <v/>
      </c>
      <c r="C1049" s="7" t="str">
        <f aca="false">IF(A1049="","",'Outro banco'!C1049)</f>
        <v/>
      </c>
      <c r="D1049" s="7" t="str">
        <f aca="false">IF(A1049="","",'Outro banco'!D1049)</f>
        <v/>
      </c>
      <c r="E1049" s="9"/>
      <c r="F1049" s="9"/>
      <c r="G1049" s="7" t="str">
        <f aca="false">IF(A1049="","",IF(COUNTIF(Tabelas!$A:$A,IF(E1049="",A1049,E1049))&gt;0,"sim","não"))</f>
        <v/>
      </c>
      <c r="H1049" s="7" t="str">
        <f aca="false">IF(A1049="","",IF(E1049="",A1049,E1049)&amp;"."&amp;IF(F1049="",B1049,F1049))</f>
        <v/>
      </c>
      <c r="I1049" s="7" t="str">
        <f aca="false">IF(A1049="","",IFERROR(INDEX('Campos Growths'!$F:$F,MATCH(H1049,'Campos Growths'!$A:$A,0)),""))</f>
        <v/>
      </c>
      <c r="J1049" s="7" t="str">
        <f aca="false">IF(A1049="","",IFERROR(VLOOKUP(IF(ISNUMBER(SEARCH("(",C1049)),LEFT(C1049,SEARCH("(",C1049)-1),C1049),Tipos!$A:$B,2,FALSE()),"outro"))</f>
        <v/>
      </c>
      <c r="K1049" s="7" t="str">
        <f aca="false">IF(I1049="","",IFERROR(INDEX('Campos Growths'!$L:$L,MATCH(H1049,'Campos Growths'!$A:$A,0)),""))</f>
        <v/>
      </c>
      <c r="L1049" s="7" t="str">
        <f aca="false">IF(A1049="","",IF(G1049="não","Sem tabela no Growths",IF(I1049="","Sem campo no Growths",IF(J1049=K1049,"Importa direto","Ajustar tipo"))))</f>
        <v/>
      </c>
      <c r="M1049" s="9"/>
    </row>
    <row r="1050" customFormat="false" ht="15" hidden="false" customHeight="false" outlineLevel="0" collapsed="false">
      <c r="A1050" s="7" t="str">
        <f aca="false">IF('Outro banco'!A1050="","",IF(LEFT('Outro banco'!A1050,1)="(","",'Outro banco'!A1050))</f>
        <v/>
      </c>
      <c r="B1050" s="7" t="str">
        <f aca="false">IF(A1050="","",'Outro banco'!B1050)</f>
        <v/>
      </c>
      <c r="C1050" s="7" t="str">
        <f aca="false">IF(A1050="","",'Outro banco'!C1050)</f>
        <v/>
      </c>
      <c r="D1050" s="7" t="str">
        <f aca="false">IF(A1050="","",'Outro banco'!D1050)</f>
        <v/>
      </c>
      <c r="E1050" s="9"/>
      <c r="F1050" s="9"/>
      <c r="G1050" s="7" t="str">
        <f aca="false">IF(A1050="","",IF(COUNTIF(Tabelas!$A:$A,IF(E1050="",A1050,E1050))&gt;0,"sim","não"))</f>
        <v/>
      </c>
      <c r="H1050" s="7" t="str">
        <f aca="false">IF(A1050="","",IF(E1050="",A1050,E1050)&amp;"."&amp;IF(F1050="",B1050,F1050))</f>
        <v/>
      </c>
      <c r="I1050" s="7" t="str">
        <f aca="false">IF(A1050="","",IFERROR(INDEX('Campos Growths'!$F:$F,MATCH(H1050,'Campos Growths'!$A:$A,0)),""))</f>
        <v/>
      </c>
      <c r="J1050" s="7" t="str">
        <f aca="false">IF(A1050="","",IFERROR(VLOOKUP(IF(ISNUMBER(SEARCH("(",C1050)),LEFT(C1050,SEARCH("(",C1050)-1),C1050),Tipos!$A:$B,2,FALSE()),"outro"))</f>
        <v/>
      </c>
      <c r="K1050" s="7" t="str">
        <f aca="false">IF(I1050="","",IFERROR(INDEX('Campos Growths'!$L:$L,MATCH(H1050,'Campos Growths'!$A:$A,0)),""))</f>
        <v/>
      </c>
      <c r="L1050" s="7" t="str">
        <f aca="false">IF(A1050="","",IF(G1050="não","Sem tabela no Growths",IF(I1050="","Sem campo no Growths",IF(J1050=K1050,"Importa direto","Ajustar tipo"))))</f>
        <v/>
      </c>
      <c r="M1050" s="9"/>
    </row>
    <row r="1051" customFormat="false" ht="15" hidden="false" customHeight="false" outlineLevel="0" collapsed="false">
      <c r="A1051" s="7" t="str">
        <f aca="false">IF('Outro banco'!A1051="","",IF(LEFT('Outro banco'!A1051,1)="(","",'Outro banco'!A1051))</f>
        <v/>
      </c>
      <c r="B1051" s="7" t="str">
        <f aca="false">IF(A1051="","",'Outro banco'!B1051)</f>
        <v/>
      </c>
      <c r="C1051" s="7" t="str">
        <f aca="false">IF(A1051="","",'Outro banco'!C1051)</f>
        <v/>
      </c>
      <c r="D1051" s="7" t="str">
        <f aca="false">IF(A1051="","",'Outro banco'!D1051)</f>
        <v/>
      </c>
      <c r="E1051" s="9"/>
      <c r="F1051" s="9"/>
      <c r="G1051" s="7" t="str">
        <f aca="false">IF(A1051="","",IF(COUNTIF(Tabelas!$A:$A,IF(E1051="",A1051,E1051))&gt;0,"sim","não"))</f>
        <v/>
      </c>
      <c r="H1051" s="7" t="str">
        <f aca="false">IF(A1051="","",IF(E1051="",A1051,E1051)&amp;"."&amp;IF(F1051="",B1051,F1051))</f>
        <v/>
      </c>
      <c r="I1051" s="7" t="str">
        <f aca="false">IF(A1051="","",IFERROR(INDEX('Campos Growths'!$F:$F,MATCH(H1051,'Campos Growths'!$A:$A,0)),""))</f>
        <v/>
      </c>
      <c r="J1051" s="7" t="str">
        <f aca="false">IF(A1051="","",IFERROR(VLOOKUP(IF(ISNUMBER(SEARCH("(",C1051)),LEFT(C1051,SEARCH("(",C1051)-1),C1051),Tipos!$A:$B,2,FALSE()),"outro"))</f>
        <v/>
      </c>
      <c r="K1051" s="7" t="str">
        <f aca="false">IF(I1051="","",IFERROR(INDEX('Campos Growths'!$L:$L,MATCH(H1051,'Campos Growths'!$A:$A,0)),""))</f>
        <v/>
      </c>
      <c r="L1051" s="7" t="str">
        <f aca="false">IF(A1051="","",IF(G1051="não","Sem tabela no Growths",IF(I1051="","Sem campo no Growths",IF(J1051=K1051,"Importa direto","Ajustar tipo"))))</f>
        <v/>
      </c>
      <c r="M1051" s="9"/>
    </row>
    <row r="1052" customFormat="false" ht="15" hidden="false" customHeight="false" outlineLevel="0" collapsed="false">
      <c r="A1052" s="7" t="str">
        <f aca="false">IF('Outro banco'!A1052="","",IF(LEFT('Outro banco'!A1052,1)="(","",'Outro banco'!A1052))</f>
        <v/>
      </c>
      <c r="B1052" s="7" t="str">
        <f aca="false">IF(A1052="","",'Outro banco'!B1052)</f>
        <v/>
      </c>
      <c r="C1052" s="7" t="str">
        <f aca="false">IF(A1052="","",'Outro banco'!C1052)</f>
        <v/>
      </c>
      <c r="D1052" s="7" t="str">
        <f aca="false">IF(A1052="","",'Outro banco'!D1052)</f>
        <v/>
      </c>
      <c r="E1052" s="9"/>
      <c r="F1052" s="9"/>
      <c r="G1052" s="7" t="str">
        <f aca="false">IF(A1052="","",IF(COUNTIF(Tabelas!$A:$A,IF(E1052="",A1052,E1052))&gt;0,"sim","não"))</f>
        <v/>
      </c>
      <c r="H1052" s="7" t="str">
        <f aca="false">IF(A1052="","",IF(E1052="",A1052,E1052)&amp;"."&amp;IF(F1052="",B1052,F1052))</f>
        <v/>
      </c>
      <c r="I1052" s="7" t="str">
        <f aca="false">IF(A1052="","",IFERROR(INDEX('Campos Growths'!$F:$F,MATCH(H1052,'Campos Growths'!$A:$A,0)),""))</f>
        <v/>
      </c>
      <c r="J1052" s="7" t="str">
        <f aca="false">IF(A1052="","",IFERROR(VLOOKUP(IF(ISNUMBER(SEARCH("(",C1052)),LEFT(C1052,SEARCH("(",C1052)-1),C1052),Tipos!$A:$B,2,FALSE()),"outro"))</f>
        <v/>
      </c>
      <c r="K1052" s="7" t="str">
        <f aca="false">IF(I1052="","",IFERROR(INDEX('Campos Growths'!$L:$L,MATCH(H1052,'Campos Growths'!$A:$A,0)),""))</f>
        <v/>
      </c>
      <c r="L1052" s="7" t="str">
        <f aca="false">IF(A1052="","",IF(G1052="não","Sem tabela no Growths",IF(I1052="","Sem campo no Growths",IF(J1052=K1052,"Importa direto","Ajustar tipo"))))</f>
        <v/>
      </c>
      <c r="M1052" s="9"/>
    </row>
    <row r="1053" customFormat="false" ht="15" hidden="false" customHeight="false" outlineLevel="0" collapsed="false">
      <c r="A1053" s="7" t="str">
        <f aca="false">IF('Outro banco'!A1053="","",IF(LEFT('Outro banco'!A1053,1)="(","",'Outro banco'!A1053))</f>
        <v/>
      </c>
      <c r="B1053" s="7" t="str">
        <f aca="false">IF(A1053="","",'Outro banco'!B1053)</f>
        <v/>
      </c>
      <c r="C1053" s="7" t="str">
        <f aca="false">IF(A1053="","",'Outro banco'!C1053)</f>
        <v/>
      </c>
      <c r="D1053" s="7" t="str">
        <f aca="false">IF(A1053="","",'Outro banco'!D1053)</f>
        <v/>
      </c>
      <c r="E1053" s="9"/>
      <c r="F1053" s="9"/>
      <c r="G1053" s="7" t="str">
        <f aca="false">IF(A1053="","",IF(COUNTIF(Tabelas!$A:$A,IF(E1053="",A1053,E1053))&gt;0,"sim","não"))</f>
        <v/>
      </c>
      <c r="H1053" s="7" t="str">
        <f aca="false">IF(A1053="","",IF(E1053="",A1053,E1053)&amp;"."&amp;IF(F1053="",B1053,F1053))</f>
        <v/>
      </c>
      <c r="I1053" s="7" t="str">
        <f aca="false">IF(A1053="","",IFERROR(INDEX('Campos Growths'!$F:$F,MATCH(H1053,'Campos Growths'!$A:$A,0)),""))</f>
        <v/>
      </c>
      <c r="J1053" s="7" t="str">
        <f aca="false">IF(A1053="","",IFERROR(VLOOKUP(IF(ISNUMBER(SEARCH("(",C1053)),LEFT(C1053,SEARCH("(",C1053)-1),C1053),Tipos!$A:$B,2,FALSE()),"outro"))</f>
        <v/>
      </c>
      <c r="K1053" s="7" t="str">
        <f aca="false">IF(I1053="","",IFERROR(INDEX('Campos Growths'!$L:$L,MATCH(H1053,'Campos Growths'!$A:$A,0)),""))</f>
        <v/>
      </c>
      <c r="L1053" s="7" t="str">
        <f aca="false">IF(A1053="","",IF(G1053="não","Sem tabela no Growths",IF(I1053="","Sem campo no Growths",IF(J1053=K1053,"Importa direto","Ajustar tipo"))))</f>
        <v/>
      </c>
      <c r="M1053" s="9"/>
    </row>
    <row r="1054" customFormat="false" ht="15" hidden="false" customHeight="false" outlineLevel="0" collapsed="false">
      <c r="A1054" s="7" t="str">
        <f aca="false">IF('Outro banco'!A1054="","",IF(LEFT('Outro banco'!A1054,1)="(","",'Outro banco'!A1054))</f>
        <v/>
      </c>
      <c r="B1054" s="7" t="str">
        <f aca="false">IF(A1054="","",'Outro banco'!B1054)</f>
        <v/>
      </c>
      <c r="C1054" s="7" t="str">
        <f aca="false">IF(A1054="","",'Outro banco'!C1054)</f>
        <v/>
      </c>
      <c r="D1054" s="7" t="str">
        <f aca="false">IF(A1054="","",'Outro banco'!D1054)</f>
        <v/>
      </c>
      <c r="E1054" s="9"/>
      <c r="F1054" s="9"/>
      <c r="G1054" s="7" t="str">
        <f aca="false">IF(A1054="","",IF(COUNTIF(Tabelas!$A:$A,IF(E1054="",A1054,E1054))&gt;0,"sim","não"))</f>
        <v/>
      </c>
      <c r="H1054" s="7" t="str">
        <f aca="false">IF(A1054="","",IF(E1054="",A1054,E1054)&amp;"."&amp;IF(F1054="",B1054,F1054))</f>
        <v/>
      </c>
      <c r="I1054" s="7" t="str">
        <f aca="false">IF(A1054="","",IFERROR(INDEX('Campos Growths'!$F:$F,MATCH(H1054,'Campos Growths'!$A:$A,0)),""))</f>
        <v/>
      </c>
      <c r="J1054" s="7" t="str">
        <f aca="false">IF(A1054="","",IFERROR(VLOOKUP(IF(ISNUMBER(SEARCH("(",C1054)),LEFT(C1054,SEARCH("(",C1054)-1),C1054),Tipos!$A:$B,2,FALSE()),"outro"))</f>
        <v/>
      </c>
      <c r="K1054" s="7" t="str">
        <f aca="false">IF(I1054="","",IFERROR(INDEX('Campos Growths'!$L:$L,MATCH(H1054,'Campos Growths'!$A:$A,0)),""))</f>
        <v/>
      </c>
      <c r="L1054" s="7" t="str">
        <f aca="false">IF(A1054="","",IF(G1054="não","Sem tabela no Growths",IF(I1054="","Sem campo no Growths",IF(J1054=K1054,"Importa direto","Ajustar tipo"))))</f>
        <v/>
      </c>
      <c r="M1054" s="9"/>
    </row>
    <row r="1055" customFormat="false" ht="15" hidden="false" customHeight="false" outlineLevel="0" collapsed="false">
      <c r="A1055" s="7" t="str">
        <f aca="false">IF('Outro banco'!A1055="","",IF(LEFT('Outro banco'!A1055,1)="(","",'Outro banco'!A1055))</f>
        <v/>
      </c>
      <c r="B1055" s="7" t="str">
        <f aca="false">IF(A1055="","",'Outro banco'!B1055)</f>
        <v/>
      </c>
      <c r="C1055" s="7" t="str">
        <f aca="false">IF(A1055="","",'Outro banco'!C1055)</f>
        <v/>
      </c>
      <c r="D1055" s="7" t="str">
        <f aca="false">IF(A1055="","",'Outro banco'!D1055)</f>
        <v/>
      </c>
      <c r="E1055" s="9"/>
      <c r="F1055" s="9"/>
      <c r="G1055" s="7" t="str">
        <f aca="false">IF(A1055="","",IF(COUNTIF(Tabelas!$A:$A,IF(E1055="",A1055,E1055))&gt;0,"sim","não"))</f>
        <v/>
      </c>
      <c r="H1055" s="7" t="str">
        <f aca="false">IF(A1055="","",IF(E1055="",A1055,E1055)&amp;"."&amp;IF(F1055="",B1055,F1055))</f>
        <v/>
      </c>
      <c r="I1055" s="7" t="str">
        <f aca="false">IF(A1055="","",IFERROR(INDEX('Campos Growths'!$F:$F,MATCH(H1055,'Campos Growths'!$A:$A,0)),""))</f>
        <v/>
      </c>
      <c r="J1055" s="7" t="str">
        <f aca="false">IF(A1055="","",IFERROR(VLOOKUP(IF(ISNUMBER(SEARCH("(",C1055)),LEFT(C1055,SEARCH("(",C1055)-1),C1055),Tipos!$A:$B,2,FALSE()),"outro"))</f>
        <v/>
      </c>
      <c r="K1055" s="7" t="str">
        <f aca="false">IF(I1055="","",IFERROR(INDEX('Campos Growths'!$L:$L,MATCH(H1055,'Campos Growths'!$A:$A,0)),""))</f>
        <v/>
      </c>
      <c r="L1055" s="7" t="str">
        <f aca="false">IF(A1055="","",IF(G1055="não","Sem tabela no Growths",IF(I1055="","Sem campo no Growths",IF(J1055=K1055,"Importa direto","Ajustar tipo"))))</f>
        <v/>
      </c>
      <c r="M1055" s="9"/>
    </row>
    <row r="1056" customFormat="false" ht="15" hidden="false" customHeight="false" outlineLevel="0" collapsed="false">
      <c r="A1056" s="7" t="str">
        <f aca="false">IF('Outro banco'!A1056="","",IF(LEFT('Outro banco'!A1056,1)="(","",'Outro banco'!A1056))</f>
        <v/>
      </c>
      <c r="B1056" s="7" t="str">
        <f aca="false">IF(A1056="","",'Outro banco'!B1056)</f>
        <v/>
      </c>
      <c r="C1056" s="7" t="str">
        <f aca="false">IF(A1056="","",'Outro banco'!C1056)</f>
        <v/>
      </c>
      <c r="D1056" s="7" t="str">
        <f aca="false">IF(A1056="","",'Outro banco'!D1056)</f>
        <v/>
      </c>
      <c r="E1056" s="9"/>
      <c r="F1056" s="9"/>
      <c r="G1056" s="7" t="str">
        <f aca="false">IF(A1056="","",IF(COUNTIF(Tabelas!$A:$A,IF(E1056="",A1056,E1056))&gt;0,"sim","não"))</f>
        <v/>
      </c>
      <c r="H1056" s="7" t="str">
        <f aca="false">IF(A1056="","",IF(E1056="",A1056,E1056)&amp;"."&amp;IF(F1056="",B1056,F1056))</f>
        <v/>
      </c>
      <c r="I1056" s="7" t="str">
        <f aca="false">IF(A1056="","",IFERROR(INDEX('Campos Growths'!$F:$F,MATCH(H1056,'Campos Growths'!$A:$A,0)),""))</f>
        <v/>
      </c>
      <c r="J1056" s="7" t="str">
        <f aca="false">IF(A1056="","",IFERROR(VLOOKUP(IF(ISNUMBER(SEARCH("(",C1056)),LEFT(C1056,SEARCH("(",C1056)-1),C1056),Tipos!$A:$B,2,FALSE()),"outro"))</f>
        <v/>
      </c>
      <c r="K1056" s="7" t="str">
        <f aca="false">IF(I1056="","",IFERROR(INDEX('Campos Growths'!$L:$L,MATCH(H1056,'Campos Growths'!$A:$A,0)),""))</f>
        <v/>
      </c>
      <c r="L1056" s="7" t="str">
        <f aca="false">IF(A1056="","",IF(G1056="não","Sem tabela no Growths",IF(I1056="","Sem campo no Growths",IF(J1056=K1056,"Importa direto","Ajustar tipo"))))</f>
        <v/>
      </c>
      <c r="M1056" s="9"/>
    </row>
    <row r="1057" customFormat="false" ht="15" hidden="false" customHeight="false" outlineLevel="0" collapsed="false">
      <c r="A1057" s="7" t="str">
        <f aca="false">IF('Outro banco'!A1057="","",IF(LEFT('Outro banco'!A1057,1)="(","",'Outro banco'!A1057))</f>
        <v/>
      </c>
      <c r="B1057" s="7" t="str">
        <f aca="false">IF(A1057="","",'Outro banco'!B1057)</f>
        <v/>
      </c>
      <c r="C1057" s="7" t="str">
        <f aca="false">IF(A1057="","",'Outro banco'!C1057)</f>
        <v/>
      </c>
      <c r="D1057" s="7" t="str">
        <f aca="false">IF(A1057="","",'Outro banco'!D1057)</f>
        <v/>
      </c>
      <c r="E1057" s="9"/>
      <c r="F1057" s="9"/>
      <c r="G1057" s="7" t="str">
        <f aca="false">IF(A1057="","",IF(COUNTIF(Tabelas!$A:$A,IF(E1057="",A1057,E1057))&gt;0,"sim","não"))</f>
        <v/>
      </c>
      <c r="H1057" s="7" t="str">
        <f aca="false">IF(A1057="","",IF(E1057="",A1057,E1057)&amp;"."&amp;IF(F1057="",B1057,F1057))</f>
        <v/>
      </c>
      <c r="I1057" s="7" t="str">
        <f aca="false">IF(A1057="","",IFERROR(INDEX('Campos Growths'!$F:$F,MATCH(H1057,'Campos Growths'!$A:$A,0)),""))</f>
        <v/>
      </c>
      <c r="J1057" s="7" t="str">
        <f aca="false">IF(A1057="","",IFERROR(VLOOKUP(IF(ISNUMBER(SEARCH("(",C1057)),LEFT(C1057,SEARCH("(",C1057)-1),C1057),Tipos!$A:$B,2,FALSE()),"outro"))</f>
        <v/>
      </c>
      <c r="K1057" s="7" t="str">
        <f aca="false">IF(I1057="","",IFERROR(INDEX('Campos Growths'!$L:$L,MATCH(H1057,'Campos Growths'!$A:$A,0)),""))</f>
        <v/>
      </c>
      <c r="L1057" s="7" t="str">
        <f aca="false">IF(A1057="","",IF(G1057="não","Sem tabela no Growths",IF(I1057="","Sem campo no Growths",IF(J1057=K1057,"Importa direto","Ajustar tipo"))))</f>
        <v/>
      </c>
      <c r="M1057" s="9"/>
    </row>
    <row r="1058" customFormat="false" ht="15" hidden="false" customHeight="false" outlineLevel="0" collapsed="false">
      <c r="A1058" s="7" t="str">
        <f aca="false">IF('Outro banco'!A1058="","",IF(LEFT('Outro banco'!A1058,1)="(","",'Outro banco'!A1058))</f>
        <v/>
      </c>
      <c r="B1058" s="7" t="str">
        <f aca="false">IF(A1058="","",'Outro banco'!B1058)</f>
        <v/>
      </c>
      <c r="C1058" s="7" t="str">
        <f aca="false">IF(A1058="","",'Outro banco'!C1058)</f>
        <v/>
      </c>
      <c r="D1058" s="7" t="str">
        <f aca="false">IF(A1058="","",'Outro banco'!D1058)</f>
        <v/>
      </c>
      <c r="E1058" s="9"/>
      <c r="F1058" s="9"/>
      <c r="G1058" s="7" t="str">
        <f aca="false">IF(A1058="","",IF(COUNTIF(Tabelas!$A:$A,IF(E1058="",A1058,E1058))&gt;0,"sim","não"))</f>
        <v/>
      </c>
      <c r="H1058" s="7" t="str">
        <f aca="false">IF(A1058="","",IF(E1058="",A1058,E1058)&amp;"."&amp;IF(F1058="",B1058,F1058))</f>
        <v/>
      </c>
      <c r="I1058" s="7" t="str">
        <f aca="false">IF(A1058="","",IFERROR(INDEX('Campos Growths'!$F:$F,MATCH(H1058,'Campos Growths'!$A:$A,0)),""))</f>
        <v/>
      </c>
      <c r="J1058" s="7" t="str">
        <f aca="false">IF(A1058="","",IFERROR(VLOOKUP(IF(ISNUMBER(SEARCH("(",C1058)),LEFT(C1058,SEARCH("(",C1058)-1),C1058),Tipos!$A:$B,2,FALSE()),"outro"))</f>
        <v/>
      </c>
      <c r="K1058" s="7" t="str">
        <f aca="false">IF(I1058="","",IFERROR(INDEX('Campos Growths'!$L:$L,MATCH(H1058,'Campos Growths'!$A:$A,0)),""))</f>
        <v/>
      </c>
      <c r="L1058" s="7" t="str">
        <f aca="false">IF(A1058="","",IF(G1058="não","Sem tabela no Growths",IF(I1058="","Sem campo no Growths",IF(J1058=K1058,"Importa direto","Ajustar tipo"))))</f>
        <v/>
      </c>
      <c r="M1058" s="9"/>
    </row>
    <row r="1059" customFormat="false" ht="15" hidden="false" customHeight="false" outlineLevel="0" collapsed="false">
      <c r="A1059" s="7" t="str">
        <f aca="false">IF('Outro banco'!A1059="","",IF(LEFT('Outro banco'!A1059,1)="(","",'Outro banco'!A1059))</f>
        <v/>
      </c>
      <c r="B1059" s="7" t="str">
        <f aca="false">IF(A1059="","",'Outro banco'!B1059)</f>
        <v/>
      </c>
      <c r="C1059" s="7" t="str">
        <f aca="false">IF(A1059="","",'Outro banco'!C1059)</f>
        <v/>
      </c>
      <c r="D1059" s="7" t="str">
        <f aca="false">IF(A1059="","",'Outro banco'!D1059)</f>
        <v/>
      </c>
      <c r="E1059" s="9"/>
      <c r="F1059" s="9"/>
      <c r="G1059" s="7" t="str">
        <f aca="false">IF(A1059="","",IF(COUNTIF(Tabelas!$A:$A,IF(E1059="",A1059,E1059))&gt;0,"sim","não"))</f>
        <v/>
      </c>
      <c r="H1059" s="7" t="str">
        <f aca="false">IF(A1059="","",IF(E1059="",A1059,E1059)&amp;"."&amp;IF(F1059="",B1059,F1059))</f>
        <v/>
      </c>
      <c r="I1059" s="7" t="str">
        <f aca="false">IF(A1059="","",IFERROR(INDEX('Campos Growths'!$F:$F,MATCH(H1059,'Campos Growths'!$A:$A,0)),""))</f>
        <v/>
      </c>
      <c r="J1059" s="7" t="str">
        <f aca="false">IF(A1059="","",IFERROR(VLOOKUP(IF(ISNUMBER(SEARCH("(",C1059)),LEFT(C1059,SEARCH("(",C1059)-1),C1059),Tipos!$A:$B,2,FALSE()),"outro"))</f>
        <v/>
      </c>
      <c r="K1059" s="7" t="str">
        <f aca="false">IF(I1059="","",IFERROR(INDEX('Campos Growths'!$L:$L,MATCH(H1059,'Campos Growths'!$A:$A,0)),""))</f>
        <v/>
      </c>
      <c r="L1059" s="7" t="str">
        <f aca="false">IF(A1059="","",IF(G1059="não","Sem tabela no Growths",IF(I1059="","Sem campo no Growths",IF(J1059=K1059,"Importa direto","Ajustar tipo"))))</f>
        <v/>
      </c>
      <c r="M1059" s="9"/>
    </row>
    <row r="1060" customFormat="false" ht="15" hidden="false" customHeight="false" outlineLevel="0" collapsed="false">
      <c r="A1060" s="7" t="str">
        <f aca="false">IF('Outro banco'!A1060="","",IF(LEFT('Outro banco'!A1060,1)="(","",'Outro banco'!A1060))</f>
        <v/>
      </c>
      <c r="B1060" s="7" t="str">
        <f aca="false">IF(A1060="","",'Outro banco'!B1060)</f>
        <v/>
      </c>
      <c r="C1060" s="7" t="str">
        <f aca="false">IF(A1060="","",'Outro banco'!C1060)</f>
        <v/>
      </c>
      <c r="D1060" s="7" t="str">
        <f aca="false">IF(A1060="","",'Outro banco'!D1060)</f>
        <v/>
      </c>
      <c r="E1060" s="9"/>
      <c r="F1060" s="9"/>
      <c r="G1060" s="7" t="str">
        <f aca="false">IF(A1060="","",IF(COUNTIF(Tabelas!$A:$A,IF(E1060="",A1060,E1060))&gt;0,"sim","não"))</f>
        <v/>
      </c>
      <c r="H1060" s="7" t="str">
        <f aca="false">IF(A1060="","",IF(E1060="",A1060,E1060)&amp;"."&amp;IF(F1060="",B1060,F1060))</f>
        <v/>
      </c>
      <c r="I1060" s="7" t="str">
        <f aca="false">IF(A1060="","",IFERROR(INDEX('Campos Growths'!$F:$F,MATCH(H1060,'Campos Growths'!$A:$A,0)),""))</f>
        <v/>
      </c>
      <c r="J1060" s="7" t="str">
        <f aca="false">IF(A1060="","",IFERROR(VLOOKUP(IF(ISNUMBER(SEARCH("(",C1060)),LEFT(C1060,SEARCH("(",C1060)-1),C1060),Tipos!$A:$B,2,FALSE()),"outro"))</f>
        <v/>
      </c>
      <c r="K1060" s="7" t="str">
        <f aca="false">IF(I1060="","",IFERROR(INDEX('Campos Growths'!$L:$L,MATCH(H1060,'Campos Growths'!$A:$A,0)),""))</f>
        <v/>
      </c>
      <c r="L1060" s="7" t="str">
        <f aca="false">IF(A1060="","",IF(G1060="não","Sem tabela no Growths",IF(I1060="","Sem campo no Growths",IF(J1060=K1060,"Importa direto","Ajustar tipo"))))</f>
        <v/>
      </c>
      <c r="M1060" s="9"/>
    </row>
    <row r="1061" customFormat="false" ht="15" hidden="false" customHeight="false" outlineLevel="0" collapsed="false">
      <c r="A1061" s="7" t="str">
        <f aca="false">IF('Outro banco'!A1061="","",IF(LEFT('Outro banco'!A1061,1)="(","",'Outro banco'!A1061))</f>
        <v/>
      </c>
      <c r="B1061" s="7" t="str">
        <f aca="false">IF(A1061="","",'Outro banco'!B1061)</f>
        <v/>
      </c>
      <c r="C1061" s="7" t="str">
        <f aca="false">IF(A1061="","",'Outro banco'!C1061)</f>
        <v/>
      </c>
      <c r="D1061" s="7" t="str">
        <f aca="false">IF(A1061="","",'Outro banco'!D1061)</f>
        <v/>
      </c>
      <c r="E1061" s="9"/>
      <c r="F1061" s="9"/>
      <c r="G1061" s="7" t="str">
        <f aca="false">IF(A1061="","",IF(COUNTIF(Tabelas!$A:$A,IF(E1061="",A1061,E1061))&gt;0,"sim","não"))</f>
        <v/>
      </c>
      <c r="H1061" s="7" t="str">
        <f aca="false">IF(A1061="","",IF(E1061="",A1061,E1061)&amp;"."&amp;IF(F1061="",B1061,F1061))</f>
        <v/>
      </c>
      <c r="I1061" s="7" t="str">
        <f aca="false">IF(A1061="","",IFERROR(INDEX('Campos Growths'!$F:$F,MATCH(H1061,'Campos Growths'!$A:$A,0)),""))</f>
        <v/>
      </c>
      <c r="J1061" s="7" t="str">
        <f aca="false">IF(A1061="","",IFERROR(VLOOKUP(IF(ISNUMBER(SEARCH("(",C1061)),LEFT(C1061,SEARCH("(",C1061)-1),C1061),Tipos!$A:$B,2,FALSE()),"outro"))</f>
        <v/>
      </c>
      <c r="K1061" s="7" t="str">
        <f aca="false">IF(I1061="","",IFERROR(INDEX('Campos Growths'!$L:$L,MATCH(H1061,'Campos Growths'!$A:$A,0)),""))</f>
        <v/>
      </c>
      <c r="L1061" s="7" t="str">
        <f aca="false">IF(A1061="","",IF(G1061="não","Sem tabela no Growths",IF(I1061="","Sem campo no Growths",IF(J1061=K1061,"Importa direto","Ajustar tipo"))))</f>
        <v/>
      </c>
      <c r="M1061" s="9"/>
    </row>
    <row r="1062" customFormat="false" ht="15" hidden="false" customHeight="false" outlineLevel="0" collapsed="false">
      <c r="A1062" s="7" t="str">
        <f aca="false">IF('Outro banco'!A1062="","",IF(LEFT('Outro banco'!A1062,1)="(","",'Outro banco'!A1062))</f>
        <v/>
      </c>
      <c r="B1062" s="7" t="str">
        <f aca="false">IF(A1062="","",'Outro banco'!B1062)</f>
        <v/>
      </c>
      <c r="C1062" s="7" t="str">
        <f aca="false">IF(A1062="","",'Outro banco'!C1062)</f>
        <v/>
      </c>
      <c r="D1062" s="7" t="str">
        <f aca="false">IF(A1062="","",'Outro banco'!D1062)</f>
        <v/>
      </c>
      <c r="E1062" s="9"/>
      <c r="F1062" s="9"/>
      <c r="G1062" s="7" t="str">
        <f aca="false">IF(A1062="","",IF(COUNTIF(Tabelas!$A:$A,IF(E1062="",A1062,E1062))&gt;0,"sim","não"))</f>
        <v/>
      </c>
      <c r="H1062" s="7" t="str">
        <f aca="false">IF(A1062="","",IF(E1062="",A1062,E1062)&amp;"."&amp;IF(F1062="",B1062,F1062))</f>
        <v/>
      </c>
      <c r="I1062" s="7" t="str">
        <f aca="false">IF(A1062="","",IFERROR(INDEX('Campos Growths'!$F:$F,MATCH(H1062,'Campos Growths'!$A:$A,0)),""))</f>
        <v/>
      </c>
      <c r="J1062" s="7" t="str">
        <f aca="false">IF(A1062="","",IFERROR(VLOOKUP(IF(ISNUMBER(SEARCH("(",C1062)),LEFT(C1062,SEARCH("(",C1062)-1),C1062),Tipos!$A:$B,2,FALSE()),"outro"))</f>
        <v/>
      </c>
      <c r="K1062" s="7" t="str">
        <f aca="false">IF(I1062="","",IFERROR(INDEX('Campos Growths'!$L:$L,MATCH(H1062,'Campos Growths'!$A:$A,0)),""))</f>
        <v/>
      </c>
      <c r="L1062" s="7" t="str">
        <f aca="false">IF(A1062="","",IF(G1062="não","Sem tabela no Growths",IF(I1062="","Sem campo no Growths",IF(J1062=K1062,"Importa direto","Ajustar tipo"))))</f>
        <v/>
      </c>
      <c r="M1062" s="9"/>
    </row>
    <row r="1063" customFormat="false" ht="15" hidden="false" customHeight="false" outlineLevel="0" collapsed="false">
      <c r="A1063" s="7" t="str">
        <f aca="false">IF('Outro banco'!A1063="","",IF(LEFT('Outro banco'!A1063,1)="(","",'Outro banco'!A1063))</f>
        <v/>
      </c>
      <c r="B1063" s="7" t="str">
        <f aca="false">IF(A1063="","",'Outro banco'!B1063)</f>
        <v/>
      </c>
      <c r="C1063" s="7" t="str">
        <f aca="false">IF(A1063="","",'Outro banco'!C1063)</f>
        <v/>
      </c>
      <c r="D1063" s="7" t="str">
        <f aca="false">IF(A1063="","",'Outro banco'!D1063)</f>
        <v/>
      </c>
      <c r="E1063" s="9"/>
      <c r="F1063" s="9"/>
      <c r="G1063" s="7" t="str">
        <f aca="false">IF(A1063="","",IF(COUNTIF(Tabelas!$A:$A,IF(E1063="",A1063,E1063))&gt;0,"sim","não"))</f>
        <v/>
      </c>
      <c r="H1063" s="7" t="str">
        <f aca="false">IF(A1063="","",IF(E1063="",A1063,E1063)&amp;"."&amp;IF(F1063="",B1063,F1063))</f>
        <v/>
      </c>
      <c r="I1063" s="7" t="str">
        <f aca="false">IF(A1063="","",IFERROR(INDEX('Campos Growths'!$F:$F,MATCH(H1063,'Campos Growths'!$A:$A,0)),""))</f>
        <v/>
      </c>
      <c r="J1063" s="7" t="str">
        <f aca="false">IF(A1063="","",IFERROR(VLOOKUP(IF(ISNUMBER(SEARCH("(",C1063)),LEFT(C1063,SEARCH("(",C1063)-1),C1063),Tipos!$A:$B,2,FALSE()),"outro"))</f>
        <v/>
      </c>
      <c r="K1063" s="7" t="str">
        <f aca="false">IF(I1063="","",IFERROR(INDEX('Campos Growths'!$L:$L,MATCH(H1063,'Campos Growths'!$A:$A,0)),""))</f>
        <v/>
      </c>
      <c r="L1063" s="7" t="str">
        <f aca="false">IF(A1063="","",IF(G1063="não","Sem tabela no Growths",IF(I1063="","Sem campo no Growths",IF(J1063=K1063,"Importa direto","Ajustar tipo"))))</f>
        <v/>
      </c>
      <c r="M1063" s="9"/>
    </row>
    <row r="1064" customFormat="false" ht="15" hidden="false" customHeight="false" outlineLevel="0" collapsed="false">
      <c r="A1064" s="7" t="str">
        <f aca="false">IF('Outro banco'!A1064="","",IF(LEFT('Outro banco'!A1064,1)="(","",'Outro banco'!A1064))</f>
        <v/>
      </c>
      <c r="B1064" s="7" t="str">
        <f aca="false">IF(A1064="","",'Outro banco'!B1064)</f>
        <v/>
      </c>
      <c r="C1064" s="7" t="str">
        <f aca="false">IF(A1064="","",'Outro banco'!C1064)</f>
        <v/>
      </c>
      <c r="D1064" s="7" t="str">
        <f aca="false">IF(A1064="","",'Outro banco'!D1064)</f>
        <v/>
      </c>
      <c r="E1064" s="9"/>
      <c r="F1064" s="9"/>
      <c r="G1064" s="7" t="str">
        <f aca="false">IF(A1064="","",IF(COUNTIF(Tabelas!$A:$A,IF(E1064="",A1064,E1064))&gt;0,"sim","não"))</f>
        <v/>
      </c>
      <c r="H1064" s="7" t="str">
        <f aca="false">IF(A1064="","",IF(E1064="",A1064,E1064)&amp;"."&amp;IF(F1064="",B1064,F1064))</f>
        <v/>
      </c>
      <c r="I1064" s="7" t="str">
        <f aca="false">IF(A1064="","",IFERROR(INDEX('Campos Growths'!$F:$F,MATCH(H1064,'Campos Growths'!$A:$A,0)),""))</f>
        <v/>
      </c>
      <c r="J1064" s="7" t="str">
        <f aca="false">IF(A1064="","",IFERROR(VLOOKUP(IF(ISNUMBER(SEARCH("(",C1064)),LEFT(C1064,SEARCH("(",C1064)-1),C1064),Tipos!$A:$B,2,FALSE()),"outro"))</f>
        <v/>
      </c>
      <c r="K1064" s="7" t="str">
        <f aca="false">IF(I1064="","",IFERROR(INDEX('Campos Growths'!$L:$L,MATCH(H1064,'Campos Growths'!$A:$A,0)),""))</f>
        <v/>
      </c>
      <c r="L1064" s="7" t="str">
        <f aca="false">IF(A1064="","",IF(G1064="não","Sem tabela no Growths",IF(I1064="","Sem campo no Growths",IF(J1064=K1064,"Importa direto","Ajustar tipo"))))</f>
        <v/>
      </c>
      <c r="M1064" s="9"/>
    </row>
    <row r="1065" customFormat="false" ht="15" hidden="false" customHeight="false" outlineLevel="0" collapsed="false">
      <c r="A1065" s="7" t="str">
        <f aca="false">IF('Outro banco'!A1065="","",IF(LEFT('Outro banco'!A1065,1)="(","",'Outro banco'!A1065))</f>
        <v/>
      </c>
      <c r="B1065" s="7" t="str">
        <f aca="false">IF(A1065="","",'Outro banco'!B1065)</f>
        <v/>
      </c>
      <c r="C1065" s="7" t="str">
        <f aca="false">IF(A1065="","",'Outro banco'!C1065)</f>
        <v/>
      </c>
      <c r="D1065" s="7" t="str">
        <f aca="false">IF(A1065="","",'Outro banco'!D1065)</f>
        <v/>
      </c>
      <c r="E1065" s="9"/>
      <c r="F1065" s="9"/>
      <c r="G1065" s="7" t="str">
        <f aca="false">IF(A1065="","",IF(COUNTIF(Tabelas!$A:$A,IF(E1065="",A1065,E1065))&gt;0,"sim","não"))</f>
        <v/>
      </c>
      <c r="H1065" s="7" t="str">
        <f aca="false">IF(A1065="","",IF(E1065="",A1065,E1065)&amp;"."&amp;IF(F1065="",B1065,F1065))</f>
        <v/>
      </c>
      <c r="I1065" s="7" t="str">
        <f aca="false">IF(A1065="","",IFERROR(INDEX('Campos Growths'!$F:$F,MATCH(H1065,'Campos Growths'!$A:$A,0)),""))</f>
        <v/>
      </c>
      <c r="J1065" s="7" t="str">
        <f aca="false">IF(A1065="","",IFERROR(VLOOKUP(IF(ISNUMBER(SEARCH("(",C1065)),LEFT(C1065,SEARCH("(",C1065)-1),C1065),Tipos!$A:$B,2,FALSE()),"outro"))</f>
        <v/>
      </c>
      <c r="K1065" s="7" t="str">
        <f aca="false">IF(I1065="","",IFERROR(INDEX('Campos Growths'!$L:$L,MATCH(H1065,'Campos Growths'!$A:$A,0)),""))</f>
        <v/>
      </c>
      <c r="L1065" s="7" t="str">
        <f aca="false">IF(A1065="","",IF(G1065="não","Sem tabela no Growths",IF(I1065="","Sem campo no Growths",IF(J1065=K1065,"Importa direto","Ajustar tipo"))))</f>
        <v/>
      </c>
      <c r="M1065" s="9"/>
    </row>
    <row r="1066" customFormat="false" ht="15" hidden="false" customHeight="false" outlineLevel="0" collapsed="false">
      <c r="A1066" s="7" t="str">
        <f aca="false">IF('Outro banco'!A1066="","",IF(LEFT('Outro banco'!A1066,1)="(","",'Outro banco'!A1066))</f>
        <v/>
      </c>
      <c r="B1066" s="7" t="str">
        <f aca="false">IF(A1066="","",'Outro banco'!B1066)</f>
        <v/>
      </c>
      <c r="C1066" s="7" t="str">
        <f aca="false">IF(A1066="","",'Outro banco'!C1066)</f>
        <v/>
      </c>
      <c r="D1066" s="7" t="str">
        <f aca="false">IF(A1066="","",'Outro banco'!D1066)</f>
        <v/>
      </c>
      <c r="E1066" s="9"/>
      <c r="F1066" s="9"/>
      <c r="G1066" s="7" t="str">
        <f aca="false">IF(A1066="","",IF(COUNTIF(Tabelas!$A:$A,IF(E1066="",A1066,E1066))&gt;0,"sim","não"))</f>
        <v/>
      </c>
      <c r="H1066" s="7" t="str">
        <f aca="false">IF(A1066="","",IF(E1066="",A1066,E1066)&amp;"."&amp;IF(F1066="",B1066,F1066))</f>
        <v/>
      </c>
      <c r="I1066" s="7" t="str">
        <f aca="false">IF(A1066="","",IFERROR(INDEX('Campos Growths'!$F:$F,MATCH(H1066,'Campos Growths'!$A:$A,0)),""))</f>
        <v/>
      </c>
      <c r="J1066" s="7" t="str">
        <f aca="false">IF(A1066="","",IFERROR(VLOOKUP(IF(ISNUMBER(SEARCH("(",C1066)),LEFT(C1066,SEARCH("(",C1066)-1),C1066),Tipos!$A:$B,2,FALSE()),"outro"))</f>
        <v/>
      </c>
      <c r="K1066" s="7" t="str">
        <f aca="false">IF(I1066="","",IFERROR(INDEX('Campos Growths'!$L:$L,MATCH(H1066,'Campos Growths'!$A:$A,0)),""))</f>
        <v/>
      </c>
      <c r="L1066" s="7" t="str">
        <f aca="false">IF(A1066="","",IF(G1066="não","Sem tabela no Growths",IF(I1066="","Sem campo no Growths",IF(J1066=K1066,"Importa direto","Ajustar tipo"))))</f>
        <v/>
      </c>
      <c r="M1066" s="9"/>
    </row>
    <row r="1067" customFormat="false" ht="15" hidden="false" customHeight="false" outlineLevel="0" collapsed="false">
      <c r="A1067" s="7" t="str">
        <f aca="false">IF('Outro banco'!A1067="","",IF(LEFT('Outro banco'!A1067,1)="(","",'Outro banco'!A1067))</f>
        <v/>
      </c>
      <c r="B1067" s="7" t="str">
        <f aca="false">IF(A1067="","",'Outro banco'!B1067)</f>
        <v/>
      </c>
      <c r="C1067" s="7" t="str">
        <f aca="false">IF(A1067="","",'Outro banco'!C1067)</f>
        <v/>
      </c>
      <c r="D1067" s="7" t="str">
        <f aca="false">IF(A1067="","",'Outro banco'!D1067)</f>
        <v/>
      </c>
      <c r="E1067" s="9"/>
      <c r="F1067" s="9"/>
      <c r="G1067" s="7" t="str">
        <f aca="false">IF(A1067="","",IF(COUNTIF(Tabelas!$A:$A,IF(E1067="",A1067,E1067))&gt;0,"sim","não"))</f>
        <v/>
      </c>
      <c r="H1067" s="7" t="str">
        <f aca="false">IF(A1067="","",IF(E1067="",A1067,E1067)&amp;"."&amp;IF(F1067="",B1067,F1067))</f>
        <v/>
      </c>
      <c r="I1067" s="7" t="str">
        <f aca="false">IF(A1067="","",IFERROR(INDEX('Campos Growths'!$F:$F,MATCH(H1067,'Campos Growths'!$A:$A,0)),""))</f>
        <v/>
      </c>
      <c r="J1067" s="7" t="str">
        <f aca="false">IF(A1067="","",IFERROR(VLOOKUP(IF(ISNUMBER(SEARCH("(",C1067)),LEFT(C1067,SEARCH("(",C1067)-1),C1067),Tipos!$A:$B,2,FALSE()),"outro"))</f>
        <v/>
      </c>
      <c r="K1067" s="7" t="str">
        <f aca="false">IF(I1067="","",IFERROR(INDEX('Campos Growths'!$L:$L,MATCH(H1067,'Campos Growths'!$A:$A,0)),""))</f>
        <v/>
      </c>
      <c r="L1067" s="7" t="str">
        <f aca="false">IF(A1067="","",IF(G1067="não","Sem tabela no Growths",IF(I1067="","Sem campo no Growths",IF(J1067=K1067,"Importa direto","Ajustar tipo"))))</f>
        <v/>
      </c>
      <c r="M1067" s="9"/>
    </row>
    <row r="1068" customFormat="false" ht="15" hidden="false" customHeight="false" outlineLevel="0" collapsed="false">
      <c r="A1068" s="7" t="str">
        <f aca="false">IF('Outro banco'!A1068="","",IF(LEFT('Outro banco'!A1068,1)="(","",'Outro banco'!A1068))</f>
        <v/>
      </c>
      <c r="B1068" s="7" t="str">
        <f aca="false">IF(A1068="","",'Outro banco'!B1068)</f>
        <v/>
      </c>
      <c r="C1068" s="7" t="str">
        <f aca="false">IF(A1068="","",'Outro banco'!C1068)</f>
        <v/>
      </c>
      <c r="D1068" s="7" t="str">
        <f aca="false">IF(A1068="","",'Outro banco'!D1068)</f>
        <v/>
      </c>
      <c r="E1068" s="9"/>
      <c r="F1068" s="9"/>
      <c r="G1068" s="7" t="str">
        <f aca="false">IF(A1068="","",IF(COUNTIF(Tabelas!$A:$A,IF(E1068="",A1068,E1068))&gt;0,"sim","não"))</f>
        <v/>
      </c>
      <c r="H1068" s="7" t="str">
        <f aca="false">IF(A1068="","",IF(E1068="",A1068,E1068)&amp;"."&amp;IF(F1068="",B1068,F1068))</f>
        <v/>
      </c>
      <c r="I1068" s="7" t="str">
        <f aca="false">IF(A1068="","",IFERROR(INDEX('Campos Growths'!$F:$F,MATCH(H1068,'Campos Growths'!$A:$A,0)),""))</f>
        <v/>
      </c>
      <c r="J1068" s="7" t="str">
        <f aca="false">IF(A1068="","",IFERROR(VLOOKUP(IF(ISNUMBER(SEARCH("(",C1068)),LEFT(C1068,SEARCH("(",C1068)-1),C1068),Tipos!$A:$B,2,FALSE()),"outro"))</f>
        <v/>
      </c>
      <c r="K1068" s="7" t="str">
        <f aca="false">IF(I1068="","",IFERROR(INDEX('Campos Growths'!$L:$L,MATCH(H1068,'Campos Growths'!$A:$A,0)),""))</f>
        <v/>
      </c>
      <c r="L1068" s="7" t="str">
        <f aca="false">IF(A1068="","",IF(G1068="não","Sem tabela no Growths",IF(I1068="","Sem campo no Growths",IF(J1068=K1068,"Importa direto","Ajustar tipo"))))</f>
        <v/>
      </c>
      <c r="M1068" s="9"/>
    </row>
    <row r="1069" customFormat="false" ht="15" hidden="false" customHeight="false" outlineLevel="0" collapsed="false">
      <c r="A1069" s="7" t="str">
        <f aca="false">IF('Outro banco'!A1069="","",IF(LEFT('Outro banco'!A1069,1)="(","",'Outro banco'!A1069))</f>
        <v/>
      </c>
      <c r="B1069" s="7" t="str">
        <f aca="false">IF(A1069="","",'Outro banco'!B1069)</f>
        <v/>
      </c>
      <c r="C1069" s="7" t="str">
        <f aca="false">IF(A1069="","",'Outro banco'!C1069)</f>
        <v/>
      </c>
      <c r="D1069" s="7" t="str">
        <f aca="false">IF(A1069="","",'Outro banco'!D1069)</f>
        <v/>
      </c>
      <c r="E1069" s="9"/>
      <c r="F1069" s="9"/>
      <c r="G1069" s="7" t="str">
        <f aca="false">IF(A1069="","",IF(COUNTIF(Tabelas!$A:$A,IF(E1069="",A1069,E1069))&gt;0,"sim","não"))</f>
        <v/>
      </c>
      <c r="H1069" s="7" t="str">
        <f aca="false">IF(A1069="","",IF(E1069="",A1069,E1069)&amp;"."&amp;IF(F1069="",B1069,F1069))</f>
        <v/>
      </c>
      <c r="I1069" s="7" t="str">
        <f aca="false">IF(A1069="","",IFERROR(INDEX('Campos Growths'!$F:$F,MATCH(H1069,'Campos Growths'!$A:$A,0)),""))</f>
        <v/>
      </c>
      <c r="J1069" s="7" t="str">
        <f aca="false">IF(A1069="","",IFERROR(VLOOKUP(IF(ISNUMBER(SEARCH("(",C1069)),LEFT(C1069,SEARCH("(",C1069)-1),C1069),Tipos!$A:$B,2,FALSE()),"outro"))</f>
        <v/>
      </c>
      <c r="K1069" s="7" t="str">
        <f aca="false">IF(I1069="","",IFERROR(INDEX('Campos Growths'!$L:$L,MATCH(H1069,'Campos Growths'!$A:$A,0)),""))</f>
        <v/>
      </c>
      <c r="L1069" s="7" t="str">
        <f aca="false">IF(A1069="","",IF(G1069="não","Sem tabela no Growths",IF(I1069="","Sem campo no Growths",IF(J1069=K1069,"Importa direto","Ajustar tipo"))))</f>
        <v/>
      </c>
      <c r="M1069" s="9"/>
    </row>
    <row r="1070" customFormat="false" ht="15" hidden="false" customHeight="false" outlineLevel="0" collapsed="false">
      <c r="A1070" s="7" t="str">
        <f aca="false">IF('Outro banco'!A1070="","",IF(LEFT('Outro banco'!A1070,1)="(","",'Outro banco'!A1070))</f>
        <v/>
      </c>
      <c r="B1070" s="7" t="str">
        <f aca="false">IF(A1070="","",'Outro banco'!B1070)</f>
        <v/>
      </c>
      <c r="C1070" s="7" t="str">
        <f aca="false">IF(A1070="","",'Outro banco'!C1070)</f>
        <v/>
      </c>
      <c r="D1070" s="7" t="str">
        <f aca="false">IF(A1070="","",'Outro banco'!D1070)</f>
        <v/>
      </c>
      <c r="E1070" s="9"/>
      <c r="F1070" s="9"/>
      <c r="G1070" s="7" t="str">
        <f aca="false">IF(A1070="","",IF(COUNTIF(Tabelas!$A:$A,IF(E1070="",A1070,E1070))&gt;0,"sim","não"))</f>
        <v/>
      </c>
      <c r="H1070" s="7" t="str">
        <f aca="false">IF(A1070="","",IF(E1070="",A1070,E1070)&amp;"."&amp;IF(F1070="",B1070,F1070))</f>
        <v/>
      </c>
      <c r="I1070" s="7" t="str">
        <f aca="false">IF(A1070="","",IFERROR(INDEX('Campos Growths'!$F:$F,MATCH(H1070,'Campos Growths'!$A:$A,0)),""))</f>
        <v/>
      </c>
      <c r="J1070" s="7" t="str">
        <f aca="false">IF(A1070="","",IFERROR(VLOOKUP(IF(ISNUMBER(SEARCH("(",C1070)),LEFT(C1070,SEARCH("(",C1070)-1),C1070),Tipos!$A:$B,2,FALSE()),"outro"))</f>
        <v/>
      </c>
      <c r="K1070" s="7" t="str">
        <f aca="false">IF(I1070="","",IFERROR(INDEX('Campos Growths'!$L:$L,MATCH(H1070,'Campos Growths'!$A:$A,0)),""))</f>
        <v/>
      </c>
      <c r="L1070" s="7" t="str">
        <f aca="false">IF(A1070="","",IF(G1070="não","Sem tabela no Growths",IF(I1070="","Sem campo no Growths",IF(J1070=K1070,"Importa direto","Ajustar tipo"))))</f>
        <v/>
      </c>
      <c r="M1070" s="9"/>
    </row>
    <row r="1071" customFormat="false" ht="15" hidden="false" customHeight="false" outlineLevel="0" collapsed="false">
      <c r="A1071" s="7" t="str">
        <f aca="false">IF('Outro banco'!A1071="","",IF(LEFT('Outro banco'!A1071,1)="(","",'Outro banco'!A1071))</f>
        <v/>
      </c>
      <c r="B1071" s="7" t="str">
        <f aca="false">IF(A1071="","",'Outro banco'!B1071)</f>
        <v/>
      </c>
      <c r="C1071" s="7" t="str">
        <f aca="false">IF(A1071="","",'Outro banco'!C1071)</f>
        <v/>
      </c>
      <c r="D1071" s="7" t="str">
        <f aca="false">IF(A1071="","",'Outro banco'!D1071)</f>
        <v/>
      </c>
      <c r="E1071" s="9"/>
      <c r="F1071" s="9"/>
      <c r="G1071" s="7" t="str">
        <f aca="false">IF(A1071="","",IF(COUNTIF(Tabelas!$A:$A,IF(E1071="",A1071,E1071))&gt;0,"sim","não"))</f>
        <v/>
      </c>
      <c r="H1071" s="7" t="str">
        <f aca="false">IF(A1071="","",IF(E1071="",A1071,E1071)&amp;"."&amp;IF(F1071="",B1071,F1071))</f>
        <v/>
      </c>
      <c r="I1071" s="7" t="str">
        <f aca="false">IF(A1071="","",IFERROR(INDEX('Campos Growths'!$F:$F,MATCH(H1071,'Campos Growths'!$A:$A,0)),""))</f>
        <v/>
      </c>
      <c r="J1071" s="7" t="str">
        <f aca="false">IF(A1071="","",IFERROR(VLOOKUP(IF(ISNUMBER(SEARCH("(",C1071)),LEFT(C1071,SEARCH("(",C1071)-1),C1071),Tipos!$A:$B,2,FALSE()),"outro"))</f>
        <v/>
      </c>
      <c r="K1071" s="7" t="str">
        <f aca="false">IF(I1071="","",IFERROR(INDEX('Campos Growths'!$L:$L,MATCH(H1071,'Campos Growths'!$A:$A,0)),""))</f>
        <v/>
      </c>
      <c r="L1071" s="7" t="str">
        <f aca="false">IF(A1071="","",IF(G1071="não","Sem tabela no Growths",IF(I1071="","Sem campo no Growths",IF(J1071=K1071,"Importa direto","Ajustar tipo"))))</f>
        <v/>
      </c>
      <c r="M1071" s="9"/>
    </row>
    <row r="1072" customFormat="false" ht="15" hidden="false" customHeight="false" outlineLevel="0" collapsed="false">
      <c r="A1072" s="7" t="str">
        <f aca="false">IF('Outro banco'!A1072="","",IF(LEFT('Outro banco'!A1072,1)="(","",'Outro banco'!A1072))</f>
        <v/>
      </c>
      <c r="B1072" s="7" t="str">
        <f aca="false">IF(A1072="","",'Outro banco'!B1072)</f>
        <v/>
      </c>
      <c r="C1072" s="7" t="str">
        <f aca="false">IF(A1072="","",'Outro banco'!C1072)</f>
        <v/>
      </c>
      <c r="D1072" s="7" t="str">
        <f aca="false">IF(A1072="","",'Outro banco'!D1072)</f>
        <v/>
      </c>
      <c r="E1072" s="9"/>
      <c r="F1072" s="9"/>
      <c r="G1072" s="7" t="str">
        <f aca="false">IF(A1072="","",IF(COUNTIF(Tabelas!$A:$A,IF(E1072="",A1072,E1072))&gt;0,"sim","não"))</f>
        <v/>
      </c>
      <c r="H1072" s="7" t="str">
        <f aca="false">IF(A1072="","",IF(E1072="",A1072,E1072)&amp;"."&amp;IF(F1072="",B1072,F1072))</f>
        <v/>
      </c>
      <c r="I1072" s="7" t="str">
        <f aca="false">IF(A1072="","",IFERROR(INDEX('Campos Growths'!$F:$F,MATCH(H1072,'Campos Growths'!$A:$A,0)),""))</f>
        <v/>
      </c>
      <c r="J1072" s="7" t="str">
        <f aca="false">IF(A1072="","",IFERROR(VLOOKUP(IF(ISNUMBER(SEARCH("(",C1072)),LEFT(C1072,SEARCH("(",C1072)-1),C1072),Tipos!$A:$B,2,FALSE()),"outro"))</f>
        <v/>
      </c>
      <c r="K1072" s="7" t="str">
        <f aca="false">IF(I1072="","",IFERROR(INDEX('Campos Growths'!$L:$L,MATCH(H1072,'Campos Growths'!$A:$A,0)),""))</f>
        <v/>
      </c>
      <c r="L1072" s="7" t="str">
        <f aca="false">IF(A1072="","",IF(G1072="não","Sem tabela no Growths",IF(I1072="","Sem campo no Growths",IF(J1072=K1072,"Importa direto","Ajustar tipo"))))</f>
        <v/>
      </c>
      <c r="M1072" s="9"/>
    </row>
    <row r="1073" customFormat="false" ht="15" hidden="false" customHeight="false" outlineLevel="0" collapsed="false">
      <c r="A1073" s="7" t="str">
        <f aca="false">IF('Outro banco'!A1073="","",IF(LEFT('Outro banco'!A1073,1)="(","",'Outro banco'!A1073))</f>
        <v/>
      </c>
      <c r="B1073" s="7" t="str">
        <f aca="false">IF(A1073="","",'Outro banco'!B1073)</f>
        <v/>
      </c>
      <c r="C1073" s="7" t="str">
        <f aca="false">IF(A1073="","",'Outro banco'!C1073)</f>
        <v/>
      </c>
      <c r="D1073" s="7" t="str">
        <f aca="false">IF(A1073="","",'Outro banco'!D1073)</f>
        <v/>
      </c>
      <c r="E1073" s="9"/>
      <c r="F1073" s="9"/>
      <c r="G1073" s="7" t="str">
        <f aca="false">IF(A1073="","",IF(COUNTIF(Tabelas!$A:$A,IF(E1073="",A1073,E1073))&gt;0,"sim","não"))</f>
        <v/>
      </c>
      <c r="H1073" s="7" t="str">
        <f aca="false">IF(A1073="","",IF(E1073="",A1073,E1073)&amp;"."&amp;IF(F1073="",B1073,F1073))</f>
        <v/>
      </c>
      <c r="I1073" s="7" t="str">
        <f aca="false">IF(A1073="","",IFERROR(INDEX('Campos Growths'!$F:$F,MATCH(H1073,'Campos Growths'!$A:$A,0)),""))</f>
        <v/>
      </c>
      <c r="J1073" s="7" t="str">
        <f aca="false">IF(A1073="","",IFERROR(VLOOKUP(IF(ISNUMBER(SEARCH("(",C1073)),LEFT(C1073,SEARCH("(",C1073)-1),C1073),Tipos!$A:$B,2,FALSE()),"outro"))</f>
        <v/>
      </c>
      <c r="K1073" s="7" t="str">
        <f aca="false">IF(I1073="","",IFERROR(INDEX('Campos Growths'!$L:$L,MATCH(H1073,'Campos Growths'!$A:$A,0)),""))</f>
        <v/>
      </c>
      <c r="L1073" s="7" t="str">
        <f aca="false">IF(A1073="","",IF(G1073="não","Sem tabela no Growths",IF(I1073="","Sem campo no Growths",IF(J1073=K1073,"Importa direto","Ajustar tipo"))))</f>
        <v/>
      </c>
      <c r="M1073" s="9"/>
    </row>
    <row r="1074" customFormat="false" ht="15" hidden="false" customHeight="false" outlineLevel="0" collapsed="false">
      <c r="A1074" s="7" t="str">
        <f aca="false">IF('Outro banco'!A1074="","",IF(LEFT('Outro banco'!A1074,1)="(","",'Outro banco'!A1074))</f>
        <v/>
      </c>
      <c r="B1074" s="7" t="str">
        <f aca="false">IF(A1074="","",'Outro banco'!B1074)</f>
        <v/>
      </c>
      <c r="C1074" s="7" t="str">
        <f aca="false">IF(A1074="","",'Outro banco'!C1074)</f>
        <v/>
      </c>
      <c r="D1074" s="7" t="str">
        <f aca="false">IF(A1074="","",'Outro banco'!D1074)</f>
        <v/>
      </c>
      <c r="E1074" s="9"/>
      <c r="F1074" s="9"/>
      <c r="G1074" s="7" t="str">
        <f aca="false">IF(A1074="","",IF(COUNTIF(Tabelas!$A:$A,IF(E1074="",A1074,E1074))&gt;0,"sim","não"))</f>
        <v/>
      </c>
      <c r="H1074" s="7" t="str">
        <f aca="false">IF(A1074="","",IF(E1074="",A1074,E1074)&amp;"."&amp;IF(F1074="",B1074,F1074))</f>
        <v/>
      </c>
      <c r="I1074" s="7" t="str">
        <f aca="false">IF(A1074="","",IFERROR(INDEX('Campos Growths'!$F:$F,MATCH(H1074,'Campos Growths'!$A:$A,0)),""))</f>
        <v/>
      </c>
      <c r="J1074" s="7" t="str">
        <f aca="false">IF(A1074="","",IFERROR(VLOOKUP(IF(ISNUMBER(SEARCH("(",C1074)),LEFT(C1074,SEARCH("(",C1074)-1),C1074),Tipos!$A:$B,2,FALSE()),"outro"))</f>
        <v/>
      </c>
      <c r="K1074" s="7" t="str">
        <f aca="false">IF(I1074="","",IFERROR(INDEX('Campos Growths'!$L:$L,MATCH(H1074,'Campos Growths'!$A:$A,0)),""))</f>
        <v/>
      </c>
      <c r="L1074" s="7" t="str">
        <f aca="false">IF(A1074="","",IF(G1074="não","Sem tabela no Growths",IF(I1074="","Sem campo no Growths",IF(J1074=K1074,"Importa direto","Ajustar tipo"))))</f>
        <v/>
      </c>
      <c r="M1074" s="9"/>
    </row>
    <row r="1075" customFormat="false" ht="15" hidden="false" customHeight="false" outlineLevel="0" collapsed="false">
      <c r="A1075" s="7" t="str">
        <f aca="false">IF('Outro banco'!A1075="","",IF(LEFT('Outro banco'!A1075,1)="(","",'Outro banco'!A1075))</f>
        <v/>
      </c>
      <c r="B1075" s="7" t="str">
        <f aca="false">IF(A1075="","",'Outro banco'!B1075)</f>
        <v/>
      </c>
      <c r="C1075" s="7" t="str">
        <f aca="false">IF(A1075="","",'Outro banco'!C1075)</f>
        <v/>
      </c>
      <c r="D1075" s="7" t="str">
        <f aca="false">IF(A1075="","",'Outro banco'!D1075)</f>
        <v/>
      </c>
      <c r="E1075" s="9"/>
      <c r="F1075" s="9"/>
      <c r="G1075" s="7" t="str">
        <f aca="false">IF(A1075="","",IF(COUNTIF(Tabelas!$A:$A,IF(E1075="",A1075,E1075))&gt;0,"sim","não"))</f>
        <v/>
      </c>
      <c r="H1075" s="7" t="str">
        <f aca="false">IF(A1075="","",IF(E1075="",A1075,E1075)&amp;"."&amp;IF(F1075="",B1075,F1075))</f>
        <v/>
      </c>
      <c r="I1075" s="7" t="str">
        <f aca="false">IF(A1075="","",IFERROR(INDEX('Campos Growths'!$F:$F,MATCH(H1075,'Campos Growths'!$A:$A,0)),""))</f>
        <v/>
      </c>
      <c r="J1075" s="7" t="str">
        <f aca="false">IF(A1075="","",IFERROR(VLOOKUP(IF(ISNUMBER(SEARCH("(",C1075)),LEFT(C1075,SEARCH("(",C1075)-1),C1075),Tipos!$A:$B,2,FALSE()),"outro"))</f>
        <v/>
      </c>
      <c r="K1075" s="7" t="str">
        <f aca="false">IF(I1075="","",IFERROR(INDEX('Campos Growths'!$L:$L,MATCH(H1075,'Campos Growths'!$A:$A,0)),""))</f>
        <v/>
      </c>
      <c r="L1075" s="7" t="str">
        <f aca="false">IF(A1075="","",IF(G1075="não","Sem tabela no Growths",IF(I1075="","Sem campo no Growths",IF(J1075=K1075,"Importa direto","Ajustar tipo"))))</f>
        <v/>
      </c>
      <c r="M1075" s="9"/>
    </row>
    <row r="1076" customFormat="false" ht="15" hidden="false" customHeight="false" outlineLevel="0" collapsed="false">
      <c r="A1076" s="7" t="str">
        <f aca="false">IF('Outro banco'!A1076="","",IF(LEFT('Outro banco'!A1076,1)="(","",'Outro banco'!A1076))</f>
        <v/>
      </c>
      <c r="B1076" s="7" t="str">
        <f aca="false">IF(A1076="","",'Outro banco'!B1076)</f>
        <v/>
      </c>
      <c r="C1076" s="7" t="str">
        <f aca="false">IF(A1076="","",'Outro banco'!C1076)</f>
        <v/>
      </c>
      <c r="D1076" s="7" t="str">
        <f aca="false">IF(A1076="","",'Outro banco'!D1076)</f>
        <v/>
      </c>
      <c r="E1076" s="9"/>
      <c r="F1076" s="9"/>
      <c r="G1076" s="7" t="str">
        <f aca="false">IF(A1076="","",IF(COUNTIF(Tabelas!$A:$A,IF(E1076="",A1076,E1076))&gt;0,"sim","não"))</f>
        <v/>
      </c>
      <c r="H1076" s="7" t="str">
        <f aca="false">IF(A1076="","",IF(E1076="",A1076,E1076)&amp;"."&amp;IF(F1076="",B1076,F1076))</f>
        <v/>
      </c>
      <c r="I1076" s="7" t="str">
        <f aca="false">IF(A1076="","",IFERROR(INDEX('Campos Growths'!$F:$F,MATCH(H1076,'Campos Growths'!$A:$A,0)),""))</f>
        <v/>
      </c>
      <c r="J1076" s="7" t="str">
        <f aca="false">IF(A1076="","",IFERROR(VLOOKUP(IF(ISNUMBER(SEARCH("(",C1076)),LEFT(C1076,SEARCH("(",C1076)-1),C1076),Tipos!$A:$B,2,FALSE()),"outro"))</f>
        <v/>
      </c>
      <c r="K1076" s="7" t="str">
        <f aca="false">IF(I1076="","",IFERROR(INDEX('Campos Growths'!$L:$L,MATCH(H1076,'Campos Growths'!$A:$A,0)),""))</f>
        <v/>
      </c>
      <c r="L1076" s="7" t="str">
        <f aca="false">IF(A1076="","",IF(G1076="não","Sem tabela no Growths",IF(I1076="","Sem campo no Growths",IF(J1076=K1076,"Importa direto","Ajustar tipo"))))</f>
        <v/>
      </c>
      <c r="M1076" s="9"/>
    </row>
    <row r="1077" customFormat="false" ht="15" hidden="false" customHeight="false" outlineLevel="0" collapsed="false">
      <c r="A1077" s="7" t="str">
        <f aca="false">IF('Outro banco'!A1077="","",IF(LEFT('Outro banco'!A1077,1)="(","",'Outro banco'!A1077))</f>
        <v/>
      </c>
      <c r="B1077" s="7" t="str">
        <f aca="false">IF(A1077="","",'Outro banco'!B1077)</f>
        <v/>
      </c>
      <c r="C1077" s="7" t="str">
        <f aca="false">IF(A1077="","",'Outro banco'!C1077)</f>
        <v/>
      </c>
      <c r="D1077" s="7" t="str">
        <f aca="false">IF(A1077="","",'Outro banco'!D1077)</f>
        <v/>
      </c>
      <c r="E1077" s="9"/>
      <c r="F1077" s="9"/>
      <c r="G1077" s="7" t="str">
        <f aca="false">IF(A1077="","",IF(COUNTIF(Tabelas!$A:$A,IF(E1077="",A1077,E1077))&gt;0,"sim","não"))</f>
        <v/>
      </c>
      <c r="H1077" s="7" t="str">
        <f aca="false">IF(A1077="","",IF(E1077="",A1077,E1077)&amp;"."&amp;IF(F1077="",B1077,F1077))</f>
        <v/>
      </c>
      <c r="I1077" s="7" t="str">
        <f aca="false">IF(A1077="","",IFERROR(INDEX('Campos Growths'!$F:$F,MATCH(H1077,'Campos Growths'!$A:$A,0)),""))</f>
        <v/>
      </c>
      <c r="J1077" s="7" t="str">
        <f aca="false">IF(A1077="","",IFERROR(VLOOKUP(IF(ISNUMBER(SEARCH("(",C1077)),LEFT(C1077,SEARCH("(",C1077)-1),C1077),Tipos!$A:$B,2,FALSE()),"outro"))</f>
        <v/>
      </c>
      <c r="K1077" s="7" t="str">
        <f aca="false">IF(I1077="","",IFERROR(INDEX('Campos Growths'!$L:$L,MATCH(H1077,'Campos Growths'!$A:$A,0)),""))</f>
        <v/>
      </c>
      <c r="L1077" s="7" t="str">
        <f aca="false">IF(A1077="","",IF(G1077="não","Sem tabela no Growths",IF(I1077="","Sem campo no Growths",IF(J1077=K1077,"Importa direto","Ajustar tipo"))))</f>
        <v/>
      </c>
      <c r="M1077" s="9"/>
    </row>
    <row r="1078" customFormat="false" ht="15" hidden="false" customHeight="false" outlineLevel="0" collapsed="false">
      <c r="A1078" s="7" t="str">
        <f aca="false">IF('Outro banco'!A1078="","",IF(LEFT('Outro banco'!A1078,1)="(","",'Outro banco'!A1078))</f>
        <v/>
      </c>
      <c r="B1078" s="7" t="str">
        <f aca="false">IF(A1078="","",'Outro banco'!B1078)</f>
        <v/>
      </c>
      <c r="C1078" s="7" t="str">
        <f aca="false">IF(A1078="","",'Outro banco'!C1078)</f>
        <v/>
      </c>
      <c r="D1078" s="7" t="str">
        <f aca="false">IF(A1078="","",'Outro banco'!D1078)</f>
        <v/>
      </c>
      <c r="E1078" s="9"/>
      <c r="F1078" s="9"/>
      <c r="G1078" s="7" t="str">
        <f aca="false">IF(A1078="","",IF(COUNTIF(Tabelas!$A:$A,IF(E1078="",A1078,E1078))&gt;0,"sim","não"))</f>
        <v/>
      </c>
      <c r="H1078" s="7" t="str">
        <f aca="false">IF(A1078="","",IF(E1078="",A1078,E1078)&amp;"."&amp;IF(F1078="",B1078,F1078))</f>
        <v/>
      </c>
      <c r="I1078" s="7" t="str">
        <f aca="false">IF(A1078="","",IFERROR(INDEX('Campos Growths'!$F:$F,MATCH(H1078,'Campos Growths'!$A:$A,0)),""))</f>
        <v/>
      </c>
      <c r="J1078" s="7" t="str">
        <f aca="false">IF(A1078="","",IFERROR(VLOOKUP(IF(ISNUMBER(SEARCH("(",C1078)),LEFT(C1078,SEARCH("(",C1078)-1),C1078),Tipos!$A:$B,2,FALSE()),"outro"))</f>
        <v/>
      </c>
      <c r="K1078" s="7" t="str">
        <f aca="false">IF(I1078="","",IFERROR(INDEX('Campos Growths'!$L:$L,MATCH(H1078,'Campos Growths'!$A:$A,0)),""))</f>
        <v/>
      </c>
      <c r="L1078" s="7" t="str">
        <f aca="false">IF(A1078="","",IF(G1078="não","Sem tabela no Growths",IF(I1078="","Sem campo no Growths",IF(J1078=K1078,"Importa direto","Ajustar tipo"))))</f>
        <v/>
      </c>
      <c r="M1078" s="9"/>
    </row>
    <row r="1079" customFormat="false" ht="15" hidden="false" customHeight="false" outlineLevel="0" collapsed="false">
      <c r="A1079" s="7" t="str">
        <f aca="false">IF('Outro banco'!A1079="","",IF(LEFT('Outro banco'!A1079,1)="(","",'Outro banco'!A1079))</f>
        <v/>
      </c>
      <c r="B1079" s="7" t="str">
        <f aca="false">IF(A1079="","",'Outro banco'!B1079)</f>
        <v/>
      </c>
      <c r="C1079" s="7" t="str">
        <f aca="false">IF(A1079="","",'Outro banco'!C1079)</f>
        <v/>
      </c>
      <c r="D1079" s="7" t="str">
        <f aca="false">IF(A1079="","",'Outro banco'!D1079)</f>
        <v/>
      </c>
      <c r="E1079" s="9"/>
      <c r="F1079" s="9"/>
      <c r="G1079" s="7" t="str">
        <f aca="false">IF(A1079="","",IF(COUNTIF(Tabelas!$A:$A,IF(E1079="",A1079,E1079))&gt;0,"sim","não"))</f>
        <v/>
      </c>
      <c r="H1079" s="7" t="str">
        <f aca="false">IF(A1079="","",IF(E1079="",A1079,E1079)&amp;"."&amp;IF(F1079="",B1079,F1079))</f>
        <v/>
      </c>
      <c r="I1079" s="7" t="str">
        <f aca="false">IF(A1079="","",IFERROR(INDEX('Campos Growths'!$F:$F,MATCH(H1079,'Campos Growths'!$A:$A,0)),""))</f>
        <v/>
      </c>
      <c r="J1079" s="7" t="str">
        <f aca="false">IF(A1079="","",IFERROR(VLOOKUP(IF(ISNUMBER(SEARCH("(",C1079)),LEFT(C1079,SEARCH("(",C1079)-1),C1079),Tipos!$A:$B,2,FALSE()),"outro"))</f>
        <v/>
      </c>
      <c r="K1079" s="7" t="str">
        <f aca="false">IF(I1079="","",IFERROR(INDEX('Campos Growths'!$L:$L,MATCH(H1079,'Campos Growths'!$A:$A,0)),""))</f>
        <v/>
      </c>
      <c r="L1079" s="7" t="str">
        <f aca="false">IF(A1079="","",IF(G1079="não","Sem tabela no Growths",IF(I1079="","Sem campo no Growths",IF(J1079=K1079,"Importa direto","Ajustar tipo"))))</f>
        <v/>
      </c>
      <c r="M1079" s="9"/>
    </row>
    <row r="1080" customFormat="false" ht="15" hidden="false" customHeight="false" outlineLevel="0" collapsed="false">
      <c r="A1080" s="7" t="str">
        <f aca="false">IF('Outro banco'!A1080="","",IF(LEFT('Outro banco'!A1080,1)="(","",'Outro banco'!A1080))</f>
        <v/>
      </c>
      <c r="B1080" s="7" t="str">
        <f aca="false">IF(A1080="","",'Outro banco'!B1080)</f>
        <v/>
      </c>
      <c r="C1080" s="7" t="str">
        <f aca="false">IF(A1080="","",'Outro banco'!C1080)</f>
        <v/>
      </c>
      <c r="D1080" s="7" t="str">
        <f aca="false">IF(A1080="","",'Outro banco'!D1080)</f>
        <v/>
      </c>
      <c r="E1080" s="9"/>
      <c r="F1080" s="9"/>
      <c r="G1080" s="7" t="str">
        <f aca="false">IF(A1080="","",IF(COUNTIF(Tabelas!$A:$A,IF(E1080="",A1080,E1080))&gt;0,"sim","não"))</f>
        <v/>
      </c>
      <c r="H1080" s="7" t="str">
        <f aca="false">IF(A1080="","",IF(E1080="",A1080,E1080)&amp;"."&amp;IF(F1080="",B1080,F1080))</f>
        <v/>
      </c>
      <c r="I1080" s="7" t="str">
        <f aca="false">IF(A1080="","",IFERROR(INDEX('Campos Growths'!$F:$F,MATCH(H1080,'Campos Growths'!$A:$A,0)),""))</f>
        <v/>
      </c>
      <c r="J1080" s="7" t="str">
        <f aca="false">IF(A1080="","",IFERROR(VLOOKUP(IF(ISNUMBER(SEARCH("(",C1080)),LEFT(C1080,SEARCH("(",C1080)-1),C1080),Tipos!$A:$B,2,FALSE()),"outro"))</f>
        <v/>
      </c>
      <c r="K1080" s="7" t="str">
        <f aca="false">IF(I1080="","",IFERROR(INDEX('Campos Growths'!$L:$L,MATCH(H1080,'Campos Growths'!$A:$A,0)),""))</f>
        <v/>
      </c>
      <c r="L1080" s="7" t="str">
        <f aca="false">IF(A1080="","",IF(G1080="não","Sem tabela no Growths",IF(I1080="","Sem campo no Growths",IF(J1080=K1080,"Importa direto","Ajustar tipo"))))</f>
        <v/>
      </c>
      <c r="M1080" s="9"/>
    </row>
    <row r="1081" customFormat="false" ht="15" hidden="false" customHeight="false" outlineLevel="0" collapsed="false">
      <c r="A1081" s="7" t="str">
        <f aca="false">IF('Outro banco'!A1081="","",IF(LEFT('Outro banco'!A1081,1)="(","",'Outro banco'!A1081))</f>
        <v/>
      </c>
      <c r="B1081" s="7" t="str">
        <f aca="false">IF(A1081="","",'Outro banco'!B1081)</f>
        <v/>
      </c>
      <c r="C1081" s="7" t="str">
        <f aca="false">IF(A1081="","",'Outro banco'!C1081)</f>
        <v/>
      </c>
      <c r="D1081" s="7" t="str">
        <f aca="false">IF(A1081="","",'Outro banco'!D1081)</f>
        <v/>
      </c>
      <c r="E1081" s="9"/>
      <c r="F1081" s="9"/>
      <c r="G1081" s="7" t="str">
        <f aca="false">IF(A1081="","",IF(COUNTIF(Tabelas!$A:$A,IF(E1081="",A1081,E1081))&gt;0,"sim","não"))</f>
        <v/>
      </c>
      <c r="H1081" s="7" t="str">
        <f aca="false">IF(A1081="","",IF(E1081="",A1081,E1081)&amp;"."&amp;IF(F1081="",B1081,F1081))</f>
        <v/>
      </c>
      <c r="I1081" s="7" t="str">
        <f aca="false">IF(A1081="","",IFERROR(INDEX('Campos Growths'!$F:$F,MATCH(H1081,'Campos Growths'!$A:$A,0)),""))</f>
        <v/>
      </c>
      <c r="J1081" s="7" t="str">
        <f aca="false">IF(A1081="","",IFERROR(VLOOKUP(IF(ISNUMBER(SEARCH("(",C1081)),LEFT(C1081,SEARCH("(",C1081)-1),C1081),Tipos!$A:$B,2,FALSE()),"outro"))</f>
        <v/>
      </c>
      <c r="K1081" s="7" t="str">
        <f aca="false">IF(I1081="","",IFERROR(INDEX('Campos Growths'!$L:$L,MATCH(H1081,'Campos Growths'!$A:$A,0)),""))</f>
        <v/>
      </c>
      <c r="L1081" s="7" t="str">
        <f aca="false">IF(A1081="","",IF(G1081="não","Sem tabela no Growths",IF(I1081="","Sem campo no Growths",IF(J1081=K1081,"Importa direto","Ajustar tipo"))))</f>
        <v/>
      </c>
      <c r="M1081" s="9"/>
    </row>
    <row r="1082" customFormat="false" ht="15" hidden="false" customHeight="false" outlineLevel="0" collapsed="false">
      <c r="A1082" s="7" t="str">
        <f aca="false">IF('Outro banco'!A1082="","",IF(LEFT('Outro banco'!A1082,1)="(","",'Outro banco'!A1082))</f>
        <v/>
      </c>
      <c r="B1082" s="7" t="str">
        <f aca="false">IF(A1082="","",'Outro banco'!B1082)</f>
        <v/>
      </c>
      <c r="C1082" s="7" t="str">
        <f aca="false">IF(A1082="","",'Outro banco'!C1082)</f>
        <v/>
      </c>
      <c r="D1082" s="7" t="str">
        <f aca="false">IF(A1082="","",'Outro banco'!D1082)</f>
        <v/>
      </c>
      <c r="E1082" s="9"/>
      <c r="F1082" s="9"/>
      <c r="G1082" s="7" t="str">
        <f aca="false">IF(A1082="","",IF(COUNTIF(Tabelas!$A:$A,IF(E1082="",A1082,E1082))&gt;0,"sim","não"))</f>
        <v/>
      </c>
      <c r="H1082" s="7" t="str">
        <f aca="false">IF(A1082="","",IF(E1082="",A1082,E1082)&amp;"."&amp;IF(F1082="",B1082,F1082))</f>
        <v/>
      </c>
      <c r="I1082" s="7" t="str">
        <f aca="false">IF(A1082="","",IFERROR(INDEX('Campos Growths'!$F:$F,MATCH(H1082,'Campos Growths'!$A:$A,0)),""))</f>
        <v/>
      </c>
      <c r="J1082" s="7" t="str">
        <f aca="false">IF(A1082="","",IFERROR(VLOOKUP(IF(ISNUMBER(SEARCH("(",C1082)),LEFT(C1082,SEARCH("(",C1082)-1),C1082),Tipos!$A:$B,2,FALSE()),"outro"))</f>
        <v/>
      </c>
      <c r="K1082" s="7" t="str">
        <f aca="false">IF(I1082="","",IFERROR(INDEX('Campos Growths'!$L:$L,MATCH(H1082,'Campos Growths'!$A:$A,0)),""))</f>
        <v/>
      </c>
      <c r="L1082" s="7" t="str">
        <f aca="false">IF(A1082="","",IF(G1082="não","Sem tabela no Growths",IF(I1082="","Sem campo no Growths",IF(J1082=K1082,"Importa direto","Ajustar tipo"))))</f>
        <v/>
      </c>
      <c r="M1082" s="9"/>
    </row>
    <row r="1083" customFormat="false" ht="15" hidden="false" customHeight="false" outlineLevel="0" collapsed="false">
      <c r="A1083" s="7" t="str">
        <f aca="false">IF('Outro banco'!A1083="","",IF(LEFT('Outro banco'!A1083,1)="(","",'Outro banco'!A1083))</f>
        <v/>
      </c>
      <c r="B1083" s="7" t="str">
        <f aca="false">IF(A1083="","",'Outro banco'!B1083)</f>
        <v/>
      </c>
      <c r="C1083" s="7" t="str">
        <f aca="false">IF(A1083="","",'Outro banco'!C1083)</f>
        <v/>
      </c>
      <c r="D1083" s="7" t="str">
        <f aca="false">IF(A1083="","",'Outro banco'!D1083)</f>
        <v/>
      </c>
      <c r="E1083" s="9"/>
      <c r="F1083" s="9"/>
      <c r="G1083" s="7" t="str">
        <f aca="false">IF(A1083="","",IF(COUNTIF(Tabelas!$A:$A,IF(E1083="",A1083,E1083))&gt;0,"sim","não"))</f>
        <v/>
      </c>
      <c r="H1083" s="7" t="str">
        <f aca="false">IF(A1083="","",IF(E1083="",A1083,E1083)&amp;"."&amp;IF(F1083="",B1083,F1083))</f>
        <v/>
      </c>
      <c r="I1083" s="7" t="str">
        <f aca="false">IF(A1083="","",IFERROR(INDEX('Campos Growths'!$F:$F,MATCH(H1083,'Campos Growths'!$A:$A,0)),""))</f>
        <v/>
      </c>
      <c r="J1083" s="7" t="str">
        <f aca="false">IF(A1083="","",IFERROR(VLOOKUP(IF(ISNUMBER(SEARCH("(",C1083)),LEFT(C1083,SEARCH("(",C1083)-1),C1083),Tipos!$A:$B,2,FALSE()),"outro"))</f>
        <v/>
      </c>
      <c r="K1083" s="7" t="str">
        <f aca="false">IF(I1083="","",IFERROR(INDEX('Campos Growths'!$L:$L,MATCH(H1083,'Campos Growths'!$A:$A,0)),""))</f>
        <v/>
      </c>
      <c r="L1083" s="7" t="str">
        <f aca="false">IF(A1083="","",IF(G1083="não","Sem tabela no Growths",IF(I1083="","Sem campo no Growths",IF(J1083=K1083,"Importa direto","Ajustar tipo"))))</f>
        <v/>
      </c>
      <c r="M1083" s="9"/>
    </row>
    <row r="1084" customFormat="false" ht="15" hidden="false" customHeight="false" outlineLevel="0" collapsed="false">
      <c r="A1084" s="7" t="str">
        <f aca="false">IF('Outro banco'!A1084="","",IF(LEFT('Outro banco'!A1084,1)="(","",'Outro banco'!A1084))</f>
        <v/>
      </c>
      <c r="B1084" s="7" t="str">
        <f aca="false">IF(A1084="","",'Outro banco'!B1084)</f>
        <v/>
      </c>
      <c r="C1084" s="7" t="str">
        <f aca="false">IF(A1084="","",'Outro banco'!C1084)</f>
        <v/>
      </c>
      <c r="D1084" s="7" t="str">
        <f aca="false">IF(A1084="","",'Outro banco'!D1084)</f>
        <v/>
      </c>
      <c r="E1084" s="9"/>
      <c r="F1084" s="9"/>
      <c r="G1084" s="7" t="str">
        <f aca="false">IF(A1084="","",IF(COUNTIF(Tabelas!$A:$A,IF(E1084="",A1084,E1084))&gt;0,"sim","não"))</f>
        <v/>
      </c>
      <c r="H1084" s="7" t="str">
        <f aca="false">IF(A1084="","",IF(E1084="",A1084,E1084)&amp;"."&amp;IF(F1084="",B1084,F1084))</f>
        <v/>
      </c>
      <c r="I1084" s="7" t="str">
        <f aca="false">IF(A1084="","",IFERROR(INDEX('Campos Growths'!$F:$F,MATCH(H1084,'Campos Growths'!$A:$A,0)),""))</f>
        <v/>
      </c>
      <c r="J1084" s="7" t="str">
        <f aca="false">IF(A1084="","",IFERROR(VLOOKUP(IF(ISNUMBER(SEARCH("(",C1084)),LEFT(C1084,SEARCH("(",C1084)-1),C1084),Tipos!$A:$B,2,FALSE()),"outro"))</f>
        <v/>
      </c>
      <c r="K1084" s="7" t="str">
        <f aca="false">IF(I1084="","",IFERROR(INDEX('Campos Growths'!$L:$L,MATCH(H1084,'Campos Growths'!$A:$A,0)),""))</f>
        <v/>
      </c>
      <c r="L1084" s="7" t="str">
        <f aca="false">IF(A1084="","",IF(G1084="não","Sem tabela no Growths",IF(I1084="","Sem campo no Growths",IF(J1084=K1084,"Importa direto","Ajustar tipo"))))</f>
        <v/>
      </c>
      <c r="M1084" s="9"/>
    </row>
    <row r="1085" customFormat="false" ht="15" hidden="false" customHeight="false" outlineLevel="0" collapsed="false">
      <c r="A1085" s="7" t="str">
        <f aca="false">IF('Outro banco'!A1085="","",IF(LEFT('Outro banco'!A1085,1)="(","",'Outro banco'!A1085))</f>
        <v/>
      </c>
      <c r="B1085" s="7" t="str">
        <f aca="false">IF(A1085="","",'Outro banco'!B1085)</f>
        <v/>
      </c>
      <c r="C1085" s="7" t="str">
        <f aca="false">IF(A1085="","",'Outro banco'!C1085)</f>
        <v/>
      </c>
      <c r="D1085" s="7" t="str">
        <f aca="false">IF(A1085="","",'Outro banco'!D1085)</f>
        <v/>
      </c>
      <c r="E1085" s="9"/>
      <c r="F1085" s="9"/>
      <c r="G1085" s="7" t="str">
        <f aca="false">IF(A1085="","",IF(COUNTIF(Tabelas!$A:$A,IF(E1085="",A1085,E1085))&gt;0,"sim","não"))</f>
        <v/>
      </c>
      <c r="H1085" s="7" t="str">
        <f aca="false">IF(A1085="","",IF(E1085="",A1085,E1085)&amp;"."&amp;IF(F1085="",B1085,F1085))</f>
        <v/>
      </c>
      <c r="I1085" s="7" t="str">
        <f aca="false">IF(A1085="","",IFERROR(INDEX('Campos Growths'!$F:$F,MATCH(H1085,'Campos Growths'!$A:$A,0)),""))</f>
        <v/>
      </c>
      <c r="J1085" s="7" t="str">
        <f aca="false">IF(A1085="","",IFERROR(VLOOKUP(IF(ISNUMBER(SEARCH("(",C1085)),LEFT(C1085,SEARCH("(",C1085)-1),C1085),Tipos!$A:$B,2,FALSE()),"outro"))</f>
        <v/>
      </c>
      <c r="K1085" s="7" t="str">
        <f aca="false">IF(I1085="","",IFERROR(INDEX('Campos Growths'!$L:$L,MATCH(H1085,'Campos Growths'!$A:$A,0)),""))</f>
        <v/>
      </c>
      <c r="L1085" s="7" t="str">
        <f aca="false">IF(A1085="","",IF(G1085="não","Sem tabela no Growths",IF(I1085="","Sem campo no Growths",IF(J1085=K1085,"Importa direto","Ajustar tipo"))))</f>
        <v/>
      </c>
      <c r="M1085" s="9"/>
    </row>
    <row r="1086" customFormat="false" ht="15" hidden="false" customHeight="false" outlineLevel="0" collapsed="false">
      <c r="A1086" s="7" t="str">
        <f aca="false">IF('Outro banco'!A1086="","",IF(LEFT('Outro banco'!A1086,1)="(","",'Outro banco'!A1086))</f>
        <v/>
      </c>
      <c r="B1086" s="7" t="str">
        <f aca="false">IF(A1086="","",'Outro banco'!B1086)</f>
        <v/>
      </c>
      <c r="C1086" s="7" t="str">
        <f aca="false">IF(A1086="","",'Outro banco'!C1086)</f>
        <v/>
      </c>
      <c r="D1086" s="7" t="str">
        <f aca="false">IF(A1086="","",'Outro banco'!D1086)</f>
        <v/>
      </c>
      <c r="E1086" s="9"/>
      <c r="F1086" s="9"/>
      <c r="G1086" s="7" t="str">
        <f aca="false">IF(A1086="","",IF(COUNTIF(Tabelas!$A:$A,IF(E1086="",A1086,E1086))&gt;0,"sim","não"))</f>
        <v/>
      </c>
      <c r="H1086" s="7" t="str">
        <f aca="false">IF(A1086="","",IF(E1086="",A1086,E1086)&amp;"."&amp;IF(F1086="",B1086,F1086))</f>
        <v/>
      </c>
      <c r="I1086" s="7" t="str">
        <f aca="false">IF(A1086="","",IFERROR(INDEX('Campos Growths'!$F:$F,MATCH(H1086,'Campos Growths'!$A:$A,0)),""))</f>
        <v/>
      </c>
      <c r="J1086" s="7" t="str">
        <f aca="false">IF(A1086="","",IFERROR(VLOOKUP(IF(ISNUMBER(SEARCH("(",C1086)),LEFT(C1086,SEARCH("(",C1086)-1),C1086),Tipos!$A:$B,2,FALSE()),"outro"))</f>
        <v/>
      </c>
      <c r="K1086" s="7" t="str">
        <f aca="false">IF(I1086="","",IFERROR(INDEX('Campos Growths'!$L:$L,MATCH(H1086,'Campos Growths'!$A:$A,0)),""))</f>
        <v/>
      </c>
      <c r="L1086" s="7" t="str">
        <f aca="false">IF(A1086="","",IF(G1086="não","Sem tabela no Growths",IF(I1086="","Sem campo no Growths",IF(J1086=K1086,"Importa direto","Ajustar tipo"))))</f>
        <v/>
      </c>
      <c r="M1086" s="9"/>
    </row>
    <row r="1087" customFormat="false" ht="15" hidden="false" customHeight="false" outlineLevel="0" collapsed="false">
      <c r="A1087" s="7" t="str">
        <f aca="false">IF('Outro banco'!A1087="","",IF(LEFT('Outro banco'!A1087,1)="(","",'Outro banco'!A1087))</f>
        <v/>
      </c>
      <c r="B1087" s="7" t="str">
        <f aca="false">IF(A1087="","",'Outro banco'!B1087)</f>
        <v/>
      </c>
      <c r="C1087" s="7" t="str">
        <f aca="false">IF(A1087="","",'Outro banco'!C1087)</f>
        <v/>
      </c>
      <c r="D1087" s="7" t="str">
        <f aca="false">IF(A1087="","",'Outro banco'!D1087)</f>
        <v/>
      </c>
      <c r="E1087" s="9"/>
      <c r="F1087" s="9"/>
      <c r="G1087" s="7" t="str">
        <f aca="false">IF(A1087="","",IF(COUNTIF(Tabelas!$A:$A,IF(E1087="",A1087,E1087))&gt;0,"sim","não"))</f>
        <v/>
      </c>
      <c r="H1087" s="7" t="str">
        <f aca="false">IF(A1087="","",IF(E1087="",A1087,E1087)&amp;"."&amp;IF(F1087="",B1087,F1087))</f>
        <v/>
      </c>
      <c r="I1087" s="7" t="str">
        <f aca="false">IF(A1087="","",IFERROR(INDEX('Campos Growths'!$F:$F,MATCH(H1087,'Campos Growths'!$A:$A,0)),""))</f>
        <v/>
      </c>
      <c r="J1087" s="7" t="str">
        <f aca="false">IF(A1087="","",IFERROR(VLOOKUP(IF(ISNUMBER(SEARCH("(",C1087)),LEFT(C1087,SEARCH("(",C1087)-1),C1087),Tipos!$A:$B,2,FALSE()),"outro"))</f>
        <v/>
      </c>
      <c r="K1087" s="7" t="str">
        <f aca="false">IF(I1087="","",IFERROR(INDEX('Campos Growths'!$L:$L,MATCH(H1087,'Campos Growths'!$A:$A,0)),""))</f>
        <v/>
      </c>
      <c r="L1087" s="7" t="str">
        <f aca="false">IF(A1087="","",IF(G1087="não","Sem tabela no Growths",IF(I1087="","Sem campo no Growths",IF(J1087=K1087,"Importa direto","Ajustar tipo"))))</f>
        <v/>
      </c>
      <c r="M1087" s="9"/>
    </row>
    <row r="1088" customFormat="false" ht="15" hidden="false" customHeight="false" outlineLevel="0" collapsed="false">
      <c r="A1088" s="7" t="str">
        <f aca="false">IF('Outro banco'!A1088="","",IF(LEFT('Outro banco'!A1088,1)="(","",'Outro banco'!A1088))</f>
        <v/>
      </c>
      <c r="B1088" s="7" t="str">
        <f aca="false">IF(A1088="","",'Outro banco'!B1088)</f>
        <v/>
      </c>
      <c r="C1088" s="7" t="str">
        <f aca="false">IF(A1088="","",'Outro banco'!C1088)</f>
        <v/>
      </c>
      <c r="D1088" s="7" t="str">
        <f aca="false">IF(A1088="","",'Outro banco'!D1088)</f>
        <v/>
      </c>
      <c r="E1088" s="9"/>
      <c r="F1088" s="9"/>
      <c r="G1088" s="7" t="str">
        <f aca="false">IF(A1088="","",IF(COUNTIF(Tabelas!$A:$A,IF(E1088="",A1088,E1088))&gt;0,"sim","não"))</f>
        <v/>
      </c>
      <c r="H1088" s="7" t="str">
        <f aca="false">IF(A1088="","",IF(E1088="",A1088,E1088)&amp;"."&amp;IF(F1088="",B1088,F1088))</f>
        <v/>
      </c>
      <c r="I1088" s="7" t="str">
        <f aca="false">IF(A1088="","",IFERROR(INDEX('Campos Growths'!$F:$F,MATCH(H1088,'Campos Growths'!$A:$A,0)),""))</f>
        <v/>
      </c>
      <c r="J1088" s="7" t="str">
        <f aca="false">IF(A1088="","",IFERROR(VLOOKUP(IF(ISNUMBER(SEARCH("(",C1088)),LEFT(C1088,SEARCH("(",C1088)-1),C1088),Tipos!$A:$B,2,FALSE()),"outro"))</f>
        <v/>
      </c>
      <c r="K1088" s="7" t="str">
        <f aca="false">IF(I1088="","",IFERROR(INDEX('Campos Growths'!$L:$L,MATCH(H1088,'Campos Growths'!$A:$A,0)),""))</f>
        <v/>
      </c>
      <c r="L1088" s="7" t="str">
        <f aca="false">IF(A1088="","",IF(G1088="não","Sem tabela no Growths",IF(I1088="","Sem campo no Growths",IF(J1088=K1088,"Importa direto","Ajustar tipo"))))</f>
        <v/>
      </c>
      <c r="M1088" s="9"/>
    </row>
    <row r="1089" customFormat="false" ht="15" hidden="false" customHeight="false" outlineLevel="0" collapsed="false">
      <c r="A1089" s="7" t="str">
        <f aca="false">IF('Outro banco'!A1089="","",IF(LEFT('Outro banco'!A1089,1)="(","",'Outro banco'!A1089))</f>
        <v/>
      </c>
      <c r="B1089" s="7" t="str">
        <f aca="false">IF(A1089="","",'Outro banco'!B1089)</f>
        <v/>
      </c>
      <c r="C1089" s="7" t="str">
        <f aca="false">IF(A1089="","",'Outro banco'!C1089)</f>
        <v/>
      </c>
      <c r="D1089" s="7" t="str">
        <f aca="false">IF(A1089="","",'Outro banco'!D1089)</f>
        <v/>
      </c>
      <c r="E1089" s="9"/>
      <c r="F1089" s="9"/>
      <c r="G1089" s="7" t="str">
        <f aca="false">IF(A1089="","",IF(COUNTIF(Tabelas!$A:$A,IF(E1089="",A1089,E1089))&gt;0,"sim","não"))</f>
        <v/>
      </c>
      <c r="H1089" s="7" t="str">
        <f aca="false">IF(A1089="","",IF(E1089="",A1089,E1089)&amp;"."&amp;IF(F1089="",B1089,F1089))</f>
        <v/>
      </c>
      <c r="I1089" s="7" t="str">
        <f aca="false">IF(A1089="","",IFERROR(INDEX('Campos Growths'!$F:$F,MATCH(H1089,'Campos Growths'!$A:$A,0)),""))</f>
        <v/>
      </c>
      <c r="J1089" s="7" t="str">
        <f aca="false">IF(A1089="","",IFERROR(VLOOKUP(IF(ISNUMBER(SEARCH("(",C1089)),LEFT(C1089,SEARCH("(",C1089)-1),C1089),Tipos!$A:$B,2,FALSE()),"outro"))</f>
        <v/>
      </c>
      <c r="K1089" s="7" t="str">
        <f aca="false">IF(I1089="","",IFERROR(INDEX('Campos Growths'!$L:$L,MATCH(H1089,'Campos Growths'!$A:$A,0)),""))</f>
        <v/>
      </c>
      <c r="L1089" s="7" t="str">
        <f aca="false">IF(A1089="","",IF(G1089="não","Sem tabela no Growths",IF(I1089="","Sem campo no Growths",IF(J1089=K1089,"Importa direto","Ajustar tipo"))))</f>
        <v/>
      </c>
      <c r="M1089" s="9"/>
    </row>
    <row r="1090" customFormat="false" ht="15" hidden="false" customHeight="false" outlineLevel="0" collapsed="false">
      <c r="A1090" s="7" t="str">
        <f aca="false">IF('Outro banco'!A1090="","",IF(LEFT('Outro banco'!A1090,1)="(","",'Outro banco'!A1090))</f>
        <v/>
      </c>
      <c r="B1090" s="7" t="str">
        <f aca="false">IF(A1090="","",'Outro banco'!B1090)</f>
        <v/>
      </c>
      <c r="C1090" s="7" t="str">
        <f aca="false">IF(A1090="","",'Outro banco'!C1090)</f>
        <v/>
      </c>
      <c r="D1090" s="7" t="str">
        <f aca="false">IF(A1090="","",'Outro banco'!D1090)</f>
        <v/>
      </c>
      <c r="E1090" s="9"/>
      <c r="F1090" s="9"/>
      <c r="G1090" s="7" t="str">
        <f aca="false">IF(A1090="","",IF(COUNTIF(Tabelas!$A:$A,IF(E1090="",A1090,E1090))&gt;0,"sim","não"))</f>
        <v/>
      </c>
      <c r="H1090" s="7" t="str">
        <f aca="false">IF(A1090="","",IF(E1090="",A1090,E1090)&amp;"."&amp;IF(F1090="",B1090,F1090))</f>
        <v/>
      </c>
      <c r="I1090" s="7" t="str">
        <f aca="false">IF(A1090="","",IFERROR(INDEX('Campos Growths'!$F:$F,MATCH(H1090,'Campos Growths'!$A:$A,0)),""))</f>
        <v/>
      </c>
      <c r="J1090" s="7" t="str">
        <f aca="false">IF(A1090="","",IFERROR(VLOOKUP(IF(ISNUMBER(SEARCH("(",C1090)),LEFT(C1090,SEARCH("(",C1090)-1),C1090),Tipos!$A:$B,2,FALSE()),"outro"))</f>
        <v/>
      </c>
      <c r="K1090" s="7" t="str">
        <f aca="false">IF(I1090="","",IFERROR(INDEX('Campos Growths'!$L:$L,MATCH(H1090,'Campos Growths'!$A:$A,0)),""))</f>
        <v/>
      </c>
      <c r="L1090" s="7" t="str">
        <f aca="false">IF(A1090="","",IF(G1090="não","Sem tabela no Growths",IF(I1090="","Sem campo no Growths",IF(J1090=K1090,"Importa direto","Ajustar tipo"))))</f>
        <v/>
      </c>
      <c r="M1090" s="9"/>
    </row>
    <row r="1091" customFormat="false" ht="15" hidden="false" customHeight="false" outlineLevel="0" collapsed="false">
      <c r="A1091" s="7" t="str">
        <f aca="false">IF('Outro banco'!A1091="","",IF(LEFT('Outro banco'!A1091,1)="(","",'Outro banco'!A1091))</f>
        <v/>
      </c>
      <c r="B1091" s="7" t="str">
        <f aca="false">IF(A1091="","",'Outro banco'!B1091)</f>
        <v/>
      </c>
      <c r="C1091" s="7" t="str">
        <f aca="false">IF(A1091="","",'Outro banco'!C1091)</f>
        <v/>
      </c>
      <c r="D1091" s="7" t="str">
        <f aca="false">IF(A1091="","",'Outro banco'!D1091)</f>
        <v/>
      </c>
      <c r="E1091" s="9"/>
      <c r="F1091" s="9"/>
      <c r="G1091" s="7" t="str">
        <f aca="false">IF(A1091="","",IF(COUNTIF(Tabelas!$A:$A,IF(E1091="",A1091,E1091))&gt;0,"sim","não"))</f>
        <v/>
      </c>
      <c r="H1091" s="7" t="str">
        <f aca="false">IF(A1091="","",IF(E1091="",A1091,E1091)&amp;"."&amp;IF(F1091="",B1091,F1091))</f>
        <v/>
      </c>
      <c r="I1091" s="7" t="str">
        <f aca="false">IF(A1091="","",IFERROR(INDEX('Campos Growths'!$F:$F,MATCH(H1091,'Campos Growths'!$A:$A,0)),""))</f>
        <v/>
      </c>
      <c r="J1091" s="7" t="str">
        <f aca="false">IF(A1091="","",IFERROR(VLOOKUP(IF(ISNUMBER(SEARCH("(",C1091)),LEFT(C1091,SEARCH("(",C1091)-1),C1091),Tipos!$A:$B,2,FALSE()),"outro"))</f>
        <v/>
      </c>
      <c r="K1091" s="7" t="str">
        <f aca="false">IF(I1091="","",IFERROR(INDEX('Campos Growths'!$L:$L,MATCH(H1091,'Campos Growths'!$A:$A,0)),""))</f>
        <v/>
      </c>
      <c r="L1091" s="7" t="str">
        <f aca="false">IF(A1091="","",IF(G1091="não","Sem tabela no Growths",IF(I1091="","Sem campo no Growths",IF(J1091=K1091,"Importa direto","Ajustar tipo"))))</f>
        <v/>
      </c>
      <c r="M1091" s="9"/>
    </row>
    <row r="1092" customFormat="false" ht="15" hidden="false" customHeight="false" outlineLevel="0" collapsed="false">
      <c r="A1092" s="7" t="str">
        <f aca="false">IF('Outro banco'!A1092="","",IF(LEFT('Outro banco'!A1092,1)="(","",'Outro banco'!A1092))</f>
        <v/>
      </c>
      <c r="B1092" s="7" t="str">
        <f aca="false">IF(A1092="","",'Outro banco'!B1092)</f>
        <v/>
      </c>
      <c r="C1092" s="7" t="str">
        <f aca="false">IF(A1092="","",'Outro banco'!C1092)</f>
        <v/>
      </c>
      <c r="D1092" s="7" t="str">
        <f aca="false">IF(A1092="","",'Outro banco'!D1092)</f>
        <v/>
      </c>
      <c r="E1092" s="9"/>
      <c r="F1092" s="9"/>
      <c r="G1092" s="7" t="str">
        <f aca="false">IF(A1092="","",IF(COUNTIF(Tabelas!$A:$A,IF(E1092="",A1092,E1092))&gt;0,"sim","não"))</f>
        <v/>
      </c>
      <c r="H1092" s="7" t="str">
        <f aca="false">IF(A1092="","",IF(E1092="",A1092,E1092)&amp;"."&amp;IF(F1092="",B1092,F1092))</f>
        <v/>
      </c>
      <c r="I1092" s="7" t="str">
        <f aca="false">IF(A1092="","",IFERROR(INDEX('Campos Growths'!$F:$F,MATCH(H1092,'Campos Growths'!$A:$A,0)),""))</f>
        <v/>
      </c>
      <c r="J1092" s="7" t="str">
        <f aca="false">IF(A1092="","",IFERROR(VLOOKUP(IF(ISNUMBER(SEARCH("(",C1092)),LEFT(C1092,SEARCH("(",C1092)-1),C1092),Tipos!$A:$B,2,FALSE()),"outro"))</f>
        <v/>
      </c>
      <c r="K1092" s="7" t="str">
        <f aca="false">IF(I1092="","",IFERROR(INDEX('Campos Growths'!$L:$L,MATCH(H1092,'Campos Growths'!$A:$A,0)),""))</f>
        <v/>
      </c>
      <c r="L1092" s="7" t="str">
        <f aca="false">IF(A1092="","",IF(G1092="não","Sem tabela no Growths",IF(I1092="","Sem campo no Growths",IF(J1092=K1092,"Importa direto","Ajustar tipo"))))</f>
        <v/>
      </c>
      <c r="M1092" s="9"/>
    </row>
    <row r="1093" customFormat="false" ht="15" hidden="false" customHeight="false" outlineLevel="0" collapsed="false">
      <c r="A1093" s="7" t="str">
        <f aca="false">IF('Outro banco'!A1093="","",IF(LEFT('Outro banco'!A1093,1)="(","",'Outro banco'!A1093))</f>
        <v/>
      </c>
      <c r="B1093" s="7" t="str">
        <f aca="false">IF(A1093="","",'Outro banco'!B1093)</f>
        <v/>
      </c>
      <c r="C1093" s="7" t="str">
        <f aca="false">IF(A1093="","",'Outro banco'!C1093)</f>
        <v/>
      </c>
      <c r="D1093" s="7" t="str">
        <f aca="false">IF(A1093="","",'Outro banco'!D1093)</f>
        <v/>
      </c>
      <c r="E1093" s="9"/>
      <c r="F1093" s="9"/>
      <c r="G1093" s="7" t="str">
        <f aca="false">IF(A1093="","",IF(COUNTIF(Tabelas!$A:$A,IF(E1093="",A1093,E1093))&gt;0,"sim","não"))</f>
        <v/>
      </c>
      <c r="H1093" s="7" t="str">
        <f aca="false">IF(A1093="","",IF(E1093="",A1093,E1093)&amp;"."&amp;IF(F1093="",B1093,F1093))</f>
        <v/>
      </c>
      <c r="I1093" s="7" t="str">
        <f aca="false">IF(A1093="","",IFERROR(INDEX('Campos Growths'!$F:$F,MATCH(H1093,'Campos Growths'!$A:$A,0)),""))</f>
        <v/>
      </c>
      <c r="J1093" s="7" t="str">
        <f aca="false">IF(A1093="","",IFERROR(VLOOKUP(IF(ISNUMBER(SEARCH("(",C1093)),LEFT(C1093,SEARCH("(",C1093)-1),C1093),Tipos!$A:$B,2,FALSE()),"outro"))</f>
        <v/>
      </c>
      <c r="K1093" s="7" t="str">
        <f aca="false">IF(I1093="","",IFERROR(INDEX('Campos Growths'!$L:$L,MATCH(H1093,'Campos Growths'!$A:$A,0)),""))</f>
        <v/>
      </c>
      <c r="L1093" s="7" t="str">
        <f aca="false">IF(A1093="","",IF(G1093="não","Sem tabela no Growths",IF(I1093="","Sem campo no Growths",IF(J1093=K1093,"Importa direto","Ajustar tipo"))))</f>
        <v/>
      </c>
      <c r="M1093" s="9"/>
    </row>
    <row r="1094" customFormat="false" ht="15" hidden="false" customHeight="false" outlineLevel="0" collapsed="false">
      <c r="A1094" s="7" t="str">
        <f aca="false">IF('Outro banco'!A1094="","",IF(LEFT('Outro banco'!A1094,1)="(","",'Outro banco'!A1094))</f>
        <v/>
      </c>
      <c r="B1094" s="7" t="str">
        <f aca="false">IF(A1094="","",'Outro banco'!B1094)</f>
        <v/>
      </c>
      <c r="C1094" s="7" t="str">
        <f aca="false">IF(A1094="","",'Outro banco'!C1094)</f>
        <v/>
      </c>
      <c r="D1094" s="7" t="str">
        <f aca="false">IF(A1094="","",'Outro banco'!D1094)</f>
        <v/>
      </c>
      <c r="E1094" s="9"/>
      <c r="F1094" s="9"/>
      <c r="G1094" s="7" t="str">
        <f aca="false">IF(A1094="","",IF(COUNTIF(Tabelas!$A:$A,IF(E1094="",A1094,E1094))&gt;0,"sim","não"))</f>
        <v/>
      </c>
      <c r="H1094" s="7" t="str">
        <f aca="false">IF(A1094="","",IF(E1094="",A1094,E1094)&amp;"."&amp;IF(F1094="",B1094,F1094))</f>
        <v/>
      </c>
      <c r="I1094" s="7" t="str">
        <f aca="false">IF(A1094="","",IFERROR(INDEX('Campos Growths'!$F:$F,MATCH(H1094,'Campos Growths'!$A:$A,0)),""))</f>
        <v/>
      </c>
      <c r="J1094" s="7" t="str">
        <f aca="false">IF(A1094="","",IFERROR(VLOOKUP(IF(ISNUMBER(SEARCH("(",C1094)),LEFT(C1094,SEARCH("(",C1094)-1),C1094),Tipos!$A:$B,2,FALSE()),"outro"))</f>
        <v/>
      </c>
      <c r="K1094" s="7" t="str">
        <f aca="false">IF(I1094="","",IFERROR(INDEX('Campos Growths'!$L:$L,MATCH(H1094,'Campos Growths'!$A:$A,0)),""))</f>
        <v/>
      </c>
      <c r="L1094" s="7" t="str">
        <f aca="false">IF(A1094="","",IF(G1094="não","Sem tabela no Growths",IF(I1094="","Sem campo no Growths",IF(J1094=K1094,"Importa direto","Ajustar tipo"))))</f>
        <v/>
      </c>
      <c r="M1094" s="9"/>
    </row>
    <row r="1095" customFormat="false" ht="15" hidden="false" customHeight="false" outlineLevel="0" collapsed="false">
      <c r="A1095" s="7" t="str">
        <f aca="false">IF('Outro banco'!A1095="","",IF(LEFT('Outro banco'!A1095,1)="(","",'Outro banco'!A1095))</f>
        <v/>
      </c>
      <c r="B1095" s="7" t="str">
        <f aca="false">IF(A1095="","",'Outro banco'!B1095)</f>
        <v/>
      </c>
      <c r="C1095" s="7" t="str">
        <f aca="false">IF(A1095="","",'Outro banco'!C1095)</f>
        <v/>
      </c>
      <c r="D1095" s="7" t="str">
        <f aca="false">IF(A1095="","",'Outro banco'!D1095)</f>
        <v/>
      </c>
      <c r="E1095" s="9"/>
      <c r="F1095" s="9"/>
      <c r="G1095" s="7" t="str">
        <f aca="false">IF(A1095="","",IF(COUNTIF(Tabelas!$A:$A,IF(E1095="",A1095,E1095))&gt;0,"sim","não"))</f>
        <v/>
      </c>
      <c r="H1095" s="7" t="str">
        <f aca="false">IF(A1095="","",IF(E1095="",A1095,E1095)&amp;"."&amp;IF(F1095="",B1095,F1095))</f>
        <v/>
      </c>
      <c r="I1095" s="7" t="str">
        <f aca="false">IF(A1095="","",IFERROR(INDEX('Campos Growths'!$F:$F,MATCH(H1095,'Campos Growths'!$A:$A,0)),""))</f>
        <v/>
      </c>
      <c r="J1095" s="7" t="str">
        <f aca="false">IF(A1095="","",IFERROR(VLOOKUP(IF(ISNUMBER(SEARCH("(",C1095)),LEFT(C1095,SEARCH("(",C1095)-1),C1095),Tipos!$A:$B,2,FALSE()),"outro"))</f>
        <v/>
      </c>
      <c r="K1095" s="7" t="str">
        <f aca="false">IF(I1095="","",IFERROR(INDEX('Campos Growths'!$L:$L,MATCH(H1095,'Campos Growths'!$A:$A,0)),""))</f>
        <v/>
      </c>
      <c r="L1095" s="7" t="str">
        <f aca="false">IF(A1095="","",IF(G1095="não","Sem tabela no Growths",IF(I1095="","Sem campo no Growths",IF(J1095=K1095,"Importa direto","Ajustar tipo"))))</f>
        <v/>
      </c>
      <c r="M1095" s="9"/>
    </row>
    <row r="1096" customFormat="false" ht="15" hidden="false" customHeight="false" outlineLevel="0" collapsed="false">
      <c r="A1096" s="7" t="str">
        <f aca="false">IF('Outro banco'!A1096="","",IF(LEFT('Outro banco'!A1096,1)="(","",'Outro banco'!A1096))</f>
        <v/>
      </c>
      <c r="B1096" s="7" t="str">
        <f aca="false">IF(A1096="","",'Outro banco'!B1096)</f>
        <v/>
      </c>
      <c r="C1096" s="7" t="str">
        <f aca="false">IF(A1096="","",'Outro banco'!C1096)</f>
        <v/>
      </c>
      <c r="D1096" s="7" t="str">
        <f aca="false">IF(A1096="","",'Outro banco'!D1096)</f>
        <v/>
      </c>
      <c r="E1096" s="9"/>
      <c r="F1096" s="9"/>
      <c r="G1096" s="7" t="str">
        <f aca="false">IF(A1096="","",IF(COUNTIF(Tabelas!$A:$A,IF(E1096="",A1096,E1096))&gt;0,"sim","não"))</f>
        <v/>
      </c>
      <c r="H1096" s="7" t="str">
        <f aca="false">IF(A1096="","",IF(E1096="",A1096,E1096)&amp;"."&amp;IF(F1096="",B1096,F1096))</f>
        <v/>
      </c>
      <c r="I1096" s="7" t="str">
        <f aca="false">IF(A1096="","",IFERROR(INDEX('Campos Growths'!$F:$F,MATCH(H1096,'Campos Growths'!$A:$A,0)),""))</f>
        <v/>
      </c>
      <c r="J1096" s="7" t="str">
        <f aca="false">IF(A1096="","",IFERROR(VLOOKUP(IF(ISNUMBER(SEARCH("(",C1096)),LEFT(C1096,SEARCH("(",C1096)-1),C1096),Tipos!$A:$B,2,FALSE()),"outro"))</f>
        <v/>
      </c>
      <c r="K1096" s="7" t="str">
        <f aca="false">IF(I1096="","",IFERROR(INDEX('Campos Growths'!$L:$L,MATCH(H1096,'Campos Growths'!$A:$A,0)),""))</f>
        <v/>
      </c>
      <c r="L1096" s="7" t="str">
        <f aca="false">IF(A1096="","",IF(G1096="não","Sem tabela no Growths",IF(I1096="","Sem campo no Growths",IF(J1096=K1096,"Importa direto","Ajustar tipo"))))</f>
        <v/>
      </c>
      <c r="M1096" s="9"/>
    </row>
    <row r="1097" customFormat="false" ht="15" hidden="false" customHeight="false" outlineLevel="0" collapsed="false">
      <c r="A1097" s="7" t="str">
        <f aca="false">IF('Outro banco'!A1097="","",IF(LEFT('Outro banco'!A1097,1)="(","",'Outro banco'!A1097))</f>
        <v/>
      </c>
      <c r="B1097" s="7" t="str">
        <f aca="false">IF(A1097="","",'Outro banco'!B1097)</f>
        <v/>
      </c>
      <c r="C1097" s="7" t="str">
        <f aca="false">IF(A1097="","",'Outro banco'!C1097)</f>
        <v/>
      </c>
      <c r="D1097" s="7" t="str">
        <f aca="false">IF(A1097="","",'Outro banco'!D1097)</f>
        <v/>
      </c>
      <c r="E1097" s="9"/>
      <c r="F1097" s="9"/>
      <c r="G1097" s="7" t="str">
        <f aca="false">IF(A1097="","",IF(COUNTIF(Tabelas!$A:$A,IF(E1097="",A1097,E1097))&gt;0,"sim","não"))</f>
        <v/>
      </c>
      <c r="H1097" s="7" t="str">
        <f aca="false">IF(A1097="","",IF(E1097="",A1097,E1097)&amp;"."&amp;IF(F1097="",B1097,F1097))</f>
        <v/>
      </c>
      <c r="I1097" s="7" t="str">
        <f aca="false">IF(A1097="","",IFERROR(INDEX('Campos Growths'!$F:$F,MATCH(H1097,'Campos Growths'!$A:$A,0)),""))</f>
        <v/>
      </c>
      <c r="J1097" s="7" t="str">
        <f aca="false">IF(A1097="","",IFERROR(VLOOKUP(IF(ISNUMBER(SEARCH("(",C1097)),LEFT(C1097,SEARCH("(",C1097)-1),C1097),Tipos!$A:$B,2,FALSE()),"outro"))</f>
        <v/>
      </c>
      <c r="K1097" s="7" t="str">
        <f aca="false">IF(I1097="","",IFERROR(INDEX('Campos Growths'!$L:$L,MATCH(H1097,'Campos Growths'!$A:$A,0)),""))</f>
        <v/>
      </c>
      <c r="L1097" s="7" t="str">
        <f aca="false">IF(A1097="","",IF(G1097="não","Sem tabela no Growths",IF(I1097="","Sem campo no Growths",IF(J1097=K1097,"Importa direto","Ajustar tipo"))))</f>
        <v/>
      </c>
      <c r="M1097" s="9"/>
    </row>
    <row r="1098" customFormat="false" ht="15" hidden="false" customHeight="false" outlineLevel="0" collapsed="false">
      <c r="A1098" s="7" t="str">
        <f aca="false">IF('Outro banco'!A1098="","",IF(LEFT('Outro banco'!A1098,1)="(","",'Outro banco'!A1098))</f>
        <v/>
      </c>
      <c r="B1098" s="7" t="str">
        <f aca="false">IF(A1098="","",'Outro banco'!B1098)</f>
        <v/>
      </c>
      <c r="C1098" s="7" t="str">
        <f aca="false">IF(A1098="","",'Outro banco'!C1098)</f>
        <v/>
      </c>
      <c r="D1098" s="7" t="str">
        <f aca="false">IF(A1098="","",'Outro banco'!D1098)</f>
        <v/>
      </c>
      <c r="E1098" s="9"/>
      <c r="F1098" s="9"/>
      <c r="G1098" s="7" t="str">
        <f aca="false">IF(A1098="","",IF(COUNTIF(Tabelas!$A:$A,IF(E1098="",A1098,E1098))&gt;0,"sim","não"))</f>
        <v/>
      </c>
      <c r="H1098" s="7" t="str">
        <f aca="false">IF(A1098="","",IF(E1098="",A1098,E1098)&amp;"."&amp;IF(F1098="",B1098,F1098))</f>
        <v/>
      </c>
      <c r="I1098" s="7" t="str">
        <f aca="false">IF(A1098="","",IFERROR(INDEX('Campos Growths'!$F:$F,MATCH(H1098,'Campos Growths'!$A:$A,0)),""))</f>
        <v/>
      </c>
      <c r="J1098" s="7" t="str">
        <f aca="false">IF(A1098="","",IFERROR(VLOOKUP(IF(ISNUMBER(SEARCH("(",C1098)),LEFT(C1098,SEARCH("(",C1098)-1),C1098),Tipos!$A:$B,2,FALSE()),"outro"))</f>
        <v/>
      </c>
      <c r="K1098" s="7" t="str">
        <f aca="false">IF(I1098="","",IFERROR(INDEX('Campos Growths'!$L:$L,MATCH(H1098,'Campos Growths'!$A:$A,0)),""))</f>
        <v/>
      </c>
      <c r="L1098" s="7" t="str">
        <f aca="false">IF(A1098="","",IF(G1098="não","Sem tabela no Growths",IF(I1098="","Sem campo no Growths",IF(J1098=K1098,"Importa direto","Ajustar tipo"))))</f>
        <v/>
      </c>
      <c r="M1098" s="9"/>
    </row>
    <row r="1099" customFormat="false" ht="15" hidden="false" customHeight="false" outlineLevel="0" collapsed="false">
      <c r="A1099" s="7" t="str">
        <f aca="false">IF('Outro banco'!A1099="","",IF(LEFT('Outro banco'!A1099,1)="(","",'Outro banco'!A1099))</f>
        <v/>
      </c>
      <c r="B1099" s="7" t="str">
        <f aca="false">IF(A1099="","",'Outro banco'!B1099)</f>
        <v/>
      </c>
      <c r="C1099" s="7" t="str">
        <f aca="false">IF(A1099="","",'Outro banco'!C1099)</f>
        <v/>
      </c>
      <c r="D1099" s="7" t="str">
        <f aca="false">IF(A1099="","",'Outro banco'!D1099)</f>
        <v/>
      </c>
      <c r="E1099" s="9"/>
      <c r="F1099" s="9"/>
      <c r="G1099" s="7" t="str">
        <f aca="false">IF(A1099="","",IF(COUNTIF(Tabelas!$A:$A,IF(E1099="",A1099,E1099))&gt;0,"sim","não"))</f>
        <v/>
      </c>
      <c r="H1099" s="7" t="str">
        <f aca="false">IF(A1099="","",IF(E1099="",A1099,E1099)&amp;"."&amp;IF(F1099="",B1099,F1099))</f>
        <v/>
      </c>
      <c r="I1099" s="7" t="str">
        <f aca="false">IF(A1099="","",IFERROR(INDEX('Campos Growths'!$F:$F,MATCH(H1099,'Campos Growths'!$A:$A,0)),""))</f>
        <v/>
      </c>
      <c r="J1099" s="7" t="str">
        <f aca="false">IF(A1099="","",IFERROR(VLOOKUP(IF(ISNUMBER(SEARCH("(",C1099)),LEFT(C1099,SEARCH("(",C1099)-1),C1099),Tipos!$A:$B,2,FALSE()),"outro"))</f>
        <v/>
      </c>
      <c r="K1099" s="7" t="str">
        <f aca="false">IF(I1099="","",IFERROR(INDEX('Campos Growths'!$L:$L,MATCH(H1099,'Campos Growths'!$A:$A,0)),""))</f>
        <v/>
      </c>
      <c r="L1099" s="7" t="str">
        <f aca="false">IF(A1099="","",IF(G1099="não","Sem tabela no Growths",IF(I1099="","Sem campo no Growths",IF(J1099=K1099,"Importa direto","Ajustar tipo"))))</f>
        <v/>
      </c>
      <c r="M1099" s="9"/>
    </row>
    <row r="1100" customFormat="false" ht="15" hidden="false" customHeight="false" outlineLevel="0" collapsed="false">
      <c r="A1100" s="7" t="str">
        <f aca="false">IF('Outro banco'!A1100="","",IF(LEFT('Outro banco'!A1100,1)="(","",'Outro banco'!A1100))</f>
        <v/>
      </c>
      <c r="B1100" s="7" t="str">
        <f aca="false">IF(A1100="","",'Outro banco'!B1100)</f>
        <v/>
      </c>
      <c r="C1100" s="7" t="str">
        <f aca="false">IF(A1100="","",'Outro banco'!C1100)</f>
        <v/>
      </c>
      <c r="D1100" s="7" t="str">
        <f aca="false">IF(A1100="","",'Outro banco'!D1100)</f>
        <v/>
      </c>
      <c r="E1100" s="9"/>
      <c r="F1100" s="9"/>
      <c r="G1100" s="7" t="str">
        <f aca="false">IF(A1100="","",IF(COUNTIF(Tabelas!$A:$A,IF(E1100="",A1100,E1100))&gt;0,"sim","não"))</f>
        <v/>
      </c>
      <c r="H1100" s="7" t="str">
        <f aca="false">IF(A1100="","",IF(E1100="",A1100,E1100)&amp;"."&amp;IF(F1100="",B1100,F1100))</f>
        <v/>
      </c>
      <c r="I1100" s="7" t="str">
        <f aca="false">IF(A1100="","",IFERROR(INDEX('Campos Growths'!$F:$F,MATCH(H1100,'Campos Growths'!$A:$A,0)),""))</f>
        <v/>
      </c>
      <c r="J1100" s="7" t="str">
        <f aca="false">IF(A1100="","",IFERROR(VLOOKUP(IF(ISNUMBER(SEARCH("(",C1100)),LEFT(C1100,SEARCH("(",C1100)-1),C1100),Tipos!$A:$B,2,FALSE()),"outro"))</f>
        <v/>
      </c>
      <c r="K1100" s="7" t="str">
        <f aca="false">IF(I1100="","",IFERROR(INDEX('Campos Growths'!$L:$L,MATCH(H1100,'Campos Growths'!$A:$A,0)),""))</f>
        <v/>
      </c>
      <c r="L1100" s="7" t="str">
        <f aca="false">IF(A1100="","",IF(G1100="não","Sem tabela no Growths",IF(I1100="","Sem campo no Growths",IF(J1100=K1100,"Importa direto","Ajustar tipo"))))</f>
        <v/>
      </c>
      <c r="M1100" s="9"/>
    </row>
    <row r="1101" customFormat="false" ht="15" hidden="false" customHeight="false" outlineLevel="0" collapsed="false">
      <c r="A1101" s="7" t="str">
        <f aca="false">IF('Outro banco'!A1101="","",IF(LEFT('Outro banco'!A1101,1)="(","",'Outro banco'!A1101))</f>
        <v/>
      </c>
      <c r="B1101" s="7" t="str">
        <f aca="false">IF(A1101="","",'Outro banco'!B1101)</f>
        <v/>
      </c>
      <c r="C1101" s="7" t="str">
        <f aca="false">IF(A1101="","",'Outro banco'!C1101)</f>
        <v/>
      </c>
      <c r="D1101" s="7" t="str">
        <f aca="false">IF(A1101="","",'Outro banco'!D1101)</f>
        <v/>
      </c>
      <c r="E1101" s="9"/>
      <c r="F1101" s="9"/>
      <c r="G1101" s="7" t="str">
        <f aca="false">IF(A1101="","",IF(COUNTIF(Tabelas!$A:$A,IF(E1101="",A1101,E1101))&gt;0,"sim","não"))</f>
        <v/>
      </c>
      <c r="H1101" s="7" t="str">
        <f aca="false">IF(A1101="","",IF(E1101="",A1101,E1101)&amp;"."&amp;IF(F1101="",B1101,F1101))</f>
        <v/>
      </c>
      <c r="I1101" s="7" t="str">
        <f aca="false">IF(A1101="","",IFERROR(INDEX('Campos Growths'!$F:$F,MATCH(H1101,'Campos Growths'!$A:$A,0)),""))</f>
        <v/>
      </c>
      <c r="J1101" s="7" t="str">
        <f aca="false">IF(A1101="","",IFERROR(VLOOKUP(IF(ISNUMBER(SEARCH("(",C1101)),LEFT(C1101,SEARCH("(",C1101)-1),C1101),Tipos!$A:$B,2,FALSE()),"outro"))</f>
        <v/>
      </c>
      <c r="K1101" s="7" t="str">
        <f aca="false">IF(I1101="","",IFERROR(INDEX('Campos Growths'!$L:$L,MATCH(H1101,'Campos Growths'!$A:$A,0)),""))</f>
        <v/>
      </c>
      <c r="L1101" s="7" t="str">
        <f aca="false">IF(A1101="","",IF(G1101="não","Sem tabela no Growths",IF(I1101="","Sem campo no Growths",IF(J1101=K1101,"Importa direto","Ajustar tipo"))))</f>
        <v/>
      </c>
      <c r="M1101" s="9"/>
    </row>
    <row r="1102" customFormat="false" ht="15" hidden="false" customHeight="false" outlineLevel="0" collapsed="false">
      <c r="A1102" s="7" t="str">
        <f aca="false">IF('Outro banco'!A1102="","",IF(LEFT('Outro banco'!A1102,1)="(","",'Outro banco'!A1102))</f>
        <v/>
      </c>
      <c r="B1102" s="7" t="str">
        <f aca="false">IF(A1102="","",'Outro banco'!B1102)</f>
        <v/>
      </c>
      <c r="C1102" s="7" t="str">
        <f aca="false">IF(A1102="","",'Outro banco'!C1102)</f>
        <v/>
      </c>
      <c r="D1102" s="7" t="str">
        <f aca="false">IF(A1102="","",'Outro banco'!D1102)</f>
        <v/>
      </c>
      <c r="E1102" s="9"/>
      <c r="F1102" s="9"/>
      <c r="G1102" s="7" t="str">
        <f aca="false">IF(A1102="","",IF(COUNTIF(Tabelas!$A:$A,IF(E1102="",A1102,E1102))&gt;0,"sim","não"))</f>
        <v/>
      </c>
      <c r="H1102" s="7" t="str">
        <f aca="false">IF(A1102="","",IF(E1102="",A1102,E1102)&amp;"."&amp;IF(F1102="",B1102,F1102))</f>
        <v/>
      </c>
      <c r="I1102" s="7" t="str">
        <f aca="false">IF(A1102="","",IFERROR(INDEX('Campos Growths'!$F:$F,MATCH(H1102,'Campos Growths'!$A:$A,0)),""))</f>
        <v/>
      </c>
      <c r="J1102" s="7" t="str">
        <f aca="false">IF(A1102="","",IFERROR(VLOOKUP(IF(ISNUMBER(SEARCH("(",C1102)),LEFT(C1102,SEARCH("(",C1102)-1),C1102),Tipos!$A:$B,2,FALSE()),"outro"))</f>
        <v/>
      </c>
      <c r="K1102" s="7" t="str">
        <f aca="false">IF(I1102="","",IFERROR(INDEX('Campos Growths'!$L:$L,MATCH(H1102,'Campos Growths'!$A:$A,0)),""))</f>
        <v/>
      </c>
      <c r="L1102" s="7" t="str">
        <f aca="false">IF(A1102="","",IF(G1102="não","Sem tabela no Growths",IF(I1102="","Sem campo no Growths",IF(J1102=K1102,"Importa direto","Ajustar tipo"))))</f>
        <v/>
      </c>
      <c r="M1102" s="9"/>
    </row>
    <row r="1103" customFormat="false" ht="15" hidden="false" customHeight="false" outlineLevel="0" collapsed="false">
      <c r="A1103" s="7" t="str">
        <f aca="false">IF('Outro banco'!A1103="","",IF(LEFT('Outro banco'!A1103,1)="(","",'Outro banco'!A1103))</f>
        <v/>
      </c>
      <c r="B1103" s="7" t="str">
        <f aca="false">IF(A1103="","",'Outro banco'!B1103)</f>
        <v/>
      </c>
      <c r="C1103" s="7" t="str">
        <f aca="false">IF(A1103="","",'Outro banco'!C1103)</f>
        <v/>
      </c>
      <c r="D1103" s="7" t="str">
        <f aca="false">IF(A1103="","",'Outro banco'!D1103)</f>
        <v/>
      </c>
      <c r="E1103" s="9"/>
      <c r="F1103" s="9"/>
      <c r="G1103" s="7" t="str">
        <f aca="false">IF(A1103="","",IF(COUNTIF(Tabelas!$A:$A,IF(E1103="",A1103,E1103))&gt;0,"sim","não"))</f>
        <v/>
      </c>
      <c r="H1103" s="7" t="str">
        <f aca="false">IF(A1103="","",IF(E1103="",A1103,E1103)&amp;"."&amp;IF(F1103="",B1103,F1103))</f>
        <v/>
      </c>
      <c r="I1103" s="7" t="str">
        <f aca="false">IF(A1103="","",IFERROR(INDEX('Campos Growths'!$F:$F,MATCH(H1103,'Campos Growths'!$A:$A,0)),""))</f>
        <v/>
      </c>
      <c r="J1103" s="7" t="str">
        <f aca="false">IF(A1103="","",IFERROR(VLOOKUP(IF(ISNUMBER(SEARCH("(",C1103)),LEFT(C1103,SEARCH("(",C1103)-1),C1103),Tipos!$A:$B,2,FALSE()),"outro"))</f>
        <v/>
      </c>
      <c r="K1103" s="7" t="str">
        <f aca="false">IF(I1103="","",IFERROR(INDEX('Campos Growths'!$L:$L,MATCH(H1103,'Campos Growths'!$A:$A,0)),""))</f>
        <v/>
      </c>
      <c r="L1103" s="7" t="str">
        <f aca="false">IF(A1103="","",IF(G1103="não","Sem tabela no Growths",IF(I1103="","Sem campo no Growths",IF(J1103=K1103,"Importa direto","Ajustar tipo"))))</f>
        <v/>
      </c>
      <c r="M1103" s="9"/>
    </row>
    <row r="1104" customFormat="false" ht="15" hidden="false" customHeight="false" outlineLevel="0" collapsed="false">
      <c r="A1104" s="7" t="str">
        <f aca="false">IF('Outro banco'!A1104="","",IF(LEFT('Outro banco'!A1104,1)="(","",'Outro banco'!A1104))</f>
        <v/>
      </c>
      <c r="B1104" s="7" t="str">
        <f aca="false">IF(A1104="","",'Outro banco'!B1104)</f>
        <v/>
      </c>
      <c r="C1104" s="7" t="str">
        <f aca="false">IF(A1104="","",'Outro banco'!C1104)</f>
        <v/>
      </c>
      <c r="D1104" s="7" t="str">
        <f aca="false">IF(A1104="","",'Outro banco'!D1104)</f>
        <v/>
      </c>
      <c r="E1104" s="9"/>
      <c r="F1104" s="9"/>
      <c r="G1104" s="7" t="str">
        <f aca="false">IF(A1104="","",IF(COUNTIF(Tabelas!$A:$A,IF(E1104="",A1104,E1104))&gt;0,"sim","não"))</f>
        <v/>
      </c>
      <c r="H1104" s="7" t="str">
        <f aca="false">IF(A1104="","",IF(E1104="",A1104,E1104)&amp;"."&amp;IF(F1104="",B1104,F1104))</f>
        <v/>
      </c>
      <c r="I1104" s="7" t="str">
        <f aca="false">IF(A1104="","",IFERROR(INDEX('Campos Growths'!$F:$F,MATCH(H1104,'Campos Growths'!$A:$A,0)),""))</f>
        <v/>
      </c>
      <c r="J1104" s="7" t="str">
        <f aca="false">IF(A1104="","",IFERROR(VLOOKUP(IF(ISNUMBER(SEARCH("(",C1104)),LEFT(C1104,SEARCH("(",C1104)-1),C1104),Tipos!$A:$B,2,FALSE()),"outro"))</f>
        <v/>
      </c>
      <c r="K1104" s="7" t="str">
        <f aca="false">IF(I1104="","",IFERROR(INDEX('Campos Growths'!$L:$L,MATCH(H1104,'Campos Growths'!$A:$A,0)),""))</f>
        <v/>
      </c>
      <c r="L1104" s="7" t="str">
        <f aca="false">IF(A1104="","",IF(G1104="não","Sem tabela no Growths",IF(I1104="","Sem campo no Growths",IF(J1104=K1104,"Importa direto","Ajustar tipo"))))</f>
        <v/>
      </c>
      <c r="M1104" s="9"/>
    </row>
    <row r="1105" customFormat="false" ht="15" hidden="false" customHeight="false" outlineLevel="0" collapsed="false">
      <c r="A1105" s="7" t="str">
        <f aca="false">IF('Outro banco'!A1105="","",IF(LEFT('Outro banco'!A1105,1)="(","",'Outro banco'!A1105))</f>
        <v/>
      </c>
      <c r="B1105" s="7" t="str">
        <f aca="false">IF(A1105="","",'Outro banco'!B1105)</f>
        <v/>
      </c>
      <c r="C1105" s="7" t="str">
        <f aca="false">IF(A1105="","",'Outro banco'!C1105)</f>
        <v/>
      </c>
      <c r="D1105" s="7" t="str">
        <f aca="false">IF(A1105="","",'Outro banco'!D1105)</f>
        <v/>
      </c>
      <c r="E1105" s="9"/>
      <c r="F1105" s="9"/>
      <c r="G1105" s="7" t="str">
        <f aca="false">IF(A1105="","",IF(COUNTIF(Tabelas!$A:$A,IF(E1105="",A1105,E1105))&gt;0,"sim","não"))</f>
        <v/>
      </c>
      <c r="H1105" s="7" t="str">
        <f aca="false">IF(A1105="","",IF(E1105="",A1105,E1105)&amp;"."&amp;IF(F1105="",B1105,F1105))</f>
        <v/>
      </c>
      <c r="I1105" s="7" t="str">
        <f aca="false">IF(A1105="","",IFERROR(INDEX('Campos Growths'!$F:$F,MATCH(H1105,'Campos Growths'!$A:$A,0)),""))</f>
        <v/>
      </c>
      <c r="J1105" s="7" t="str">
        <f aca="false">IF(A1105="","",IFERROR(VLOOKUP(IF(ISNUMBER(SEARCH("(",C1105)),LEFT(C1105,SEARCH("(",C1105)-1),C1105),Tipos!$A:$B,2,FALSE()),"outro"))</f>
        <v/>
      </c>
      <c r="K1105" s="7" t="str">
        <f aca="false">IF(I1105="","",IFERROR(INDEX('Campos Growths'!$L:$L,MATCH(H1105,'Campos Growths'!$A:$A,0)),""))</f>
        <v/>
      </c>
      <c r="L1105" s="7" t="str">
        <f aca="false">IF(A1105="","",IF(G1105="não","Sem tabela no Growths",IF(I1105="","Sem campo no Growths",IF(J1105=K1105,"Importa direto","Ajustar tipo"))))</f>
        <v/>
      </c>
      <c r="M1105" s="9"/>
    </row>
    <row r="1106" customFormat="false" ht="15" hidden="false" customHeight="false" outlineLevel="0" collapsed="false">
      <c r="A1106" s="7" t="str">
        <f aca="false">IF('Outro banco'!A1106="","",IF(LEFT('Outro banco'!A1106,1)="(","",'Outro banco'!A1106))</f>
        <v/>
      </c>
      <c r="B1106" s="7" t="str">
        <f aca="false">IF(A1106="","",'Outro banco'!B1106)</f>
        <v/>
      </c>
      <c r="C1106" s="7" t="str">
        <f aca="false">IF(A1106="","",'Outro banco'!C1106)</f>
        <v/>
      </c>
      <c r="D1106" s="7" t="str">
        <f aca="false">IF(A1106="","",'Outro banco'!D1106)</f>
        <v/>
      </c>
      <c r="E1106" s="9"/>
      <c r="F1106" s="9"/>
      <c r="G1106" s="7" t="str">
        <f aca="false">IF(A1106="","",IF(COUNTIF(Tabelas!$A:$A,IF(E1106="",A1106,E1106))&gt;0,"sim","não"))</f>
        <v/>
      </c>
      <c r="H1106" s="7" t="str">
        <f aca="false">IF(A1106="","",IF(E1106="",A1106,E1106)&amp;"."&amp;IF(F1106="",B1106,F1106))</f>
        <v/>
      </c>
      <c r="I1106" s="7" t="str">
        <f aca="false">IF(A1106="","",IFERROR(INDEX('Campos Growths'!$F:$F,MATCH(H1106,'Campos Growths'!$A:$A,0)),""))</f>
        <v/>
      </c>
      <c r="J1106" s="7" t="str">
        <f aca="false">IF(A1106="","",IFERROR(VLOOKUP(IF(ISNUMBER(SEARCH("(",C1106)),LEFT(C1106,SEARCH("(",C1106)-1),C1106),Tipos!$A:$B,2,FALSE()),"outro"))</f>
        <v/>
      </c>
      <c r="K1106" s="7" t="str">
        <f aca="false">IF(I1106="","",IFERROR(INDEX('Campos Growths'!$L:$L,MATCH(H1106,'Campos Growths'!$A:$A,0)),""))</f>
        <v/>
      </c>
      <c r="L1106" s="7" t="str">
        <f aca="false">IF(A1106="","",IF(G1106="não","Sem tabela no Growths",IF(I1106="","Sem campo no Growths",IF(J1106=K1106,"Importa direto","Ajustar tipo"))))</f>
        <v/>
      </c>
      <c r="M1106" s="9"/>
    </row>
    <row r="1107" customFormat="false" ht="15" hidden="false" customHeight="false" outlineLevel="0" collapsed="false">
      <c r="A1107" s="7" t="str">
        <f aca="false">IF('Outro banco'!A1107="","",IF(LEFT('Outro banco'!A1107,1)="(","",'Outro banco'!A1107))</f>
        <v/>
      </c>
      <c r="B1107" s="7" t="str">
        <f aca="false">IF(A1107="","",'Outro banco'!B1107)</f>
        <v/>
      </c>
      <c r="C1107" s="7" t="str">
        <f aca="false">IF(A1107="","",'Outro banco'!C1107)</f>
        <v/>
      </c>
      <c r="D1107" s="7" t="str">
        <f aca="false">IF(A1107="","",'Outro banco'!D1107)</f>
        <v/>
      </c>
      <c r="E1107" s="9"/>
      <c r="F1107" s="9"/>
      <c r="G1107" s="7" t="str">
        <f aca="false">IF(A1107="","",IF(COUNTIF(Tabelas!$A:$A,IF(E1107="",A1107,E1107))&gt;0,"sim","não"))</f>
        <v/>
      </c>
      <c r="H1107" s="7" t="str">
        <f aca="false">IF(A1107="","",IF(E1107="",A1107,E1107)&amp;"."&amp;IF(F1107="",B1107,F1107))</f>
        <v/>
      </c>
      <c r="I1107" s="7" t="str">
        <f aca="false">IF(A1107="","",IFERROR(INDEX('Campos Growths'!$F:$F,MATCH(H1107,'Campos Growths'!$A:$A,0)),""))</f>
        <v/>
      </c>
      <c r="J1107" s="7" t="str">
        <f aca="false">IF(A1107="","",IFERROR(VLOOKUP(IF(ISNUMBER(SEARCH("(",C1107)),LEFT(C1107,SEARCH("(",C1107)-1),C1107),Tipos!$A:$B,2,FALSE()),"outro"))</f>
        <v/>
      </c>
      <c r="K1107" s="7" t="str">
        <f aca="false">IF(I1107="","",IFERROR(INDEX('Campos Growths'!$L:$L,MATCH(H1107,'Campos Growths'!$A:$A,0)),""))</f>
        <v/>
      </c>
      <c r="L1107" s="7" t="str">
        <f aca="false">IF(A1107="","",IF(G1107="não","Sem tabela no Growths",IF(I1107="","Sem campo no Growths",IF(J1107=K1107,"Importa direto","Ajustar tipo"))))</f>
        <v/>
      </c>
      <c r="M1107" s="9"/>
    </row>
    <row r="1108" customFormat="false" ht="15" hidden="false" customHeight="false" outlineLevel="0" collapsed="false">
      <c r="A1108" s="7" t="str">
        <f aca="false">IF('Outro banco'!A1108="","",IF(LEFT('Outro banco'!A1108,1)="(","",'Outro banco'!A1108))</f>
        <v/>
      </c>
      <c r="B1108" s="7" t="str">
        <f aca="false">IF(A1108="","",'Outro banco'!B1108)</f>
        <v/>
      </c>
      <c r="C1108" s="7" t="str">
        <f aca="false">IF(A1108="","",'Outro banco'!C1108)</f>
        <v/>
      </c>
      <c r="D1108" s="7" t="str">
        <f aca="false">IF(A1108="","",'Outro banco'!D1108)</f>
        <v/>
      </c>
      <c r="E1108" s="9"/>
      <c r="F1108" s="9"/>
      <c r="G1108" s="7" t="str">
        <f aca="false">IF(A1108="","",IF(COUNTIF(Tabelas!$A:$A,IF(E1108="",A1108,E1108))&gt;0,"sim","não"))</f>
        <v/>
      </c>
      <c r="H1108" s="7" t="str">
        <f aca="false">IF(A1108="","",IF(E1108="",A1108,E1108)&amp;"."&amp;IF(F1108="",B1108,F1108))</f>
        <v/>
      </c>
      <c r="I1108" s="7" t="str">
        <f aca="false">IF(A1108="","",IFERROR(INDEX('Campos Growths'!$F:$F,MATCH(H1108,'Campos Growths'!$A:$A,0)),""))</f>
        <v/>
      </c>
      <c r="J1108" s="7" t="str">
        <f aca="false">IF(A1108="","",IFERROR(VLOOKUP(IF(ISNUMBER(SEARCH("(",C1108)),LEFT(C1108,SEARCH("(",C1108)-1),C1108),Tipos!$A:$B,2,FALSE()),"outro"))</f>
        <v/>
      </c>
      <c r="K1108" s="7" t="str">
        <f aca="false">IF(I1108="","",IFERROR(INDEX('Campos Growths'!$L:$L,MATCH(H1108,'Campos Growths'!$A:$A,0)),""))</f>
        <v/>
      </c>
      <c r="L1108" s="7" t="str">
        <f aca="false">IF(A1108="","",IF(G1108="não","Sem tabela no Growths",IF(I1108="","Sem campo no Growths",IF(J1108=K1108,"Importa direto","Ajustar tipo"))))</f>
        <v/>
      </c>
      <c r="M1108" s="9"/>
    </row>
    <row r="1109" customFormat="false" ht="15" hidden="false" customHeight="false" outlineLevel="0" collapsed="false">
      <c r="A1109" s="7" t="str">
        <f aca="false">IF('Outro banco'!A1109="","",IF(LEFT('Outro banco'!A1109,1)="(","",'Outro banco'!A1109))</f>
        <v/>
      </c>
      <c r="B1109" s="7" t="str">
        <f aca="false">IF(A1109="","",'Outro banco'!B1109)</f>
        <v/>
      </c>
      <c r="C1109" s="7" t="str">
        <f aca="false">IF(A1109="","",'Outro banco'!C1109)</f>
        <v/>
      </c>
      <c r="D1109" s="7" t="str">
        <f aca="false">IF(A1109="","",'Outro banco'!D1109)</f>
        <v/>
      </c>
      <c r="E1109" s="9"/>
      <c r="F1109" s="9"/>
      <c r="G1109" s="7" t="str">
        <f aca="false">IF(A1109="","",IF(COUNTIF(Tabelas!$A:$A,IF(E1109="",A1109,E1109))&gt;0,"sim","não"))</f>
        <v/>
      </c>
      <c r="H1109" s="7" t="str">
        <f aca="false">IF(A1109="","",IF(E1109="",A1109,E1109)&amp;"."&amp;IF(F1109="",B1109,F1109))</f>
        <v/>
      </c>
      <c r="I1109" s="7" t="str">
        <f aca="false">IF(A1109="","",IFERROR(INDEX('Campos Growths'!$F:$F,MATCH(H1109,'Campos Growths'!$A:$A,0)),""))</f>
        <v/>
      </c>
      <c r="J1109" s="7" t="str">
        <f aca="false">IF(A1109="","",IFERROR(VLOOKUP(IF(ISNUMBER(SEARCH("(",C1109)),LEFT(C1109,SEARCH("(",C1109)-1),C1109),Tipos!$A:$B,2,FALSE()),"outro"))</f>
        <v/>
      </c>
      <c r="K1109" s="7" t="str">
        <f aca="false">IF(I1109="","",IFERROR(INDEX('Campos Growths'!$L:$L,MATCH(H1109,'Campos Growths'!$A:$A,0)),""))</f>
        <v/>
      </c>
      <c r="L1109" s="7" t="str">
        <f aca="false">IF(A1109="","",IF(G1109="não","Sem tabela no Growths",IF(I1109="","Sem campo no Growths",IF(J1109=K1109,"Importa direto","Ajustar tipo"))))</f>
        <v/>
      </c>
      <c r="M1109" s="9"/>
    </row>
    <row r="1110" customFormat="false" ht="15" hidden="false" customHeight="false" outlineLevel="0" collapsed="false">
      <c r="A1110" s="7" t="str">
        <f aca="false">IF('Outro banco'!A1110="","",IF(LEFT('Outro banco'!A1110,1)="(","",'Outro banco'!A1110))</f>
        <v/>
      </c>
      <c r="B1110" s="7" t="str">
        <f aca="false">IF(A1110="","",'Outro banco'!B1110)</f>
        <v/>
      </c>
      <c r="C1110" s="7" t="str">
        <f aca="false">IF(A1110="","",'Outro banco'!C1110)</f>
        <v/>
      </c>
      <c r="D1110" s="7" t="str">
        <f aca="false">IF(A1110="","",'Outro banco'!D1110)</f>
        <v/>
      </c>
      <c r="E1110" s="9"/>
      <c r="F1110" s="9"/>
      <c r="G1110" s="7" t="str">
        <f aca="false">IF(A1110="","",IF(COUNTIF(Tabelas!$A:$A,IF(E1110="",A1110,E1110))&gt;0,"sim","não"))</f>
        <v/>
      </c>
      <c r="H1110" s="7" t="str">
        <f aca="false">IF(A1110="","",IF(E1110="",A1110,E1110)&amp;"."&amp;IF(F1110="",B1110,F1110))</f>
        <v/>
      </c>
      <c r="I1110" s="7" t="str">
        <f aca="false">IF(A1110="","",IFERROR(INDEX('Campos Growths'!$F:$F,MATCH(H1110,'Campos Growths'!$A:$A,0)),""))</f>
        <v/>
      </c>
      <c r="J1110" s="7" t="str">
        <f aca="false">IF(A1110="","",IFERROR(VLOOKUP(IF(ISNUMBER(SEARCH("(",C1110)),LEFT(C1110,SEARCH("(",C1110)-1),C1110),Tipos!$A:$B,2,FALSE()),"outro"))</f>
        <v/>
      </c>
      <c r="K1110" s="7" t="str">
        <f aca="false">IF(I1110="","",IFERROR(INDEX('Campos Growths'!$L:$L,MATCH(H1110,'Campos Growths'!$A:$A,0)),""))</f>
        <v/>
      </c>
      <c r="L1110" s="7" t="str">
        <f aca="false">IF(A1110="","",IF(G1110="não","Sem tabela no Growths",IF(I1110="","Sem campo no Growths",IF(J1110=K1110,"Importa direto","Ajustar tipo"))))</f>
        <v/>
      </c>
      <c r="M1110" s="9"/>
    </row>
    <row r="1111" customFormat="false" ht="15" hidden="false" customHeight="false" outlineLevel="0" collapsed="false">
      <c r="A1111" s="7" t="str">
        <f aca="false">IF('Outro banco'!A1111="","",IF(LEFT('Outro banco'!A1111,1)="(","",'Outro banco'!A1111))</f>
        <v/>
      </c>
      <c r="B1111" s="7" t="str">
        <f aca="false">IF(A1111="","",'Outro banco'!B1111)</f>
        <v/>
      </c>
      <c r="C1111" s="7" t="str">
        <f aca="false">IF(A1111="","",'Outro banco'!C1111)</f>
        <v/>
      </c>
      <c r="D1111" s="7" t="str">
        <f aca="false">IF(A1111="","",'Outro banco'!D1111)</f>
        <v/>
      </c>
      <c r="E1111" s="9"/>
      <c r="F1111" s="9"/>
      <c r="G1111" s="7" t="str">
        <f aca="false">IF(A1111="","",IF(COUNTIF(Tabelas!$A:$A,IF(E1111="",A1111,E1111))&gt;0,"sim","não"))</f>
        <v/>
      </c>
      <c r="H1111" s="7" t="str">
        <f aca="false">IF(A1111="","",IF(E1111="",A1111,E1111)&amp;"."&amp;IF(F1111="",B1111,F1111))</f>
        <v/>
      </c>
      <c r="I1111" s="7" t="str">
        <f aca="false">IF(A1111="","",IFERROR(INDEX('Campos Growths'!$F:$F,MATCH(H1111,'Campos Growths'!$A:$A,0)),""))</f>
        <v/>
      </c>
      <c r="J1111" s="7" t="str">
        <f aca="false">IF(A1111="","",IFERROR(VLOOKUP(IF(ISNUMBER(SEARCH("(",C1111)),LEFT(C1111,SEARCH("(",C1111)-1),C1111),Tipos!$A:$B,2,FALSE()),"outro"))</f>
        <v/>
      </c>
      <c r="K1111" s="7" t="str">
        <f aca="false">IF(I1111="","",IFERROR(INDEX('Campos Growths'!$L:$L,MATCH(H1111,'Campos Growths'!$A:$A,0)),""))</f>
        <v/>
      </c>
      <c r="L1111" s="7" t="str">
        <f aca="false">IF(A1111="","",IF(G1111="não","Sem tabela no Growths",IF(I1111="","Sem campo no Growths",IF(J1111=K1111,"Importa direto","Ajustar tipo"))))</f>
        <v/>
      </c>
      <c r="M1111" s="9"/>
    </row>
    <row r="1112" customFormat="false" ht="15" hidden="false" customHeight="false" outlineLevel="0" collapsed="false">
      <c r="A1112" s="7" t="str">
        <f aca="false">IF('Outro banco'!A1112="","",IF(LEFT('Outro banco'!A1112,1)="(","",'Outro banco'!A1112))</f>
        <v/>
      </c>
      <c r="B1112" s="7" t="str">
        <f aca="false">IF(A1112="","",'Outro banco'!B1112)</f>
        <v/>
      </c>
      <c r="C1112" s="7" t="str">
        <f aca="false">IF(A1112="","",'Outro banco'!C1112)</f>
        <v/>
      </c>
      <c r="D1112" s="7" t="str">
        <f aca="false">IF(A1112="","",'Outro banco'!D1112)</f>
        <v/>
      </c>
      <c r="E1112" s="9"/>
      <c r="F1112" s="9"/>
      <c r="G1112" s="7" t="str">
        <f aca="false">IF(A1112="","",IF(COUNTIF(Tabelas!$A:$A,IF(E1112="",A1112,E1112))&gt;0,"sim","não"))</f>
        <v/>
      </c>
      <c r="H1112" s="7" t="str">
        <f aca="false">IF(A1112="","",IF(E1112="",A1112,E1112)&amp;"."&amp;IF(F1112="",B1112,F1112))</f>
        <v/>
      </c>
      <c r="I1112" s="7" t="str">
        <f aca="false">IF(A1112="","",IFERROR(INDEX('Campos Growths'!$F:$F,MATCH(H1112,'Campos Growths'!$A:$A,0)),""))</f>
        <v/>
      </c>
      <c r="J1112" s="7" t="str">
        <f aca="false">IF(A1112="","",IFERROR(VLOOKUP(IF(ISNUMBER(SEARCH("(",C1112)),LEFT(C1112,SEARCH("(",C1112)-1),C1112),Tipos!$A:$B,2,FALSE()),"outro"))</f>
        <v/>
      </c>
      <c r="K1112" s="7" t="str">
        <f aca="false">IF(I1112="","",IFERROR(INDEX('Campos Growths'!$L:$L,MATCH(H1112,'Campos Growths'!$A:$A,0)),""))</f>
        <v/>
      </c>
      <c r="L1112" s="7" t="str">
        <f aca="false">IF(A1112="","",IF(G1112="não","Sem tabela no Growths",IF(I1112="","Sem campo no Growths",IF(J1112=K1112,"Importa direto","Ajustar tipo"))))</f>
        <v/>
      </c>
      <c r="M1112" s="9"/>
    </row>
    <row r="1113" customFormat="false" ht="15" hidden="false" customHeight="false" outlineLevel="0" collapsed="false">
      <c r="A1113" s="7" t="str">
        <f aca="false">IF('Outro banco'!A1113="","",IF(LEFT('Outro banco'!A1113,1)="(","",'Outro banco'!A1113))</f>
        <v/>
      </c>
      <c r="B1113" s="7" t="str">
        <f aca="false">IF(A1113="","",'Outro banco'!B1113)</f>
        <v/>
      </c>
      <c r="C1113" s="7" t="str">
        <f aca="false">IF(A1113="","",'Outro banco'!C1113)</f>
        <v/>
      </c>
      <c r="D1113" s="7" t="str">
        <f aca="false">IF(A1113="","",'Outro banco'!D1113)</f>
        <v/>
      </c>
      <c r="E1113" s="9"/>
      <c r="F1113" s="9"/>
      <c r="G1113" s="7" t="str">
        <f aca="false">IF(A1113="","",IF(COUNTIF(Tabelas!$A:$A,IF(E1113="",A1113,E1113))&gt;0,"sim","não"))</f>
        <v/>
      </c>
      <c r="H1113" s="7" t="str">
        <f aca="false">IF(A1113="","",IF(E1113="",A1113,E1113)&amp;"."&amp;IF(F1113="",B1113,F1113))</f>
        <v/>
      </c>
      <c r="I1113" s="7" t="str">
        <f aca="false">IF(A1113="","",IFERROR(INDEX('Campos Growths'!$F:$F,MATCH(H1113,'Campos Growths'!$A:$A,0)),""))</f>
        <v/>
      </c>
      <c r="J1113" s="7" t="str">
        <f aca="false">IF(A1113="","",IFERROR(VLOOKUP(IF(ISNUMBER(SEARCH("(",C1113)),LEFT(C1113,SEARCH("(",C1113)-1),C1113),Tipos!$A:$B,2,FALSE()),"outro"))</f>
        <v/>
      </c>
      <c r="K1113" s="7" t="str">
        <f aca="false">IF(I1113="","",IFERROR(INDEX('Campos Growths'!$L:$L,MATCH(H1113,'Campos Growths'!$A:$A,0)),""))</f>
        <v/>
      </c>
      <c r="L1113" s="7" t="str">
        <f aca="false">IF(A1113="","",IF(G1113="não","Sem tabela no Growths",IF(I1113="","Sem campo no Growths",IF(J1113=K1113,"Importa direto","Ajustar tipo"))))</f>
        <v/>
      </c>
      <c r="M1113" s="9"/>
    </row>
    <row r="1114" customFormat="false" ht="15" hidden="false" customHeight="false" outlineLevel="0" collapsed="false">
      <c r="A1114" s="7" t="str">
        <f aca="false">IF('Outro banco'!A1114="","",IF(LEFT('Outro banco'!A1114,1)="(","",'Outro banco'!A1114))</f>
        <v/>
      </c>
      <c r="B1114" s="7" t="str">
        <f aca="false">IF(A1114="","",'Outro banco'!B1114)</f>
        <v/>
      </c>
      <c r="C1114" s="7" t="str">
        <f aca="false">IF(A1114="","",'Outro banco'!C1114)</f>
        <v/>
      </c>
      <c r="D1114" s="7" t="str">
        <f aca="false">IF(A1114="","",'Outro banco'!D1114)</f>
        <v/>
      </c>
      <c r="E1114" s="9"/>
      <c r="F1114" s="9"/>
      <c r="G1114" s="7" t="str">
        <f aca="false">IF(A1114="","",IF(COUNTIF(Tabelas!$A:$A,IF(E1114="",A1114,E1114))&gt;0,"sim","não"))</f>
        <v/>
      </c>
      <c r="H1114" s="7" t="str">
        <f aca="false">IF(A1114="","",IF(E1114="",A1114,E1114)&amp;"."&amp;IF(F1114="",B1114,F1114))</f>
        <v/>
      </c>
      <c r="I1114" s="7" t="str">
        <f aca="false">IF(A1114="","",IFERROR(INDEX('Campos Growths'!$F:$F,MATCH(H1114,'Campos Growths'!$A:$A,0)),""))</f>
        <v/>
      </c>
      <c r="J1114" s="7" t="str">
        <f aca="false">IF(A1114="","",IFERROR(VLOOKUP(IF(ISNUMBER(SEARCH("(",C1114)),LEFT(C1114,SEARCH("(",C1114)-1),C1114),Tipos!$A:$B,2,FALSE()),"outro"))</f>
        <v/>
      </c>
      <c r="K1114" s="7" t="str">
        <f aca="false">IF(I1114="","",IFERROR(INDEX('Campos Growths'!$L:$L,MATCH(H1114,'Campos Growths'!$A:$A,0)),""))</f>
        <v/>
      </c>
      <c r="L1114" s="7" t="str">
        <f aca="false">IF(A1114="","",IF(G1114="não","Sem tabela no Growths",IF(I1114="","Sem campo no Growths",IF(J1114=K1114,"Importa direto","Ajustar tipo"))))</f>
        <v/>
      </c>
      <c r="M1114" s="9"/>
    </row>
    <row r="1115" customFormat="false" ht="15" hidden="false" customHeight="false" outlineLevel="0" collapsed="false">
      <c r="A1115" s="7" t="str">
        <f aca="false">IF('Outro banco'!A1115="","",IF(LEFT('Outro banco'!A1115,1)="(","",'Outro banco'!A1115))</f>
        <v/>
      </c>
      <c r="B1115" s="7" t="str">
        <f aca="false">IF(A1115="","",'Outro banco'!B1115)</f>
        <v/>
      </c>
      <c r="C1115" s="7" t="str">
        <f aca="false">IF(A1115="","",'Outro banco'!C1115)</f>
        <v/>
      </c>
      <c r="D1115" s="7" t="str">
        <f aca="false">IF(A1115="","",'Outro banco'!D1115)</f>
        <v/>
      </c>
      <c r="E1115" s="9"/>
      <c r="F1115" s="9"/>
      <c r="G1115" s="7" t="str">
        <f aca="false">IF(A1115="","",IF(COUNTIF(Tabelas!$A:$A,IF(E1115="",A1115,E1115))&gt;0,"sim","não"))</f>
        <v/>
      </c>
      <c r="H1115" s="7" t="str">
        <f aca="false">IF(A1115="","",IF(E1115="",A1115,E1115)&amp;"."&amp;IF(F1115="",B1115,F1115))</f>
        <v/>
      </c>
      <c r="I1115" s="7" t="str">
        <f aca="false">IF(A1115="","",IFERROR(INDEX('Campos Growths'!$F:$F,MATCH(H1115,'Campos Growths'!$A:$A,0)),""))</f>
        <v/>
      </c>
      <c r="J1115" s="7" t="str">
        <f aca="false">IF(A1115="","",IFERROR(VLOOKUP(IF(ISNUMBER(SEARCH("(",C1115)),LEFT(C1115,SEARCH("(",C1115)-1),C1115),Tipos!$A:$B,2,FALSE()),"outro"))</f>
        <v/>
      </c>
      <c r="K1115" s="7" t="str">
        <f aca="false">IF(I1115="","",IFERROR(INDEX('Campos Growths'!$L:$L,MATCH(H1115,'Campos Growths'!$A:$A,0)),""))</f>
        <v/>
      </c>
      <c r="L1115" s="7" t="str">
        <f aca="false">IF(A1115="","",IF(G1115="não","Sem tabela no Growths",IF(I1115="","Sem campo no Growths",IF(J1115=K1115,"Importa direto","Ajustar tipo"))))</f>
        <v/>
      </c>
      <c r="M1115" s="9"/>
    </row>
    <row r="1116" customFormat="false" ht="15" hidden="false" customHeight="false" outlineLevel="0" collapsed="false">
      <c r="A1116" s="7" t="str">
        <f aca="false">IF('Outro banco'!A1116="","",IF(LEFT('Outro banco'!A1116,1)="(","",'Outro banco'!A1116))</f>
        <v/>
      </c>
      <c r="B1116" s="7" t="str">
        <f aca="false">IF(A1116="","",'Outro banco'!B1116)</f>
        <v/>
      </c>
      <c r="C1116" s="7" t="str">
        <f aca="false">IF(A1116="","",'Outro banco'!C1116)</f>
        <v/>
      </c>
      <c r="D1116" s="7" t="str">
        <f aca="false">IF(A1116="","",'Outro banco'!D1116)</f>
        <v/>
      </c>
      <c r="E1116" s="9"/>
      <c r="F1116" s="9"/>
      <c r="G1116" s="7" t="str">
        <f aca="false">IF(A1116="","",IF(COUNTIF(Tabelas!$A:$A,IF(E1116="",A1116,E1116))&gt;0,"sim","não"))</f>
        <v/>
      </c>
      <c r="H1116" s="7" t="str">
        <f aca="false">IF(A1116="","",IF(E1116="",A1116,E1116)&amp;"."&amp;IF(F1116="",B1116,F1116))</f>
        <v/>
      </c>
      <c r="I1116" s="7" t="str">
        <f aca="false">IF(A1116="","",IFERROR(INDEX('Campos Growths'!$F:$F,MATCH(H1116,'Campos Growths'!$A:$A,0)),""))</f>
        <v/>
      </c>
      <c r="J1116" s="7" t="str">
        <f aca="false">IF(A1116="","",IFERROR(VLOOKUP(IF(ISNUMBER(SEARCH("(",C1116)),LEFT(C1116,SEARCH("(",C1116)-1),C1116),Tipos!$A:$B,2,FALSE()),"outro"))</f>
        <v/>
      </c>
      <c r="K1116" s="7" t="str">
        <f aca="false">IF(I1116="","",IFERROR(INDEX('Campos Growths'!$L:$L,MATCH(H1116,'Campos Growths'!$A:$A,0)),""))</f>
        <v/>
      </c>
      <c r="L1116" s="7" t="str">
        <f aca="false">IF(A1116="","",IF(G1116="não","Sem tabela no Growths",IF(I1116="","Sem campo no Growths",IF(J1116=K1116,"Importa direto","Ajustar tipo"))))</f>
        <v/>
      </c>
      <c r="M1116" s="9"/>
    </row>
    <row r="1117" customFormat="false" ht="15" hidden="false" customHeight="false" outlineLevel="0" collapsed="false">
      <c r="A1117" s="7" t="str">
        <f aca="false">IF('Outro banco'!A1117="","",IF(LEFT('Outro banco'!A1117,1)="(","",'Outro banco'!A1117))</f>
        <v/>
      </c>
      <c r="B1117" s="7" t="str">
        <f aca="false">IF(A1117="","",'Outro banco'!B1117)</f>
        <v/>
      </c>
      <c r="C1117" s="7" t="str">
        <f aca="false">IF(A1117="","",'Outro banco'!C1117)</f>
        <v/>
      </c>
      <c r="D1117" s="7" t="str">
        <f aca="false">IF(A1117="","",'Outro banco'!D1117)</f>
        <v/>
      </c>
      <c r="E1117" s="9"/>
      <c r="F1117" s="9"/>
      <c r="G1117" s="7" t="str">
        <f aca="false">IF(A1117="","",IF(COUNTIF(Tabelas!$A:$A,IF(E1117="",A1117,E1117))&gt;0,"sim","não"))</f>
        <v/>
      </c>
      <c r="H1117" s="7" t="str">
        <f aca="false">IF(A1117="","",IF(E1117="",A1117,E1117)&amp;"."&amp;IF(F1117="",B1117,F1117))</f>
        <v/>
      </c>
      <c r="I1117" s="7" t="str">
        <f aca="false">IF(A1117="","",IFERROR(INDEX('Campos Growths'!$F:$F,MATCH(H1117,'Campos Growths'!$A:$A,0)),""))</f>
        <v/>
      </c>
      <c r="J1117" s="7" t="str">
        <f aca="false">IF(A1117="","",IFERROR(VLOOKUP(IF(ISNUMBER(SEARCH("(",C1117)),LEFT(C1117,SEARCH("(",C1117)-1),C1117),Tipos!$A:$B,2,FALSE()),"outro"))</f>
        <v/>
      </c>
      <c r="K1117" s="7" t="str">
        <f aca="false">IF(I1117="","",IFERROR(INDEX('Campos Growths'!$L:$L,MATCH(H1117,'Campos Growths'!$A:$A,0)),""))</f>
        <v/>
      </c>
      <c r="L1117" s="7" t="str">
        <f aca="false">IF(A1117="","",IF(G1117="não","Sem tabela no Growths",IF(I1117="","Sem campo no Growths",IF(J1117=K1117,"Importa direto","Ajustar tipo"))))</f>
        <v/>
      </c>
      <c r="M1117" s="9"/>
    </row>
    <row r="1118" customFormat="false" ht="15" hidden="false" customHeight="false" outlineLevel="0" collapsed="false">
      <c r="A1118" s="7" t="str">
        <f aca="false">IF('Outro banco'!A1118="","",IF(LEFT('Outro banco'!A1118,1)="(","",'Outro banco'!A1118))</f>
        <v/>
      </c>
      <c r="B1118" s="7" t="str">
        <f aca="false">IF(A1118="","",'Outro banco'!B1118)</f>
        <v/>
      </c>
      <c r="C1118" s="7" t="str">
        <f aca="false">IF(A1118="","",'Outro banco'!C1118)</f>
        <v/>
      </c>
      <c r="D1118" s="7" t="str">
        <f aca="false">IF(A1118="","",'Outro banco'!D1118)</f>
        <v/>
      </c>
      <c r="E1118" s="9"/>
      <c r="F1118" s="9"/>
      <c r="G1118" s="7" t="str">
        <f aca="false">IF(A1118="","",IF(COUNTIF(Tabelas!$A:$A,IF(E1118="",A1118,E1118))&gt;0,"sim","não"))</f>
        <v/>
      </c>
      <c r="H1118" s="7" t="str">
        <f aca="false">IF(A1118="","",IF(E1118="",A1118,E1118)&amp;"."&amp;IF(F1118="",B1118,F1118))</f>
        <v/>
      </c>
      <c r="I1118" s="7" t="str">
        <f aca="false">IF(A1118="","",IFERROR(INDEX('Campos Growths'!$F:$F,MATCH(H1118,'Campos Growths'!$A:$A,0)),""))</f>
        <v/>
      </c>
      <c r="J1118" s="7" t="str">
        <f aca="false">IF(A1118="","",IFERROR(VLOOKUP(IF(ISNUMBER(SEARCH("(",C1118)),LEFT(C1118,SEARCH("(",C1118)-1),C1118),Tipos!$A:$B,2,FALSE()),"outro"))</f>
        <v/>
      </c>
      <c r="K1118" s="7" t="str">
        <f aca="false">IF(I1118="","",IFERROR(INDEX('Campos Growths'!$L:$L,MATCH(H1118,'Campos Growths'!$A:$A,0)),""))</f>
        <v/>
      </c>
      <c r="L1118" s="7" t="str">
        <f aca="false">IF(A1118="","",IF(G1118="não","Sem tabela no Growths",IF(I1118="","Sem campo no Growths",IF(J1118=K1118,"Importa direto","Ajustar tipo"))))</f>
        <v/>
      </c>
      <c r="M1118" s="9"/>
    </row>
    <row r="1119" customFormat="false" ht="15" hidden="false" customHeight="false" outlineLevel="0" collapsed="false">
      <c r="A1119" s="7" t="str">
        <f aca="false">IF('Outro banco'!A1119="","",IF(LEFT('Outro banco'!A1119,1)="(","",'Outro banco'!A1119))</f>
        <v/>
      </c>
      <c r="B1119" s="7" t="str">
        <f aca="false">IF(A1119="","",'Outro banco'!B1119)</f>
        <v/>
      </c>
      <c r="C1119" s="7" t="str">
        <f aca="false">IF(A1119="","",'Outro banco'!C1119)</f>
        <v/>
      </c>
      <c r="D1119" s="7" t="str">
        <f aca="false">IF(A1119="","",'Outro banco'!D1119)</f>
        <v/>
      </c>
      <c r="E1119" s="9"/>
      <c r="F1119" s="9"/>
      <c r="G1119" s="7" t="str">
        <f aca="false">IF(A1119="","",IF(COUNTIF(Tabelas!$A:$A,IF(E1119="",A1119,E1119))&gt;0,"sim","não"))</f>
        <v/>
      </c>
      <c r="H1119" s="7" t="str">
        <f aca="false">IF(A1119="","",IF(E1119="",A1119,E1119)&amp;"."&amp;IF(F1119="",B1119,F1119))</f>
        <v/>
      </c>
      <c r="I1119" s="7" t="str">
        <f aca="false">IF(A1119="","",IFERROR(INDEX('Campos Growths'!$F:$F,MATCH(H1119,'Campos Growths'!$A:$A,0)),""))</f>
        <v/>
      </c>
      <c r="J1119" s="7" t="str">
        <f aca="false">IF(A1119="","",IFERROR(VLOOKUP(IF(ISNUMBER(SEARCH("(",C1119)),LEFT(C1119,SEARCH("(",C1119)-1),C1119),Tipos!$A:$B,2,FALSE()),"outro"))</f>
        <v/>
      </c>
      <c r="K1119" s="7" t="str">
        <f aca="false">IF(I1119="","",IFERROR(INDEX('Campos Growths'!$L:$L,MATCH(H1119,'Campos Growths'!$A:$A,0)),""))</f>
        <v/>
      </c>
      <c r="L1119" s="7" t="str">
        <f aca="false">IF(A1119="","",IF(G1119="não","Sem tabela no Growths",IF(I1119="","Sem campo no Growths",IF(J1119=K1119,"Importa direto","Ajustar tipo"))))</f>
        <v/>
      </c>
      <c r="M1119" s="9"/>
    </row>
    <row r="1120" customFormat="false" ht="15" hidden="false" customHeight="false" outlineLevel="0" collapsed="false">
      <c r="A1120" s="7" t="str">
        <f aca="false">IF('Outro banco'!A1120="","",IF(LEFT('Outro banco'!A1120,1)="(","",'Outro banco'!A1120))</f>
        <v/>
      </c>
      <c r="B1120" s="7" t="str">
        <f aca="false">IF(A1120="","",'Outro banco'!B1120)</f>
        <v/>
      </c>
      <c r="C1120" s="7" t="str">
        <f aca="false">IF(A1120="","",'Outro banco'!C1120)</f>
        <v/>
      </c>
      <c r="D1120" s="7" t="str">
        <f aca="false">IF(A1120="","",'Outro banco'!D1120)</f>
        <v/>
      </c>
      <c r="E1120" s="9"/>
      <c r="F1120" s="9"/>
      <c r="G1120" s="7" t="str">
        <f aca="false">IF(A1120="","",IF(COUNTIF(Tabelas!$A:$A,IF(E1120="",A1120,E1120))&gt;0,"sim","não"))</f>
        <v/>
      </c>
      <c r="H1120" s="7" t="str">
        <f aca="false">IF(A1120="","",IF(E1120="",A1120,E1120)&amp;"."&amp;IF(F1120="",B1120,F1120))</f>
        <v/>
      </c>
      <c r="I1120" s="7" t="str">
        <f aca="false">IF(A1120="","",IFERROR(INDEX('Campos Growths'!$F:$F,MATCH(H1120,'Campos Growths'!$A:$A,0)),""))</f>
        <v/>
      </c>
      <c r="J1120" s="7" t="str">
        <f aca="false">IF(A1120="","",IFERROR(VLOOKUP(IF(ISNUMBER(SEARCH("(",C1120)),LEFT(C1120,SEARCH("(",C1120)-1),C1120),Tipos!$A:$B,2,FALSE()),"outro"))</f>
        <v/>
      </c>
      <c r="K1120" s="7" t="str">
        <f aca="false">IF(I1120="","",IFERROR(INDEX('Campos Growths'!$L:$L,MATCH(H1120,'Campos Growths'!$A:$A,0)),""))</f>
        <v/>
      </c>
      <c r="L1120" s="7" t="str">
        <f aca="false">IF(A1120="","",IF(G1120="não","Sem tabela no Growths",IF(I1120="","Sem campo no Growths",IF(J1120=K1120,"Importa direto","Ajustar tipo"))))</f>
        <v/>
      </c>
      <c r="M1120" s="9"/>
    </row>
    <row r="1121" customFormat="false" ht="15" hidden="false" customHeight="false" outlineLevel="0" collapsed="false">
      <c r="A1121" s="7" t="str">
        <f aca="false">IF('Outro banco'!A1121="","",IF(LEFT('Outro banco'!A1121,1)="(","",'Outro banco'!A1121))</f>
        <v/>
      </c>
      <c r="B1121" s="7" t="str">
        <f aca="false">IF(A1121="","",'Outro banco'!B1121)</f>
        <v/>
      </c>
      <c r="C1121" s="7" t="str">
        <f aca="false">IF(A1121="","",'Outro banco'!C1121)</f>
        <v/>
      </c>
      <c r="D1121" s="7" t="str">
        <f aca="false">IF(A1121="","",'Outro banco'!D1121)</f>
        <v/>
      </c>
      <c r="E1121" s="9"/>
      <c r="F1121" s="9"/>
      <c r="G1121" s="7" t="str">
        <f aca="false">IF(A1121="","",IF(COUNTIF(Tabelas!$A:$A,IF(E1121="",A1121,E1121))&gt;0,"sim","não"))</f>
        <v/>
      </c>
      <c r="H1121" s="7" t="str">
        <f aca="false">IF(A1121="","",IF(E1121="",A1121,E1121)&amp;"."&amp;IF(F1121="",B1121,F1121))</f>
        <v/>
      </c>
      <c r="I1121" s="7" t="str">
        <f aca="false">IF(A1121="","",IFERROR(INDEX('Campos Growths'!$F:$F,MATCH(H1121,'Campos Growths'!$A:$A,0)),""))</f>
        <v/>
      </c>
      <c r="J1121" s="7" t="str">
        <f aca="false">IF(A1121="","",IFERROR(VLOOKUP(IF(ISNUMBER(SEARCH("(",C1121)),LEFT(C1121,SEARCH("(",C1121)-1),C1121),Tipos!$A:$B,2,FALSE()),"outro"))</f>
        <v/>
      </c>
      <c r="K1121" s="7" t="str">
        <f aca="false">IF(I1121="","",IFERROR(INDEX('Campos Growths'!$L:$L,MATCH(H1121,'Campos Growths'!$A:$A,0)),""))</f>
        <v/>
      </c>
      <c r="L1121" s="7" t="str">
        <f aca="false">IF(A1121="","",IF(G1121="não","Sem tabela no Growths",IF(I1121="","Sem campo no Growths",IF(J1121=K1121,"Importa direto","Ajustar tipo"))))</f>
        <v/>
      </c>
      <c r="M1121" s="9"/>
    </row>
    <row r="1122" customFormat="false" ht="15" hidden="false" customHeight="false" outlineLevel="0" collapsed="false">
      <c r="A1122" s="7" t="str">
        <f aca="false">IF('Outro banco'!A1122="","",IF(LEFT('Outro banco'!A1122,1)="(","",'Outro banco'!A1122))</f>
        <v/>
      </c>
      <c r="B1122" s="7" t="str">
        <f aca="false">IF(A1122="","",'Outro banco'!B1122)</f>
        <v/>
      </c>
      <c r="C1122" s="7" t="str">
        <f aca="false">IF(A1122="","",'Outro banco'!C1122)</f>
        <v/>
      </c>
      <c r="D1122" s="7" t="str">
        <f aca="false">IF(A1122="","",'Outro banco'!D1122)</f>
        <v/>
      </c>
      <c r="E1122" s="9"/>
      <c r="F1122" s="9"/>
      <c r="G1122" s="7" t="str">
        <f aca="false">IF(A1122="","",IF(COUNTIF(Tabelas!$A:$A,IF(E1122="",A1122,E1122))&gt;0,"sim","não"))</f>
        <v/>
      </c>
      <c r="H1122" s="7" t="str">
        <f aca="false">IF(A1122="","",IF(E1122="",A1122,E1122)&amp;"."&amp;IF(F1122="",B1122,F1122))</f>
        <v/>
      </c>
      <c r="I1122" s="7" t="str">
        <f aca="false">IF(A1122="","",IFERROR(INDEX('Campos Growths'!$F:$F,MATCH(H1122,'Campos Growths'!$A:$A,0)),""))</f>
        <v/>
      </c>
      <c r="J1122" s="7" t="str">
        <f aca="false">IF(A1122="","",IFERROR(VLOOKUP(IF(ISNUMBER(SEARCH("(",C1122)),LEFT(C1122,SEARCH("(",C1122)-1),C1122),Tipos!$A:$B,2,FALSE()),"outro"))</f>
        <v/>
      </c>
      <c r="K1122" s="7" t="str">
        <f aca="false">IF(I1122="","",IFERROR(INDEX('Campos Growths'!$L:$L,MATCH(H1122,'Campos Growths'!$A:$A,0)),""))</f>
        <v/>
      </c>
      <c r="L1122" s="7" t="str">
        <f aca="false">IF(A1122="","",IF(G1122="não","Sem tabela no Growths",IF(I1122="","Sem campo no Growths",IF(J1122=K1122,"Importa direto","Ajustar tipo"))))</f>
        <v/>
      </c>
      <c r="M1122" s="9"/>
    </row>
    <row r="1123" customFormat="false" ht="15" hidden="false" customHeight="false" outlineLevel="0" collapsed="false">
      <c r="A1123" s="7" t="str">
        <f aca="false">IF('Outro banco'!A1123="","",IF(LEFT('Outro banco'!A1123,1)="(","",'Outro banco'!A1123))</f>
        <v/>
      </c>
      <c r="B1123" s="7" t="str">
        <f aca="false">IF(A1123="","",'Outro banco'!B1123)</f>
        <v/>
      </c>
      <c r="C1123" s="7" t="str">
        <f aca="false">IF(A1123="","",'Outro banco'!C1123)</f>
        <v/>
      </c>
      <c r="D1123" s="7" t="str">
        <f aca="false">IF(A1123="","",'Outro banco'!D1123)</f>
        <v/>
      </c>
      <c r="E1123" s="9"/>
      <c r="F1123" s="9"/>
      <c r="G1123" s="7" t="str">
        <f aca="false">IF(A1123="","",IF(COUNTIF(Tabelas!$A:$A,IF(E1123="",A1123,E1123))&gt;0,"sim","não"))</f>
        <v/>
      </c>
      <c r="H1123" s="7" t="str">
        <f aca="false">IF(A1123="","",IF(E1123="",A1123,E1123)&amp;"."&amp;IF(F1123="",B1123,F1123))</f>
        <v/>
      </c>
      <c r="I1123" s="7" t="str">
        <f aca="false">IF(A1123="","",IFERROR(INDEX('Campos Growths'!$F:$F,MATCH(H1123,'Campos Growths'!$A:$A,0)),""))</f>
        <v/>
      </c>
      <c r="J1123" s="7" t="str">
        <f aca="false">IF(A1123="","",IFERROR(VLOOKUP(IF(ISNUMBER(SEARCH("(",C1123)),LEFT(C1123,SEARCH("(",C1123)-1),C1123),Tipos!$A:$B,2,FALSE()),"outro"))</f>
        <v/>
      </c>
      <c r="K1123" s="7" t="str">
        <f aca="false">IF(I1123="","",IFERROR(INDEX('Campos Growths'!$L:$L,MATCH(H1123,'Campos Growths'!$A:$A,0)),""))</f>
        <v/>
      </c>
      <c r="L1123" s="7" t="str">
        <f aca="false">IF(A1123="","",IF(G1123="não","Sem tabela no Growths",IF(I1123="","Sem campo no Growths",IF(J1123=K1123,"Importa direto","Ajustar tipo"))))</f>
        <v/>
      </c>
      <c r="M1123" s="9"/>
    </row>
    <row r="1124" customFormat="false" ht="15" hidden="false" customHeight="false" outlineLevel="0" collapsed="false">
      <c r="A1124" s="7" t="str">
        <f aca="false">IF('Outro banco'!A1124="","",IF(LEFT('Outro banco'!A1124,1)="(","",'Outro banco'!A1124))</f>
        <v/>
      </c>
      <c r="B1124" s="7" t="str">
        <f aca="false">IF(A1124="","",'Outro banco'!B1124)</f>
        <v/>
      </c>
      <c r="C1124" s="7" t="str">
        <f aca="false">IF(A1124="","",'Outro banco'!C1124)</f>
        <v/>
      </c>
      <c r="D1124" s="7" t="str">
        <f aca="false">IF(A1124="","",'Outro banco'!D1124)</f>
        <v/>
      </c>
      <c r="E1124" s="9"/>
      <c r="F1124" s="9"/>
      <c r="G1124" s="7" t="str">
        <f aca="false">IF(A1124="","",IF(COUNTIF(Tabelas!$A:$A,IF(E1124="",A1124,E1124))&gt;0,"sim","não"))</f>
        <v/>
      </c>
      <c r="H1124" s="7" t="str">
        <f aca="false">IF(A1124="","",IF(E1124="",A1124,E1124)&amp;"."&amp;IF(F1124="",B1124,F1124))</f>
        <v/>
      </c>
      <c r="I1124" s="7" t="str">
        <f aca="false">IF(A1124="","",IFERROR(INDEX('Campos Growths'!$F:$F,MATCH(H1124,'Campos Growths'!$A:$A,0)),""))</f>
        <v/>
      </c>
      <c r="J1124" s="7" t="str">
        <f aca="false">IF(A1124="","",IFERROR(VLOOKUP(IF(ISNUMBER(SEARCH("(",C1124)),LEFT(C1124,SEARCH("(",C1124)-1),C1124),Tipos!$A:$B,2,FALSE()),"outro"))</f>
        <v/>
      </c>
      <c r="K1124" s="7" t="str">
        <f aca="false">IF(I1124="","",IFERROR(INDEX('Campos Growths'!$L:$L,MATCH(H1124,'Campos Growths'!$A:$A,0)),""))</f>
        <v/>
      </c>
      <c r="L1124" s="7" t="str">
        <f aca="false">IF(A1124="","",IF(G1124="não","Sem tabela no Growths",IF(I1124="","Sem campo no Growths",IF(J1124=K1124,"Importa direto","Ajustar tipo"))))</f>
        <v/>
      </c>
      <c r="M1124" s="9"/>
    </row>
    <row r="1125" customFormat="false" ht="15" hidden="false" customHeight="false" outlineLevel="0" collapsed="false">
      <c r="A1125" s="7" t="str">
        <f aca="false">IF('Outro banco'!A1125="","",IF(LEFT('Outro banco'!A1125,1)="(","",'Outro banco'!A1125))</f>
        <v/>
      </c>
      <c r="B1125" s="7" t="str">
        <f aca="false">IF(A1125="","",'Outro banco'!B1125)</f>
        <v/>
      </c>
      <c r="C1125" s="7" t="str">
        <f aca="false">IF(A1125="","",'Outro banco'!C1125)</f>
        <v/>
      </c>
      <c r="D1125" s="7" t="str">
        <f aca="false">IF(A1125="","",'Outro banco'!D1125)</f>
        <v/>
      </c>
      <c r="E1125" s="9"/>
      <c r="F1125" s="9"/>
      <c r="G1125" s="7" t="str">
        <f aca="false">IF(A1125="","",IF(COUNTIF(Tabelas!$A:$A,IF(E1125="",A1125,E1125))&gt;0,"sim","não"))</f>
        <v/>
      </c>
      <c r="H1125" s="7" t="str">
        <f aca="false">IF(A1125="","",IF(E1125="",A1125,E1125)&amp;"."&amp;IF(F1125="",B1125,F1125))</f>
        <v/>
      </c>
      <c r="I1125" s="7" t="str">
        <f aca="false">IF(A1125="","",IFERROR(INDEX('Campos Growths'!$F:$F,MATCH(H1125,'Campos Growths'!$A:$A,0)),""))</f>
        <v/>
      </c>
      <c r="J1125" s="7" t="str">
        <f aca="false">IF(A1125="","",IFERROR(VLOOKUP(IF(ISNUMBER(SEARCH("(",C1125)),LEFT(C1125,SEARCH("(",C1125)-1),C1125),Tipos!$A:$B,2,FALSE()),"outro"))</f>
        <v/>
      </c>
      <c r="K1125" s="7" t="str">
        <f aca="false">IF(I1125="","",IFERROR(INDEX('Campos Growths'!$L:$L,MATCH(H1125,'Campos Growths'!$A:$A,0)),""))</f>
        <v/>
      </c>
      <c r="L1125" s="7" t="str">
        <f aca="false">IF(A1125="","",IF(G1125="não","Sem tabela no Growths",IF(I1125="","Sem campo no Growths",IF(J1125=K1125,"Importa direto","Ajustar tipo"))))</f>
        <v/>
      </c>
      <c r="M1125" s="9"/>
    </row>
    <row r="1126" customFormat="false" ht="15" hidden="false" customHeight="false" outlineLevel="0" collapsed="false">
      <c r="A1126" s="7" t="str">
        <f aca="false">IF('Outro banco'!A1126="","",IF(LEFT('Outro banco'!A1126,1)="(","",'Outro banco'!A1126))</f>
        <v/>
      </c>
      <c r="B1126" s="7" t="str">
        <f aca="false">IF(A1126="","",'Outro banco'!B1126)</f>
        <v/>
      </c>
      <c r="C1126" s="7" t="str">
        <f aca="false">IF(A1126="","",'Outro banco'!C1126)</f>
        <v/>
      </c>
      <c r="D1126" s="7" t="str">
        <f aca="false">IF(A1126="","",'Outro banco'!D1126)</f>
        <v/>
      </c>
      <c r="E1126" s="9"/>
      <c r="F1126" s="9"/>
      <c r="G1126" s="7" t="str">
        <f aca="false">IF(A1126="","",IF(COUNTIF(Tabelas!$A:$A,IF(E1126="",A1126,E1126))&gt;0,"sim","não"))</f>
        <v/>
      </c>
      <c r="H1126" s="7" t="str">
        <f aca="false">IF(A1126="","",IF(E1126="",A1126,E1126)&amp;"."&amp;IF(F1126="",B1126,F1126))</f>
        <v/>
      </c>
      <c r="I1126" s="7" t="str">
        <f aca="false">IF(A1126="","",IFERROR(INDEX('Campos Growths'!$F:$F,MATCH(H1126,'Campos Growths'!$A:$A,0)),""))</f>
        <v/>
      </c>
      <c r="J1126" s="7" t="str">
        <f aca="false">IF(A1126="","",IFERROR(VLOOKUP(IF(ISNUMBER(SEARCH("(",C1126)),LEFT(C1126,SEARCH("(",C1126)-1),C1126),Tipos!$A:$B,2,FALSE()),"outro"))</f>
        <v/>
      </c>
      <c r="K1126" s="7" t="str">
        <f aca="false">IF(I1126="","",IFERROR(INDEX('Campos Growths'!$L:$L,MATCH(H1126,'Campos Growths'!$A:$A,0)),""))</f>
        <v/>
      </c>
      <c r="L1126" s="7" t="str">
        <f aca="false">IF(A1126="","",IF(G1126="não","Sem tabela no Growths",IF(I1126="","Sem campo no Growths",IF(J1126=K1126,"Importa direto","Ajustar tipo"))))</f>
        <v/>
      </c>
      <c r="M1126" s="9"/>
    </row>
    <row r="1127" customFormat="false" ht="15" hidden="false" customHeight="false" outlineLevel="0" collapsed="false">
      <c r="A1127" s="7" t="str">
        <f aca="false">IF('Outro banco'!A1127="","",IF(LEFT('Outro banco'!A1127,1)="(","",'Outro banco'!A1127))</f>
        <v/>
      </c>
      <c r="B1127" s="7" t="str">
        <f aca="false">IF(A1127="","",'Outro banco'!B1127)</f>
        <v/>
      </c>
      <c r="C1127" s="7" t="str">
        <f aca="false">IF(A1127="","",'Outro banco'!C1127)</f>
        <v/>
      </c>
      <c r="D1127" s="7" t="str">
        <f aca="false">IF(A1127="","",'Outro banco'!D1127)</f>
        <v/>
      </c>
      <c r="E1127" s="9"/>
      <c r="F1127" s="9"/>
      <c r="G1127" s="7" t="str">
        <f aca="false">IF(A1127="","",IF(COUNTIF(Tabelas!$A:$A,IF(E1127="",A1127,E1127))&gt;0,"sim","não"))</f>
        <v/>
      </c>
      <c r="H1127" s="7" t="str">
        <f aca="false">IF(A1127="","",IF(E1127="",A1127,E1127)&amp;"."&amp;IF(F1127="",B1127,F1127))</f>
        <v/>
      </c>
      <c r="I1127" s="7" t="str">
        <f aca="false">IF(A1127="","",IFERROR(INDEX('Campos Growths'!$F:$F,MATCH(H1127,'Campos Growths'!$A:$A,0)),""))</f>
        <v/>
      </c>
      <c r="J1127" s="7" t="str">
        <f aca="false">IF(A1127="","",IFERROR(VLOOKUP(IF(ISNUMBER(SEARCH("(",C1127)),LEFT(C1127,SEARCH("(",C1127)-1),C1127),Tipos!$A:$B,2,FALSE()),"outro"))</f>
        <v/>
      </c>
      <c r="K1127" s="7" t="str">
        <f aca="false">IF(I1127="","",IFERROR(INDEX('Campos Growths'!$L:$L,MATCH(H1127,'Campos Growths'!$A:$A,0)),""))</f>
        <v/>
      </c>
      <c r="L1127" s="7" t="str">
        <f aca="false">IF(A1127="","",IF(G1127="não","Sem tabela no Growths",IF(I1127="","Sem campo no Growths",IF(J1127=K1127,"Importa direto","Ajustar tipo"))))</f>
        <v/>
      </c>
      <c r="M1127" s="9"/>
    </row>
    <row r="1128" customFormat="false" ht="15" hidden="false" customHeight="false" outlineLevel="0" collapsed="false">
      <c r="A1128" s="7" t="str">
        <f aca="false">IF('Outro banco'!A1128="","",IF(LEFT('Outro banco'!A1128,1)="(","",'Outro banco'!A1128))</f>
        <v/>
      </c>
      <c r="B1128" s="7" t="str">
        <f aca="false">IF(A1128="","",'Outro banco'!B1128)</f>
        <v/>
      </c>
      <c r="C1128" s="7" t="str">
        <f aca="false">IF(A1128="","",'Outro banco'!C1128)</f>
        <v/>
      </c>
      <c r="D1128" s="7" t="str">
        <f aca="false">IF(A1128="","",'Outro banco'!D1128)</f>
        <v/>
      </c>
      <c r="E1128" s="9"/>
      <c r="F1128" s="9"/>
      <c r="G1128" s="7" t="str">
        <f aca="false">IF(A1128="","",IF(COUNTIF(Tabelas!$A:$A,IF(E1128="",A1128,E1128))&gt;0,"sim","não"))</f>
        <v/>
      </c>
      <c r="H1128" s="7" t="str">
        <f aca="false">IF(A1128="","",IF(E1128="",A1128,E1128)&amp;"."&amp;IF(F1128="",B1128,F1128))</f>
        <v/>
      </c>
      <c r="I1128" s="7" t="str">
        <f aca="false">IF(A1128="","",IFERROR(INDEX('Campos Growths'!$F:$F,MATCH(H1128,'Campos Growths'!$A:$A,0)),""))</f>
        <v/>
      </c>
      <c r="J1128" s="7" t="str">
        <f aca="false">IF(A1128="","",IFERROR(VLOOKUP(IF(ISNUMBER(SEARCH("(",C1128)),LEFT(C1128,SEARCH("(",C1128)-1),C1128),Tipos!$A:$B,2,FALSE()),"outro"))</f>
        <v/>
      </c>
      <c r="K1128" s="7" t="str">
        <f aca="false">IF(I1128="","",IFERROR(INDEX('Campos Growths'!$L:$L,MATCH(H1128,'Campos Growths'!$A:$A,0)),""))</f>
        <v/>
      </c>
      <c r="L1128" s="7" t="str">
        <f aca="false">IF(A1128="","",IF(G1128="não","Sem tabela no Growths",IF(I1128="","Sem campo no Growths",IF(J1128=K1128,"Importa direto","Ajustar tipo"))))</f>
        <v/>
      </c>
      <c r="M1128" s="9"/>
    </row>
    <row r="1129" customFormat="false" ht="15" hidden="false" customHeight="false" outlineLevel="0" collapsed="false">
      <c r="A1129" s="7" t="str">
        <f aca="false">IF('Outro banco'!A1129="","",IF(LEFT('Outro banco'!A1129,1)="(","",'Outro banco'!A1129))</f>
        <v/>
      </c>
      <c r="B1129" s="7" t="str">
        <f aca="false">IF(A1129="","",'Outro banco'!B1129)</f>
        <v/>
      </c>
      <c r="C1129" s="7" t="str">
        <f aca="false">IF(A1129="","",'Outro banco'!C1129)</f>
        <v/>
      </c>
      <c r="D1129" s="7" t="str">
        <f aca="false">IF(A1129="","",'Outro banco'!D1129)</f>
        <v/>
      </c>
      <c r="E1129" s="9"/>
      <c r="F1129" s="9"/>
      <c r="G1129" s="7" t="str">
        <f aca="false">IF(A1129="","",IF(COUNTIF(Tabelas!$A:$A,IF(E1129="",A1129,E1129))&gt;0,"sim","não"))</f>
        <v/>
      </c>
      <c r="H1129" s="7" t="str">
        <f aca="false">IF(A1129="","",IF(E1129="",A1129,E1129)&amp;"."&amp;IF(F1129="",B1129,F1129))</f>
        <v/>
      </c>
      <c r="I1129" s="7" t="str">
        <f aca="false">IF(A1129="","",IFERROR(INDEX('Campos Growths'!$F:$F,MATCH(H1129,'Campos Growths'!$A:$A,0)),""))</f>
        <v/>
      </c>
      <c r="J1129" s="7" t="str">
        <f aca="false">IF(A1129="","",IFERROR(VLOOKUP(IF(ISNUMBER(SEARCH("(",C1129)),LEFT(C1129,SEARCH("(",C1129)-1),C1129),Tipos!$A:$B,2,FALSE()),"outro"))</f>
        <v/>
      </c>
      <c r="K1129" s="7" t="str">
        <f aca="false">IF(I1129="","",IFERROR(INDEX('Campos Growths'!$L:$L,MATCH(H1129,'Campos Growths'!$A:$A,0)),""))</f>
        <v/>
      </c>
      <c r="L1129" s="7" t="str">
        <f aca="false">IF(A1129="","",IF(G1129="não","Sem tabela no Growths",IF(I1129="","Sem campo no Growths",IF(J1129=K1129,"Importa direto","Ajustar tipo"))))</f>
        <v/>
      </c>
      <c r="M1129" s="9"/>
    </row>
    <row r="1130" customFormat="false" ht="15" hidden="false" customHeight="false" outlineLevel="0" collapsed="false">
      <c r="A1130" s="7" t="str">
        <f aca="false">IF('Outro banco'!A1130="","",IF(LEFT('Outro banco'!A1130,1)="(","",'Outro banco'!A1130))</f>
        <v/>
      </c>
      <c r="B1130" s="7" t="str">
        <f aca="false">IF(A1130="","",'Outro banco'!B1130)</f>
        <v/>
      </c>
      <c r="C1130" s="7" t="str">
        <f aca="false">IF(A1130="","",'Outro banco'!C1130)</f>
        <v/>
      </c>
      <c r="D1130" s="7" t="str">
        <f aca="false">IF(A1130="","",'Outro banco'!D1130)</f>
        <v/>
      </c>
      <c r="E1130" s="9"/>
      <c r="F1130" s="9"/>
      <c r="G1130" s="7" t="str">
        <f aca="false">IF(A1130="","",IF(COUNTIF(Tabelas!$A:$A,IF(E1130="",A1130,E1130))&gt;0,"sim","não"))</f>
        <v/>
      </c>
      <c r="H1130" s="7" t="str">
        <f aca="false">IF(A1130="","",IF(E1130="",A1130,E1130)&amp;"."&amp;IF(F1130="",B1130,F1130))</f>
        <v/>
      </c>
      <c r="I1130" s="7" t="str">
        <f aca="false">IF(A1130="","",IFERROR(INDEX('Campos Growths'!$F:$F,MATCH(H1130,'Campos Growths'!$A:$A,0)),""))</f>
        <v/>
      </c>
      <c r="J1130" s="7" t="str">
        <f aca="false">IF(A1130="","",IFERROR(VLOOKUP(IF(ISNUMBER(SEARCH("(",C1130)),LEFT(C1130,SEARCH("(",C1130)-1),C1130),Tipos!$A:$B,2,FALSE()),"outro"))</f>
        <v/>
      </c>
      <c r="K1130" s="7" t="str">
        <f aca="false">IF(I1130="","",IFERROR(INDEX('Campos Growths'!$L:$L,MATCH(H1130,'Campos Growths'!$A:$A,0)),""))</f>
        <v/>
      </c>
      <c r="L1130" s="7" t="str">
        <f aca="false">IF(A1130="","",IF(G1130="não","Sem tabela no Growths",IF(I1130="","Sem campo no Growths",IF(J1130=K1130,"Importa direto","Ajustar tipo"))))</f>
        <v/>
      </c>
      <c r="M1130" s="9"/>
    </row>
    <row r="1131" customFormat="false" ht="15" hidden="false" customHeight="false" outlineLevel="0" collapsed="false">
      <c r="A1131" s="7" t="str">
        <f aca="false">IF('Outro banco'!A1131="","",IF(LEFT('Outro banco'!A1131,1)="(","",'Outro banco'!A1131))</f>
        <v/>
      </c>
      <c r="B1131" s="7" t="str">
        <f aca="false">IF(A1131="","",'Outro banco'!B1131)</f>
        <v/>
      </c>
      <c r="C1131" s="7" t="str">
        <f aca="false">IF(A1131="","",'Outro banco'!C1131)</f>
        <v/>
      </c>
      <c r="D1131" s="7" t="str">
        <f aca="false">IF(A1131="","",'Outro banco'!D1131)</f>
        <v/>
      </c>
      <c r="E1131" s="9"/>
      <c r="F1131" s="9"/>
      <c r="G1131" s="7" t="str">
        <f aca="false">IF(A1131="","",IF(COUNTIF(Tabelas!$A:$A,IF(E1131="",A1131,E1131))&gt;0,"sim","não"))</f>
        <v/>
      </c>
      <c r="H1131" s="7" t="str">
        <f aca="false">IF(A1131="","",IF(E1131="",A1131,E1131)&amp;"."&amp;IF(F1131="",B1131,F1131))</f>
        <v/>
      </c>
      <c r="I1131" s="7" t="str">
        <f aca="false">IF(A1131="","",IFERROR(INDEX('Campos Growths'!$F:$F,MATCH(H1131,'Campos Growths'!$A:$A,0)),""))</f>
        <v/>
      </c>
      <c r="J1131" s="7" t="str">
        <f aca="false">IF(A1131="","",IFERROR(VLOOKUP(IF(ISNUMBER(SEARCH("(",C1131)),LEFT(C1131,SEARCH("(",C1131)-1),C1131),Tipos!$A:$B,2,FALSE()),"outro"))</f>
        <v/>
      </c>
      <c r="K1131" s="7" t="str">
        <f aca="false">IF(I1131="","",IFERROR(INDEX('Campos Growths'!$L:$L,MATCH(H1131,'Campos Growths'!$A:$A,0)),""))</f>
        <v/>
      </c>
      <c r="L1131" s="7" t="str">
        <f aca="false">IF(A1131="","",IF(G1131="não","Sem tabela no Growths",IF(I1131="","Sem campo no Growths",IF(J1131=K1131,"Importa direto","Ajustar tipo"))))</f>
        <v/>
      </c>
      <c r="M1131" s="9"/>
    </row>
    <row r="1132" customFormat="false" ht="15" hidden="false" customHeight="false" outlineLevel="0" collapsed="false">
      <c r="A1132" s="7" t="str">
        <f aca="false">IF('Outro banco'!A1132="","",IF(LEFT('Outro banco'!A1132,1)="(","",'Outro banco'!A1132))</f>
        <v/>
      </c>
      <c r="B1132" s="7" t="str">
        <f aca="false">IF(A1132="","",'Outro banco'!B1132)</f>
        <v/>
      </c>
      <c r="C1132" s="7" t="str">
        <f aca="false">IF(A1132="","",'Outro banco'!C1132)</f>
        <v/>
      </c>
      <c r="D1132" s="7" t="str">
        <f aca="false">IF(A1132="","",'Outro banco'!D1132)</f>
        <v/>
      </c>
      <c r="E1132" s="9"/>
      <c r="F1132" s="9"/>
      <c r="G1132" s="7" t="str">
        <f aca="false">IF(A1132="","",IF(COUNTIF(Tabelas!$A:$A,IF(E1132="",A1132,E1132))&gt;0,"sim","não"))</f>
        <v/>
      </c>
      <c r="H1132" s="7" t="str">
        <f aca="false">IF(A1132="","",IF(E1132="",A1132,E1132)&amp;"."&amp;IF(F1132="",B1132,F1132))</f>
        <v/>
      </c>
      <c r="I1132" s="7" t="str">
        <f aca="false">IF(A1132="","",IFERROR(INDEX('Campos Growths'!$F:$F,MATCH(H1132,'Campos Growths'!$A:$A,0)),""))</f>
        <v/>
      </c>
      <c r="J1132" s="7" t="str">
        <f aca="false">IF(A1132="","",IFERROR(VLOOKUP(IF(ISNUMBER(SEARCH("(",C1132)),LEFT(C1132,SEARCH("(",C1132)-1),C1132),Tipos!$A:$B,2,FALSE()),"outro"))</f>
        <v/>
      </c>
      <c r="K1132" s="7" t="str">
        <f aca="false">IF(I1132="","",IFERROR(INDEX('Campos Growths'!$L:$L,MATCH(H1132,'Campos Growths'!$A:$A,0)),""))</f>
        <v/>
      </c>
      <c r="L1132" s="7" t="str">
        <f aca="false">IF(A1132="","",IF(G1132="não","Sem tabela no Growths",IF(I1132="","Sem campo no Growths",IF(J1132=K1132,"Importa direto","Ajustar tipo"))))</f>
        <v/>
      </c>
      <c r="M1132" s="9"/>
    </row>
    <row r="1133" customFormat="false" ht="15" hidden="false" customHeight="false" outlineLevel="0" collapsed="false">
      <c r="A1133" s="7" t="str">
        <f aca="false">IF('Outro banco'!A1133="","",IF(LEFT('Outro banco'!A1133,1)="(","",'Outro banco'!A1133))</f>
        <v/>
      </c>
      <c r="B1133" s="7" t="str">
        <f aca="false">IF(A1133="","",'Outro banco'!B1133)</f>
        <v/>
      </c>
      <c r="C1133" s="7" t="str">
        <f aca="false">IF(A1133="","",'Outro banco'!C1133)</f>
        <v/>
      </c>
      <c r="D1133" s="7" t="str">
        <f aca="false">IF(A1133="","",'Outro banco'!D1133)</f>
        <v/>
      </c>
      <c r="E1133" s="9"/>
      <c r="F1133" s="9"/>
      <c r="G1133" s="7" t="str">
        <f aca="false">IF(A1133="","",IF(COUNTIF(Tabelas!$A:$A,IF(E1133="",A1133,E1133))&gt;0,"sim","não"))</f>
        <v/>
      </c>
      <c r="H1133" s="7" t="str">
        <f aca="false">IF(A1133="","",IF(E1133="",A1133,E1133)&amp;"."&amp;IF(F1133="",B1133,F1133))</f>
        <v/>
      </c>
      <c r="I1133" s="7" t="str">
        <f aca="false">IF(A1133="","",IFERROR(INDEX('Campos Growths'!$F:$F,MATCH(H1133,'Campos Growths'!$A:$A,0)),""))</f>
        <v/>
      </c>
      <c r="J1133" s="7" t="str">
        <f aca="false">IF(A1133="","",IFERROR(VLOOKUP(IF(ISNUMBER(SEARCH("(",C1133)),LEFT(C1133,SEARCH("(",C1133)-1),C1133),Tipos!$A:$B,2,FALSE()),"outro"))</f>
        <v/>
      </c>
      <c r="K1133" s="7" t="str">
        <f aca="false">IF(I1133="","",IFERROR(INDEX('Campos Growths'!$L:$L,MATCH(H1133,'Campos Growths'!$A:$A,0)),""))</f>
        <v/>
      </c>
      <c r="L1133" s="7" t="str">
        <f aca="false">IF(A1133="","",IF(G1133="não","Sem tabela no Growths",IF(I1133="","Sem campo no Growths",IF(J1133=K1133,"Importa direto","Ajustar tipo"))))</f>
        <v/>
      </c>
      <c r="M1133" s="9"/>
    </row>
    <row r="1134" customFormat="false" ht="15" hidden="false" customHeight="false" outlineLevel="0" collapsed="false">
      <c r="A1134" s="7" t="str">
        <f aca="false">IF('Outro banco'!A1134="","",IF(LEFT('Outro banco'!A1134,1)="(","",'Outro banco'!A1134))</f>
        <v/>
      </c>
      <c r="B1134" s="7" t="str">
        <f aca="false">IF(A1134="","",'Outro banco'!B1134)</f>
        <v/>
      </c>
      <c r="C1134" s="7" t="str">
        <f aca="false">IF(A1134="","",'Outro banco'!C1134)</f>
        <v/>
      </c>
      <c r="D1134" s="7" t="str">
        <f aca="false">IF(A1134="","",'Outro banco'!D1134)</f>
        <v/>
      </c>
      <c r="E1134" s="9"/>
      <c r="F1134" s="9"/>
      <c r="G1134" s="7" t="str">
        <f aca="false">IF(A1134="","",IF(COUNTIF(Tabelas!$A:$A,IF(E1134="",A1134,E1134))&gt;0,"sim","não"))</f>
        <v/>
      </c>
      <c r="H1134" s="7" t="str">
        <f aca="false">IF(A1134="","",IF(E1134="",A1134,E1134)&amp;"."&amp;IF(F1134="",B1134,F1134))</f>
        <v/>
      </c>
      <c r="I1134" s="7" t="str">
        <f aca="false">IF(A1134="","",IFERROR(INDEX('Campos Growths'!$F:$F,MATCH(H1134,'Campos Growths'!$A:$A,0)),""))</f>
        <v/>
      </c>
      <c r="J1134" s="7" t="str">
        <f aca="false">IF(A1134="","",IFERROR(VLOOKUP(IF(ISNUMBER(SEARCH("(",C1134)),LEFT(C1134,SEARCH("(",C1134)-1),C1134),Tipos!$A:$B,2,FALSE()),"outro"))</f>
        <v/>
      </c>
      <c r="K1134" s="7" t="str">
        <f aca="false">IF(I1134="","",IFERROR(INDEX('Campos Growths'!$L:$L,MATCH(H1134,'Campos Growths'!$A:$A,0)),""))</f>
        <v/>
      </c>
      <c r="L1134" s="7" t="str">
        <f aca="false">IF(A1134="","",IF(G1134="não","Sem tabela no Growths",IF(I1134="","Sem campo no Growths",IF(J1134=K1134,"Importa direto","Ajustar tipo"))))</f>
        <v/>
      </c>
      <c r="M1134" s="9"/>
    </row>
    <row r="1135" customFormat="false" ht="15" hidden="false" customHeight="false" outlineLevel="0" collapsed="false">
      <c r="A1135" s="7" t="str">
        <f aca="false">IF('Outro banco'!A1135="","",IF(LEFT('Outro banco'!A1135,1)="(","",'Outro banco'!A1135))</f>
        <v/>
      </c>
      <c r="B1135" s="7" t="str">
        <f aca="false">IF(A1135="","",'Outro banco'!B1135)</f>
        <v/>
      </c>
      <c r="C1135" s="7" t="str">
        <f aca="false">IF(A1135="","",'Outro banco'!C1135)</f>
        <v/>
      </c>
      <c r="D1135" s="7" t="str">
        <f aca="false">IF(A1135="","",'Outro banco'!D1135)</f>
        <v/>
      </c>
      <c r="E1135" s="9"/>
      <c r="F1135" s="9"/>
      <c r="G1135" s="7" t="str">
        <f aca="false">IF(A1135="","",IF(COUNTIF(Tabelas!$A:$A,IF(E1135="",A1135,E1135))&gt;0,"sim","não"))</f>
        <v/>
      </c>
      <c r="H1135" s="7" t="str">
        <f aca="false">IF(A1135="","",IF(E1135="",A1135,E1135)&amp;"."&amp;IF(F1135="",B1135,F1135))</f>
        <v/>
      </c>
      <c r="I1135" s="7" t="str">
        <f aca="false">IF(A1135="","",IFERROR(INDEX('Campos Growths'!$F:$F,MATCH(H1135,'Campos Growths'!$A:$A,0)),""))</f>
        <v/>
      </c>
      <c r="J1135" s="7" t="str">
        <f aca="false">IF(A1135="","",IFERROR(VLOOKUP(IF(ISNUMBER(SEARCH("(",C1135)),LEFT(C1135,SEARCH("(",C1135)-1),C1135),Tipos!$A:$B,2,FALSE()),"outro"))</f>
        <v/>
      </c>
      <c r="K1135" s="7" t="str">
        <f aca="false">IF(I1135="","",IFERROR(INDEX('Campos Growths'!$L:$L,MATCH(H1135,'Campos Growths'!$A:$A,0)),""))</f>
        <v/>
      </c>
      <c r="L1135" s="7" t="str">
        <f aca="false">IF(A1135="","",IF(G1135="não","Sem tabela no Growths",IF(I1135="","Sem campo no Growths",IF(J1135=K1135,"Importa direto","Ajustar tipo"))))</f>
        <v/>
      </c>
      <c r="M1135" s="9"/>
    </row>
    <row r="1136" customFormat="false" ht="15" hidden="false" customHeight="false" outlineLevel="0" collapsed="false">
      <c r="A1136" s="7" t="str">
        <f aca="false">IF('Outro banco'!A1136="","",IF(LEFT('Outro banco'!A1136,1)="(","",'Outro banco'!A1136))</f>
        <v/>
      </c>
      <c r="B1136" s="7" t="str">
        <f aca="false">IF(A1136="","",'Outro banco'!B1136)</f>
        <v/>
      </c>
      <c r="C1136" s="7" t="str">
        <f aca="false">IF(A1136="","",'Outro banco'!C1136)</f>
        <v/>
      </c>
      <c r="D1136" s="7" t="str">
        <f aca="false">IF(A1136="","",'Outro banco'!D1136)</f>
        <v/>
      </c>
      <c r="E1136" s="9"/>
      <c r="F1136" s="9"/>
      <c r="G1136" s="7" t="str">
        <f aca="false">IF(A1136="","",IF(COUNTIF(Tabelas!$A:$A,IF(E1136="",A1136,E1136))&gt;0,"sim","não"))</f>
        <v/>
      </c>
      <c r="H1136" s="7" t="str">
        <f aca="false">IF(A1136="","",IF(E1136="",A1136,E1136)&amp;"."&amp;IF(F1136="",B1136,F1136))</f>
        <v/>
      </c>
      <c r="I1136" s="7" t="str">
        <f aca="false">IF(A1136="","",IFERROR(INDEX('Campos Growths'!$F:$F,MATCH(H1136,'Campos Growths'!$A:$A,0)),""))</f>
        <v/>
      </c>
      <c r="J1136" s="7" t="str">
        <f aca="false">IF(A1136="","",IFERROR(VLOOKUP(IF(ISNUMBER(SEARCH("(",C1136)),LEFT(C1136,SEARCH("(",C1136)-1),C1136),Tipos!$A:$B,2,FALSE()),"outro"))</f>
        <v/>
      </c>
      <c r="K1136" s="7" t="str">
        <f aca="false">IF(I1136="","",IFERROR(INDEX('Campos Growths'!$L:$L,MATCH(H1136,'Campos Growths'!$A:$A,0)),""))</f>
        <v/>
      </c>
      <c r="L1136" s="7" t="str">
        <f aca="false">IF(A1136="","",IF(G1136="não","Sem tabela no Growths",IF(I1136="","Sem campo no Growths",IF(J1136=K1136,"Importa direto","Ajustar tipo"))))</f>
        <v/>
      </c>
      <c r="M1136" s="9"/>
    </row>
    <row r="1137" customFormat="false" ht="15" hidden="false" customHeight="false" outlineLevel="0" collapsed="false">
      <c r="A1137" s="7" t="str">
        <f aca="false">IF('Outro banco'!A1137="","",IF(LEFT('Outro banco'!A1137,1)="(","",'Outro banco'!A1137))</f>
        <v/>
      </c>
      <c r="B1137" s="7" t="str">
        <f aca="false">IF(A1137="","",'Outro banco'!B1137)</f>
        <v/>
      </c>
      <c r="C1137" s="7" t="str">
        <f aca="false">IF(A1137="","",'Outro banco'!C1137)</f>
        <v/>
      </c>
      <c r="D1137" s="7" t="str">
        <f aca="false">IF(A1137="","",'Outro banco'!D1137)</f>
        <v/>
      </c>
      <c r="E1137" s="9"/>
      <c r="F1137" s="9"/>
      <c r="G1137" s="7" t="str">
        <f aca="false">IF(A1137="","",IF(COUNTIF(Tabelas!$A:$A,IF(E1137="",A1137,E1137))&gt;0,"sim","não"))</f>
        <v/>
      </c>
      <c r="H1137" s="7" t="str">
        <f aca="false">IF(A1137="","",IF(E1137="",A1137,E1137)&amp;"."&amp;IF(F1137="",B1137,F1137))</f>
        <v/>
      </c>
      <c r="I1137" s="7" t="str">
        <f aca="false">IF(A1137="","",IFERROR(INDEX('Campos Growths'!$F:$F,MATCH(H1137,'Campos Growths'!$A:$A,0)),""))</f>
        <v/>
      </c>
      <c r="J1137" s="7" t="str">
        <f aca="false">IF(A1137="","",IFERROR(VLOOKUP(IF(ISNUMBER(SEARCH("(",C1137)),LEFT(C1137,SEARCH("(",C1137)-1),C1137),Tipos!$A:$B,2,FALSE()),"outro"))</f>
        <v/>
      </c>
      <c r="K1137" s="7" t="str">
        <f aca="false">IF(I1137="","",IFERROR(INDEX('Campos Growths'!$L:$L,MATCH(H1137,'Campos Growths'!$A:$A,0)),""))</f>
        <v/>
      </c>
      <c r="L1137" s="7" t="str">
        <f aca="false">IF(A1137="","",IF(G1137="não","Sem tabela no Growths",IF(I1137="","Sem campo no Growths",IF(J1137=K1137,"Importa direto","Ajustar tipo"))))</f>
        <v/>
      </c>
      <c r="M1137" s="9"/>
    </row>
    <row r="1138" customFormat="false" ht="15" hidden="false" customHeight="false" outlineLevel="0" collapsed="false">
      <c r="A1138" s="7" t="str">
        <f aca="false">IF('Outro banco'!A1138="","",IF(LEFT('Outro banco'!A1138,1)="(","",'Outro banco'!A1138))</f>
        <v/>
      </c>
      <c r="B1138" s="7" t="str">
        <f aca="false">IF(A1138="","",'Outro banco'!B1138)</f>
        <v/>
      </c>
      <c r="C1138" s="7" t="str">
        <f aca="false">IF(A1138="","",'Outro banco'!C1138)</f>
        <v/>
      </c>
      <c r="D1138" s="7" t="str">
        <f aca="false">IF(A1138="","",'Outro banco'!D1138)</f>
        <v/>
      </c>
      <c r="E1138" s="9"/>
      <c r="F1138" s="9"/>
      <c r="G1138" s="7" t="str">
        <f aca="false">IF(A1138="","",IF(COUNTIF(Tabelas!$A:$A,IF(E1138="",A1138,E1138))&gt;0,"sim","não"))</f>
        <v/>
      </c>
      <c r="H1138" s="7" t="str">
        <f aca="false">IF(A1138="","",IF(E1138="",A1138,E1138)&amp;"."&amp;IF(F1138="",B1138,F1138))</f>
        <v/>
      </c>
      <c r="I1138" s="7" t="str">
        <f aca="false">IF(A1138="","",IFERROR(INDEX('Campos Growths'!$F:$F,MATCH(H1138,'Campos Growths'!$A:$A,0)),""))</f>
        <v/>
      </c>
      <c r="J1138" s="7" t="str">
        <f aca="false">IF(A1138="","",IFERROR(VLOOKUP(IF(ISNUMBER(SEARCH("(",C1138)),LEFT(C1138,SEARCH("(",C1138)-1),C1138),Tipos!$A:$B,2,FALSE()),"outro"))</f>
        <v/>
      </c>
      <c r="K1138" s="7" t="str">
        <f aca="false">IF(I1138="","",IFERROR(INDEX('Campos Growths'!$L:$L,MATCH(H1138,'Campos Growths'!$A:$A,0)),""))</f>
        <v/>
      </c>
      <c r="L1138" s="7" t="str">
        <f aca="false">IF(A1138="","",IF(G1138="não","Sem tabela no Growths",IF(I1138="","Sem campo no Growths",IF(J1138=K1138,"Importa direto","Ajustar tipo"))))</f>
        <v/>
      </c>
      <c r="M1138" s="9"/>
    </row>
    <row r="1139" customFormat="false" ht="15" hidden="false" customHeight="false" outlineLevel="0" collapsed="false">
      <c r="A1139" s="7" t="str">
        <f aca="false">IF('Outro banco'!A1139="","",IF(LEFT('Outro banco'!A1139,1)="(","",'Outro banco'!A1139))</f>
        <v/>
      </c>
      <c r="B1139" s="7" t="str">
        <f aca="false">IF(A1139="","",'Outro banco'!B1139)</f>
        <v/>
      </c>
      <c r="C1139" s="7" t="str">
        <f aca="false">IF(A1139="","",'Outro banco'!C1139)</f>
        <v/>
      </c>
      <c r="D1139" s="7" t="str">
        <f aca="false">IF(A1139="","",'Outro banco'!D1139)</f>
        <v/>
      </c>
      <c r="E1139" s="9"/>
      <c r="F1139" s="9"/>
      <c r="G1139" s="7" t="str">
        <f aca="false">IF(A1139="","",IF(COUNTIF(Tabelas!$A:$A,IF(E1139="",A1139,E1139))&gt;0,"sim","não"))</f>
        <v/>
      </c>
      <c r="H1139" s="7" t="str">
        <f aca="false">IF(A1139="","",IF(E1139="",A1139,E1139)&amp;"."&amp;IF(F1139="",B1139,F1139))</f>
        <v/>
      </c>
      <c r="I1139" s="7" t="str">
        <f aca="false">IF(A1139="","",IFERROR(INDEX('Campos Growths'!$F:$F,MATCH(H1139,'Campos Growths'!$A:$A,0)),""))</f>
        <v/>
      </c>
      <c r="J1139" s="7" t="str">
        <f aca="false">IF(A1139="","",IFERROR(VLOOKUP(IF(ISNUMBER(SEARCH("(",C1139)),LEFT(C1139,SEARCH("(",C1139)-1),C1139),Tipos!$A:$B,2,FALSE()),"outro"))</f>
        <v/>
      </c>
      <c r="K1139" s="7" t="str">
        <f aca="false">IF(I1139="","",IFERROR(INDEX('Campos Growths'!$L:$L,MATCH(H1139,'Campos Growths'!$A:$A,0)),""))</f>
        <v/>
      </c>
      <c r="L1139" s="7" t="str">
        <f aca="false">IF(A1139="","",IF(G1139="não","Sem tabela no Growths",IF(I1139="","Sem campo no Growths",IF(J1139=K1139,"Importa direto","Ajustar tipo"))))</f>
        <v/>
      </c>
      <c r="M1139" s="9"/>
    </row>
    <row r="1140" customFormat="false" ht="15" hidden="false" customHeight="false" outlineLevel="0" collapsed="false">
      <c r="A1140" s="7" t="str">
        <f aca="false">IF('Outro banco'!A1140="","",IF(LEFT('Outro banco'!A1140,1)="(","",'Outro banco'!A1140))</f>
        <v/>
      </c>
      <c r="B1140" s="7" t="str">
        <f aca="false">IF(A1140="","",'Outro banco'!B1140)</f>
        <v/>
      </c>
      <c r="C1140" s="7" t="str">
        <f aca="false">IF(A1140="","",'Outro banco'!C1140)</f>
        <v/>
      </c>
      <c r="D1140" s="7" t="str">
        <f aca="false">IF(A1140="","",'Outro banco'!D1140)</f>
        <v/>
      </c>
      <c r="E1140" s="9"/>
      <c r="F1140" s="9"/>
      <c r="G1140" s="7" t="str">
        <f aca="false">IF(A1140="","",IF(COUNTIF(Tabelas!$A:$A,IF(E1140="",A1140,E1140))&gt;0,"sim","não"))</f>
        <v/>
      </c>
      <c r="H1140" s="7" t="str">
        <f aca="false">IF(A1140="","",IF(E1140="",A1140,E1140)&amp;"."&amp;IF(F1140="",B1140,F1140))</f>
        <v/>
      </c>
      <c r="I1140" s="7" t="str">
        <f aca="false">IF(A1140="","",IFERROR(INDEX('Campos Growths'!$F:$F,MATCH(H1140,'Campos Growths'!$A:$A,0)),""))</f>
        <v/>
      </c>
      <c r="J1140" s="7" t="str">
        <f aca="false">IF(A1140="","",IFERROR(VLOOKUP(IF(ISNUMBER(SEARCH("(",C1140)),LEFT(C1140,SEARCH("(",C1140)-1),C1140),Tipos!$A:$B,2,FALSE()),"outro"))</f>
        <v/>
      </c>
      <c r="K1140" s="7" t="str">
        <f aca="false">IF(I1140="","",IFERROR(INDEX('Campos Growths'!$L:$L,MATCH(H1140,'Campos Growths'!$A:$A,0)),""))</f>
        <v/>
      </c>
      <c r="L1140" s="7" t="str">
        <f aca="false">IF(A1140="","",IF(G1140="não","Sem tabela no Growths",IF(I1140="","Sem campo no Growths",IF(J1140=K1140,"Importa direto","Ajustar tipo"))))</f>
        <v/>
      </c>
      <c r="M1140" s="9"/>
    </row>
    <row r="1141" customFormat="false" ht="15" hidden="false" customHeight="false" outlineLevel="0" collapsed="false">
      <c r="A1141" s="7" t="str">
        <f aca="false">IF('Outro banco'!A1141="","",IF(LEFT('Outro banco'!A1141,1)="(","",'Outro banco'!A1141))</f>
        <v/>
      </c>
      <c r="B1141" s="7" t="str">
        <f aca="false">IF(A1141="","",'Outro banco'!B1141)</f>
        <v/>
      </c>
      <c r="C1141" s="7" t="str">
        <f aca="false">IF(A1141="","",'Outro banco'!C1141)</f>
        <v/>
      </c>
      <c r="D1141" s="7" t="str">
        <f aca="false">IF(A1141="","",'Outro banco'!D1141)</f>
        <v/>
      </c>
      <c r="E1141" s="9"/>
      <c r="F1141" s="9"/>
      <c r="G1141" s="7" t="str">
        <f aca="false">IF(A1141="","",IF(COUNTIF(Tabelas!$A:$A,IF(E1141="",A1141,E1141))&gt;0,"sim","não"))</f>
        <v/>
      </c>
      <c r="H1141" s="7" t="str">
        <f aca="false">IF(A1141="","",IF(E1141="",A1141,E1141)&amp;"."&amp;IF(F1141="",B1141,F1141))</f>
        <v/>
      </c>
      <c r="I1141" s="7" t="str">
        <f aca="false">IF(A1141="","",IFERROR(INDEX('Campos Growths'!$F:$F,MATCH(H1141,'Campos Growths'!$A:$A,0)),""))</f>
        <v/>
      </c>
      <c r="J1141" s="7" t="str">
        <f aca="false">IF(A1141="","",IFERROR(VLOOKUP(IF(ISNUMBER(SEARCH("(",C1141)),LEFT(C1141,SEARCH("(",C1141)-1),C1141),Tipos!$A:$B,2,FALSE()),"outro"))</f>
        <v/>
      </c>
      <c r="K1141" s="7" t="str">
        <f aca="false">IF(I1141="","",IFERROR(INDEX('Campos Growths'!$L:$L,MATCH(H1141,'Campos Growths'!$A:$A,0)),""))</f>
        <v/>
      </c>
      <c r="L1141" s="7" t="str">
        <f aca="false">IF(A1141="","",IF(G1141="não","Sem tabela no Growths",IF(I1141="","Sem campo no Growths",IF(J1141=K1141,"Importa direto","Ajustar tipo"))))</f>
        <v/>
      </c>
      <c r="M1141" s="9"/>
    </row>
    <row r="1142" customFormat="false" ht="15" hidden="false" customHeight="false" outlineLevel="0" collapsed="false">
      <c r="A1142" s="7" t="str">
        <f aca="false">IF('Outro banco'!A1142="","",IF(LEFT('Outro banco'!A1142,1)="(","",'Outro banco'!A1142))</f>
        <v/>
      </c>
      <c r="B1142" s="7" t="str">
        <f aca="false">IF(A1142="","",'Outro banco'!B1142)</f>
        <v/>
      </c>
      <c r="C1142" s="7" t="str">
        <f aca="false">IF(A1142="","",'Outro banco'!C1142)</f>
        <v/>
      </c>
      <c r="D1142" s="7" t="str">
        <f aca="false">IF(A1142="","",'Outro banco'!D1142)</f>
        <v/>
      </c>
      <c r="E1142" s="9"/>
      <c r="F1142" s="9"/>
      <c r="G1142" s="7" t="str">
        <f aca="false">IF(A1142="","",IF(COUNTIF(Tabelas!$A:$A,IF(E1142="",A1142,E1142))&gt;0,"sim","não"))</f>
        <v/>
      </c>
      <c r="H1142" s="7" t="str">
        <f aca="false">IF(A1142="","",IF(E1142="",A1142,E1142)&amp;"."&amp;IF(F1142="",B1142,F1142))</f>
        <v/>
      </c>
      <c r="I1142" s="7" t="str">
        <f aca="false">IF(A1142="","",IFERROR(INDEX('Campos Growths'!$F:$F,MATCH(H1142,'Campos Growths'!$A:$A,0)),""))</f>
        <v/>
      </c>
      <c r="J1142" s="7" t="str">
        <f aca="false">IF(A1142="","",IFERROR(VLOOKUP(IF(ISNUMBER(SEARCH("(",C1142)),LEFT(C1142,SEARCH("(",C1142)-1),C1142),Tipos!$A:$B,2,FALSE()),"outro"))</f>
        <v/>
      </c>
      <c r="K1142" s="7" t="str">
        <f aca="false">IF(I1142="","",IFERROR(INDEX('Campos Growths'!$L:$L,MATCH(H1142,'Campos Growths'!$A:$A,0)),""))</f>
        <v/>
      </c>
      <c r="L1142" s="7" t="str">
        <f aca="false">IF(A1142="","",IF(G1142="não","Sem tabela no Growths",IF(I1142="","Sem campo no Growths",IF(J1142=K1142,"Importa direto","Ajustar tipo"))))</f>
        <v/>
      </c>
      <c r="M1142" s="9"/>
    </row>
    <row r="1143" customFormat="false" ht="15" hidden="false" customHeight="false" outlineLevel="0" collapsed="false">
      <c r="A1143" s="7" t="str">
        <f aca="false">IF('Outro banco'!A1143="","",IF(LEFT('Outro banco'!A1143,1)="(","",'Outro banco'!A1143))</f>
        <v/>
      </c>
      <c r="B1143" s="7" t="str">
        <f aca="false">IF(A1143="","",'Outro banco'!B1143)</f>
        <v/>
      </c>
      <c r="C1143" s="7" t="str">
        <f aca="false">IF(A1143="","",'Outro banco'!C1143)</f>
        <v/>
      </c>
      <c r="D1143" s="7" t="str">
        <f aca="false">IF(A1143="","",'Outro banco'!D1143)</f>
        <v/>
      </c>
      <c r="E1143" s="9"/>
      <c r="F1143" s="9"/>
      <c r="G1143" s="7" t="str">
        <f aca="false">IF(A1143="","",IF(COUNTIF(Tabelas!$A:$A,IF(E1143="",A1143,E1143))&gt;0,"sim","não"))</f>
        <v/>
      </c>
      <c r="H1143" s="7" t="str">
        <f aca="false">IF(A1143="","",IF(E1143="",A1143,E1143)&amp;"."&amp;IF(F1143="",B1143,F1143))</f>
        <v/>
      </c>
      <c r="I1143" s="7" t="str">
        <f aca="false">IF(A1143="","",IFERROR(INDEX('Campos Growths'!$F:$F,MATCH(H1143,'Campos Growths'!$A:$A,0)),""))</f>
        <v/>
      </c>
      <c r="J1143" s="7" t="str">
        <f aca="false">IF(A1143="","",IFERROR(VLOOKUP(IF(ISNUMBER(SEARCH("(",C1143)),LEFT(C1143,SEARCH("(",C1143)-1),C1143),Tipos!$A:$B,2,FALSE()),"outro"))</f>
        <v/>
      </c>
      <c r="K1143" s="7" t="str">
        <f aca="false">IF(I1143="","",IFERROR(INDEX('Campos Growths'!$L:$L,MATCH(H1143,'Campos Growths'!$A:$A,0)),""))</f>
        <v/>
      </c>
      <c r="L1143" s="7" t="str">
        <f aca="false">IF(A1143="","",IF(G1143="não","Sem tabela no Growths",IF(I1143="","Sem campo no Growths",IF(J1143=K1143,"Importa direto","Ajustar tipo"))))</f>
        <v/>
      </c>
      <c r="M1143" s="9"/>
    </row>
    <row r="1144" customFormat="false" ht="15" hidden="false" customHeight="false" outlineLevel="0" collapsed="false">
      <c r="A1144" s="7" t="str">
        <f aca="false">IF('Outro banco'!A1144="","",IF(LEFT('Outro banco'!A1144,1)="(","",'Outro banco'!A1144))</f>
        <v/>
      </c>
      <c r="B1144" s="7" t="str">
        <f aca="false">IF(A1144="","",'Outro banco'!B1144)</f>
        <v/>
      </c>
      <c r="C1144" s="7" t="str">
        <f aca="false">IF(A1144="","",'Outro banco'!C1144)</f>
        <v/>
      </c>
      <c r="D1144" s="7" t="str">
        <f aca="false">IF(A1144="","",'Outro banco'!D1144)</f>
        <v/>
      </c>
      <c r="E1144" s="9"/>
      <c r="F1144" s="9"/>
      <c r="G1144" s="7" t="str">
        <f aca="false">IF(A1144="","",IF(COUNTIF(Tabelas!$A:$A,IF(E1144="",A1144,E1144))&gt;0,"sim","não"))</f>
        <v/>
      </c>
      <c r="H1144" s="7" t="str">
        <f aca="false">IF(A1144="","",IF(E1144="",A1144,E1144)&amp;"."&amp;IF(F1144="",B1144,F1144))</f>
        <v/>
      </c>
      <c r="I1144" s="7" t="str">
        <f aca="false">IF(A1144="","",IFERROR(INDEX('Campos Growths'!$F:$F,MATCH(H1144,'Campos Growths'!$A:$A,0)),""))</f>
        <v/>
      </c>
      <c r="J1144" s="7" t="str">
        <f aca="false">IF(A1144="","",IFERROR(VLOOKUP(IF(ISNUMBER(SEARCH("(",C1144)),LEFT(C1144,SEARCH("(",C1144)-1),C1144),Tipos!$A:$B,2,FALSE()),"outro"))</f>
        <v/>
      </c>
      <c r="K1144" s="7" t="str">
        <f aca="false">IF(I1144="","",IFERROR(INDEX('Campos Growths'!$L:$L,MATCH(H1144,'Campos Growths'!$A:$A,0)),""))</f>
        <v/>
      </c>
      <c r="L1144" s="7" t="str">
        <f aca="false">IF(A1144="","",IF(G1144="não","Sem tabela no Growths",IF(I1144="","Sem campo no Growths",IF(J1144=K1144,"Importa direto","Ajustar tipo"))))</f>
        <v/>
      </c>
      <c r="M1144" s="9"/>
    </row>
    <row r="1145" customFormat="false" ht="15" hidden="false" customHeight="false" outlineLevel="0" collapsed="false">
      <c r="A1145" s="7" t="str">
        <f aca="false">IF('Outro banco'!A1145="","",IF(LEFT('Outro banco'!A1145,1)="(","",'Outro banco'!A1145))</f>
        <v/>
      </c>
      <c r="B1145" s="7" t="str">
        <f aca="false">IF(A1145="","",'Outro banco'!B1145)</f>
        <v/>
      </c>
      <c r="C1145" s="7" t="str">
        <f aca="false">IF(A1145="","",'Outro banco'!C1145)</f>
        <v/>
      </c>
      <c r="D1145" s="7" t="str">
        <f aca="false">IF(A1145="","",'Outro banco'!D1145)</f>
        <v/>
      </c>
      <c r="E1145" s="9"/>
      <c r="F1145" s="9"/>
      <c r="G1145" s="7" t="str">
        <f aca="false">IF(A1145="","",IF(COUNTIF(Tabelas!$A:$A,IF(E1145="",A1145,E1145))&gt;0,"sim","não"))</f>
        <v/>
      </c>
      <c r="H1145" s="7" t="str">
        <f aca="false">IF(A1145="","",IF(E1145="",A1145,E1145)&amp;"."&amp;IF(F1145="",B1145,F1145))</f>
        <v/>
      </c>
      <c r="I1145" s="7" t="str">
        <f aca="false">IF(A1145="","",IFERROR(INDEX('Campos Growths'!$F:$F,MATCH(H1145,'Campos Growths'!$A:$A,0)),""))</f>
        <v/>
      </c>
      <c r="J1145" s="7" t="str">
        <f aca="false">IF(A1145="","",IFERROR(VLOOKUP(IF(ISNUMBER(SEARCH("(",C1145)),LEFT(C1145,SEARCH("(",C1145)-1),C1145),Tipos!$A:$B,2,FALSE()),"outro"))</f>
        <v/>
      </c>
      <c r="K1145" s="7" t="str">
        <f aca="false">IF(I1145="","",IFERROR(INDEX('Campos Growths'!$L:$L,MATCH(H1145,'Campos Growths'!$A:$A,0)),""))</f>
        <v/>
      </c>
      <c r="L1145" s="7" t="str">
        <f aca="false">IF(A1145="","",IF(G1145="não","Sem tabela no Growths",IF(I1145="","Sem campo no Growths",IF(J1145=K1145,"Importa direto","Ajustar tipo"))))</f>
        <v/>
      </c>
      <c r="M1145" s="9"/>
    </row>
    <row r="1146" customFormat="false" ht="15" hidden="false" customHeight="false" outlineLevel="0" collapsed="false">
      <c r="A1146" s="7" t="str">
        <f aca="false">IF('Outro banco'!A1146="","",IF(LEFT('Outro banco'!A1146,1)="(","",'Outro banco'!A1146))</f>
        <v/>
      </c>
      <c r="B1146" s="7" t="str">
        <f aca="false">IF(A1146="","",'Outro banco'!B1146)</f>
        <v/>
      </c>
      <c r="C1146" s="7" t="str">
        <f aca="false">IF(A1146="","",'Outro banco'!C1146)</f>
        <v/>
      </c>
      <c r="D1146" s="7" t="str">
        <f aca="false">IF(A1146="","",'Outro banco'!D1146)</f>
        <v/>
      </c>
      <c r="E1146" s="9"/>
      <c r="F1146" s="9"/>
      <c r="G1146" s="7" t="str">
        <f aca="false">IF(A1146="","",IF(COUNTIF(Tabelas!$A:$A,IF(E1146="",A1146,E1146))&gt;0,"sim","não"))</f>
        <v/>
      </c>
      <c r="H1146" s="7" t="str">
        <f aca="false">IF(A1146="","",IF(E1146="",A1146,E1146)&amp;"."&amp;IF(F1146="",B1146,F1146))</f>
        <v/>
      </c>
      <c r="I1146" s="7" t="str">
        <f aca="false">IF(A1146="","",IFERROR(INDEX('Campos Growths'!$F:$F,MATCH(H1146,'Campos Growths'!$A:$A,0)),""))</f>
        <v/>
      </c>
      <c r="J1146" s="7" t="str">
        <f aca="false">IF(A1146="","",IFERROR(VLOOKUP(IF(ISNUMBER(SEARCH("(",C1146)),LEFT(C1146,SEARCH("(",C1146)-1),C1146),Tipos!$A:$B,2,FALSE()),"outro"))</f>
        <v/>
      </c>
      <c r="K1146" s="7" t="str">
        <f aca="false">IF(I1146="","",IFERROR(INDEX('Campos Growths'!$L:$L,MATCH(H1146,'Campos Growths'!$A:$A,0)),""))</f>
        <v/>
      </c>
      <c r="L1146" s="7" t="str">
        <f aca="false">IF(A1146="","",IF(G1146="não","Sem tabela no Growths",IF(I1146="","Sem campo no Growths",IF(J1146=K1146,"Importa direto","Ajustar tipo"))))</f>
        <v/>
      </c>
      <c r="M1146" s="9"/>
    </row>
    <row r="1147" customFormat="false" ht="15" hidden="false" customHeight="false" outlineLevel="0" collapsed="false">
      <c r="A1147" s="7" t="str">
        <f aca="false">IF('Outro banco'!A1147="","",IF(LEFT('Outro banco'!A1147,1)="(","",'Outro banco'!A1147))</f>
        <v/>
      </c>
      <c r="B1147" s="7" t="str">
        <f aca="false">IF(A1147="","",'Outro banco'!B1147)</f>
        <v/>
      </c>
      <c r="C1147" s="7" t="str">
        <f aca="false">IF(A1147="","",'Outro banco'!C1147)</f>
        <v/>
      </c>
      <c r="D1147" s="7" t="str">
        <f aca="false">IF(A1147="","",'Outro banco'!D1147)</f>
        <v/>
      </c>
      <c r="E1147" s="9"/>
      <c r="F1147" s="9"/>
      <c r="G1147" s="7" t="str">
        <f aca="false">IF(A1147="","",IF(COUNTIF(Tabelas!$A:$A,IF(E1147="",A1147,E1147))&gt;0,"sim","não"))</f>
        <v/>
      </c>
      <c r="H1147" s="7" t="str">
        <f aca="false">IF(A1147="","",IF(E1147="",A1147,E1147)&amp;"."&amp;IF(F1147="",B1147,F1147))</f>
        <v/>
      </c>
      <c r="I1147" s="7" t="str">
        <f aca="false">IF(A1147="","",IFERROR(INDEX('Campos Growths'!$F:$F,MATCH(H1147,'Campos Growths'!$A:$A,0)),""))</f>
        <v/>
      </c>
      <c r="J1147" s="7" t="str">
        <f aca="false">IF(A1147="","",IFERROR(VLOOKUP(IF(ISNUMBER(SEARCH("(",C1147)),LEFT(C1147,SEARCH("(",C1147)-1),C1147),Tipos!$A:$B,2,FALSE()),"outro"))</f>
        <v/>
      </c>
      <c r="K1147" s="7" t="str">
        <f aca="false">IF(I1147="","",IFERROR(INDEX('Campos Growths'!$L:$L,MATCH(H1147,'Campos Growths'!$A:$A,0)),""))</f>
        <v/>
      </c>
      <c r="L1147" s="7" t="str">
        <f aca="false">IF(A1147="","",IF(G1147="não","Sem tabela no Growths",IF(I1147="","Sem campo no Growths",IF(J1147=K1147,"Importa direto","Ajustar tipo"))))</f>
        <v/>
      </c>
      <c r="M1147" s="9"/>
    </row>
    <row r="1148" customFormat="false" ht="15" hidden="false" customHeight="false" outlineLevel="0" collapsed="false">
      <c r="A1148" s="7" t="str">
        <f aca="false">IF('Outro banco'!A1148="","",IF(LEFT('Outro banco'!A1148,1)="(","",'Outro banco'!A1148))</f>
        <v/>
      </c>
      <c r="B1148" s="7" t="str">
        <f aca="false">IF(A1148="","",'Outro banco'!B1148)</f>
        <v/>
      </c>
      <c r="C1148" s="7" t="str">
        <f aca="false">IF(A1148="","",'Outro banco'!C1148)</f>
        <v/>
      </c>
      <c r="D1148" s="7" t="str">
        <f aca="false">IF(A1148="","",'Outro banco'!D1148)</f>
        <v/>
      </c>
      <c r="E1148" s="9"/>
      <c r="F1148" s="9"/>
      <c r="G1148" s="7" t="str">
        <f aca="false">IF(A1148="","",IF(COUNTIF(Tabelas!$A:$A,IF(E1148="",A1148,E1148))&gt;0,"sim","não"))</f>
        <v/>
      </c>
      <c r="H1148" s="7" t="str">
        <f aca="false">IF(A1148="","",IF(E1148="",A1148,E1148)&amp;"."&amp;IF(F1148="",B1148,F1148))</f>
        <v/>
      </c>
      <c r="I1148" s="7" t="str">
        <f aca="false">IF(A1148="","",IFERROR(INDEX('Campos Growths'!$F:$F,MATCH(H1148,'Campos Growths'!$A:$A,0)),""))</f>
        <v/>
      </c>
      <c r="J1148" s="7" t="str">
        <f aca="false">IF(A1148="","",IFERROR(VLOOKUP(IF(ISNUMBER(SEARCH("(",C1148)),LEFT(C1148,SEARCH("(",C1148)-1),C1148),Tipos!$A:$B,2,FALSE()),"outro"))</f>
        <v/>
      </c>
      <c r="K1148" s="7" t="str">
        <f aca="false">IF(I1148="","",IFERROR(INDEX('Campos Growths'!$L:$L,MATCH(H1148,'Campos Growths'!$A:$A,0)),""))</f>
        <v/>
      </c>
      <c r="L1148" s="7" t="str">
        <f aca="false">IF(A1148="","",IF(G1148="não","Sem tabela no Growths",IF(I1148="","Sem campo no Growths",IF(J1148=K1148,"Importa direto","Ajustar tipo"))))</f>
        <v/>
      </c>
      <c r="M1148" s="9"/>
    </row>
    <row r="1149" customFormat="false" ht="15" hidden="false" customHeight="false" outlineLevel="0" collapsed="false">
      <c r="A1149" s="7" t="str">
        <f aca="false">IF('Outro banco'!A1149="","",IF(LEFT('Outro banco'!A1149,1)="(","",'Outro banco'!A1149))</f>
        <v/>
      </c>
      <c r="B1149" s="7" t="str">
        <f aca="false">IF(A1149="","",'Outro banco'!B1149)</f>
        <v/>
      </c>
      <c r="C1149" s="7" t="str">
        <f aca="false">IF(A1149="","",'Outro banco'!C1149)</f>
        <v/>
      </c>
      <c r="D1149" s="7" t="str">
        <f aca="false">IF(A1149="","",'Outro banco'!D1149)</f>
        <v/>
      </c>
      <c r="E1149" s="9"/>
      <c r="F1149" s="9"/>
      <c r="G1149" s="7" t="str">
        <f aca="false">IF(A1149="","",IF(COUNTIF(Tabelas!$A:$A,IF(E1149="",A1149,E1149))&gt;0,"sim","não"))</f>
        <v/>
      </c>
      <c r="H1149" s="7" t="str">
        <f aca="false">IF(A1149="","",IF(E1149="",A1149,E1149)&amp;"."&amp;IF(F1149="",B1149,F1149))</f>
        <v/>
      </c>
      <c r="I1149" s="7" t="str">
        <f aca="false">IF(A1149="","",IFERROR(INDEX('Campos Growths'!$F:$F,MATCH(H1149,'Campos Growths'!$A:$A,0)),""))</f>
        <v/>
      </c>
      <c r="J1149" s="7" t="str">
        <f aca="false">IF(A1149="","",IFERROR(VLOOKUP(IF(ISNUMBER(SEARCH("(",C1149)),LEFT(C1149,SEARCH("(",C1149)-1),C1149),Tipos!$A:$B,2,FALSE()),"outro"))</f>
        <v/>
      </c>
      <c r="K1149" s="7" t="str">
        <f aca="false">IF(I1149="","",IFERROR(INDEX('Campos Growths'!$L:$L,MATCH(H1149,'Campos Growths'!$A:$A,0)),""))</f>
        <v/>
      </c>
      <c r="L1149" s="7" t="str">
        <f aca="false">IF(A1149="","",IF(G1149="não","Sem tabela no Growths",IF(I1149="","Sem campo no Growths",IF(J1149=K1149,"Importa direto","Ajustar tipo"))))</f>
        <v/>
      </c>
      <c r="M1149" s="9"/>
    </row>
    <row r="1150" customFormat="false" ht="15" hidden="false" customHeight="false" outlineLevel="0" collapsed="false">
      <c r="A1150" s="7" t="str">
        <f aca="false">IF('Outro banco'!A1150="","",IF(LEFT('Outro banco'!A1150,1)="(","",'Outro banco'!A1150))</f>
        <v/>
      </c>
      <c r="B1150" s="7" t="str">
        <f aca="false">IF(A1150="","",'Outro banco'!B1150)</f>
        <v/>
      </c>
      <c r="C1150" s="7" t="str">
        <f aca="false">IF(A1150="","",'Outro banco'!C1150)</f>
        <v/>
      </c>
      <c r="D1150" s="7" t="str">
        <f aca="false">IF(A1150="","",'Outro banco'!D1150)</f>
        <v/>
      </c>
      <c r="E1150" s="9"/>
      <c r="F1150" s="9"/>
      <c r="G1150" s="7" t="str">
        <f aca="false">IF(A1150="","",IF(COUNTIF(Tabelas!$A:$A,IF(E1150="",A1150,E1150))&gt;0,"sim","não"))</f>
        <v/>
      </c>
      <c r="H1150" s="7" t="str">
        <f aca="false">IF(A1150="","",IF(E1150="",A1150,E1150)&amp;"."&amp;IF(F1150="",B1150,F1150))</f>
        <v/>
      </c>
      <c r="I1150" s="7" t="str">
        <f aca="false">IF(A1150="","",IFERROR(INDEX('Campos Growths'!$F:$F,MATCH(H1150,'Campos Growths'!$A:$A,0)),""))</f>
        <v/>
      </c>
      <c r="J1150" s="7" t="str">
        <f aca="false">IF(A1150="","",IFERROR(VLOOKUP(IF(ISNUMBER(SEARCH("(",C1150)),LEFT(C1150,SEARCH("(",C1150)-1),C1150),Tipos!$A:$B,2,FALSE()),"outro"))</f>
        <v/>
      </c>
      <c r="K1150" s="7" t="str">
        <f aca="false">IF(I1150="","",IFERROR(INDEX('Campos Growths'!$L:$L,MATCH(H1150,'Campos Growths'!$A:$A,0)),""))</f>
        <v/>
      </c>
      <c r="L1150" s="7" t="str">
        <f aca="false">IF(A1150="","",IF(G1150="não","Sem tabela no Growths",IF(I1150="","Sem campo no Growths",IF(J1150=K1150,"Importa direto","Ajustar tipo"))))</f>
        <v/>
      </c>
      <c r="M1150" s="9"/>
    </row>
    <row r="1151" customFormat="false" ht="15" hidden="false" customHeight="false" outlineLevel="0" collapsed="false">
      <c r="A1151" s="7" t="str">
        <f aca="false">IF('Outro banco'!A1151="","",IF(LEFT('Outro banco'!A1151,1)="(","",'Outro banco'!A1151))</f>
        <v/>
      </c>
      <c r="B1151" s="7" t="str">
        <f aca="false">IF(A1151="","",'Outro banco'!B1151)</f>
        <v/>
      </c>
      <c r="C1151" s="7" t="str">
        <f aca="false">IF(A1151="","",'Outro banco'!C1151)</f>
        <v/>
      </c>
      <c r="D1151" s="7" t="str">
        <f aca="false">IF(A1151="","",'Outro banco'!D1151)</f>
        <v/>
      </c>
      <c r="E1151" s="9"/>
      <c r="F1151" s="9"/>
      <c r="G1151" s="7" t="str">
        <f aca="false">IF(A1151="","",IF(COUNTIF(Tabelas!$A:$A,IF(E1151="",A1151,E1151))&gt;0,"sim","não"))</f>
        <v/>
      </c>
      <c r="H1151" s="7" t="str">
        <f aca="false">IF(A1151="","",IF(E1151="",A1151,E1151)&amp;"."&amp;IF(F1151="",B1151,F1151))</f>
        <v/>
      </c>
      <c r="I1151" s="7" t="str">
        <f aca="false">IF(A1151="","",IFERROR(INDEX('Campos Growths'!$F:$F,MATCH(H1151,'Campos Growths'!$A:$A,0)),""))</f>
        <v/>
      </c>
      <c r="J1151" s="7" t="str">
        <f aca="false">IF(A1151="","",IFERROR(VLOOKUP(IF(ISNUMBER(SEARCH("(",C1151)),LEFT(C1151,SEARCH("(",C1151)-1),C1151),Tipos!$A:$B,2,FALSE()),"outro"))</f>
        <v/>
      </c>
      <c r="K1151" s="7" t="str">
        <f aca="false">IF(I1151="","",IFERROR(INDEX('Campos Growths'!$L:$L,MATCH(H1151,'Campos Growths'!$A:$A,0)),""))</f>
        <v/>
      </c>
      <c r="L1151" s="7" t="str">
        <f aca="false">IF(A1151="","",IF(G1151="não","Sem tabela no Growths",IF(I1151="","Sem campo no Growths",IF(J1151=K1151,"Importa direto","Ajustar tipo"))))</f>
        <v/>
      </c>
      <c r="M1151" s="9"/>
    </row>
    <row r="1152" customFormat="false" ht="15" hidden="false" customHeight="false" outlineLevel="0" collapsed="false">
      <c r="A1152" s="7" t="str">
        <f aca="false">IF('Outro banco'!A1152="","",IF(LEFT('Outro banco'!A1152,1)="(","",'Outro banco'!A1152))</f>
        <v/>
      </c>
      <c r="B1152" s="7" t="str">
        <f aca="false">IF(A1152="","",'Outro banco'!B1152)</f>
        <v/>
      </c>
      <c r="C1152" s="7" t="str">
        <f aca="false">IF(A1152="","",'Outro banco'!C1152)</f>
        <v/>
      </c>
      <c r="D1152" s="7" t="str">
        <f aca="false">IF(A1152="","",'Outro banco'!D1152)</f>
        <v/>
      </c>
      <c r="E1152" s="9"/>
      <c r="F1152" s="9"/>
      <c r="G1152" s="7" t="str">
        <f aca="false">IF(A1152="","",IF(COUNTIF(Tabelas!$A:$A,IF(E1152="",A1152,E1152))&gt;0,"sim","não"))</f>
        <v/>
      </c>
      <c r="H1152" s="7" t="str">
        <f aca="false">IF(A1152="","",IF(E1152="",A1152,E1152)&amp;"."&amp;IF(F1152="",B1152,F1152))</f>
        <v/>
      </c>
      <c r="I1152" s="7" t="str">
        <f aca="false">IF(A1152="","",IFERROR(INDEX('Campos Growths'!$F:$F,MATCH(H1152,'Campos Growths'!$A:$A,0)),""))</f>
        <v/>
      </c>
      <c r="J1152" s="7" t="str">
        <f aca="false">IF(A1152="","",IFERROR(VLOOKUP(IF(ISNUMBER(SEARCH("(",C1152)),LEFT(C1152,SEARCH("(",C1152)-1),C1152),Tipos!$A:$B,2,FALSE()),"outro"))</f>
        <v/>
      </c>
      <c r="K1152" s="7" t="str">
        <f aca="false">IF(I1152="","",IFERROR(INDEX('Campos Growths'!$L:$L,MATCH(H1152,'Campos Growths'!$A:$A,0)),""))</f>
        <v/>
      </c>
      <c r="L1152" s="7" t="str">
        <f aca="false">IF(A1152="","",IF(G1152="não","Sem tabela no Growths",IF(I1152="","Sem campo no Growths",IF(J1152=K1152,"Importa direto","Ajustar tipo"))))</f>
        <v/>
      </c>
      <c r="M1152" s="9"/>
    </row>
    <row r="1153" customFormat="false" ht="15" hidden="false" customHeight="false" outlineLevel="0" collapsed="false">
      <c r="A1153" s="7" t="str">
        <f aca="false">IF('Outro banco'!A1153="","",IF(LEFT('Outro banco'!A1153,1)="(","",'Outro banco'!A1153))</f>
        <v/>
      </c>
      <c r="B1153" s="7" t="str">
        <f aca="false">IF(A1153="","",'Outro banco'!B1153)</f>
        <v/>
      </c>
      <c r="C1153" s="7" t="str">
        <f aca="false">IF(A1153="","",'Outro banco'!C1153)</f>
        <v/>
      </c>
      <c r="D1153" s="7" t="str">
        <f aca="false">IF(A1153="","",'Outro banco'!D1153)</f>
        <v/>
      </c>
      <c r="E1153" s="9"/>
      <c r="F1153" s="9"/>
      <c r="G1153" s="7" t="str">
        <f aca="false">IF(A1153="","",IF(COUNTIF(Tabelas!$A:$A,IF(E1153="",A1153,E1153))&gt;0,"sim","não"))</f>
        <v/>
      </c>
      <c r="H1153" s="7" t="str">
        <f aca="false">IF(A1153="","",IF(E1153="",A1153,E1153)&amp;"."&amp;IF(F1153="",B1153,F1153))</f>
        <v/>
      </c>
      <c r="I1153" s="7" t="str">
        <f aca="false">IF(A1153="","",IFERROR(INDEX('Campos Growths'!$F:$F,MATCH(H1153,'Campos Growths'!$A:$A,0)),""))</f>
        <v/>
      </c>
      <c r="J1153" s="7" t="str">
        <f aca="false">IF(A1153="","",IFERROR(VLOOKUP(IF(ISNUMBER(SEARCH("(",C1153)),LEFT(C1153,SEARCH("(",C1153)-1),C1153),Tipos!$A:$B,2,FALSE()),"outro"))</f>
        <v/>
      </c>
      <c r="K1153" s="7" t="str">
        <f aca="false">IF(I1153="","",IFERROR(INDEX('Campos Growths'!$L:$L,MATCH(H1153,'Campos Growths'!$A:$A,0)),""))</f>
        <v/>
      </c>
      <c r="L1153" s="7" t="str">
        <f aca="false">IF(A1153="","",IF(G1153="não","Sem tabela no Growths",IF(I1153="","Sem campo no Growths",IF(J1153=K1153,"Importa direto","Ajustar tipo"))))</f>
        <v/>
      </c>
      <c r="M1153" s="9"/>
    </row>
    <row r="1154" customFormat="false" ht="15" hidden="false" customHeight="false" outlineLevel="0" collapsed="false">
      <c r="A1154" s="7" t="str">
        <f aca="false">IF('Outro banco'!A1154="","",IF(LEFT('Outro banco'!A1154,1)="(","",'Outro banco'!A1154))</f>
        <v/>
      </c>
      <c r="B1154" s="7" t="str">
        <f aca="false">IF(A1154="","",'Outro banco'!B1154)</f>
        <v/>
      </c>
      <c r="C1154" s="7" t="str">
        <f aca="false">IF(A1154="","",'Outro banco'!C1154)</f>
        <v/>
      </c>
      <c r="D1154" s="7" t="str">
        <f aca="false">IF(A1154="","",'Outro banco'!D1154)</f>
        <v/>
      </c>
      <c r="E1154" s="9"/>
      <c r="F1154" s="9"/>
      <c r="G1154" s="7" t="str">
        <f aca="false">IF(A1154="","",IF(COUNTIF(Tabelas!$A:$A,IF(E1154="",A1154,E1154))&gt;0,"sim","não"))</f>
        <v/>
      </c>
      <c r="H1154" s="7" t="str">
        <f aca="false">IF(A1154="","",IF(E1154="",A1154,E1154)&amp;"."&amp;IF(F1154="",B1154,F1154))</f>
        <v/>
      </c>
      <c r="I1154" s="7" t="str">
        <f aca="false">IF(A1154="","",IFERROR(INDEX('Campos Growths'!$F:$F,MATCH(H1154,'Campos Growths'!$A:$A,0)),""))</f>
        <v/>
      </c>
      <c r="J1154" s="7" t="str">
        <f aca="false">IF(A1154="","",IFERROR(VLOOKUP(IF(ISNUMBER(SEARCH("(",C1154)),LEFT(C1154,SEARCH("(",C1154)-1),C1154),Tipos!$A:$B,2,FALSE()),"outro"))</f>
        <v/>
      </c>
      <c r="K1154" s="7" t="str">
        <f aca="false">IF(I1154="","",IFERROR(INDEX('Campos Growths'!$L:$L,MATCH(H1154,'Campos Growths'!$A:$A,0)),""))</f>
        <v/>
      </c>
      <c r="L1154" s="7" t="str">
        <f aca="false">IF(A1154="","",IF(G1154="não","Sem tabela no Growths",IF(I1154="","Sem campo no Growths",IF(J1154=K1154,"Importa direto","Ajustar tipo"))))</f>
        <v/>
      </c>
      <c r="M1154" s="9"/>
    </row>
    <row r="1155" customFormat="false" ht="15" hidden="false" customHeight="false" outlineLevel="0" collapsed="false">
      <c r="A1155" s="7" t="str">
        <f aca="false">IF('Outro banco'!A1155="","",IF(LEFT('Outro banco'!A1155,1)="(","",'Outro banco'!A1155))</f>
        <v/>
      </c>
      <c r="B1155" s="7" t="str">
        <f aca="false">IF(A1155="","",'Outro banco'!B1155)</f>
        <v/>
      </c>
      <c r="C1155" s="7" t="str">
        <f aca="false">IF(A1155="","",'Outro banco'!C1155)</f>
        <v/>
      </c>
      <c r="D1155" s="7" t="str">
        <f aca="false">IF(A1155="","",'Outro banco'!D1155)</f>
        <v/>
      </c>
      <c r="E1155" s="9"/>
      <c r="F1155" s="9"/>
      <c r="G1155" s="7" t="str">
        <f aca="false">IF(A1155="","",IF(COUNTIF(Tabelas!$A:$A,IF(E1155="",A1155,E1155))&gt;0,"sim","não"))</f>
        <v/>
      </c>
      <c r="H1155" s="7" t="str">
        <f aca="false">IF(A1155="","",IF(E1155="",A1155,E1155)&amp;"."&amp;IF(F1155="",B1155,F1155))</f>
        <v/>
      </c>
      <c r="I1155" s="7" t="str">
        <f aca="false">IF(A1155="","",IFERROR(INDEX('Campos Growths'!$F:$F,MATCH(H1155,'Campos Growths'!$A:$A,0)),""))</f>
        <v/>
      </c>
      <c r="J1155" s="7" t="str">
        <f aca="false">IF(A1155="","",IFERROR(VLOOKUP(IF(ISNUMBER(SEARCH("(",C1155)),LEFT(C1155,SEARCH("(",C1155)-1),C1155),Tipos!$A:$B,2,FALSE()),"outro"))</f>
        <v/>
      </c>
      <c r="K1155" s="7" t="str">
        <f aca="false">IF(I1155="","",IFERROR(INDEX('Campos Growths'!$L:$L,MATCH(H1155,'Campos Growths'!$A:$A,0)),""))</f>
        <v/>
      </c>
      <c r="L1155" s="7" t="str">
        <f aca="false">IF(A1155="","",IF(G1155="não","Sem tabela no Growths",IF(I1155="","Sem campo no Growths",IF(J1155=K1155,"Importa direto","Ajustar tipo"))))</f>
        <v/>
      </c>
      <c r="M1155" s="9"/>
    </row>
    <row r="1156" customFormat="false" ht="15" hidden="false" customHeight="false" outlineLevel="0" collapsed="false">
      <c r="A1156" s="7" t="str">
        <f aca="false">IF('Outro banco'!A1156="","",IF(LEFT('Outro banco'!A1156,1)="(","",'Outro banco'!A1156))</f>
        <v/>
      </c>
      <c r="B1156" s="7" t="str">
        <f aca="false">IF(A1156="","",'Outro banco'!B1156)</f>
        <v/>
      </c>
      <c r="C1156" s="7" t="str">
        <f aca="false">IF(A1156="","",'Outro banco'!C1156)</f>
        <v/>
      </c>
      <c r="D1156" s="7" t="str">
        <f aca="false">IF(A1156="","",'Outro banco'!D1156)</f>
        <v/>
      </c>
      <c r="E1156" s="9"/>
      <c r="F1156" s="9"/>
      <c r="G1156" s="7" t="str">
        <f aca="false">IF(A1156="","",IF(COUNTIF(Tabelas!$A:$A,IF(E1156="",A1156,E1156))&gt;0,"sim","não"))</f>
        <v/>
      </c>
      <c r="H1156" s="7" t="str">
        <f aca="false">IF(A1156="","",IF(E1156="",A1156,E1156)&amp;"."&amp;IF(F1156="",B1156,F1156))</f>
        <v/>
      </c>
      <c r="I1156" s="7" t="str">
        <f aca="false">IF(A1156="","",IFERROR(INDEX('Campos Growths'!$F:$F,MATCH(H1156,'Campos Growths'!$A:$A,0)),""))</f>
        <v/>
      </c>
      <c r="J1156" s="7" t="str">
        <f aca="false">IF(A1156="","",IFERROR(VLOOKUP(IF(ISNUMBER(SEARCH("(",C1156)),LEFT(C1156,SEARCH("(",C1156)-1),C1156),Tipos!$A:$B,2,FALSE()),"outro"))</f>
        <v/>
      </c>
      <c r="K1156" s="7" t="str">
        <f aca="false">IF(I1156="","",IFERROR(INDEX('Campos Growths'!$L:$L,MATCH(H1156,'Campos Growths'!$A:$A,0)),""))</f>
        <v/>
      </c>
      <c r="L1156" s="7" t="str">
        <f aca="false">IF(A1156="","",IF(G1156="não","Sem tabela no Growths",IF(I1156="","Sem campo no Growths",IF(J1156=K1156,"Importa direto","Ajustar tipo"))))</f>
        <v/>
      </c>
      <c r="M1156" s="9"/>
    </row>
    <row r="1157" customFormat="false" ht="15" hidden="false" customHeight="false" outlineLevel="0" collapsed="false">
      <c r="A1157" s="7" t="str">
        <f aca="false">IF('Outro banco'!A1157="","",IF(LEFT('Outro banco'!A1157,1)="(","",'Outro banco'!A1157))</f>
        <v/>
      </c>
      <c r="B1157" s="7" t="str">
        <f aca="false">IF(A1157="","",'Outro banco'!B1157)</f>
        <v/>
      </c>
      <c r="C1157" s="7" t="str">
        <f aca="false">IF(A1157="","",'Outro banco'!C1157)</f>
        <v/>
      </c>
      <c r="D1157" s="7" t="str">
        <f aca="false">IF(A1157="","",'Outro banco'!D1157)</f>
        <v/>
      </c>
      <c r="E1157" s="9"/>
      <c r="F1157" s="9"/>
      <c r="G1157" s="7" t="str">
        <f aca="false">IF(A1157="","",IF(COUNTIF(Tabelas!$A:$A,IF(E1157="",A1157,E1157))&gt;0,"sim","não"))</f>
        <v/>
      </c>
      <c r="H1157" s="7" t="str">
        <f aca="false">IF(A1157="","",IF(E1157="",A1157,E1157)&amp;"."&amp;IF(F1157="",B1157,F1157))</f>
        <v/>
      </c>
      <c r="I1157" s="7" t="str">
        <f aca="false">IF(A1157="","",IFERROR(INDEX('Campos Growths'!$F:$F,MATCH(H1157,'Campos Growths'!$A:$A,0)),""))</f>
        <v/>
      </c>
      <c r="J1157" s="7" t="str">
        <f aca="false">IF(A1157="","",IFERROR(VLOOKUP(IF(ISNUMBER(SEARCH("(",C1157)),LEFT(C1157,SEARCH("(",C1157)-1),C1157),Tipos!$A:$B,2,FALSE()),"outro"))</f>
        <v/>
      </c>
      <c r="K1157" s="7" t="str">
        <f aca="false">IF(I1157="","",IFERROR(INDEX('Campos Growths'!$L:$L,MATCH(H1157,'Campos Growths'!$A:$A,0)),""))</f>
        <v/>
      </c>
      <c r="L1157" s="7" t="str">
        <f aca="false">IF(A1157="","",IF(G1157="não","Sem tabela no Growths",IF(I1157="","Sem campo no Growths",IF(J1157=K1157,"Importa direto","Ajustar tipo"))))</f>
        <v/>
      </c>
      <c r="M1157" s="9"/>
    </row>
    <row r="1158" customFormat="false" ht="15" hidden="false" customHeight="false" outlineLevel="0" collapsed="false">
      <c r="A1158" s="7" t="str">
        <f aca="false">IF('Outro banco'!A1158="","",IF(LEFT('Outro banco'!A1158,1)="(","",'Outro banco'!A1158))</f>
        <v/>
      </c>
      <c r="B1158" s="7" t="str">
        <f aca="false">IF(A1158="","",'Outro banco'!B1158)</f>
        <v/>
      </c>
      <c r="C1158" s="7" t="str">
        <f aca="false">IF(A1158="","",'Outro banco'!C1158)</f>
        <v/>
      </c>
      <c r="D1158" s="7" t="str">
        <f aca="false">IF(A1158="","",'Outro banco'!D1158)</f>
        <v/>
      </c>
      <c r="E1158" s="9"/>
      <c r="F1158" s="9"/>
      <c r="G1158" s="7" t="str">
        <f aca="false">IF(A1158="","",IF(COUNTIF(Tabelas!$A:$A,IF(E1158="",A1158,E1158))&gt;0,"sim","não"))</f>
        <v/>
      </c>
      <c r="H1158" s="7" t="str">
        <f aca="false">IF(A1158="","",IF(E1158="",A1158,E1158)&amp;"."&amp;IF(F1158="",B1158,F1158))</f>
        <v/>
      </c>
      <c r="I1158" s="7" t="str">
        <f aca="false">IF(A1158="","",IFERROR(INDEX('Campos Growths'!$F:$F,MATCH(H1158,'Campos Growths'!$A:$A,0)),""))</f>
        <v/>
      </c>
      <c r="J1158" s="7" t="str">
        <f aca="false">IF(A1158="","",IFERROR(VLOOKUP(IF(ISNUMBER(SEARCH("(",C1158)),LEFT(C1158,SEARCH("(",C1158)-1),C1158),Tipos!$A:$B,2,FALSE()),"outro"))</f>
        <v/>
      </c>
      <c r="K1158" s="7" t="str">
        <f aca="false">IF(I1158="","",IFERROR(INDEX('Campos Growths'!$L:$L,MATCH(H1158,'Campos Growths'!$A:$A,0)),""))</f>
        <v/>
      </c>
      <c r="L1158" s="7" t="str">
        <f aca="false">IF(A1158="","",IF(G1158="não","Sem tabela no Growths",IF(I1158="","Sem campo no Growths",IF(J1158=K1158,"Importa direto","Ajustar tipo"))))</f>
        <v/>
      </c>
      <c r="M1158" s="9"/>
    </row>
    <row r="1159" customFormat="false" ht="15" hidden="false" customHeight="false" outlineLevel="0" collapsed="false">
      <c r="A1159" s="7" t="str">
        <f aca="false">IF('Outro banco'!A1159="","",IF(LEFT('Outro banco'!A1159,1)="(","",'Outro banco'!A1159))</f>
        <v/>
      </c>
      <c r="B1159" s="7" t="str">
        <f aca="false">IF(A1159="","",'Outro banco'!B1159)</f>
        <v/>
      </c>
      <c r="C1159" s="7" t="str">
        <f aca="false">IF(A1159="","",'Outro banco'!C1159)</f>
        <v/>
      </c>
      <c r="D1159" s="7" t="str">
        <f aca="false">IF(A1159="","",'Outro banco'!D1159)</f>
        <v/>
      </c>
      <c r="E1159" s="9"/>
      <c r="F1159" s="9"/>
      <c r="G1159" s="7" t="str">
        <f aca="false">IF(A1159="","",IF(COUNTIF(Tabelas!$A:$A,IF(E1159="",A1159,E1159))&gt;0,"sim","não"))</f>
        <v/>
      </c>
      <c r="H1159" s="7" t="str">
        <f aca="false">IF(A1159="","",IF(E1159="",A1159,E1159)&amp;"."&amp;IF(F1159="",B1159,F1159))</f>
        <v/>
      </c>
      <c r="I1159" s="7" t="str">
        <f aca="false">IF(A1159="","",IFERROR(INDEX('Campos Growths'!$F:$F,MATCH(H1159,'Campos Growths'!$A:$A,0)),""))</f>
        <v/>
      </c>
      <c r="J1159" s="7" t="str">
        <f aca="false">IF(A1159="","",IFERROR(VLOOKUP(IF(ISNUMBER(SEARCH("(",C1159)),LEFT(C1159,SEARCH("(",C1159)-1),C1159),Tipos!$A:$B,2,FALSE()),"outro"))</f>
        <v/>
      </c>
      <c r="K1159" s="7" t="str">
        <f aca="false">IF(I1159="","",IFERROR(INDEX('Campos Growths'!$L:$L,MATCH(H1159,'Campos Growths'!$A:$A,0)),""))</f>
        <v/>
      </c>
      <c r="L1159" s="7" t="str">
        <f aca="false">IF(A1159="","",IF(G1159="não","Sem tabela no Growths",IF(I1159="","Sem campo no Growths",IF(J1159=K1159,"Importa direto","Ajustar tipo"))))</f>
        <v/>
      </c>
      <c r="M1159" s="9"/>
    </row>
    <row r="1160" customFormat="false" ht="15" hidden="false" customHeight="false" outlineLevel="0" collapsed="false">
      <c r="A1160" s="7" t="str">
        <f aca="false">IF('Outro banco'!A1160="","",IF(LEFT('Outro banco'!A1160,1)="(","",'Outro banco'!A1160))</f>
        <v/>
      </c>
      <c r="B1160" s="7" t="str">
        <f aca="false">IF(A1160="","",'Outro banco'!B1160)</f>
        <v/>
      </c>
      <c r="C1160" s="7" t="str">
        <f aca="false">IF(A1160="","",'Outro banco'!C1160)</f>
        <v/>
      </c>
      <c r="D1160" s="7" t="str">
        <f aca="false">IF(A1160="","",'Outro banco'!D1160)</f>
        <v/>
      </c>
      <c r="E1160" s="9"/>
      <c r="F1160" s="9"/>
      <c r="G1160" s="7" t="str">
        <f aca="false">IF(A1160="","",IF(COUNTIF(Tabelas!$A:$A,IF(E1160="",A1160,E1160))&gt;0,"sim","não"))</f>
        <v/>
      </c>
      <c r="H1160" s="7" t="str">
        <f aca="false">IF(A1160="","",IF(E1160="",A1160,E1160)&amp;"."&amp;IF(F1160="",B1160,F1160))</f>
        <v/>
      </c>
      <c r="I1160" s="7" t="str">
        <f aca="false">IF(A1160="","",IFERROR(INDEX('Campos Growths'!$F:$F,MATCH(H1160,'Campos Growths'!$A:$A,0)),""))</f>
        <v/>
      </c>
      <c r="J1160" s="7" t="str">
        <f aca="false">IF(A1160="","",IFERROR(VLOOKUP(IF(ISNUMBER(SEARCH("(",C1160)),LEFT(C1160,SEARCH("(",C1160)-1),C1160),Tipos!$A:$B,2,FALSE()),"outro"))</f>
        <v/>
      </c>
      <c r="K1160" s="7" t="str">
        <f aca="false">IF(I1160="","",IFERROR(INDEX('Campos Growths'!$L:$L,MATCH(H1160,'Campos Growths'!$A:$A,0)),""))</f>
        <v/>
      </c>
      <c r="L1160" s="7" t="str">
        <f aca="false">IF(A1160="","",IF(G1160="não","Sem tabela no Growths",IF(I1160="","Sem campo no Growths",IF(J1160=K1160,"Importa direto","Ajustar tipo"))))</f>
        <v/>
      </c>
      <c r="M1160" s="9"/>
    </row>
    <row r="1161" customFormat="false" ht="15" hidden="false" customHeight="false" outlineLevel="0" collapsed="false">
      <c r="A1161" s="7" t="str">
        <f aca="false">IF('Outro banco'!A1161="","",IF(LEFT('Outro banco'!A1161,1)="(","",'Outro banco'!A1161))</f>
        <v/>
      </c>
      <c r="B1161" s="7" t="str">
        <f aca="false">IF(A1161="","",'Outro banco'!B1161)</f>
        <v/>
      </c>
      <c r="C1161" s="7" t="str">
        <f aca="false">IF(A1161="","",'Outro banco'!C1161)</f>
        <v/>
      </c>
      <c r="D1161" s="7" t="str">
        <f aca="false">IF(A1161="","",'Outro banco'!D1161)</f>
        <v/>
      </c>
      <c r="E1161" s="9"/>
      <c r="F1161" s="9"/>
      <c r="G1161" s="7" t="str">
        <f aca="false">IF(A1161="","",IF(COUNTIF(Tabelas!$A:$A,IF(E1161="",A1161,E1161))&gt;0,"sim","não"))</f>
        <v/>
      </c>
      <c r="H1161" s="7" t="str">
        <f aca="false">IF(A1161="","",IF(E1161="",A1161,E1161)&amp;"."&amp;IF(F1161="",B1161,F1161))</f>
        <v/>
      </c>
      <c r="I1161" s="7" t="str">
        <f aca="false">IF(A1161="","",IFERROR(INDEX('Campos Growths'!$F:$F,MATCH(H1161,'Campos Growths'!$A:$A,0)),""))</f>
        <v/>
      </c>
      <c r="J1161" s="7" t="str">
        <f aca="false">IF(A1161="","",IFERROR(VLOOKUP(IF(ISNUMBER(SEARCH("(",C1161)),LEFT(C1161,SEARCH("(",C1161)-1),C1161),Tipos!$A:$B,2,FALSE()),"outro"))</f>
        <v/>
      </c>
      <c r="K1161" s="7" t="str">
        <f aca="false">IF(I1161="","",IFERROR(INDEX('Campos Growths'!$L:$L,MATCH(H1161,'Campos Growths'!$A:$A,0)),""))</f>
        <v/>
      </c>
      <c r="L1161" s="7" t="str">
        <f aca="false">IF(A1161="","",IF(G1161="não","Sem tabela no Growths",IF(I1161="","Sem campo no Growths",IF(J1161=K1161,"Importa direto","Ajustar tipo"))))</f>
        <v/>
      </c>
      <c r="M1161" s="9"/>
    </row>
    <row r="1162" customFormat="false" ht="15" hidden="false" customHeight="false" outlineLevel="0" collapsed="false">
      <c r="A1162" s="7" t="str">
        <f aca="false">IF('Outro banco'!A1162="","",IF(LEFT('Outro banco'!A1162,1)="(","",'Outro banco'!A1162))</f>
        <v/>
      </c>
      <c r="B1162" s="7" t="str">
        <f aca="false">IF(A1162="","",'Outro banco'!B1162)</f>
        <v/>
      </c>
      <c r="C1162" s="7" t="str">
        <f aca="false">IF(A1162="","",'Outro banco'!C1162)</f>
        <v/>
      </c>
      <c r="D1162" s="7" t="str">
        <f aca="false">IF(A1162="","",'Outro banco'!D1162)</f>
        <v/>
      </c>
      <c r="E1162" s="9"/>
      <c r="F1162" s="9"/>
      <c r="G1162" s="7" t="str">
        <f aca="false">IF(A1162="","",IF(COUNTIF(Tabelas!$A:$A,IF(E1162="",A1162,E1162))&gt;0,"sim","não"))</f>
        <v/>
      </c>
      <c r="H1162" s="7" t="str">
        <f aca="false">IF(A1162="","",IF(E1162="",A1162,E1162)&amp;"."&amp;IF(F1162="",B1162,F1162))</f>
        <v/>
      </c>
      <c r="I1162" s="7" t="str">
        <f aca="false">IF(A1162="","",IFERROR(INDEX('Campos Growths'!$F:$F,MATCH(H1162,'Campos Growths'!$A:$A,0)),""))</f>
        <v/>
      </c>
      <c r="J1162" s="7" t="str">
        <f aca="false">IF(A1162="","",IFERROR(VLOOKUP(IF(ISNUMBER(SEARCH("(",C1162)),LEFT(C1162,SEARCH("(",C1162)-1),C1162),Tipos!$A:$B,2,FALSE()),"outro"))</f>
        <v/>
      </c>
      <c r="K1162" s="7" t="str">
        <f aca="false">IF(I1162="","",IFERROR(INDEX('Campos Growths'!$L:$L,MATCH(H1162,'Campos Growths'!$A:$A,0)),""))</f>
        <v/>
      </c>
      <c r="L1162" s="7" t="str">
        <f aca="false">IF(A1162="","",IF(G1162="não","Sem tabela no Growths",IF(I1162="","Sem campo no Growths",IF(J1162=K1162,"Importa direto","Ajustar tipo"))))</f>
        <v/>
      </c>
      <c r="M1162" s="9"/>
    </row>
    <row r="1163" customFormat="false" ht="15" hidden="false" customHeight="false" outlineLevel="0" collapsed="false">
      <c r="A1163" s="7" t="str">
        <f aca="false">IF('Outro banco'!A1163="","",IF(LEFT('Outro banco'!A1163,1)="(","",'Outro banco'!A1163))</f>
        <v/>
      </c>
      <c r="B1163" s="7" t="str">
        <f aca="false">IF(A1163="","",'Outro banco'!B1163)</f>
        <v/>
      </c>
      <c r="C1163" s="7" t="str">
        <f aca="false">IF(A1163="","",'Outro banco'!C1163)</f>
        <v/>
      </c>
      <c r="D1163" s="7" t="str">
        <f aca="false">IF(A1163="","",'Outro banco'!D1163)</f>
        <v/>
      </c>
      <c r="E1163" s="9"/>
      <c r="F1163" s="9"/>
      <c r="G1163" s="7" t="str">
        <f aca="false">IF(A1163="","",IF(COUNTIF(Tabelas!$A:$A,IF(E1163="",A1163,E1163))&gt;0,"sim","não"))</f>
        <v/>
      </c>
      <c r="H1163" s="7" t="str">
        <f aca="false">IF(A1163="","",IF(E1163="",A1163,E1163)&amp;"."&amp;IF(F1163="",B1163,F1163))</f>
        <v/>
      </c>
      <c r="I1163" s="7" t="str">
        <f aca="false">IF(A1163="","",IFERROR(INDEX('Campos Growths'!$F:$F,MATCH(H1163,'Campos Growths'!$A:$A,0)),""))</f>
        <v/>
      </c>
      <c r="J1163" s="7" t="str">
        <f aca="false">IF(A1163="","",IFERROR(VLOOKUP(IF(ISNUMBER(SEARCH("(",C1163)),LEFT(C1163,SEARCH("(",C1163)-1),C1163),Tipos!$A:$B,2,FALSE()),"outro"))</f>
        <v/>
      </c>
      <c r="K1163" s="7" t="str">
        <f aca="false">IF(I1163="","",IFERROR(INDEX('Campos Growths'!$L:$L,MATCH(H1163,'Campos Growths'!$A:$A,0)),""))</f>
        <v/>
      </c>
      <c r="L1163" s="7" t="str">
        <f aca="false">IF(A1163="","",IF(G1163="não","Sem tabela no Growths",IF(I1163="","Sem campo no Growths",IF(J1163=K1163,"Importa direto","Ajustar tipo"))))</f>
        <v/>
      </c>
      <c r="M1163" s="9"/>
    </row>
    <row r="1164" customFormat="false" ht="15" hidden="false" customHeight="false" outlineLevel="0" collapsed="false">
      <c r="A1164" s="7" t="str">
        <f aca="false">IF('Outro banco'!A1164="","",IF(LEFT('Outro banco'!A1164,1)="(","",'Outro banco'!A1164))</f>
        <v/>
      </c>
      <c r="B1164" s="7" t="str">
        <f aca="false">IF(A1164="","",'Outro banco'!B1164)</f>
        <v/>
      </c>
      <c r="C1164" s="7" t="str">
        <f aca="false">IF(A1164="","",'Outro banco'!C1164)</f>
        <v/>
      </c>
      <c r="D1164" s="7" t="str">
        <f aca="false">IF(A1164="","",'Outro banco'!D1164)</f>
        <v/>
      </c>
      <c r="E1164" s="9"/>
      <c r="F1164" s="9"/>
      <c r="G1164" s="7" t="str">
        <f aca="false">IF(A1164="","",IF(COUNTIF(Tabelas!$A:$A,IF(E1164="",A1164,E1164))&gt;0,"sim","não"))</f>
        <v/>
      </c>
      <c r="H1164" s="7" t="str">
        <f aca="false">IF(A1164="","",IF(E1164="",A1164,E1164)&amp;"."&amp;IF(F1164="",B1164,F1164))</f>
        <v/>
      </c>
      <c r="I1164" s="7" t="str">
        <f aca="false">IF(A1164="","",IFERROR(INDEX('Campos Growths'!$F:$F,MATCH(H1164,'Campos Growths'!$A:$A,0)),""))</f>
        <v/>
      </c>
      <c r="J1164" s="7" t="str">
        <f aca="false">IF(A1164="","",IFERROR(VLOOKUP(IF(ISNUMBER(SEARCH("(",C1164)),LEFT(C1164,SEARCH("(",C1164)-1),C1164),Tipos!$A:$B,2,FALSE()),"outro"))</f>
        <v/>
      </c>
      <c r="K1164" s="7" t="str">
        <f aca="false">IF(I1164="","",IFERROR(INDEX('Campos Growths'!$L:$L,MATCH(H1164,'Campos Growths'!$A:$A,0)),""))</f>
        <v/>
      </c>
      <c r="L1164" s="7" t="str">
        <f aca="false">IF(A1164="","",IF(G1164="não","Sem tabela no Growths",IF(I1164="","Sem campo no Growths",IF(J1164=K1164,"Importa direto","Ajustar tipo"))))</f>
        <v/>
      </c>
      <c r="M1164" s="9"/>
    </row>
    <row r="1165" customFormat="false" ht="15" hidden="false" customHeight="false" outlineLevel="0" collapsed="false">
      <c r="A1165" s="7" t="str">
        <f aca="false">IF('Outro banco'!A1165="","",IF(LEFT('Outro banco'!A1165,1)="(","",'Outro banco'!A1165))</f>
        <v/>
      </c>
      <c r="B1165" s="7" t="str">
        <f aca="false">IF(A1165="","",'Outro banco'!B1165)</f>
        <v/>
      </c>
      <c r="C1165" s="7" t="str">
        <f aca="false">IF(A1165="","",'Outro banco'!C1165)</f>
        <v/>
      </c>
      <c r="D1165" s="7" t="str">
        <f aca="false">IF(A1165="","",'Outro banco'!D1165)</f>
        <v/>
      </c>
      <c r="E1165" s="9"/>
      <c r="F1165" s="9"/>
      <c r="G1165" s="7" t="str">
        <f aca="false">IF(A1165="","",IF(COUNTIF(Tabelas!$A:$A,IF(E1165="",A1165,E1165))&gt;0,"sim","não"))</f>
        <v/>
      </c>
      <c r="H1165" s="7" t="str">
        <f aca="false">IF(A1165="","",IF(E1165="",A1165,E1165)&amp;"."&amp;IF(F1165="",B1165,F1165))</f>
        <v/>
      </c>
      <c r="I1165" s="7" t="str">
        <f aca="false">IF(A1165="","",IFERROR(INDEX('Campos Growths'!$F:$F,MATCH(H1165,'Campos Growths'!$A:$A,0)),""))</f>
        <v/>
      </c>
      <c r="J1165" s="7" t="str">
        <f aca="false">IF(A1165="","",IFERROR(VLOOKUP(IF(ISNUMBER(SEARCH("(",C1165)),LEFT(C1165,SEARCH("(",C1165)-1),C1165),Tipos!$A:$B,2,FALSE()),"outro"))</f>
        <v/>
      </c>
      <c r="K1165" s="7" t="str">
        <f aca="false">IF(I1165="","",IFERROR(INDEX('Campos Growths'!$L:$L,MATCH(H1165,'Campos Growths'!$A:$A,0)),""))</f>
        <v/>
      </c>
      <c r="L1165" s="7" t="str">
        <f aca="false">IF(A1165="","",IF(G1165="não","Sem tabela no Growths",IF(I1165="","Sem campo no Growths",IF(J1165=K1165,"Importa direto","Ajustar tipo"))))</f>
        <v/>
      </c>
      <c r="M1165" s="9"/>
    </row>
    <row r="1166" customFormat="false" ht="15" hidden="false" customHeight="false" outlineLevel="0" collapsed="false">
      <c r="A1166" s="7" t="str">
        <f aca="false">IF('Outro banco'!A1166="","",IF(LEFT('Outro banco'!A1166,1)="(","",'Outro banco'!A1166))</f>
        <v/>
      </c>
      <c r="B1166" s="7" t="str">
        <f aca="false">IF(A1166="","",'Outro banco'!B1166)</f>
        <v/>
      </c>
      <c r="C1166" s="7" t="str">
        <f aca="false">IF(A1166="","",'Outro banco'!C1166)</f>
        <v/>
      </c>
      <c r="D1166" s="7" t="str">
        <f aca="false">IF(A1166="","",'Outro banco'!D1166)</f>
        <v/>
      </c>
      <c r="E1166" s="9"/>
      <c r="F1166" s="9"/>
      <c r="G1166" s="7" t="str">
        <f aca="false">IF(A1166="","",IF(COUNTIF(Tabelas!$A:$A,IF(E1166="",A1166,E1166))&gt;0,"sim","não"))</f>
        <v/>
      </c>
      <c r="H1166" s="7" t="str">
        <f aca="false">IF(A1166="","",IF(E1166="",A1166,E1166)&amp;"."&amp;IF(F1166="",B1166,F1166))</f>
        <v/>
      </c>
      <c r="I1166" s="7" t="str">
        <f aca="false">IF(A1166="","",IFERROR(INDEX('Campos Growths'!$F:$F,MATCH(H1166,'Campos Growths'!$A:$A,0)),""))</f>
        <v/>
      </c>
      <c r="J1166" s="7" t="str">
        <f aca="false">IF(A1166="","",IFERROR(VLOOKUP(IF(ISNUMBER(SEARCH("(",C1166)),LEFT(C1166,SEARCH("(",C1166)-1),C1166),Tipos!$A:$B,2,FALSE()),"outro"))</f>
        <v/>
      </c>
      <c r="K1166" s="7" t="str">
        <f aca="false">IF(I1166="","",IFERROR(INDEX('Campos Growths'!$L:$L,MATCH(H1166,'Campos Growths'!$A:$A,0)),""))</f>
        <v/>
      </c>
      <c r="L1166" s="7" t="str">
        <f aca="false">IF(A1166="","",IF(G1166="não","Sem tabela no Growths",IF(I1166="","Sem campo no Growths",IF(J1166=K1166,"Importa direto","Ajustar tipo"))))</f>
        <v/>
      </c>
      <c r="M1166" s="9"/>
    </row>
    <row r="1167" customFormat="false" ht="15" hidden="false" customHeight="false" outlineLevel="0" collapsed="false">
      <c r="A1167" s="7" t="str">
        <f aca="false">IF('Outro banco'!A1167="","",IF(LEFT('Outro banco'!A1167,1)="(","",'Outro banco'!A1167))</f>
        <v/>
      </c>
      <c r="B1167" s="7" t="str">
        <f aca="false">IF(A1167="","",'Outro banco'!B1167)</f>
        <v/>
      </c>
      <c r="C1167" s="7" t="str">
        <f aca="false">IF(A1167="","",'Outro banco'!C1167)</f>
        <v/>
      </c>
      <c r="D1167" s="7" t="str">
        <f aca="false">IF(A1167="","",'Outro banco'!D1167)</f>
        <v/>
      </c>
      <c r="E1167" s="9"/>
      <c r="F1167" s="9"/>
      <c r="G1167" s="7" t="str">
        <f aca="false">IF(A1167="","",IF(COUNTIF(Tabelas!$A:$A,IF(E1167="",A1167,E1167))&gt;0,"sim","não"))</f>
        <v/>
      </c>
      <c r="H1167" s="7" t="str">
        <f aca="false">IF(A1167="","",IF(E1167="",A1167,E1167)&amp;"."&amp;IF(F1167="",B1167,F1167))</f>
        <v/>
      </c>
      <c r="I1167" s="7" t="str">
        <f aca="false">IF(A1167="","",IFERROR(INDEX('Campos Growths'!$F:$F,MATCH(H1167,'Campos Growths'!$A:$A,0)),""))</f>
        <v/>
      </c>
      <c r="J1167" s="7" t="str">
        <f aca="false">IF(A1167="","",IFERROR(VLOOKUP(IF(ISNUMBER(SEARCH("(",C1167)),LEFT(C1167,SEARCH("(",C1167)-1),C1167),Tipos!$A:$B,2,FALSE()),"outro"))</f>
        <v/>
      </c>
      <c r="K1167" s="7" t="str">
        <f aca="false">IF(I1167="","",IFERROR(INDEX('Campos Growths'!$L:$L,MATCH(H1167,'Campos Growths'!$A:$A,0)),""))</f>
        <v/>
      </c>
      <c r="L1167" s="7" t="str">
        <f aca="false">IF(A1167="","",IF(G1167="não","Sem tabela no Growths",IF(I1167="","Sem campo no Growths",IF(J1167=K1167,"Importa direto","Ajustar tipo"))))</f>
        <v/>
      </c>
      <c r="M1167" s="9"/>
    </row>
    <row r="1168" customFormat="false" ht="15" hidden="false" customHeight="false" outlineLevel="0" collapsed="false">
      <c r="A1168" s="7" t="str">
        <f aca="false">IF('Outro banco'!A1168="","",IF(LEFT('Outro banco'!A1168,1)="(","",'Outro banco'!A1168))</f>
        <v/>
      </c>
      <c r="B1168" s="7" t="str">
        <f aca="false">IF(A1168="","",'Outro banco'!B1168)</f>
        <v/>
      </c>
      <c r="C1168" s="7" t="str">
        <f aca="false">IF(A1168="","",'Outro banco'!C1168)</f>
        <v/>
      </c>
      <c r="D1168" s="7" t="str">
        <f aca="false">IF(A1168="","",'Outro banco'!D1168)</f>
        <v/>
      </c>
      <c r="E1168" s="9"/>
      <c r="F1168" s="9"/>
      <c r="G1168" s="7" t="str">
        <f aca="false">IF(A1168="","",IF(COUNTIF(Tabelas!$A:$A,IF(E1168="",A1168,E1168))&gt;0,"sim","não"))</f>
        <v/>
      </c>
      <c r="H1168" s="7" t="str">
        <f aca="false">IF(A1168="","",IF(E1168="",A1168,E1168)&amp;"."&amp;IF(F1168="",B1168,F1168))</f>
        <v/>
      </c>
      <c r="I1168" s="7" t="str">
        <f aca="false">IF(A1168="","",IFERROR(INDEX('Campos Growths'!$F:$F,MATCH(H1168,'Campos Growths'!$A:$A,0)),""))</f>
        <v/>
      </c>
      <c r="J1168" s="7" t="str">
        <f aca="false">IF(A1168="","",IFERROR(VLOOKUP(IF(ISNUMBER(SEARCH("(",C1168)),LEFT(C1168,SEARCH("(",C1168)-1),C1168),Tipos!$A:$B,2,FALSE()),"outro"))</f>
        <v/>
      </c>
      <c r="K1168" s="7" t="str">
        <f aca="false">IF(I1168="","",IFERROR(INDEX('Campos Growths'!$L:$L,MATCH(H1168,'Campos Growths'!$A:$A,0)),""))</f>
        <v/>
      </c>
      <c r="L1168" s="7" t="str">
        <f aca="false">IF(A1168="","",IF(G1168="não","Sem tabela no Growths",IF(I1168="","Sem campo no Growths",IF(J1168=K1168,"Importa direto","Ajustar tipo"))))</f>
        <v/>
      </c>
      <c r="M1168" s="9"/>
    </row>
    <row r="1169" customFormat="false" ht="15" hidden="false" customHeight="false" outlineLevel="0" collapsed="false">
      <c r="A1169" s="7" t="str">
        <f aca="false">IF('Outro banco'!A1169="","",IF(LEFT('Outro banco'!A1169,1)="(","",'Outro banco'!A1169))</f>
        <v/>
      </c>
      <c r="B1169" s="7" t="str">
        <f aca="false">IF(A1169="","",'Outro banco'!B1169)</f>
        <v/>
      </c>
      <c r="C1169" s="7" t="str">
        <f aca="false">IF(A1169="","",'Outro banco'!C1169)</f>
        <v/>
      </c>
      <c r="D1169" s="7" t="str">
        <f aca="false">IF(A1169="","",'Outro banco'!D1169)</f>
        <v/>
      </c>
      <c r="E1169" s="9"/>
      <c r="F1169" s="9"/>
      <c r="G1169" s="7" t="str">
        <f aca="false">IF(A1169="","",IF(COUNTIF(Tabelas!$A:$A,IF(E1169="",A1169,E1169))&gt;0,"sim","não"))</f>
        <v/>
      </c>
      <c r="H1169" s="7" t="str">
        <f aca="false">IF(A1169="","",IF(E1169="",A1169,E1169)&amp;"."&amp;IF(F1169="",B1169,F1169))</f>
        <v/>
      </c>
      <c r="I1169" s="7" t="str">
        <f aca="false">IF(A1169="","",IFERROR(INDEX('Campos Growths'!$F:$F,MATCH(H1169,'Campos Growths'!$A:$A,0)),""))</f>
        <v/>
      </c>
      <c r="J1169" s="7" t="str">
        <f aca="false">IF(A1169="","",IFERROR(VLOOKUP(IF(ISNUMBER(SEARCH("(",C1169)),LEFT(C1169,SEARCH("(",C1169)-1),C1169),Tipos!$A:$B,2,FALSE()),"outro"))</f>
        <v/>
      </c>
      <c r="K1169" s="7" t="str">
        <f aca="false">IF(I1169="","",IFERROR(INDEX('Campos Growths'!$L:$L,MATCH(H1169,'Campos Growths'!$A:$A,0)),""))</f>
        <v/>
      </c>
      <c r="L1169" s="7" t="str">
        <f aca="false">IF(A1169="","",IF(G1169="não","Sem tabela no Growths",IF(I1169="","Sem campo no Growths",IF(J1169=K1169,"Importa direto","Ajustar tipo"))))</f>
        <v/>
      </c>
      <c r="M1169" s="9"/>
    </row>
    <row r="1170" customFormat="false" ht="15" hidden="false" customHeight="false" outlineLevel="0" collapsed="false">
      <c r="A1170" s="7" t="str">
        <f aca="false">IF('Outro banco'!A1170="","",IF(LEFT('Outro banco'!A1170,1)="(","",'Outro banco'!A1170))</f>
        <v/>
      </c>
      <c r="B1170" s="7" t="str">
        <f aca="false">IF(A1170="","",'Outro banco'!B1170)</f>
        <v/>
      </c>
      <c r="C1170" s="7" t="str">
        <f aca="false">IF(A1170="","",'Outro banco'!C1170)</f>
        <v/>
      </c>
      <c r="D1170" s="7" t="str">
        <f aca="false">IF(A1170="","",'Outro banco'!D1170)</f>
        <v/>
      </c>
      <c r="E1170" s="9"/>
      <c r="F1170" s="9"/>
      <c r="G1170" s="7" t="str">
        <f aca="false">IF(A1170="","",IF(COUNTIF(Tabelas!$A:$A,IF(E1170="",A1170,E1170))&gt;0,"sim","não"))</f>
        <v/>
      </c>
      <c r="H1170" s="7" t="str">
        <f aca="false">IF(A1170="","",IF(E1170="",A1170,E1170)&amp;"."&amp;IF(F1170="",B1170,F1170))</f>
        <v/>
      </c>
      <c r="I1170" s="7" t="str">
        <f aca="false">IF(A1170="","",IFERROR(INDEX('Campos Growths'!$F:$F,MATCH(H1170,'Campos Growths'!$A:$A,0)),""))</f>
        <v/>
      </c>
      <c r="J1170" s="7" t="str">
        <f aca="false">IF(A1170="","",IFERROR(VLOOKUP(IF(ISNUMBER(SEARCH("(",C1170)),LEFT(C1170,SEARCH("(",C1170)-1),C1170),Tipos!$A:$B,2,FALSE()),"outro"))</f>
        <v/>
      </c>
      <c r="K1170" s="7" t="str">
        <f aca="false">IF(I1170="","",IFERROR(INDEX('Campos Growths'!$L:$L,MATCH(H1170,'Campos Growths'!$A:$A,0)),""))</f>
        <v/>
      </c>
      <c r="L1170" s="7" t="str">
        <f aca="false">IF(A1170="","",IF(G1170="não","Sem tabela no Growths",IF(I1170="","Sem campo no Growths",IF(J1170=K1170,"Importa direto","Ajustar tipo"))))</f>
        <v/>
      </c>
      <c r="M1170" s="9"/>
    </row>
    <row r="1171" customFormat="false" ht="15" hidden="false" customHeight="false" outlineLevel="0" collapsed="false">
      <c r="A1171" s="7" t="str">
        <f aca="false">IF('Outro banco'!A1171="","",IF(LEFT('Outro banco'!A1171,1)="(","",'Outro banco'!A1171))</f>
        <v/>
      </c>
      <c r="B1171" s="7" t="str">
        <f aca="false">IF(A1171="","",'Outro banco'!B1171)</f>
        <v/>
      </c>
      <c r="C1171" s="7" t="str">
        <f aca="false">IF(A1171="","",'Outro banco'!C1171)</f>
        <v/>
      </c>
      <c r="D1171" s="7" t="str">
        <f aca="false">IF(A1171="","",'Outro banco'!D1171)</f>
        <v/>
      </c>
      <c r="E1171" s="9"/>
      <c r="F1171" s="9"/>
      <c r="G1171" s="7" t="str">
        <f aca="false">IF(A1171="","",IF(COUNTIF(Tabelas!$A:$A,IF(E1171="",A1171,E1171))&gt;0,"sim","não"))</f>
        <v/>
      </c>
      <c r="H1171" s="7" t="str">
        <f aca="false">IF(A1171="","",IF(E1171="",A1171,E1171)&amp;"."&amp;IF(F1171="",B1171,F1171))</f>
        <v/>
      </c>
      <c r="I1171" s="7" t="str">
        <f aca="false">IF(A1171="","",IFERROR(INDEX('Campos Growths'!$F:$F,MATCH(H1171,'Campos Growths'!$A:$A,0)),""))</f>
        <v/>
      </c>
      <c r="J1171" s="7" t="str">
        <f aca="false">IF(A1171="","",IFERROR(VLOOKUP(IF(ISNUMBER(SEARCH("(",C1171)),LEFT(C1171,SEARCH("(",C1171)-1),C1171),Tipos!$A:$B,2,FALSE()),"outro"))</f>
        <v/>
      </c>
      <c r="K1171" s="7" t="str">
        <f aca="false">IF(I1171="","",IFERROR(INDEX('Campos Growths'!$L:$L,MATCH(H1171,'Campos Growths'!$A:$A,0)),""))</f>
        <v/>
      </c>
      <c r="L1171" s="7" t="str">
        <f aca="false">IF(A1171="","",IF(G1171="não","Sem tabela no Growths",IF(I1171="","Sem campo no Growths",IF(J1171=K1171,"Importa direto","Ajustar tipo"))))</f>
        <v/>
      </c>
      <c r="M1171" s="9"/>
    </row>
    <row r="1172" customFormat="false" ht="15" hidden="false" customHeight="false" outlineLevel="0" collapsed="false">
      <c r="A1172" s="7" t="str">
        <f aca="false">IF('Outro banco'!A1172="","",IF(LEFT('Outro banco'!A1172,1)="(","",'Outro banco'!A1172))</f>
        <v/>
      </c>
      <c r="B1172" s="7" t="str">
        <f aca="false">IF(A1172="","",'Outro banco'!B1172)</f>
        <v/>
      </c>
      <c r="C1172" s="7" t="str">
        <f aca="false">IF(A1172="","",'Outro banco'!C1172)</f>
        <v/>
      </c>
      <c r="D1172" s="7" t="str">
        <f aca="false">IF(A1172="","",'Outro banco'!D1172)</f>
        <v/>
      </c>
      <c r="E1172" s="9"/>
      <c r="F1172" s="9"/>
      <c r="G1172" s="7" t="str">
        <f aca="false">IF(A1172="","",IF(COUNTIF(Tabelas!$A:$A,IF(E1172="",A1172,E1172))&gt;0,"sim","não"))</f>
        <v/>
      </c>
      <c r="H1172" s="7" t="str">
        <f aca="false">IF(A1172="","",IF(E1172="",A1172,E1172)&amp;"."&amp;IF(F1172="",B1172,F1172))</f>
        <v/>
      </c>
      <c r="I1172" s="7" t="str">
        <f aca="false">IF(A1172="","",IFERROR(INDEX('Campos Growths'!$F:$F,MATCH(H1172,'Campos Growths'!$A:$A,0)),""))</f>
        <v/>
      </c>
      <c r="J1172" s="7" t="str">
        <f aca="false">IF(A1172="","",IFERROR(VLOOKUP(IF(ISNUMBER(SEARCH("(",C1172)),LEFT(C1172,SEARCH("(",C1172)-1),C1172),Tipos!$A:$B,2,FALSE()),"outro"))</f>
        <v/>
      </c>
      <c r="K1172" s="7" t="str">
        <f aca="false">IF(I1172="","",IFERROR(INDEX('Campos Growths'!$L:$L,MATCH(H1172,'Campos Growths'!$A:$A,0)),""))</f>
        <v/>
      </c>
      <c r="L1172" s="7" t="str">
        <f aca="false">IF(A1172="","",IF(G1172="não","Sem tabela no Growths",IF(I1172="","Sem campo no Growths",IF(J1172=K1172,"Importa direto","Ajustar tipo"))))</f>
        <v/>
      </c>
      <c r="M1172" s="9"/>
    </row>
    <row r="1173" customFormat="false" ht="15" hidden="false" customHeight="false" outlineLevel="0" collapsed="false">
      <c r="A1173" s="7" t="str">
        <f aca="false">IF('Outro banco'!A1173="","",IF(LEFT('Outro banco'!A1173,1)="(","",'Outro banco'!A1173))</f>
        <v/>
      </c>
      <c r="B1173" s="7" t="str">
        <f aca="false">IF(A1173="","",'Outro banco'!B1173)</f>
        <v/>
      </c>
      <c r="C1173" s="7" t="str">
        <f aca="false">IF(A1173="","",'Outro banco'!C1173)</f>
        <v/>
      </c>
      <c r="D1173" s="7" t="str">
        <f aca="false">IF(A1173="","",'Outro banco'!D1173)</f>
        <v/>
      </c>
      <c r="E1173" s="9"/>
      <c r="F1173" s="9"/>
      <c r="G1173" s="7" t="str">
        <f aca="false">IF(A1173="","",IF(COUNTIF(Tabelas!$A:$A,IF(E1173="",A1173,E1173))&gt;0,"sim","não"))</f>
        <v/>
      </c>
      <c r="H1173" s="7" t="str">
        <f aca="false">IF(A1173="","",IF(E1173="",A1173,E1173)&amp;"."&amp;IF(F1173="",B1173,F1173))</f>
        <v/>
      </c>
      <c r="I1173" s="7" t="str">
        <f aca="false">IF(A1173="","",IFERROR(INDEX('Campos Growths'!$F:$F,MATCH(H1173,'Campos Growths'!$A:$A,0)),""))</f>
        <v/>
      </c>
      <c r="J1173" s="7" t="str">
        <f aca="false">IF(A1173="","",IFERROR(VLOOKUP(IF(ISNUMBER(SEARCH("(",C1173)),LEFT(C1173,SEARCH("(",C1173)-1),C1173),Tipos!$A:$B,2,FALSE()),"outro"))</f>
        <v/>
      </c>
      <c r="K1173" s="7" t="str">
        <f aca="false">IF(I1173="","",IFERROR(INDEX('Campos Growths'!$L:$L,MATCH(H1173,'Campos Growths'!$A:$A,0)),""))</f>
        <v/>
      </c>
      <c r="L1173" s="7" t="str">
        <f aca="false">IF(A1173="","",IF(G1173="não","Sem tabela no Growths",IF(I1173="","Sem campo no Growths",IF(J1173=K1173,"Importa direto","Ajustar tipo"))))</f>
        <v/>
      </c>
      <c r="M1173" s="9"/>
    </row>
    <row r="1174" customFormat="false" ht="15" hidden="false" customHeight="false" outlineLevel="0" collapsed="false">
      <c r="A1174" s="7" t="str">
        <f aca="false">IF('Outro banco'!A1174="","",IF(LEFT('Outro banco'!A1174,1)="(","",'Outro banco'!A1174))</f>
        <v/>
      </c>
      <c r="B1174" s="7" t="str">
        <f aca="false">IF(A1174="","",'Outro banco'!B1174)</f>
        <v/>
      </c>
      <c r="C1174" s="7" t="str">
        <f aca="false">IF(A1174="","",'Outro banco'!C1174)</f>
        <v/>
      </c>
      <c r="D1174" s="7" t="str">
        <f aca="false">IF(A1174="","",'Outro banco'!D1174)</f>
        <v/>
      </c>
      <c r="E1174" s="9"/>
      <c r="F1174" s="9"/>
      <c r="G1174" s="7" t="str">
        <f aca="false">IF(A1174="","",IF(COUNTIF(Tabelas!$A:$A,IF(E1174="",A1174,E1174))&gt;0,"sim","não"))</f>
        <v/>
      </c>
      <c r="H1174" s="7" t="str">
        <f aca="false">IF(A1174="","",IF(E1174="",A1174,E1174)&amp;"."&amp;IF(F1174="",B1174,F1174))</f>
        <v/>
      </c>
      <c r="I1174" s="7" t="str">
        <f aca="false">IF(A1174="","",IFERROR(INDEX('Campos Growths'!$F:$F,MATCH(H1174,'Campos Growths'!$A:$A,0)),""))</f>
        <v/>
      </c>
      <c r="J1174" s="7" t="str">
        <f aca="false">IF(A1174="","",IFERROR(VLOOKUP(IF(ISNUMBER(SEARCH("(",C1174)),LEFT(C1174,SEARCH("(",C1174)-1),C1174),Tipos!$A:$B,2,FALSE()),"outro"))</f>
        <v/>
      </c>
      <c r="K1174" s="7" t="str">
        <f aca="false">IF(I1174="","",IFERROR(INDEX('Campos Growths'!$L:$L,MATCH(H1174,'Campos Growths'!$A:$A,0)),""))</f>
        <v/>
      </c>
      <c r="L1174" s="7" t="str">
        <f aca="false">IF(A1174="","",IF(G1174="não","Sem tabela no Growths",IF(I1174="","Sem campo no Growths",IF(J1174=K1174,"Importa direto","Ajustar tipo"))))</f>
        <v/>
      </c>
      <c r="M1174" s="9"/>
    </row>
    <row r="1175" customFormat="false" ht="15" hidden="false" customHeight="false" outlineLevel="0" collapsed="false">
      <c r="A1175" s="7" t="str">
        <f aca="false">IF('Outro banco'!A1175="","",IF(LEFT('Outro banco'!A1175,1)="(","",'Outro banco'!A1175))</f>
        <v/>
      </c>
      <c r="B1175" s="7" t="str">
        <f aca="false">IF(A1175="","",'Outro banco'!B1175)</f>
        <v/>
      </c>
      <c r="C1175" s="7" t="str">
        <f aca="false">IF(A1175="","",'Outro banco'!C1175)</f>
        <v/>
      </c>
      <c r="D1175" s="7" t="str">
        <f aca="false">IF(A1175="","",'Outro banco'!D1175)</f>
        <v/>
      </c>
      <c r="E1175" s="9"/>
      <c r="F1175" s="9"/>
      <c r="G1175" s="7" t="str">
        <f aca="false">IF(A1175="","",IF(COUNTIF(Tabelas!$A:$A,IF(E1175="",A1175,E1175))&gt;0,"sim","não"))</f>
        <v/>
      </c>
      <c r="H1175" s="7" t="str">
        <f aca="false">IF(A1175="","",IF(E1175="",A1175,E1175)&amp;"."&amp;IF(F1175="",B1175,F1175))</f>
        <v/>
      </c>
      <c r="I1175" s="7" t="str">
        <f aca="false">IF(A1175="","",IFERROR(INDEX('Campos Growths'!$F:$F,MATCH(H1175,'Campos Growths'!$A:$A,0)),""))</f>
        <v/>
      </c>
      <c r="J1175" s="7" t="str">
        <f aca="false">IF(A1175="","",IFERROR(VLOOKUP(IF(ISNUMBER(SEARCH("(",C1175)),LEFT(C1175,SEARCH("(",C1175)-1),C1175),Tipos!$A:$B,2,FALSE()),"outro"))</f>
        <v/>
      </c>
      <c r="K1175" s="7" t="str">
        <f aca="false">IF(I1175="","",IFERROR(INDEX('Campos Growths'!$L:$L,MATCH(H1175,'Campos Growths'!$A:$A,0)),""))</f>
        <v/>
      </c>
      <c r="L1175" s="7" t="str">
        <f aca="false">IF(A1175="","",IF(G1175="não","Sem tabela no Growths",IF(I1175="","Sem campo no Growths",IF(J1175=K1175,"Importa direto","Ajustar tipo"))))</f>
        <v/>
      </c>
      <c r="M1175" s="9"/>
    </row>
    <row r="1176" customFormat="false" ht="15" hidden="false" customHeight="false" outlineLevel="0" collapsed="false">
      <c r="A1176" s="7" t="str">
        <f aca="false">IF('Outro banco'!A1176="","",IF(LEFT('Outro banco'!A1176,1)="(","",'Outro banco'!A1176))</f>
        <v/>
      </c>
      <c r="B1176" s="7" t="str">
        <f aca="false">IF(A1176="","",'Outro banco'!B1176)</f>
        <v/>
      </c>
      <c r="C1176" s="7" t="str">
        <f aca="false">IF(A1176="","",'Outro banco'!C1176)</f>
        <v/>
      </c>
      <c r="D1176" s="7" t="str">
        <f aca="false">IF(A1176="","",'Outro banco'!D1176)</f>
        <v/>
      </c>
      <c r="E1176" s="9"/>
      <c r="F1176" s="9"/>
      <c r="G1176" s="7" t="str">
        <f aca="false">IF(A1176="","",IF(COUNTIF(Tabelas!$A:$A,IF(E1176="",A1176,E1176))&gt;0,"sim","não"))</f>
        <v/>
      </c>
      <c r="H1176" s="7" t="str">
        <f aca="false">IF(A1176="","",IF(E1176="",A1176,E1176)&amp;"."&amp;IF(F1176="",B1176,F1176))</f>
        <v/>
      </c>
      <c r="I1176" s="7" t="str">
        <f aca="false">IF(A1176="","",IFERROR(INDEX('Campos Growths'!$F:$F,MATCH(H1176,'Campos Growths'!$A:$A,0)),""))</f>
        <v/>
      </c>
      <c r="J1176" s="7" t="str">
        <f aca="false">IF(A1176="","",IFERROR(VLOOKUP(IF(ISNUMBER(SEARCH("(",C1176)),LEFT(C1176,SEARCH("(",C1176)-1),C1176),Tipos!$A:$B,2,FALSE()),"outro"))</f>
        <v/>
      </c>
      <c r="K1176" s="7" t="str">
        <f aca="false">IF(I1176="","",IFERROR(INDEX('Campos Growths'!$L:$L,MATCH(H1176,'Campos Growths'!$A:$A,0)),""))</f>
        <v/>
      </c>
      <c r="L1176" s="7" t="str">
        <f aca="false">IF(A1176="","",IF(G1176="não","Sem tabela no Growths",IF(I1176="","Sem campo no Growths",IF(J1176=K1176,"Importa direto","Ajustar tipo"))))</f>
        <v/>
      </c>
      <c r="M1176" s="9"/>
    </row>
    <row r="1177" customFormat="false" ht="15" hidden="false" customHeight="false" outlineLevel="0" collapsed="false">
      <c r="A1177" s="7" t="str">
        <f aca="false">IF('Outro banco'!A1177="","",IF(LEFT('Outro banco'!A1177,1)="(","",'Outro banco'!A1177))</f>
        <v/>
      </c>
      <c r="B1177" s="7" t="str">
        <f aca="false">IF(A1177="","",'Outro banco'!B1177)</f>
        <v/>
      </c>
      <c r="C1177" s="7" t="str">
        <f aca="false">IF(A1177="","",'Outro banco'!C1177)</f>
        <v/>
      </c>
      <c r="D1177" s="7" t="str">
        <f aca="false">IF(A1177="","",'Outro banco'!D1177)</f>
        <v/>
      </c>
      <c r="E1177" s="9"/>
      <c r="F1177" s="9"/>
      <c r="G1177" s="7" t="str">
        <f aca="false">IF(A1177="","",IF(COUNTIF(Tabelas!$A:$A,IF(E1177="",A1177,E1177))&gt;0,"sim","não"))</f>
        <v/>
      </c>
      <c r="H1177" s="7" t="str">
        <f aca="false">IF(A1177="","",IF(E1177="",A1177,E1177)&amp;"."&amp;IF(F1177="",B1177,F1177))</f>
        <v/>
      </c>
      <c r="I1177" s="7" t="str">
        <f aca="false">IF(A1177="","",IFERROR(INDEX('Campos Growths'!$F:$F,MATCH(H1177,'Campos Growths'!$A:$A,0)),""))</f>
        <v/>
      </c>
      <c r="J1177" s="7" t="str">
        <f aca="false">IF(A1177="","",IFERROR(VLOOKUP(IF(ISNUMBER(SEARCH("(",C1177)),LEFT(C1177,SEARCH("(",C1177)-1),C1177),Tipos!$A:$B,2,FALSE()),"outro"))</f>
        <v/>
      </c>
      <c r="K1177" s="7" t="str">
        <f aca="false">IF(I1177="","",IFERROR(INDEX('Campos Growths'!$L:$L,MATCH(H1177,'Campos Growths'!$A:$A,0)),""))</f>
        <v/>
      </c>
      <c r="L1177" s="7" t="str">
        <f aca="false">IF(A1177="","",IF(G1177="não","Sem tabela no Growths",IF(I1177="","Sem campo no Growths",IF(J1177=K1177,"Importa direto","Ajustar tipo"))))</f>
        <v/>
      </c>
      <c r="M1177" s="9"/>
    </row>
    <row r="1178" customFormat="false" ht="15" hidden="false" customHeight="false" outlineLevel="0" collapsed="false">
      <c r="A1178" s="7" t="str">
        <f aca="false">IF('Outro banco'!A1178="","",IF(LEFT('Outro banco'!A1178,1)="(","",'Outro banco'!A1178))</f>
        <v/>
      </c>
      <c r="B1178" s="7" t="str">
        <f aca="false">IF(A1178="","",'Outro banco'!B1178)</f>
        <v/>
      </c>
      <c r="C1178" s="7" t="str">
        <f aca="false">IF(A1178="","",'Outro banco'!C1178)</f>
        <v/>
      </c>
      <c r="D1178" s="7" t="str">
        <f aca="false">IF(A1178="","",'Outro banco'!D1178)</f>
        <v/>
      </c>
      <c r="E1178" s="9"/>
      <c r="F1178" s="9"/>
      <c r="G1178" s="7" t="str">
        <f aca="false">IF(A1178="","",IF(COUNTIF(Tabelas!$A:$A,IF(E1178="",A1178,E1178))&gt;0,"sim","não"))</f>
        <v/>
      </c>
      <c r="H1178" s="7" t="str">
        <f aca="false">IF(A1178="","",IF(E1178="",A1178,E1178)&amp;"."&amp;IF(F1178="",B1178,F1178))</f>
        <v/>
      </c>
      <c r="I1178" s="7" t="str">
        <f aca="false">IF(A1178="","",IFERROR(INDEX('Campos Growths'!$F:$F,MATCH(H1178,'Campos Growths'!$A:$A,0)),""))</f>
        <v/>
      </c>
      <c r="J1178" s="7" t="str">
        <f aca="false">IF(A1178="","",IFERROR(VLOOKUP(IF(ISNUMBER(SEARCH("(",C1178)),LEFT(C1178,SEARCH("(",C1178)-1),C1178),Tipos!$A:$B,2,FALSE()),"outro"))</f>
        <v/>
      </c>
      <c r="K1178" s="7" t="str">
        <f aca="false">IF(I1178="","",IFERROR(INDEX('Campos Growths'!$L:$L,MATCH(H1178,'Campos Growths'!$A:$A,0)),""))</f>
        <v/>
      </c>
      <c r="L1178" s="7" t="str">
        <f aca="false">IF(A1178="","",IF(G1178="não","Sem tabela no Growths",IF(I1178="","Sem campo no Growths",IF(J1178=K1178,"Importa direto","Ajustar tipo"))))</f>
        <v/>
      </c>
      <c r="M1178" s="9"/>
    </row>
    <row r="1179" customFormat="false" ht="15" hidden="false" customHeight="false" outlineLevel="0" collapsed="false">
      <c r="A1179" s="7" t="str">
        <f aca="false">IF('Outro banco'!A1179="","",IF(LEFT('Outro banco'!A1179,1)="(","",'Outro banco'!A1179))</f>
        <v/>
      </c>
      <c r="B1179" s="7" t="str">
        <f aca="false">IF(A1179="","",'Outro banco'!B1179)</f>
        <v/>
      </c>
      <c r="C1179" s="7" t="str">
        <f aca="false">IF(A1179="","",'Outro banco'!C1179)</f>
        <v/>
      </c>
      <c r="D1179" s="7" t="str">
        <f aca="false">IF(A1179="","",'Outro banco'!D1179)</f>
        <v/>
      </c>
      <c r="E1179" s="9"/>
      <c r="F1179" s="9"/>
      <c r="G1179" s="7" t="str">
        <f aca="false">IF(A1179="","",IF(COUNTIF(Tabelas!$A:$A,IF(E1179="",A1179,E1179))&gt;0,"sim","não"))</f>
        <v/>
      </c>
      <c r="H1179" s="7" t="str">
        <f aca="false">IF(A1179="","",IF(E1179="",A1179,E1179)&amp;"."&amp;IF(F1179="",B1179,F1179))</f>
        <v/>
      </c>
      <c r="I1179" s="7" t="str">
        <f aca="false">IF(A1179="","",IFERROR(INDEX('Campos Growths'!$F:$F,MATCH(H1179,'Campos Growths'!$A:$A,0)),""))</f>
        <v/>
      </c>
      <c r="J1179" s="7" t="str">
        <f aca="false">IF(A1179="","",IFERROR(VLOOKUP(IF(ISNUMBER(SEARCH("(",C1179)),LEFT(C1179,SEARCH("(",C1179)-1),C1179),Tipos!$A:$B,2,FALSE()),"outro"))</f>
        <v/>
      </c>
      <c r="K1179" s="7" t="str">
        <f aca="false">IF(I1179="","",IFERROR(INDEX('Campos Growths'!$L:$L,MATCH(H1179,'Campos Growths'!$A:$A,0)),""))</f>
        <v/>
      </c>
      <c r="L1179" s="7" t="str">
        <f aca="false">IF(A1179="","",IF(G1179="não","Sem tabela no Growths",IF(I1179="","Sem campo no Growths",IF(J1179=K1179,"Importa direto","Ajustar tipo"))))</f>
        <v/>
      </c>
      <c r="M1179" s="9"/>
    </row>
    <row r="1180" customFormat="false" ht="15" hidden="false" customHeight="false" outlineLevel="0" collapsed="false">
      <c r="A1180" s="7" t="str">
        <f aca="false">IF('Outro banco'!A1180="","",IF(LEFT('Outro banco'!A1180,1)="(","",'Outro banco'!A1180))</f>
        <v/>
      </c>
      <c r="B1180" s="7" t="str">
        <f aca="false">IF(A1180="","",'Outro banco'!B1180)</f>
        <v/>
      </c>
      <c r="C1180" s="7" t="str">
        <f aca="false">IF(A1180="","",'Outro banco'!C1180)</f>
        <v/>
      </c>
      <c r="D1180" s="7" t="str">
        <f aca="false">IF(A1180="","",'Outro banco'!D1180)</f>
        <v/>
      </c>
      <c r="E1180" s="9"/>
      <c r="F1180" s="9"/>
      <c r="G1180" s="7" t="str">
        <f aca="false">IF(A1180="","",IF(COUNTIF(Tabelas!$A:$A,IF(E1180="",A1180,E1180))&gt;0,"sim","não"))</f>
        <v/>
      </c>
      <c r="H1180" s="7" t="str">
        <f aca="false">IF(A1180="","",IF(E1180="",A1180,E1180)&amp;"."&amp;IF(F1180="",B1180,F1180))</f>
        <v/>
      </c>
      <c r="I1180" s="7" t="str">
        <f aca="false">IF(A1180="","",IFERROR(INDEX('Campos Growths'!$F:$F,MATCH(H1180,'Campos Growths'!$A:$A,0)),""))</f>
        <v/>
      </c>
      <c r="J1180" s="7" t="str">
        <f aca="false">IF(A1180="","",IFERROR(VLOOKUP(IF(ISNUMBER(SEARCH("(",C1180)),LEFT(C1180,SEARCH("(",C1180)-1),C1180),Tipos!$A:$B,2,FALSE()),"outro"))</f>
        <v/>
      </c>
      <c r="K1180" s="7" t="str">
        <f aca="false">IF(I1180="","",IFERROR(INDEX('Campos Growths'!$L:$L,MATCH(H1180,'Campos Growths'!$A:$A,0)),""))</f>
        <v/>
      </c>
      <c r="L1180" s="7" t="str">
        <f aca="false">IF(A1180="","",IF(G1180="não","Sem tabela no Growths",IF(I1180="","Sem campo no Growths",IF(J1180=K1180,"Importa direto","Ajustar tipo"))))</f>
        <v/>
      </c>
      <c r="M1180" s="9"/>
    </row>
    <row r="1181" customFormat="false" ht="15" hidden="false" customHeight="false" outlineLevel="0" collapsed="false">
      <c r="A1181" s="7" t="str">
        <f aca="false">IF('Outro banco'!A1181="","",IF(LEFT('Outro banco'!A1181,1)="(","",'Outro banco'!A1181))</f>
        <v/>
      </c>
      <c r="B1181" s="7" t="str">
        <f aca="false">IF(A1181="","",'Outro banco'!B1181)</f>
        <v/>
      </c>
      <c r="C1181" s="7" t="str">
        <f aca="false">IF(A1181="","",'Outro banco'!C1181)</f>
        <v/>
      </c>
      <c r="D1181" s="7" t="str">
        <f aca="false">IF(A1181="","",'Outro banco'!D1181)</f>
        <v/>
      </c>
      <c r="E1181" s="9"/>
      <c r="F1181" s="9"/>
      <c r="G1181" s="7" t="str">
        <f aca="false">IF(A1181="","",IF(COUNTIF(Tabelas!$A:$A,IF(E1181="",A1181,E1181))&gt;0,"sim","não"))</f>
        <v/>
      </c>
      <c r="H1181" s="7" t="str">
        <f aca="false">IF(A1181="","",IF(E1181="",A1181,E1181)&amp;"."&amp;IF(F1181="",B1181,F1181))</f>
        <v/>
      </c>
      <c r="I1181" s="7" t="str">
        <f aca="false">IF(A1181="","",IFERROR(INDEX('Campos Growths'!$F:$F,MATCH(H1181,'Campos Growths'!$A:$A,0)),""))</f>
        <v/>
      </c>
      <c r="J1181" s="7" t="str">
        <f aca="false">IF(A1181="","",IFERROR(VLOOKUP(IF(ISNUMBER(SEARCH("(",C1181)),LEFT(C1181,SEARCH("(",C1181)-1),C1181),Tipos!$A:$B,2,FALSE()),"outro"))</f>
        <v/>
      </c>
      <c r="K1181" s="7" t="str">
        <f aca="false">IF(I1181="","",IFERROR(INDEX('Campos Growths'!$L:$L,MATCH(H1181,'Campos Growths'!$A:$A,0)),""))</f>
        <v/>
      </c>
      <c r="L1181" s="7" t="str">
        <f aca="false">IF(A1181="","",IF(G1181="não","Sem tabela no Growths",IF(I1181="","Sem campo no Growths",IF(J1181=K1181,"Importa direto","Ajustar tipo"))))</f>
        <v/>
      </c>
      <c r="M1181" s="9"/>
    </row>
    <row r="1182" customFormat="false" ht="15" hidden="false" customHeight="false" outlineLevel="0" collapsed="false">
      <c r="A1182" s="7" t="str">
        <f aca="false">IF('Outro banco'!A1182="","",IF(LEFT('Outro banco'!A1182,1)="(","",'Outro banco'!A1182))</f>
        <v/>
      </c>
      <c r="B1182" s="7" t="str">
        <f aca="false">IF(A1182="","",'Outro banco'!B1182)</f>
        <v/>
      </c>
      <c r="C1182" s="7" t="str">
        <f aca="false">IF(A1182="","",'Outro banco'!C1182)</f>
        <v/>
      </c>
      <c r="D1182" s="7" t="str">
        <f aca="false">IF(A1182="","",'Outro banco'!D1182)</f>
        <v/>
      </c>
      <c r="E1182" s="9"/>
      <c r="F1182" s="9"/>
      <c r="G1182" s="7" t="str">
        <f aca="false">IF(A1182="","",IF(COUNTIF(Tabelas!$A:$A,IF(E1182="",A1182,E1182))&gt;0,"sim","não"))</f>
        <v/>
      </c>
      <c r="H1182" s="7" t="str">
        <f aca="false">IF(A1182="","",IF(E1182="",A1182,E1182)&amp;"."&amp;IF(F1182="",B1182,F1182))</f>
        <v/>
      </c>
      <c r="I1182" s="7" t="str">
        <f aca="false">IF(A1182="","",IFERROR(INDEX('Campos Growths'!$F:$F,MATCH(H1182,'Campos Growths'!$A:$A,0)),""))</f>
        <v/>
      </c>
      <c r="J1182" s="7" t="str">
        <f aca="false">IF(A1182="","",IFERROR(VLOOKUP(IF(ISNUMBER(SEARCH("(",C1182)),LEFT(C1182,SEARCH("(",C1182)-1),C1182),Tipos!$A:$B,2,FALSE()),"outro"))</f>
        <v/>
      </c>
      <c r="K1182" s="7" t="str">
        <f aca="false">IF(I1182="","",IFERROR(INDEX('Campos Growths'!$L:$L,MATCH(H1182,'Campos Growths'!$A:$A,0)),""))</f>
        <v/>
      </c>
      <c r="L1182" s="7" t="str">
        <f aca="false">IF(A1182="","",IF(G1182="não","Sem tabela no Growths",IF(I1182="","Sem campo no Growths",IF(J1182=K1182,"Importa direto","Ajustar tipo"))))</f>
        <v/>
      </c>
      <c r="M1182" s="9"/>
    </row>
    <row r="1183" customFormat="false" ht="15" hidden="false" customHeight="false" outlineLevel="0" collapsed="false">
      <c r="A1183" s="7" t="str">
        <f aca="false">IF('Outro banco'!A1183="","",IF(LEFT('Outro banco'!A1183,1)="(","",'Outro banco'!A1183))</f>
        <v/>
      </c>
      <c r="B1183" s="7" t="str">
        <f aca="false">IF(A1183="","",'Outro banco'!B1183)</f>
        <v/>
      </c>
      <c r="C1183" s="7" t="str">
        <f aca="false">IF(A1183="","",'Outro banco'!C1183)</f>
        <v/>
      </c>
      <c r="D1183" s="7" t="str">
        <f aca="false">IF(A1183="","",'Outro banco'!D1183)</f>
        <v/>
      </c>
      <c r="E1183" s="9"/>
      <c r="F1183" s="9"/>
      <c r="G1183" s="7" t="str">
        <f aca="false">IF(A1183="","",IF(COUNTIF(Tabelas!$A:$A,IF(E1183="",A1183,E1183))&gt;0,"sim","não"))</f>
        <v/>
      </c>
      <c r="H1183" s="7" t="str">
        <f aca="false">IF(A1183="","",IF(E1183="",A1183,E1183)&amp;"."&amp;IF(F1183="",B1183,F1183))</f>
        <v/>
      </c>
      <c r="I1183" s="7" t="str">
        <f aca="false">IF(A1183="","",IFERROR(INDEX('Campos Growths'!$F:$F,MATCH(H1183,'Campos Growths'!$A:$A,0)),""))</f>
        <v/>
      </c>
      <c r="J1183" s="7" t="str">
        <f aca="false">IF(A1183="","",IFERROR(VLOOKUP(IF(ISNUMBER(SEARCH("(",C1183)),LEFT(C1183,SEARCH("(",C1183)-1),C1183),Tipos!$A:$B,2,FALSE()),"outro"))</f>
        <v/>
      </c>
      <c r="K1183" s="7" t="str">
        <f aca="false">IF(I1183="","",IFERROR(INDEX('Campos Growths'!$L:$L,MATCH(H1183,'Campos Growths'!$A:$A,0)),""))</f>
        <v/>
      </c>
      <c r="L1183" s="7" t="str">
        <f aca="false">IF(A1183="","",IF(G1183="não","Sem tabela no Growths",IF(I1183="","Sem campo no Growths",IF(J1183=K1183,"Importa direto","Ajustar tipo"))))</f>
        <v/>
      </c>
      <c r="M1183" s="9"/>
    </row>
    <row r="1184" customFormat="false" ht="15" hidden="false" customHeight="false" outlineLevel="0" collapsed="false">
      <c r="A1184" s="7" t="str">
        <f aca="false">IF('Outro banco'!A1184="","",IF(LEFT('Outro banco'!A1184,1)="(","",'Outro banco'!A1184))</f>
        <v/>
      </c>
      <c r="B1184" s="7" t="str">
        <f aca="false">IF(A1184="","",'Outro banco'!B1184)</f>
        <v/>
      </c>
      <c r="C1184" s="7" t="str">
        <f aca="false">IF(A1184="","",'Outro banco'!C1184)</f>
        <v/>
      </c>
      <c r="D1184" s="7" t="str">
        <f aca="false">IF(A1184="","",'Outro banco'!D1184)</f>
        <v/>
      </c>
      <c r="E1184" s="9"/>
      <c r="F1184" s="9"/>
      <c r="G1184" s="7" t="str">
        <f aca="false">IF(A1184="","",IF(COUNTIF(Tabelas!$A:$A,IF(E1184="",A1184,E1184))&gt;0,"sim","não"))</f>
        <v/>
      </c>
      <c r="H1184" s="7" t="str">
        <f aca="false">IF(A1184="","",IF(E1184="",A1184,E1184)&amp;"."&amp;IF(F1184="",B1184,F1184))</f>
        <v/>
      </c>
      <c r="I1184" s="7" t="str">
        <f aca="false">IF(A1184="","",IFERROR(INDEX('Campos Growths'!$F:$F,MATCH(H1184,'Campos Growths'!$A:$A,0)),""))</f>
        <v/>
      </c>
      <c r="J1184" s="7" t="str">
        <f aca="false">IF(A1184="","",IFERROR(VLOOKUP(IF(ISNUMBER(SEARCH("(",C1184)),LEFT(C1184,SEARCH("(",C1184)-1),C1184),Tipos!$A:$B,2,FALSE()),"outro"))</f>
        <v/>
      </c>
      <c r="K1184" s="7" t="str">
        <f aca="false">IF(I1184="","",IFERROR(INDEX('Campos Growths'!$L:$L,MATCH(H1184,'Campos Growths'!$A:$A,0)),""))</f>
        <v/>
      </c>
      <c r="L1184" s="7" t="str">
        <f aca="false">IF(A1184="","",IF(G1184="não","Sem tabela no Growths",IF(I1184="","Sem campo no Growths",IF(J1184=K1184,"Importa direto","Ajustar tipo"))))</f>
        <v/>
      </c>
      <c r="M1184" s="9"/>
    </row>
    <row r="1185" customFormat="false" ht="15" hidden="false" customHeight="false" outlineLevel="0" collapsed="false">
      <c r="A1185" s="7" t="str">
        <f aca="false">IF('Outro banco'!A1185="","",IF(LEFT('Outro banco'!A1185,1)="(","",'Outro banco'!A1185))</f>
        <v/>
      </c>
      <c r="B1185" s="7" t="str">
        <f aca="false">IF(A1185="","",'Outro banco'!B1185)</f>
        <v/>
      </c>
      <c r="C1185" s="7" t="str">
        <f aca="false">IF(A1185="","",'Outro banco'!C1185)</f>
        <v/>
      </c>
      <c r="D1185" s="7" t="str">
        <f aca="false">IF(A1185="","",'Outro banco'!D1185)</f>
        <v/>
      </c>
      <c r="E1185" s="9"/>
      <c r="F1185" s="9"/>
      <c r="G1185" s="7" t="str">
        <f aca="false">IF(A1185="","",IF(COUNTIF(Tabelas!$A:$A,IF(E1185="",A1185,E1185))&gt;0,"sim","não"))</f>
        <v/>
      </c>
      <c r="H1185" s="7" t="str">
        <f aca="false">IF(A1185="","",IF(E1185="",A1185,E1185)&amp;"."&amp;IF(F1185="",B1185,F1185))</f>
        <v/>
      </c>
      <c r="I1185" s="7" t="str">
        <f aca="false">IF(A1185="","",IFERROR(INDEX('Campos Growths'!$F:$F,MATCH(H1185,'Campos Growths'!$A:$A,0)),""))</f>
        <v/>
      </c>
      <c r="J1185" s="7" t="str">
        <f aca="false">IF(A1185="","",IFERROR(VLOOKUP(IF(ISNUMBER(SEARCH("(",C1185)),LEFT(C1185,SEARCH("(",C1185)-1),C1185),Tipos!$A:$B,2,FALSE()),"outro"))</f>
        <v/>
      </c>
      <c r="K1185" s="7" t="str">
        <f aca="false">IF(I1185="","",IFERROR(INDEX('Campos Growths'!$L:$L,MATCH(H1185,'Campos Growths'!$A:$A,0)),""))</f>
        <v/>
      </c>
      <c r="L1185" s="7" t="str">
        <f aca="false">IF(A1185="","",IF(G1185="não","Sem tabela no Growths",IF(I1185="","Sem campo no Growths",IF(J1185=K1185,"Importa direto","Ajustar tipo"))))</f>
        <v/>
      </c>
      <c r="M1185" s="9"/>
    </row>
    <row r="1186" customFormat="false" ht="15" hidden="false" customHeight="false" outlineLevel="0" collapsed="false">
      <c r="A1186" s="7" t="str">
        <f aca="false">IF('Outro banco'!A1186="","",IF(LEFT('Outro banco'!A1186,1)="(","",'Outro banco'!A1186))</f>
        <v/>
      </c>
      <c r="B1186" s="7" t="str">
        <f aca="false">IF(A1186="","",'Outro banco'!B1186)</f>
        <v/>
      </c>
      <c r="C1186" s="7" t="str">
        <f aca="false">IF(A1186="","",'Outro banco'!C1186)</f>
        <v/>
      </c>
      <c r="D1186" s="7" t="str">
        <f aca="false">IF(A1186="","",'Outro banco'!D1186)</f>
        <v/>
      </c>
      <c r="E1186" s="9"/>
      <c r="F1186" s="9"/>
      <c r="G1186" s="7" t="str">
        <f aca="false">IF(A1186="","",IF(COUNTIF(Tabelas!$A:$A,IF(E1186="",A1186,E1186))&gt;0,"sim","não"))</f>
        <v/>
      </c>
      <c r="H1186" s="7" t="str">
        <f aca="false">IF(A1186="","",IF(E1186="",A1186,E1186)&amp;"."&amp;IF(F1186="",B1186,F1186))</f>
        <v/>
      </c>
      <c r="I1186" s="7" t="str">
        <f aca="false">IF(A1186="","",IFERROR(INDEX('Campos Growths'!$F:$F,MATCH(H1186,'Campos Growths'!$A:$A,0)),""))</f>
        <v/>
      </c>
      <c r="J1186" s="7" t="str">
        <f aca="false">IF(A1186="","",IFERROR(VLOOKUP(IF(ISNUMBER(SEARCH("(",C1186)),LEFT(C1186,SEARCH("(",C1186)-1),C1186),Tipos!$A:$B,2,FALSE()),"outro"))</f>
        <v/>
      </c>
      <c r="K1186" s="7" t="str">
        <f aca="false">IF(I1186="","",IFERROR(INDEX('Campos Growths'!$L:$L,MATCH(H1186,'Campos Growths'!$A:$A,0)),""))</f>
        <v/>
      </c>
      <c r="L1186" s="7" t="str">
        <f aca="false">IF(A1186="","",IF(G1186="não","Sem tabela no Growths",IF(I1186="","Sem campo no Growths",IF(J1186=K1186,"Importa direto","Ajustar tipo"))))</f>
        <v/>
      </c>
      <c r="M1186" s="9"/>
    </row>
    <row r="1187" customFormat="false" ht="15" hidden="false" customHeight="false" outlineLevel="0" collapsed="false">
      <c r="A1187" s="7" t="str">
        <f aca="false">IF('Outro banco'!A1187="","",IF(LEFT('Outro banco'!A1187,1)="(","",'Outro banco'!A1187))</f>
        <v/>
      </c>
      <c r="B1187" s="7" t="str">
        <f aca="false">IF(A1187="","",'Outro banco'!B1187)</f>
        <v/>
      </c>
      <c r="C1187" s="7" t="str">
        <f aca="false">IF(A1187="","",'Outro banco'!C1187)</f>
        <v/>
      </c>
      <c r="D1187" s="7" t="str">
        <f aca="false">IF(A1187="","",'Outro banco'!D1187)</f>
        <v/>
      </c>
      <c r="E1187" s="9"/>
      <c r="F1187" s="9"/>
      <c r="G1187" s="7" t="str">
        <f aca="false">IF(A1187="","",IF(COUNTIF(Tabelas!$A:$A,IF(E1187="",A1187,E1187))&gt;0,"sim","não"))</f>
        <v/>
      </c>
      <c r="H1187" s="7" t="str">
        <f aca="false">IF(A1187="","",IF(E1187="",A1187,E1187)&amp;"."&amp;IF(F1187="",B1187,F1187))</f>
        <v/>
      </c>
      <c r="I1187" s="7" t="str">
        <f aca="false">IF(A1187="","",IFERROR(INDEX('Campos Growths'!$F:$F,MATCH(H1187,'Campos Growths'!$A:$A,0)),""))</f>
        <v/>
      </c>
      <c r="J1187" s="7" t="str">
        <f aca="false">IF(A1187="","",IFERROR(VLOOKUP(IF(ISNUMBER(SEARCH("(",C1187)),LEFT(C1187,SEARCH("(",C1187)-1),C1187),Tipos!$A:$B,2,FALSE()),"outro"))</f>
        <v/>
      </c>
      <c r="K1187" s="7" t="str">
        <f aca="false">IF(I1187="","",IFERROR(INDEX('Campos Growths'!$L:$L,MATCH(H1187,'Campos Growths'!$A:$A,0)),""))</f>
        <v/>
      </c>
      <c r="L1187" s="7" t="str">
        <f aca="false">IF(A1187="","",IF(G1187="não","Sem tabela no Growths",IF(I1187="","Sem campo no Growths",IF(J1187=K1187,"Importa direto","Ajustar tipo"))))</f>
        <v/>
      </c>
      <c r="M1187" s="9"/>
    </row>
    <row r="1188" customFormat="false" ht="15" hidden="false" customHeight="false" outlineLevel="0" collapsed="false">
      <c r="A1188" s="7" t="str">
        <f aca="false">IF('Outro banco'!A1188="","",IF(LEFT('Outro banco'!A1188,1)="(","",'Outro banco'!A1188))</f>
        <v/>
      </c>
      <c r="B1188" s="7" t="str">
        <f aca="false">IF(A1188="","",'Outro banco'!B1188)</f>
        <v/>
      </c>
      <c r="C1188" s="7" t="str">
        <f aca="false">IF(A1188="","",'Outro banco'!C1188)</f>
        <v/>
      </c>
      <c r="D1188" s="7" t="str">
        <f aca="false">IF(A1188="","",'Outro banco'!D1188)</f>
        <v/>
      </c>
      <c r="E1188" s="9"/>
      <c r="F1188" s="9"/>
      <c r="G1188" s="7" t="str">
        <f aca="false">IF(A1188="","",IF(COUNTIF(Tabelas!$A:$A,IF(E1188="",A1188,E1188))&gt;0,"sim","não"))</f>
        <v/>
      </c>
      <c r="H1188" s="7" t="str">
        <f aca="false">IF(A1188="","",IF(E1188="",A1188,E1188)&amp;"."&amp;IF(F1188="",B1188,F1188))</f>
        <v/>
      </c>
      <c r="I1188" s="7" t="str">
        <f aca="false">IF(A1188="","",IFERROR(INDEX('Campos Growths'!$F:$F,MATCH(H1188,'Campos Growths'!$A:$A,0)),""))</f>
        <v/>
      </c>
      <c r="J1188" s="7" t="str">
        <f aca="false">IF(A1188="","",IFERROR(VLOOKUP(IF(ISNUMBER(SEARCH("(",C1188)),LEFT(C1188,SEARCH("(",C1188)-1),C1188),Tipos!$A:$B,2,FALSE()),"outro"))</f>
        <v/>
      </c>
      <c r="K1188" s="7" t="str">
        <f aca="false">IF(I1188="","",IFERROR(INDEX('Campos Growths'!$L:$L,MATCH(H1188,'Campos Growths'!$A:$A,0)),""))</f>
        <v/>
      </c>
      <c r="L1188" s="7" t="str">
        <f aca="false">IF(A1188="","",IF(G1188="não","Sem tabela no Growths",IF(I1188="","Sem campo no Growths",IF(J1188=K1188,"Importa direto","Ajustar tipo"))))</f>
        <v/>
      </c>
      <c r="M1188" s="9"/>
    </row>
    <row r="1189" customFormat="false" ht="15" hidden="false" customHeight="false" outlineLevel="0" collapsed="false">
      <c r="A1189" s="7" t="str">
        <f aca="false">IF('Outro banco'!A1189="","",IF(LEFT('Outro banco'!A1189,1)="(","",'Outro banco'!A1189))</f>
        <v/>
      </c>
      <c r="B1189" s="7" t="str">
        <f aca="false">IF(A1189="","",'Outro banco'!B1189)</f>
        <v/>
      </c>
      <c r="C1189" s="7" t="str">
        <f aca="false">IF(A1189="","",'Outro banco'!C1189)</f>
        <v/>
      </c>
      <c r="D1189" s="7" t="str">
        <f aca="false">IF(A1189="","",'Outro banco'!D1189)</f>
        <v/>
      </c>
      <c r="E1189" s="9"/>
      <c r="F1189" s="9"/>
      <c r="G1189" s="7" t="str">
        <f aca="false">IF(A1189="","",IF(COUNTIF(Tabelas!$A:$A,IF(E1189="",A1189,E1189))&gt;0,"sim","não"))</f>
        <v/>
      </c>
      <c r="H1189" s="7" t="str">
        <f aca="false">IF(A1189="","",IF(E1189="",A1189,E1189)&amp;"."&amp;IF(F1189="",B1189,F1189))</f>
        <v/>
      </c>
      <c r="I1189" s="7" t="str">
        <f aca="false">IF(A1189="","",IFERROR(INDEX('Campos Growths'!$F:$F,MATCH(H1189,'Campos Growths'!$A:$A,0)),""))</f>
        <v/>
      </c>
      <c r="J1189" s="7" t="str">
        <f aca="false">IF(A1189="","",IFERROR(VLOOKUP(IF(ISNUMBER(SEARCH("(",C1189)),LEFT(C1189,SEARCH("(",C1189)-1),C1189),Tipos!$A:$B,2,FALSE()),"outro"))</f>
        <v/>
      </c>
      <c r="K1189" s="7" t="str">
        <f aca="false">IF(I1189="","",IFERROR(INDEX('Campos Growths'!$L:$L,MATCH(H1189,'Campos Growths'!$A:$A,0)),""))</f>
        <v/>
      </c>
      <c r="L1189" s="7" t="str">
        <f aca="false">IF(A1189="","",IF(G1189="não","Sem tabela no Growths",IF(I1189="","Sem campo no Growths",IF(J1189=K1189,"Importa direto","Ajustar tipo"))))</f>
        <v/>
      </c>
      <c r="M1189" s="9"/>
    </row>
    <row r="1190" customFormat="false" ht="15" hidden="false" customHeight="false" outlineLevel="0" collapsed="false">
      <c r="A1190" s="7" t="str">
        <f aca="false">IF('Outro banco'!A1190="","",IF(LEFT('Outro banco'!A1190,1)="(","",'Outro banco'!A1190))</f>
        <v/>
      </c>
      <c r="B1190" s="7" t="str">
        <f aca="false">IF(A1190="","",'Outro banco'!B1190)</f>
        <v/>
      </c>
      <c r="C1190" s="7" t="str">
        <f aca="false">IF(A1190="","",'Outro banco'!C1190)</f>
        <v/>
      </c>
      <c r="D1190" s="7" t="str">
        <f aca="false">IF(A1190="","",'Outro banco'!D1190)</f>
        <v/>
      </c>
      <c r="E1190" s="9"/>
      <c r="F1190" s="9"/>
      <c r="G1190" s="7" t="str">
        <f aca="false">IF(A1190="","",IF(COUNTIF(Tabelas!$A:$A,IF(E1190="",A1190,E1190))&gt;0,"sim","não"))</f>
        <v/>
      </c>
      <c r="H1190" s="7" t="str">
        <f aca="false">IF(A1190="","",IF(E1190="",A1190,E1190)&amp;"."&amp;IF(F1190="",B1190,F1190))</f>
        <v/>
      </c>
      <c r="I1190" s="7" t="str">
        <f aca="false">IF(A1190="","",IFERROR(INDEX('Campos Growths'!$F:$F,MATCH(H1190,'Campos Growths'!$A:$A,0)),""))</f>
        <v/>
      </c>
      <c r="J1190" s="7" t="str">
        <f aca="false">IF(A1190="","",IFERROR(VLOOKUP(IF(ISNUMBER(SEARCH("(",C1190)),LEFT(C1190,SEARCH("(",C1190)-1),C1190),Tipos!$A:$B,2,FALSE()),"outro"))</f>
        <v/>
      </c>
      <c r="K1190" s="7" t="str">
        <f aca="false">IF(I1190="","",IFERROR(INDEX('Campos Growths'!$L:$L,MATCH(H1190,'Campos Growths'!$A:$A,0)),""))</f>
        <v/>
      </c>
      <c r="L1190" s="7" t="str">
        <f aca="false">IF(A1190="","",IF(G1190="não","Sem tabela no Growths",IF(I1190="","Sem campo no Growths",IF(J1190=K1190,"Importa direto","Ajustar tipo"))))</f>
        <v/>
      </c>
      <c r="M1190" s="9"/>
    </row>
    <row r="1191" customFormat="false" ht="15" hidden="false" customHeight="false" outlineLevel="0" collapsed="false">
      <c r="A1191" s="7" t="str">
        <f aca="false">IF('Outro banco'!A1191="","",IF(LEFT('Outro banco'!A1191,1)="(","",'Outro banco'!A1191))</f>
        <v/>
      </c>
      <c r="B1191" s="7" t="str">
        <f aca="false">IF(A1191="","",'Outro banco'!B1191)</f>
        <v/>
      </c>
      <c r="C1191" s="7" t="str">
        <f aca="false">IF(A1191="","",'Outro banco'!C1191)</f>
        <v/>
      </c>
      <c r="D1191" s="7" t="str">
        <f aca="false">IF(A1191="","",'Outro banco'!D1191)</f>
        <v/>
      </c>
      <c r="E1191" s="9"/>
      <c r="F1191" s="9"/>
      <c r="G1191" s="7" t="str">
        <f aca="false">IF(A1191="","",IF(COUNTIF(Tabelas!$A:$A,IF(E1191="",A1191,E1191))&gt;0,"sim","não"))</f>
        <v/>
      </c>
      <c r="H1191" s="7" t="str">
        <f aca="false">IF(A1191="","",IF(E1191="",A1191,E1191)&amp;"."&amp;IF(F1191="",B1191,F1191))</f>
        <v/>
      </c>
      <c r="I1191" s="7" t="str">
        <f aca="false">IF(A1191="","",IFERROR(INDEX('Campos Growths'!$F:$F,MATCH(H1191,'Campos Growths'!$A:$A,0)),""))</f>
        <v/>
      </c>
      <c r="J1191" s="7" t="str">
        <f aca="false">IF(A1191="","",IFERROR(VLOOKUP(IF(ISNUMBER(SEARCH("(",C1191)),LEFT(C1191,SEARCH("(",C1191)-1),C1191),Tipos!$A:$B,2,FALSE()),"outro"))</f>
        <v/>
      </c>
      <c r="K1191" s="7" t="str">
        <f aca="false">IF(I1191="","",IFERROR(INDEX('Campos Growths'!$L:$L,MATCH(H1191,'Campos Growths'!$A:$A,0)),""))</f>
        <v/>
      </c>
      <c r="L1191" s="7" t="str">
        <f aca="false">IF(A1191="","",IF(G1191="não","Sem tabela no Growths",IF(I1191="","Sem campo no Growths",IF(J1191=K1191,"Importa direto","Ajustar tipo"))))</f>
        <v/>
      </c>
      <c r="M1191" s="9"/>
    </row>
    <row r="1192" customFormat="false" ht="15" hidden="false" customHeight="false" outlineLevel="0" collapsed="false">
      <c r="A1192" s="7" t="str">
        <f aca="false">IF('Outro banco'!A1192="","",IF(LEFT('Outro banco'!A1192,1)="(","",'Outro banco'!A1192))</f>
        <v/>
      </c>
      <c r="B1192" s="7" t="str">
        <f aca="false">IF(A1192="","",'Outro banco'!B1192)</f>
        <v/>
      </c>
      <c r="C1192" s="7" t="str">
        <f aca="false">IF(A1192="","",'Outro banco'!C1192)</f>
        <v/>
      </c>
      <c r="D1192" s="7" t="str">
        <f aca="false">IF(A1192="","",'Outro banco'!D1192)</f>
        <v/>
      </c>
      <c r="E1192" s="9"/>
      <c r="F1192" s="9"/>
      <c r="G1192" s="7" t="str">
        <f aca="false">IF(A1192="","",IF(COUNTIF(Tabelas!$A:$A,IF(E1192="",A1192,E1192))&gt;0,"sim","não"))</f>
        <v/>
      </c>
      <c r="H1192" s="7" t="str">
        <f aca="false">IF(A1192="","",IF(E1192="",A1192,E1192)&amp;"."&amp;IF(F1192="",B1192,F1192))</f>
        <v/>
      </c>
      <c r="I1192" s="7" t="str">
        <f aca="false">IF(A1192="","",IFERROR(INDEX('Campos Growths'!$F:$F,MATCH(H1192,'Campos Growths'!$A:$A,0)),""))</f>
        <v/>
      </c>
      <c r="J1192" s="7" t="str">
        <f aca="false">IF(A1192="","",IFERROR(VLOOKUP(IF(ISNUMBER(SEARCH("(",C1192)),LEFT(C1192,SEARCH("(",C1192)-1),C1192),Tipos!$A:$B,2,FALSE()),"outro"))</f>
        <v/>
      </c>
      <c r="K1192" s="7" t="str">
        <f aca="false">IF(I1192="","",IFERROR(INDEX('Campos Growths'!$L:$L,MATCH(H1192,'Campos Growths'!$A:$A,0)),""))</f>
        <v/>
      </c>
      <c r="L1192" s="7" t="str">
        <f aca="false">IF(A1192="","",IF(G1192="não","Sem tabela no Growths",IF(I1192="","Sem campo no Growths",IF(J1192=K1192,"Importa direto","Ajustar tipo"))))</f>
        <v/>
      </c>
      <c r="M1192" s="9"/>
    </row>
    <row r="1193" customFormat="false" ht="15" hidden="false" customHeight="false" outlineLevel="0" collapsed="false">
      <c r="A1193" s="7" t="str">
        <f aca="false">IF('Outro banco'!A1193="","",IF(LEFT('Outro banco'!A1193,1)="(","",'Outro banco'!A1193))</f>
        <v/>
      </c>
      <c r="B1193" s="7" t="str">
        <f aca="false">IF(A1193="","",'Outro banco'!B1193)</f>
        <v/>
      </c>
      <c r="C1193" s="7" t="str">
        <f aca="false">IF(A1193="","",'Outro banco'!C1193)</f>
        <v/>
      </c>
      <c r="D1193" s="7" t="str">
        <f aca="false">IF(A1193="","",'Outro banco'!D1193)</f>
        <v/>
      </c>
      <c r="E1193" s="9"/>
      <c r="F1193" s="9"/>
      <c r="G1193" s="7" t="str">
        <f aca="false">IF(A1193="","",IF(COUNTIF(Tabelas!$A:$A,IF(E1193="",A1193,E1193))&gt;0,"sim","não"))</f>
        <v/>
      </c>
      <c r="H1193" s="7" t="str">
        <f aca="false">IF(A1193="","",IF(E1193="",A1193,E1193)&amp;"."&amp;IF(F1193="",B1193,F1193))</f>
        <v/>
      </c>
      <c r="I1193" s="7" t="str">
        <f aca="false">IF(A1193="","",IFERROR(INDEX('Campos Growths'!$F:$F,MATCH(H1193,'Campos Growths'!$A:$A,0)),""))</f>
        <v/>
      </c>
      <c r="J1193" s="7" t="str">
        <f aca="false">IF(A1193="","",IFERROR(VLOOKUP(IF(ISNUMBER(SEARCH("(",C1193)),LEFT(C1193,SEARCH("(",C1193)-1),C1193),Tipos!$A:$B,2,FALSE()),"outro"))</f>
        <v/>
      </c>
      <c r="K1193" s="7" t="str">
        <f aca="false">IF(I1193="","",IFERROR(INDEX('Campos Growths'!$L:$L,MATCH(H1193,'Campos Growths'!$A:$A,0)),""))</f>
        <v/>
      </c>
      <c r="L1193" s="7" t="str">
        <f aca="false">IF(A1193="","",IF(G1193="não","Sem tabela no Growths",IF(I1193="","Sem campo no Growths",IF(J1193=K1193,"Importa direto","Ajustar tipo"))))</f>
        <v/>
      </c>
      <c r="M1193" s="9"/>
    </row>
    <row r="1194" customFormat="false" ht="15" hidden="false" customHeight="false" outlineLevel="0" collapsed="false">
      <c r="A1194" s="7" t="str">
        <f aca="false">IF('Outro banco'!A1194="","",IF(LEFT('Outro banco'!A1194,1)="(","",'Outro banco'!A1194))</f>
        <v/>
      </c>
      <c r="B1194" s="7" t="str">
        <f aca="false">IF(A1194="","",'Outro banco'!B1194)</f>
        <v/>
      </c>
      <c r="C1194" s="7" t="str">
        <f aca="false">IF(A1194="","",'Outro banco'!C1194)</f>
        <v/>
      </c>
      <c r="D1194" s="7" t="str">
        <f aca="false">IF(A1194="","",'Outro banco'!D1194)</f>
        <v/>
      </c>
      <c r="E1194" s="9"/>
      <c r="F1194" s="9"/>
      <c r="G1194" s="7" t="str">
        <f aca="false">IF(A1194="","",IF(COUNTIF(Tabelas!$A:$A,IF(E1194="",A1194,E1194))&gt;0,"sim","não"))</f>
        <v/>
      </c>
      <c r="H1194" s="7" t="str">
        <f aca="false">IF(A1194="","",IF(E1194="",A1194,E1194)&amp;"."&amp;IF(F1194="",B1194,F1194))</f>
        <v/>
      </c>
      <c r="I1194" s="7" t="str">
        <f aca="false">IF(A1194="","",IFERROR(INDEX('Campos Growths'!$F:$F,MATCH(H1194,'Campos Growths'!$A:$A,0)),""))</f>
        <v/>
      </c>
      <c r="J1194" s="7" t="str">
        <f aca="false">IF(A1194="","",IFERROR(VLOOKUP(IF(ISNUMBER(SEARCH("(",C1194)),LEFT(C1194,SEARCH("(",C1194)-1),C1194),Tipos!$A:$B,2,FALSE()),"outro"))</f>
        <v/>
      </c>
      <c r="K1194" s="7" t="str">
        <f aca="false">IF(I1194="","",IFERROR(INDEX('Campos Growths'!$L:$L,MATCH(H1194,'Campos Growths'!$A:$A,0)),""))</f>
        <v/>
      </c>
      <c r="L1194" s="7" t="str">
        <f aca="false">IF(A1194="","",IF(G1194="não","Sem tabela no Growths",IF(I1194="","Sem campo no Growths",IF(J1194=K1194,"Importa direto","Ajustar tipo"))))</f>
        <v/>
      </c>
      <c r="M1194" s="9"/>
    </row>
    <row r="1195" customFormat="false" ht="15" hidden="false" customHeight="false" outlineLevel="0" collapsed="false">
      <c r="A1195" s="7" t="str">
        <f aca="false">IF('Outro banco'!A1195="","",IF(LEFT('Outro banco'!A1195,1)="(","",'Outro banco'!A1195))</f>
        <v/>
      </c>
      <c r="B1195" s="7" t="str">
        <f aca="false">IF(A1195="","",'Outro banco'!B1195)</f>
        <v/>
      </c>
      <c r="C1195" s="7" t="str">
        <f aca="false">IF(A1195="","",'Outro banco'!C1195)</f>
        <v/>
      </c>
      <c r="D1195" s="7" t="str">
        <f aca="false">IF(A1195="","",'Outro banco'!D1195)</f>
        <v/>
      </c>
      <c r="E1195" s="9"/>
      <c r="F1195" s="9"/>
      <c r="G1195" s="7" t="str">
        <f aca="false">IF(A1195="","",IF(COUNTIF(Tabelas!$A:$A,IF(E1195="",A1195,E1195))&gt;0,"sim","não"))</f>
        <v/>
      </c>
      <c r="H1195" s="7" t="str">
        <f aca="false">IF(A1195="","",IF(E1195="",A1195,E1195)&amp;"."&amp;IF(F1195="",B1195,F1195))</f>
        <v/>
      </c>
      <c r="I1195" s="7" t="str">
        <f aca="false">IF(A1195="","",IFERROR(INDEX('Campos Growths'!$F:$F,MATCH(H1195,'Campos Growths'!$A:$A,0)),""))</f>
        <v/>
      </c>
      <c r="J1195" s="7" t="str">
        <f aca="false">IF(A1195="","",IFERROR(VLOOKUP(IF(ISNUMBER(SEARCH("(",C1195)),LEFT(C1195,SEARCH("(",C1195)-1),C1195),Tipos!$A:$B,2,FALSE()),"outro"))</f>
        <v/>
      </c>
      <c r="K1195" s="7" t="str">
        <f aca="false">IF(I1195="","",IFERROR(INDEX('Campos Growths'!$L:$L,MATCH(H1195,'Campos Growths'!$A:$A,0)),""))</f>
        <v/>
      </c>
      <c r="L1195" s="7" t="str">
        <f aca="false">IF(A1195="","",IF(G1195="não","Sem tabela no Growths",IF(I1195="","Sem campo no Growths",IF(J1195=K1195,"Importa direto","Ajustar tipo"))))</f>
        <v/>
      </c>
      <c r="M1195" s="9"/>
    </row>
    <row r="1196" customFormat="false" ht="15" hidden="false" customHeight="false" outlineLevel="0" collapsed="false">
      <c r="A1196" s="7" t="str">
        <f aca="false">IF('Outro banco'!A1196="","",IF(LEFT('Outro banco'!A1196,1)="(","",'Outro banco'!A1196))</f>
        <v/>
      </c>
      <c r="B1196" s="7" t="str">
        <f aca="false">IF(A1196="","",'Outro banco'!B1196)</f>
        <v/>
      </c>
      <c r="C1196" s="7" t="str">
        <f aca="false">IF(A1196="","",'Outro banco'!C1196)</f>
        <v/>
      </c>
      <c r="D1196" s="7" t="str">
        <f aca="false">IF(A1196="","",'Outro banco'!D1196)</f>
        <v/>
      </c>
      <c r="E1196" s="9"/>
      <c r="F1196" s="9"/>
      <c r="G1196" s="7" t="str">
        <f aca="false">IF(A1196="","",IF(COUNTIF(Tabelas!$A:$A,IF(E1196="",A1196,E1196))&gt;0,"sim","não"))</f>
        <v/>
      </c>
      <c r="H1196" s="7" t="str">
        <f aca="false">IF(A1196="","",IF(E1196="",A1196,E1196)&amp;"."&amp;IF(F1196="",B1196,F1196))</f>
        <v/>
      </c>
      <c r="I1196" s="7" t="str">
        <f aca="false">IF(A1196="","",IFERROR(INDEX('Campos Growths'!$F:$F,MATCH(H1196,'Campos Growths'!$A:$A,0)),""))</f>
        <v/>
      </c>
      <c r="J1196" s="7" t="str">
        <f aca="false">IF(A1196="","",IFERROR(VLOOKUP(IF(ISNUMBER(SEARCH("(",C1196)),LEFT(C1196,SEARCH("(",C1196)-1),C1196),Tipos!$A:$B,2,FALSE()),"outro"))</f>
        <v/>
      </c>
      <c r="K1196" s="7" t="str">
        <f aca="false">IF(I1196="","",IFERROR(INDEX('Campos Growths'!$L:$L,MATCH(H1196,'Campos Growths'!$A:$A,0)),""))</f>
        <v/>
      </c>
      <c r="L1196" s="7" t="str">
        <f aca="false">IF(A1196="","",IF(G1196="não","Sem tabela no Growths",IF(I1196="","Sem campo no Growths",IF(J1196=K1196,"Importa direto","Ajustar tipo"))))</f>
        <v/>
      </c>
      <c r="M1196" s="9"/>
    </row>
    <row r="1197" customFormat="false" ht="15" hidden="false" customHeight="false" outlineLevel="0" collapsed="false">
      <c r="A1197" s="7" t="str">
        <f aca="false">IF('Outro banco'!A1197="","",IF(LEFT('Outro banco'!A1197,1)="(","",'Outro banco'!A1197))</f>
        <v/>
      </c>
      <c r="B1197" s="7" t="str">
        <f aca="false">IF(A1197="","",'Outro banco'!B1197)</f>
        <v/>
      </c>
      <c r="C1197" s="7" t="str">
        <f aca="false">IF(A1197="","",'Outro banco'!C1197)</f>
        <v/>
      </c>
      <c r="D1197" s="7" t="str">
        <f aca="false">IF(A1197="","",'Outro banco'!D1197)</f>
        <v/>
      </c>
      <c r="E1197" s="9"/>
      <c r="F1197" s="9"/>
      <c r="G1197" s="7" t="str">
        <f aca="false">IF(A1197="","",IF(COUNTIF(Tabelas!$A:$A,IF(E1197="",A1197,E1197))&gt;0,"sim","não"))</f>
        <v/>
      </c>
      <c r="H1197" s="7" t="str">
        <f aca="false">IF(A1197="","",IF(E1197="",A1197,E1197)&amp;"."&amp;IF(F1197="",B1197,F1197))</f>
        <v/>
      </c>
      <c r="I1197" s="7" t="str">
        <f aca="false">IF(A1197="","",IFERROR(INDEX('Campos Growths'!$F:$F,MATCH(H1197,'Campos Growths'!$A:$A,0)),""))</f>
        <v/>
      </c>
      <c r="J1197" s="7" t="str">
        <f aca="false">IF(A1197="","",IFERROR(VLOOKUP(IF(ISNUMBER(SEARCH("(",C1197)),LEFT(C1197,SEARCH("(",C1197)-1),C1197),Tipos!$A:$B,2,FALSE()),"outro"))</f>
        <v/>
      </c>
      <c r="K1197" s="7" t="str">
        <f aca="false">IF(I1197="","",IFERROR(INDEX('Campos Growths'!$L:$L,MATCH(H1197,'Campos Growths'!$A:$A,0)),""))</f>
        <v/>
      </c>
      <c r="L1197" s="7" t="str">
        <f aca="false">IF(A1197="","",IF(G1197="não","Sem tabela no Growths",IF(I1197="","Sem campo no Growths",IF(J1197=K1197,"Importa direto","Ajustar tipo"))))</f>
        <v/>
      </c>
      <c r="M1197" s="9"/>
    </row>
    <row r="1198" customFormat="false" ht="15" hidden="false" customHeight="false" outlineLevel="0" collapsed="false">
      <c r="A1198" s="7" t="str">
        <f aca="false">IF('Outro banco'!A1198="","",IF(LEFT('Outro banco'!A1198,1)="(","",'Outro banco'!A1198))</f>
        <v/>
      </c>
      <c r="B1198" s="7" t="str">
        <f aca="false">IF(A1198="","",'Outro banco'!B1198)</f>
        <v/>
      </c>
      <c r="C1198" s="7" t="str">
        <f aca="false">IF(A1198="","",'Outro banco'!C1198)</f>
        <v/>
      </c>
      <c r="D1198" s="7" t="str">
        <f aca="false">IF(A1198="","",'Outro banco'!D1198)</f>
        <v/>
      </c>
      <c r="E1198" s="9"/>
      <c r="F1198" s="9"/>
      <c r="G1198" s="7" t="str">
        <f aca="false">IF(A1198="","",IF(COUNTIF(Tabelas!$A:$A,IF(E1198="",A1198,E1198))&gt;0,"sim","não"))</f>
        <v/>
      </c>
      <c r="H1198" s="7" t="str">
        <f aca="false">IF(A1198="","",IF(E1198="",A1198,E1198)&amp;"."&amp;IF(F1198="",B1198,F1198))</f>
        <v/>
      </c>
      <c r="I1198" s="7" t="str">
        <f aca="false">IF(A1198="","",IFERROR(INDEX('Campos Growths'!$F:$F,MATCH(H1198,'Campos Growths'!$A:$A,0)),""))</f>
        <v/>
      </c>
      <c r="J1198" s="7" t="str">
        <f aca="false">IF(A1198="","",IFERROR(VLOOKUP(IF(ISNUMBER(SEARCH("(",C1198)),LEFT(C1198,SEARCH("(",C1198)-1),C1198),Tipos!$A:$B,2,FALSE()),"outro"))</f>
        <v/>
      </c>
      <c r="K1198" s="7" t="str">
        <f aca="false">IF(I1198="","",IFERROR(INDEX('Campos Growths'!$L:$L,MATCH(H1198,'Campos Growths'!$A:$A,0)),""))</f>
        <v/>
      </c>
      <c r="L1198" s="7" t="str">
        <f aca="false">IF(A1198="","",IF(G1198="não","Sem tabela no Growths",IF(I1198="","Sem campo no Growths",IF(J1198=K1198,"Importa direto","Ajustar tipo"))))</f>
        <v/>
      </c>
      <c r="M1198" s="9"/>
    </row>
    <row r="1199" customFormat="false" ht="15" hidden="false" customHeight="false" outlineLevel="0" collapsed="false">
      <c r="A1199" s="7" t="str">
        <f aca="false">IF('Outro banco'!A1199="","",IF(LEFT('Outro banco'!A1199,1)="(","",'Outro banco'!A1199))</f>
        <v/>
      </c>
      <c r="B1199" s="7" t="str">
        <f aca="false">IF(A1199="","",'Outro banco'!B1199)</f>
        <v/>
      </c>
      <c r="C1199" s="7" t="str">
        <f aca="false">IF(A1199="","",'Outro banco'!C1199)</f>
        <v/>
      </c>
      <c r="D1199" s="7" t="str">
        <f aca="false">IF(A1199="","",'Outro banco'!D1199)</f>
        <v/>
      </c>
      <c r="E1199" s="9"/>
      <c r="F1199" s="9"/>
      <c r="G1199" s="7" t="str">
        <f aca="false">IF(A1199="","",IF(COUNTIF(Tabelas!$A:$A,IF(E1199="",A1199,E1199))&gt;0,"sim","não"))</f>
        <v/>
      </c>
      <c r="H1199" s="7" t="str">
        <f aca="false">IF(A1199="","",IF(E1199="",A1199,E1199)&amp;"."&amp;IF(F1199="",B1199,F1199))</f>
        <v/>
      </c>
      <c r="I1199" s="7" t="str">
        <f aca="false">IF(A1199="","",IFERROR(INDEX('Campos Growths'!$F:$F,MATCH(H1199,'Campos Growths'!$A:$A,0)),""))</f>
        <v/>
      </c>
      <c r="J1199" s="7" t="str">
        <f aca="false">IF(A1199="","",IFERROR(VLOOKUP(IF(ISNUMBER(SEARCH("(",C1199)),LEFT(C1199,SEARCH("(",C1199)-1),C1199),Tipos!$A:$B,2,FALSE()),"outro"))</f>
        <v/>
      </c>
      <c r="K1199" s="7" t="str">
        <f aca="false">IF(I1199="","",IFERROR(INDEX('Campos Growths'!$L:$L,MATCH(H1199,'Campos Growths'!$A:$A,0)),""))</f>
        <v/>
      </c>
      <c r="L1199" s="7" t="str">
        <f aca="false">IF(A1199="","",IF(G1199="não","Sem tabela no Growths",IF(I1199="","Sem campo no Growths",IF(J1199=K1199,"Importa direto","Ajustar tipo"))))</f>
        <v/>
      </c>
      <c r="M1199" s="9"/>
    </row>
    <row r="1200" customFormat="false" ht="15" hidden="false" customHeight="false" outlineLevel="0" collapsed="false">
      <c r="A1200" s="7" t="str">
        <f aca="false">IF('Outro banco'!A1200="","",IF(LEFT('Outro banco'!A1200,1)="(","",'Outro banco'!A1200))</f>
        <v/>
      </c>
      <c r="B1200" s="7" t="str">
        <f aca="false">IF(A1200="","",'Outro banco'!B1200)</f>
        <v/>
      </c>
      <c r="C1200" s="7" t="str">
        <f aca="false">IF(A1200="","",'Outro banco'!C1200)</f>
        <v/>
      </c>
      <c r="D1200" s="7" t="str">
        <f aca="false">IF(A1200="","",'Outro banco'!D1200)</f>
        <v/>
      </c>
      <c r="E1200" s="9"/>
      <c r="F1200" s="9"/>
      <c r="G1200" s="7" t="str">
        <f aca="false">IF(A1200="","",IF(COUNTIF(Tabelas!$A:$A,IF(E1200="",A1200,E1200))&gt;0,"sim","não"))</f>
        <v/>
      </c>
      <c r="H1200" s="7" t="str">
        <f aca="false">IF(A1200="","",IF(E1200="",A1200,E1200)&amp;"."&amp;IF(F1200="",B1200,F1200))</f>
        <v/>
      </c>
      <c r="I1200" s="7" t="str">
        <f aca="false">IF(A1200="","",IFERROR(INDEX('Campos Growths'!$F:$F,MATCH(H1200,'Campos Growths'!$A:$A,0)),""))</f>
        <v/>
      </c>
      <c r="J1200" s="7" t="str">
        <f aca="false">IF(A1200="","",IFERROR(VLOOKUP(IF(ISNUMBER(SEARCH("(",C1200)),LEFT(C1200,SEARCH("(",C1200)-1),C1200),Tipos!$A:$B,2,FALSE()),"outro"))</f>
        <v/>
      </c>
      <c r="K1200" s="7" t="str">
        <f aca="false">IF(I1200="","",IFERROR(INDEX('Campos Growths'!$L:$L,MATCH(H1200,'Campos Growths'!$A:$A,0)),""))</f>
        <v/>
      </c>
      <c r="L1200" s="7" t="str">
        <f aca="false">IF(A1200="","",IF(G1200="não","Sem tabela no Growths",IF(I1200="","Sem campo no Growths",IF(J1200=K1200,"Importa direto","Ajustar tipo"))))</f>
        <v/>
      </c>
      <c r="M1200" s="9"/>
    </row>
    <row r="1201" customFormat="false" ht="15" hidden="false" customHeight="false" outlineLevel="0" collapsed="false">
      <c r="A1201" s="7" t="str">
        <f aca="false">IF('Outro banco'!A1201="","",IF(LEFT('Outro banco'!A1201,1)="(","",'Outro banco'!A1201))</f>
        <v/>
      </c>
      <c r="B1201" s="7" t="str">
        <f aca="false">IF(A1201="","",'Outro banco'!B1201)</f>
        <v/>
      </c>
      <c r="C1201" s="7" t="str">
        <f aca="false">IF(A1201="","",'Outro banco'!C1201)</f>
        <v/>
      </c>
      <c r="D1201" s="7" t="str">
        <f aca="false">IF(A1201="","",'Outro banco'!D1201)</f>
        <v/>
      </c>
      <c r="E1201" s="9"/>
      <c r="F1201" s="9"/>
      <c r="G1201" s="7" t="str">
        <f aca="false">IF(A1201="","",IF(COUNTIF(Tabelas!$A:$A,IF(E1201="",A1201,E1201))&gt;0,"sim","não"))</f>
        <v/>
      </c>
      <c r="H1201" s="7" t="str">
        <f aca="false">IF(A1201="","",IF(E1201="",A1201,E1201)&amp;"."&amp;IF(F1201="",B1201,F1201))</f>
        <v/>
      </c>
      <c r="I1201" s="7" t="str">
        <f aca="false">IF(A1201="","",IFERROR(INDEX('Campos Growths'!$F:$F,MATCH(H1201,'Campos Growths'!$A:$A,0)),""))</f>
        <v/>
      </c>
      <c r="J1201" s="7" t="str">
        <f aca="false">IF(A1201="","",IFERROR(VLOOKUP(IF(ISNUMBER(SEARCH("(",C1201)),LEFT(C1201,SEARCH("(",C1201)-1),C1201),Tipos!$A:$B,2,FALSE()),"outro"))</f>
        <v/>
      </c>
      <c r="K1201" s="7" t="str">
        <f aca="false">IF(I1201="","",IFERROR(INDEX('Campos Growths'!$L:$L,MATCH(H1201,'Campos Growths'!$A:$A,0)),""))</f>
        <v/>
      </c>
      <c r="L1201" s="7" t="str">
        <f aca="false">IF(A1201="","",IF(G1201="não","Sem tabela no Growths",IF(I1201="","Sem campo no Growths",IF(J1201=K1201,"Importa direto","Ajustar tipo"))))</f>
        <v/>
      </c>
      <c r="M1201" s="9"/>
    </row>
    <row r="1202" customFormat="false" ht="15" hidden="false" customHeight="false" outlineLevel="0" collapsed="false">
      <c r="A1202" s="7" t="str">
        <f aca="false">IF('Outro banco'!A1202="","",IF(LEFT('Outro banco'!A1202,1)="(","",'Outro banco'!A1202))</f>
        <v/>
      </c>
      <c r="B1202" s="7" t="str">
        <f aca="false">IF(A1202="","",'Outro banco'!B1202)</f>
        <v/>
      </c>
      <c r="C1202" s="7" t="str">
        <f aca="false">IF(A1202="","",'Outro banco'!C1202)</f>
        <v/>
      </c>
      <c r="D1202" s="7" t="str">
        <f aca="false">IF(A1202="","",'Outro banco'!D1202)</f>
        <v/>
      </c>
      <c r="E1202" s="9"/>
      <c r="F1202" s="9"/>
      <c r="G1202" s="7" t="str">
        <f aca="false">IF(A1202="","",IF(COUNTIF(Tabelas!$A:$A,IF(E1202="",A1202,E1202))&gt;0,"sim","não"))</f>
        <v/>
      </c>
      <c r="H1202" s="7" t="str">
        <f aca="false">IF(A1202="","",IF(E1202="",A1202,E1202)&amp;"."&amp;IF(F1202="",B1202,F1202))</f>
        <v/>
      </c>
      <c r="I1202" s="7" t="str">
        <f aca="false">IF(A1202="","",IFERROR(INDEX('Campos Growths'!$F:$F,MATCH(H1202,'Campos Growths'!$A:$A,0)),""))</f>
        <v/>
      </c>
      <c r="J1202" s="7" t="str">
        <f aca="false">IF(A1202="","",IFERROR(VLOOKUP(IF(ISNUMBER(SEARCH("(",C1202)),LEFT(C1202,SEARCH("(",C1202)-1),C1202),Tipos!$A:$B,2,FALSE()),"outro"))</f>
        <v/>
      </c>
      <c r="K1202" s="7" t="str">
        <f aca="false">IF(I1202="","",IFERROR(INDEX('Campos Growths'!$L:$L,MATCH(H1202,'Campos Growths'!$A:$A,0)),""))</f>
        <v/>
      </c>
      <c r="L1202" s="7" t="str">
        <f aca="false">IF(A1202="","",IF(G1202="não","Sem tabela no Growths",IF(I1202="","Sem campo no Growths",IF(J1202=K1202,"Importa direto","Ajustar tipo"))))</f>
        <v/>
      </c>
      <c r="M1202" s="9"/>
    </row>
    <row r="1203" customFormat="false" ht="15" hidden="false" customHeight="false" outlineLevel="0" collapsed="false">
      <c r="A1203" s="7" t="str">
        <f aca="false">IF('Outro banco'!A1203="","",IF(LEFT('Outro banco'!A1203,1)="(","",'Outro banco'!A1203))</f>
        <v/>
      </c>
      <c r="B1203" s="7" t="str">
        <f aca="false">IF(A1203="","",'Outro banco'!B1203)</f>
        <v/>
      </c>
      <c r="C1203" s="7" t="str">
        <f aca="false">IF(A1203="","",'Outro banco'!C1203)</f>
        <v/>
      </c>
      <c r="D1203" s="7" t="str">
        <f aca="false">IF(A1203="","",'Outro banco'!D1203)</f>
        <v/>
      </c>
      <c r="E1203" s="9"/>
      <c r="F1203" s="9"/>
      <c r="G1203" s="7" t="str">
        <f aca="false">IF(A1203="","",IF(COUNTIF(Tabelas!$A:$A,IF(E1203="",A1203,E1203))&gt;0,"sim","não"))</f>
        <v/>
      </c>
      <c r="H1203" s="7" t="str">
        <f aca="false">IF(A1203="","",IF(E1203="",A1203,E1203)&amp;"."&amp;IF(F1203="",B1203,F1203))</f>
        <v/>
      </c>
      <c r="I1203" s="7" t="str">
        <f aca="false">IF(A1203="","",IFERROR(INDEX('Campos Growths'!$F:$F,MATCH(H1203,'Campos Growths'!$A:$A,0)),""))</f>
        <v/>
      </c>
      <c r="J1203" s="7" t="str">
        <f aca="false">IF(A1203="","",IFERROR(VLOOKUP(IF(ISNUMBER(SEARCH("(",C1203)),LEFT(C1203,SEARCH("(",C1203)-1),C1203),Tipos!$A:$B,2,FALSE()),"outro"))</f>
        <v/>
      </c>
      <c r="K1203" s="7" t="str">
        <f aca="false">IF(I1203="","",IFERROR(INDEX('Campos Growths'!$L:$L,MATCH(H1203,'Campos Growths'!$A:$A,0)),""))</f>
        <v/>
      </c>
      <c r="L1203" s="7" t="str">
        <f aca="false">IF(A1203="","",IF(G1203="não","Sem tabela no Growths",IF(I1203="","Sem campo no Growths",IF(J1203=K1203,"Importa direto","Ajustar tipo"))))</f>
        <v/>
      </c>
      <c r="M1203" s="9"/>
    </row>
    <row r="1204" customFormat="false" ht="15" hidden="false" customHeight="false" outlineLevel="0" collapsed="false">
      <c r="A1204" s="7" t="str">
        <f aca="false">IF('Outro banco'!A1204="","",IF(LEFT('Outro banco'!A1204,1)="(","",'Outro banco'!A1204))</f>
        <v/>
      </c>
      <c r="B1204" s="7" t="str">
        <f aca="false">IF(A1204="","",'Outro banco'!B1204)</f>
        <v/>
      </c>
      <c r="C1204" s="7" t="str">
        <f aca="false">IF(A1204="","",'Outro banco'!C1204)</f>
        <v/>
      </c>
      <c r="D1204" s="7" t="str">
        <f aca="false">IF(A1204="","",'Outro banco'!D1204)</f>
        <v/>
      </c>
      <c r="E1204" s="9"/>
      <c r="F1204" s="9"/>
      <c r="G1204" s="7" t="str">
        <f aca="false">IF(A1204="","",IF(COUNTIF(Tabelas!$A:$A,IF(E1204="",A1204,E1204))&gt;0,"sim","não"))</f>
        <v/>
      </c>
      <c r="H1204" s="7" t="str">
        <f aca="false">IF(A1204="","",IF(E1204="",A1204,E1204)&amp;"."&amp;IF(F1204="",B1204,F1204))</f>
        <v/>
      </c>
      <c r="I1204" s="7" t="str">
        <f aca="false">IF(A1204="","",IFERROR(INDEX('Campos Growths'!$F:$F,MATCH(H1204,'Campos Growths'!$A:$A,0)),""))</f>
        <v/>
      </c>
      <c r="J1204" s="7" t="str">
        <f aca="false">IF(A1204="","",IFERROR(VLOOKUP(IF(ISNUMBER(SEARCH("(",C1204)),LEFT(C1204,SEARCH("(",C1204)-1),C1204),Tipos!$A:$B,2,FALSE()),"outro"))</f>
        <v/>
      </c>
      <c r="K1204" s="7" t="str">
        <f aca="false">IF(I1204="","",IFERROR(INDEX('Campos Growths'!$L:$L,MATCH(H1204,'Campos Growths'!$A:$A,0)),""))</f>
        <v/>
      </c>
      <c r="L1204" s="7" t="str">
        <f aca="false">IF(A1204="","",IF(G1204="não","Sem tabela no Growths",IF(I1204="","Sem campo no Growths",IF(J1204=K1204,"Importa direto","Ajustar tipo"))))</f>
        <v/>
      </c>
      <c r="M1204" s="9"/>
    </row>
    <row r="1205" customFormat="false" ht="15" hidden="false" customHeight="false" outlineLevel="0" collapsed="false">
      <c r="A1205" s="7" t="str">
        <f aca="false">IF('Outro banco'!A1205="","",IF(LEFT('Outro banco'!A1205,1)="(","",'Outro banco'!A1205))</f>
        <v/>
      </c>
      <c r="B1205" s="7" t="str">
        <f aca="false">IF(A1205="","",'Outro banco'!B1205)</f>
        <v/>
      </c>
      <c r="C1205" s="7" t="str">
        <f aca="false">IF(A1205="","",'Outro banco'!C1205)</f>
        <v/>
      </c>
      <c r="D1205" s="7" t="str">
        <f aca="false">IF(A1205="","",'Outro banco'!D1205)</f>
        <v/>
      </c>
      <c r="E1205" s="9"/>
      <c r="F1205" s="9"/>
      <c r="G1205" s="7" t="str">
        <f aca="false">IF(A1205="","",IF(COUNTIF(Tabelas!$A:$A,IF(E1205="",A1205,E1205))&gt;0,"sim","não"))</f>
        <v/>
      </c>
      <c r="H1205" s="7" t="str">
        <f aca="false">IF(A1205="","",IF(E1205="",A1205,E1205)&amp;"."&amp;IF(F1205="",B1205,F1205))</f>
        <v/>
      </c>
      <c r="I1205" s="7" t="str">
        <f aca="false">IF(A1205="","",IFERROR(INDEX('Campos Growths'!$F:$F,MATCH(H1205,'Campos Growths'!$A:$A,0)),""))</f>
        <v/>
      </c>
      <c r="J1205" s="7" t="str">
        <f aca="false">IF(A1205="","",IFERROR(VLOOKUP(IF(ISNUMBER(SEARCH("(",C1205)),LEFT(C1205,SEARCH("(",C1205)-1),C1205),Tipos!$A:$B,2,FALSE()),"outro"))</f>
        <v/>
      </c>
      <c r="K1205" s="7" t="str">
        <f aca="false">IF(I1205="","",IFERROR(INDEX('Campos Growths'!$L:$L,MATCH(H1205,'Campos Growths'!$A:$A,0)),""))</f>
        <v/>
      </c>
      <c r="L1205" s="7" t="str">
        <f aca="false">IF(A1205="","",IF(G1205="não","Sem tabela no Growths",IF(I1205="","Sem campo no Growths",IF(J1205=K1205,"Importa direto","Ajustar tipo"))))</f>
        <v/>
      </c>
      <c r="M1205" s="9"/>
    </row>
    <row r="1206" customFormat="false" ht="15" hidden="false" customHeight="false" outlineLevel="0" collapsed="false">
      <c r="A1206" s="7" t="str">
        <f aca="false">IF('Outro banco'!A1206="","",IF(LEFT('Outro banco'!A1206,1)="(","",'Outro banco'!A1206))</f>
        <v/>
      </c>
      <c r="B1206" s="7" t="str">
        <f aca="false">IF(A1206="","",'Outro banco'!B1206)</f>
        <v/>
      </c>
      <c r="C1206" s="7" t="str">
        <f aca="false">IF(A1206="","",'Outro banco'!C1206)</f>
        <v/>
      </c>
      <c r="D1206" s="7" t="str">
        <f aca="false">IF(A1206="","",'Outro banco'!D1206)</f>
        <v/>
      </c>
      <c r="E1206" s="9"/>
      <c r="F1206" s="9"/>
      <c r="G1206" s="7" t="str">
        <f aca="false">IF(A1206="","",IF(COUNTIF(Tabelas!$A:$A,IF(E1206="",A1206,E1206))&gt;0,"sim","não"))</f>
        <v/>
      </c>
      <c r="H1206" s="7" t="str">
        <f aca="false">IF(A1206="","",IF(E1206="",A1206,E1206)&amp;"."&amp;IF(F1206="",B1206,F1206))</f>
        <v/>
      </c>
      <c r="I1206" s="7" t="str">
        <f aca="false">IF(A1206="","",IFERROR(INDEX('Campos Growths'!$F:$F,MATCH(H1206,'Campos Growths'!$A:$A,0)),""))</f>
        <v/>
      </c>
      <c r="J1206" s="7" t="str">
        <f aca="false">IF(A1206="","",IFERROR(VLOOKUP(IF(ISNUMBER(SEARCH("(",C1206)),LEFT(C1206,SEARCH("(",C1206)-1),C1206),Tipos!$A:$B,2,FALSE()),"outro"))</f>
        <v/>
      </c>
      <c r="K1206" s="7" t="str">
        <f aca="false">IF(I1206="","",IFERROR(INDEX('Campos Growths'!$L:$L,MATCH(H1206,'Campos Growths'!$A:$A,0)),""))</f>
        <v/>
      </c>
      <c r="L1206" s="7" t="str">
        <f aca="false">IF(A1206="","",IF(G1206="não","Sem tabela no Growths",IF(I1206="","Sem campo no Growths",IF(J1206=K1206,"Importa direto","Ajustar tipo"))))</f>
        <v/>
      </c>
      <c r="M1206" s="9"/>
    </row>
    <row r="1207" customFormat="false" ht="15" hidden="false" customHeight="false" outlineLevel="0" collapsed="false">
      <c r="A1207" s="7" t="str">
        <f aca="false">IF('Outro banco'!A1207="","",IF(LEFT('Outro banco'!A1207,1)="(","",'Outro banco'!A1207))</f>
        <v/>
      </c>
      <c r="B1207" s="7" t="str">
        <f aca="false">IF(A1207="","",'Outro banco'!B1207)</f>
        <v/>
      </c>
      <c r="C1207" s="7" t="str">
        <f aca="false">IF(A1207="","",'Outro banco'!C1207)</f>
        <v/>
      </c>
      <c r="D1207" s="7" t="str">
        <f aca="false">IF(A1207="","",'Outro banco'!D1207)</f>
        <v/>
      </c>
      <c r="E1207" s="9"/>
      <c r="F1207" s="9"/>
      <c r="G1207" s="7" t="str">
        <f aca="false">IF(A1207="","",IF(COUNTIF(Tabelas!$A:$A,IF(E1207="",A1207,E1207))&gt;0,"sim","não"))</f>
        <v/>
      </c>
      <c r="H1207" s="7" t="str">
        <f aca="false">IF(A1207="","",IF(E1207="",A1207,E1207)&amp;"."&amp;IF(F1207="",B1207,F1207))</f>
        <v/>
      </c>
      <c r="I1207" s="7" t="str">
        <f aca="false">IF(A1207="","",IFERROR(INDEX('Campos Growths'!$F:$F,MATCH(H1207,'Campos Growths'!$A:$A,0)),""))</f>
        <v/>
      </c>
      <c r="J1207" s="7" t="str">
        <f aca="false">IF(A1207="","",IFERROR(VLOOKUP(IF(ISNUMBER(SEARCH("(",C1207)),LEFT(C1207,SEARCH("(",C1207)-1),C1207),Tipos!$A:$B,2,FALSE()),"outro"))</f>
        <v/>
      </c>
      <c r="K1207" s="7" t="str">
        <f aca="false">IF(I1207="","",IFERROR(INDEX('Campos Growths'!$L:$L,MATCH(H1207,'Campos Growths'!$A:$A,0)),""))</f>
        <v/>
      </c>
      <c r="L1207" s="7" t="str">
        <f aca="false">IF(A1207="","",IF(G1207="não","Sem tabela no Growths",IF(I1207="","Sem campo no Growths",IF(J1207=K1207,"Importa direto","Ajustar tipo"))))</f>
        <v/>
      </c>
      <c r="M1207" s="9"/>
    </row>
    <row r="1208" customFormat="false" ht="15" hidden="false" customHeight="false" outlineLevel="0" collapsed="false">
      <c r="A1208" s="7" t="str">
        <f aca="false">IF('Outro banco'!A1208="","",IF(LEFT('Outro banco'!A1208,1)="(","",'Outro banco'!A1208))</f>
        <v/>
      </c>
      <c r="B1208" s="7" t="str">
        <f aca="false">IF(A1208="","",'Outro banco'!B1208)</f>
        <v/>
      </c>
      <c r="C1208" s="7" t="str">
        <f aca="false">IF(A1208="","",'Outro banco'!C1208)</f>
        <v/>
      </c>
      <c r="D1208" s="7" t="str">
        <f aca="false">IF(A1208="","",'Outro banco'!D1208)</f>
        <v/>
      </c>
      <c r="E1208" s="9"/>
      <c r="F1208" s="9"/>
      <c r="G1208" s="7" t="str">
        <f aca="false">IF(A1208="","",IF(COUNTIF(Tabelas!$A:$A,IF(E1208="",A1208,E1208))&gt;0,"sim","não"))</f>
        <v/>
      </c>
      <c r="H1208" s="7" t="str">
        <f aca="false">IF(A1208="","",IF(E1208="",A1208,E1208)&amp;"."&amp;IF(F1208="",B1208,F1208))</f>
        <v/>
      </c>
      <c r="I1208" s="7" t="str">
        <f aca="false">IF(A1208="","",IFERROR(INDEX('Campos Growths'!$F:$F,MATCH(H1208,'Campos Growths'!$A:$A,0)),""))</f>
        <v/>
      </c>
      <c r="J1208" s="7" t="str">
        <f aca="false">IF(A1208="","",IFERROR(VLOOKUP(IF(ISNUMBER(SEARCH("(",C1208)),LEFT(C1208,SEARCH("(",C1208)-1),C1208),Tipos!$A:$B,2,FALSE()),"outro"))</f>
        <v/>
      </c>
      <c r="K1208" s="7" t="str">
        <f aca="false">IF(I1208="","",IFERROR(INDEX('Campos Growths'!$L:$L,MATCH(H1208,'Campos Growths'!$A:$A,0)),""))</f>
        <v/>
      </c>
      <c r="L1208" s="7" t="str">
        <f aca="false">IF(A1208="","",IF(G1208="não","Sem tabela no Growths",IF(I1208="","Sem campo no Growths",IF(J1208=K1208,"Importa direto","Ajustar tipo"))))</f>
        <v/>
      </c>
      <c r="M1208" s="9"/>
    </row>
    <row r="1209" customFormat="false" ht="15" hidden="false" customHeight="false" outlineLevel="0" collapsed="false">
      <c r="A1209" s="7" t="str">
        <f aca="false">IF('Outro banco'!A1209="","",IF(LEFT('Outro banco'!A1209,1)="(","",'Outro banco'!A1209))</f>
        <v/>
      </c>
      <c r="B1209" s="7" t="str">
        <f aca="false">IF(A1209="","",'Outro banco'!B1209)</f>
        <v/>
      </c>
      <c r="C1209" s="7" t="str">
        <f aca="false">IF(A1209="","",'Outro banco'!C1209)</f>
        <v/>
      </c>
      <c r="D1209" s="7" t="str">
        <f aca="false">IF(A1209="","",'Outro banco'!D1209)</f>
        <v/>
      </c>
      <c r="E1209" s="9"/>
      <c r="F1209" s="9"/>
      <c r="G1209" s="7" t="str">
        <f aca="false">IF(A1209="","",IF(COUNTIF(Tabelas!$A:$A,IF(E1209="",A1209,E1209))&gt;0,"sim","não"))</f>
        <v/>
      </c>
      <c r="H1209" s="7" t="str">
        <f aca="false">IF(A1209="","",IF(E1209="",A1209,E1209)&amp;"."&amp;IF(F1209="",B1209,F1209))</f>
        <v/>
      </c>
      <c r="I1209" s="7" t="str">
        <f aca="false">IF(A1209="","",IFERROR(INDEX('Campos Growths'!$F:$F,MATCH(H1209,'Campos Growths'!$A:$A,0)),""))</f>
        <v/>
      </c>
      <c r="J1209" s="7" t="str">
        <f aca="false">IF(A1209="","",IFERROR(VLOOKUP(IF(ISNUMBER(SEARCH("(",C1209)),LEFT(C1209,SEARCH("(",C1209)-1),C1209),Tipos!$A:$B,2,FALSE()),"outro"))</f>
        <v/>
      </c>
      <c r="K1209" s="7" t="str">
        <f aca="false">IF(I1209="","",IFERROR(INDEX('Campos Growths'!$L:$L,MATCH(H1209,'Campos Growths'!$A:$A,0)),""))</f>
        <v/>
      </c>
      <c r="L1209" s="7" t="str">
        <f aca="false">IF(A1209="","",IF(G1209="não","Sem tabela no Growths",IF(I1209="","Sem campo no Growths",IF(J1209=K1209,"Importa direto","Ajustar tipo"))))</f>
        <v/>
      </c>
      <c r="M1209" s="9"/>
    </row>
    <row r="1210" customFormat="false" ht="15" hidden="false" customHeight="false" outlineLevel="0" collapsed="false">
      <c r="A1210" s="7" t="str">
        <f aca="false">IF('Outro banco'!A1210="","",IF(LEFT('Outro banco'!A1210,1)="(","",'Outro banco'!A1210))</f>
        <v/>
      </c>
      <c r="B1210" s="7" t="str">
        <f aca="false">IF(A1210="","",'Outro banco'!B1210)</f>
        <v/>
      </c>
      <c r="C1210" s="7" t="str">
        <f aca="false">IF(A1210="","",'Outro banco'!C1210)</f>
        <v/>
      </c>
      <c r="D1210" s="7" t="str">
        <f aca="false">IF(A1210="","",'Outro banco'!D1210)</f>
        <v/>
      </c>
      <c r="E1210" s="9"/>
      <c r="F1210" s="9"/>
      <c r="G1210" s="7" t="str">
        <f aca="false">IF(A1210="","",IF(COUNTIF(Tabelas!$A:$A,IF(E1210="",A1210,E1210))&gt;0,"sim","não"))</f>
        <v/>
      </c>
      <c r="H1210" s="7" t="str">
        <f aca="false">IF(A1210="","",IF(E1210="",A1210,E1210)&amp;"."&amp;IF(F1210="",B1210,F1210))</f>
        <v/>
      </c>
      <c r="I1210" s="7" t="str">
        <f aca="false">IF(A1210="","",IFERROR(INDEX('Campos Growths'!$F:$F,MATCH(H1210,'Campos Growths'!$A:$A,0)),""))</f>
        <v/>
      </c>
      <c r="J1210" s="7" t="str">
        <f aca="false">IF(A1210="","",IFERROR(VLOOKUP(IF(ISNUMBER(SEARCH("(",C1210)),LEFT(C1210,SEARCH("(",C1210)-1),C1210),Tipos!$A:$B,2,FALSE()),"outro"))</f>
        <v/>
      </c>
      <c r="K1210" s="7" t="str">
        <f aca="false">IF(I1210="","",IFERROR(INDEX('Campos Growths'!$L:$L,MATCH(H1210,'Campos Growths'!$A:$A,0)),""))</f>
        <v/>
      </c>
      <c r="L1210" s="7" t="str">
        <f aca="false">IF(A1210="","",IF(G1210="não","Sem tabela no Growths",IF(I1210="","Sem campo no Growths",IF(J1210=K1210,"Importa direto","Ajustar tipo"))))</f>
        <v/>
      </c>
      <c r="M1210" s="9"/>
    </row>
    <row r="1211" customFormat="false" ht="15" hidden="false" customHeight="false" outlineLevel="0" collapsed="false">
      <c r="A1211" s="7" t="str">
        <f aca="false">IF('Outro banco'!A1211="","",IF(LEFT('Outro banco'!A1211,1)="(","",'Outro banco'!A1211))</f>
        <v/>
      </c>
      <c r="B1211" s="7" t="str">
        <f aca="false">IF(A1211="","",'Outro banco'!B1211)</f>
        <v/>
      </c>
      <c r="C1211" s="7" t="str">
        <f aca="false">IF(A1211="","",'Outro banco'!C1211)</f>
        <v/>
      </c>
      <c r="D1211" s="7" t="str">
        <f aca="false">IF(A1211="","",'Outro banco'!D1211)</f>
        <v/>
      </c>
      <c r="E1211" s="9"/>
      <c r="F1211" s="9"/>
      <c r="G1211" s="7" t="str">
        <f aca="false">IF(A1211="","",IF(COUNTIF(Tabelas!$A:$A,IF(E1211="",A1211,E1211))&gt;0,"sim","não"))</f>
        <v/>
      </c>
      <c r="H1211" s="7" t="str">
        <f aca="false">IF(A1211="","",IF(E1211="",A1211,E1211)&amp;"."&amp;IF(F1211="",B1211,F1211))</f>
        <v/>
      </c>
      <c r="I1211" s="7" t="str">
        <f aca="false">IF(A1211="","",IFERROR(INDEX('Campos Growths'!$F:$F,MATCH(H1211,'Campos Growths'!$A:$A,0)),""))</f>
        <v/>
      </c>
      <c r="J1211" s="7" t="str">
        <f aca="false">IF(A1211="","",IFERROR(VLOOKUP(IF(ISNUMBER(SEARCH("(",C1211)),LEFT(C1211,SEARCH("(",C1211)-1),C1211),Tipos!$A:$B,2,FALSE()),"outro"))</f>
        <v/>
      </c>
      <c r="K1211" s="7" t="str">
        <f aca="false">IF(I1211="","",IFERROR(INDEX('Campos Growths'!$L:$L,MATCH(H1211,'Campos Growths'!$A:$A,0)),""))</f>
        <v/>
      </c>
      <c r="L1211" s="7" t="str">
        <f aca="false">IF(A1211="","",IF(G1211="não","Sem tabela no Growths",IF(I1211="","Sem campo no Growths",IF(J1211=K1211,"Importa direto","Ajustar tipo"))))</f>
        <v/>
      </c>
      <c r="M1211" s="9"/>
    </row>
    <row r="1212" customFormat="false" ht="15" hidden="false" customHeight="false" outlineLevel="0" collapsed="false">
      <c r="A1212" s="7" t="str">
        <f aca="false">IF('Outro banco'!A1212="","",IF(LEFT('Outro banco'!A1212,1)="(","",'Outro banco'!A1212))</f>
        <v/>
      </c>
      <c r="B1212" s="7" t="str">
        <f aca="false">IF(A1212="","",'Outro banco'!B1212)</f>
        <v/>
      </c>
      <c r="C1212" s="7" t="str">
        <f aca="false">IF(A1212="","",'Outro banco'!C1212)</f>
        <v/>
      </c>
      <c r="D1212" s="7" t="str">
        <f aca="false">IF(A1212="","",'Outro banco'!D1212)</f>
        <v/>
      </c>
      <c r="E1212" s="9"/>
      <c r="F1212" s="9"/>
      <c r="G1212" s="7" t="str">
        <f aca="false">IF(A1212="","",IF(COUNTIF(Tabelas!$A:$A,IF(E1212="",A1212,E1212))&gt;0,"sim","não"))</f>
        <v/>
      </c>
      <c r="H1212" s="7" t="str">
        <f aca="false">IF(A1212="","",IF(E1212="",A1212,E1212)&amp;"."&amp;IF(F1212="",B1212,F1212))</f>
        <v/>
      </c>
      <c r="I1212" s="7" t="str">
        <f aca="false">IF(A1212="","",IFERROR(INDEX('Campos Growths'!$F:$F,MATCH(H1212,'Campos Growths'!$A:$A,0)),""))</f>
        <v/>
      </c>
      <c r="J1212" s="7" t="str">
        <f aca="false">IF(A1212="","",IFERROR(VLOOKUP(IF(ISNUMBER(SEARCH("(",C1212)),LEFT(C1212,SEARCH("(",C1212)-1),C1212),Tipos!$A:$B,2,FALSE()),"outro"))</f>
        <v/>
      </c>
      <c r="K1212" s="7" t="str">
        <f aca="false">IF(I1212="","",IFERROR(INDEX('Campos Growths'!$L:$L,MATCH(H1212,'Campos Growths'!$A:$A,0)),""))</f>
        <v/>
      </c>
      <c r="L1212" s="7" t="str">
        <f aca="false">IF(A1212="","",IF(G1212="não","Sem tabela no Growths",IF(I1212="","Sem campo no Growths",IF(J1212=K1212,"Importa direto","Ajustar tipo"))))</f>
        <v/>
      </c>
      <c r="M1212" s="9"/>
    </row>
    <row r="1213" customFormat="false" ht="15" hidden="false" customHeight="false" outlineLevel="0" collapsed="false">
      <c r="A1213" s="7" t="str">
        <f aca="false">IF('Outro banco'!A1213="","",IF(LEFT('Outro banco'!A1213,1)="(","",'Outro banco'!A1213))</f>
        <v/>
      </c>
      <c r="B1213" s="7" t="str">
        <f aca="false">IF(A1213="","",'Outro banco'!B1213)</f>
        <v/>
      </c>
      <c r="C1213" s="7" t="str">
        <f aca="false">IF(A1213="","",'Outro banco'!C1213)</f>
        <v/>
      </c>
      <c r="D1213" s="7" t="str">
        <f aca="false">IF(A1213="","",'Outro banco'!D1213)</f>
        <v/>
      </c>
      <c r="E1213" s="9"/>
      <c r="F1213" s="9"/>
      <c r="G1213" s="7" t="str">
        <f aca="false">IF(A1213="","",IF(COUNTIF(Tabelas!$A:$A,IF(E1213="",A1213,E1213))&gt;0,"sim","não"))</f>
        <v/>
      </c>
      <c r="H1213" s="7" t="str">
        <f aca="false">IF(A1213="","",IF(E1213="",A1213,E1213)&amp;"."&amp;IF(F1213="",B1213,F1213))</f>
        <v/>
      </c>
      <c r="I1213" s="7" t="str">
        <f aca="false">IF(A1213="","",IFERROR(INDEX('Campos Growths'!$F:$F,MATCH(H1213,'Campos Growths'!$A:$A,0)),""))</f>
        <v/>
      </c>
      <c r="J1213" s="7" t="str">
        <f aca="false">IF(A1213="","",IFERROR(VLOOKUP(IF(ISNUMBER(SEARCH("(",C1213)),LEFT(C1213,SEARCH("(",C1213)-1),C1213),Tipos!$A:$B,2,FALSE()),"outro"))</f>
        <v/>
      </c>
      <c r="K1213" s="7" t="str">
        <f aca="false">IF(I1213="","",IFERROR(INDEX('Campos Growths'!$L:$L,MATCH(H1213,'Campos Growths'!$A:$A,0)),""))</f>
        <v/>
      </c>
      <c r="L1213" s="7" t="str">
        <f aca="false">IF(A1213="","",IF(G1213="não","Sem tabela no Growths",IF(I1213="","Sem campo no Growths",IF(J1213=K1213,"Importa direto","Ajustar tipo"))))</f>
        <v/>
      </c>
      <c r="M1213" s="9"/>
    </row>
    <row r="1214" customFormat="false" ht="15" hidden="false" customHeight="false" outlineLevel="0" collapsed="false">
      <c r="A1214" s="7" t="str">
        <f aca="false">IF('Outro banco'!A1214="","",IF(LEFT('Outro banco'!A1214,1)="(","",'Outro banco'!A1214))</f>
        <v/>
      </c>
      <c r="B1214" s="7" t="str">
        <f aca="false">IF(A1214="","",'Outro banco'!B1214)</f>
        <v/>
      </c>
      <c r="C1214" s="7" t="str">
        <f aca="false">IF(A1214="","",'Outro banco'!C1214)</f>
        <v/>
      </c>
      <c r="D1214" s="7" t="str">
        <f aca="false">IF(A1214="","",'Outro banco'!D1214)</f>
        <v/>
      </c>
      <c r="E1214" s="9"/>
      <c r="F1214" s="9"/>
      <c r="G1214" s="7" t="str">
        <f aca="false">IF(A1214="","",IF(COUNTIF(Tabelas!$A:$A,IF(E1214="",A1214,E1214))&gt;0,"sim","não"))</f>
        <v/>
      </c>
      <c r="H1214" s="7" t="str">
        <f aca="false">IF(A1214="","",IF(E1214="",A1214,E1214)&amp;"."&amp;IF(F1214="",B1214,F1214))</f>
        <v/>
      </c>
      <c r="I1214" s="7" t="str">
        <f aca="false">IF(A1214="","",IFERROR(INDEX('Campos Growths'!$F:$F,MATCH(H1214,'Campos Growths'!$A:$A,0)),""))</f>
        <v/>
      </c>
      <c r="J1214" s="7" t="str">
        <f aca="false">IF(A1214="","",IFERROR(VLOOKUP(IF(ISNUMBER(SEARCH("(",C1214)),LEFT(C1214,SEARCH("(",C1214)-1),C1214),Tipos!$A:$B,2,FALSE()),"outro"))</f>
        <v/>
      </c>
      <c r="K1214" s="7" t="str">
        <f aca="false">IF(I1214="","",IFERROR(INDEX('Campos Growths'!$L:$L,MATCH(H1214,'Campos Growths'!$A:$A,0)),""))</f>
        <v/>
      </c>
      <c r="L1214" s="7" t="str">
        <f aca="false">IF(A1214="","",IF(G1214="não","Sem tabela no Growths",IF(I1214="","Sem campo no Growths",IF(J1214=K1214,"Importa direto","Ajustar tipo"))))</f>
        <v/>
      </c>
      <c r="M1214" s="9"/>
    </row>
    <row r="1215" customFormat="false" ht="15" hidden="false" customHeight="false" outlineLevel="0" collapsed="false">
      <c r="A1215" s="7" t="str">
        <f aca="false">IF('Outro banco'!A1215="","",IF(LEFT('Outro banco'!A1215,1)="(","",'Outro banco'!A1215))</f>
        <v/>
      </c>
      <c r="B1215" s="7" t="str">
        <f aca="false">IF(A1215="","",'Outro banco'!B1215)</f>
        <v/>
      </c>
      <c r="C1215" s="7" t="str">
        <f aca="false">IF(A1215="","",'Outro banco'!C1215)</f>
        <v/>
      </c>
      <c r="D1215" s="7" t="str">
        <f aca="false">IF(A1215="","",'Outro banco'!D1215)</f>
        <v/>
      </c>
      <c r="E1215" s="9"/>
      <c r="F1215" s="9"/>
      <c r="G1215" s="7" t="str">
        <f aca="false">IF(A1215="","",IF(COUNTIF(Tabelas!$A:$A,IF(E1215="",A1215,E1215))&gt;0,"sim","não"))</f>
        <v/>
      </c>
      <c r="H1215" s="7" t="str">
        <f aca="false">IF(A1215="","",IF(E1215="",A1215,E1215)&amp;"."&amp;IF(F1215="",B1215,F1215))</f>
        <v/>
      </c>
      <c r="I1215" s="7" t="str">
        <f aca="false">IF(A1215="","",IFERROR(INDEX('Campos Growths'!$F:$F,MATCH(H1215,'Campos Growths'!$A:$A,0)),""))</f>
        <v/>
      </c>
      <c r="J1215" s="7" t="str">
        <f aca="false">IF(A1215="","",IFERROR(VLOOKUP(IF(ISNUMBER(SEARCH("(",C1215)),LEFT(C1215,SEARCH("(",C1215)-1),C1215),Tipos!$A:$B,2,FALSE()),"outro"))</f>
        <v/>
      </c>
      <c r="K1215" s="7" t="str">
        <f aca="false">IF(I1215="","",IFERROR(INDEX('Campos Growths'!$L:$L,MATCH(H1215,'Campos Growths'!$A:$A,0)),""))</f>
        <v/>
      </c>
      <c r="L1215" s="7" t="str">
        <f aca="false">IF(A1215="","",IF(G1215="não","Sem tabela no Growths",IF(I1215="","Sem campo no Growths",IF(J1215=K1215,"Importa direto","Ajustar tipo"))))</f>
        <v/>
      </c>
      <c r="M1215" s="9"/>
    </row>
    <row r="1216" customFormat="false" ht="15" hidden="false" customHeight="false" outlineLevel="0" collapsed="false">
      <c r="A1216" s="7" t="str">
        <f aca="false">IF('Outro banco'!A1216="","",IF(LEFT('Outro banco'!A1216,1)="(","",'Outro banco'!A1216))</f>
        <v/>
      </c>
      <c r="B1216" s="7" t="str">
        <f aca="false">IF(A1216="","",'Outro banco'!B1216)</f>
        <v/>
      </c>
      <c r="C1216" s="7" t="str">
        <f aca="false">IF(A1216="","",'Outro banco'!C1216)</f>
        <v/>
      </c>
      <c r="D1216" s="7" t="str">
        <f aca="false">IF(A1216="","",'Outro banco'!D1216)</f>
        <v/>
      </c>
      <c r="E1216" s="9"/>
      <c r="F1216" s="9"/>
      <c r="G1216" s="7" t="str">
        <f aca="false">IF(A1216="","",IF(COUNTIF(Tabelas!$A:$A,IF(E1216="",A1216,E1216))&gt;0,"sim","não"))</f>
        <v/>
      </c>
      <c r="H1216" s="7" t="str">
        <f aca="false">IF(A1216="","",IF(E1216="",A1216,E1216)&amp;"."&amp;IF(F1216="",B1216,F1216))</f>
        <v/>
      </c>
      <c r="I1216" s="7" t="str">
        <f aca="false">IF(A1216="","",IFERROR(INDEX('Campos Growths'!$F:$F,MATCH(H1216,'Campos Growths'!$A:$A,0)),""))</f>
        <v/>
      </c>
      <c r="J1216" s="7" t="str">
        <f aca="false">IF(A1216="","",IFERROR(VLOOKUP(IF(ISNUMBER(SEARCH("(",C1216)),LEFT(C1216,SEARCH("(",C1216)-1),C1216),Tipos!$A:$B,2,FALSE()),"outro"))</f>
        <v/>
      </c>
      <c r="K1216" s="7" t="str">
        <f aca="false">IF(I1216="","",IFERROR(INDEX('Campos Growths'!$L:$L,MATCH(H1216,'Campos Growths'!$A:$A,0)),""))</f>
        <v/>
      </c>
      <c r="L1216" s="7" t="str">
        <f aca="false">IF(A1216="","",IF(G1216="não","Sem tabela no Growths",IF(I1216="","Sem campo no Growths",IF(J1216=K1216,"Importa direto","Ajustar tipo"))))</f>
        <v/>
      </c>
      <c r="M1216" s="9"/>
    </row>
    <row r="1217" customFormat="false" ht="15" hidden="false" customHeight="false" outlineLevel="0" collapsed="false">
      <c r="A1217" s="7" t="str">
        <f aca="false">IF('Outro banco'!A1217="","",IF(LEFT('Outro banco'!A1217,1)="(","",'Outro banco'!A1217))</f>
        <v/>
      </c>
      <c r="B1217" s="7" t="str">
        <f aca="false">IF(A1217="","",'Outro banco'!B1217)</f>
        <v/>
      </c>
      <c r="C1217" s="7" t="str">
        <f aca="false">IF(A1217="","",'Outro banco'!C1217)</f>
        <v/>
      </c>
      <c r="D1217" s="7" t="str">
        <f aca="false">IF(A1217="","",'Outro banco'!D1217)</f>
        <v/>
      </c>
      <c r="E1217" s="9"/>
      <c r="F1217" s="9"/>
      <c r="G1217" s="7" t="str">
        <f aca="false">IF(A1217="","",IF(COUNTIF(Tabelas!$A:$A,IF(E1217="",A1217,E1217))&gt;0,"sim","não"))</f>
        <v/>
      </c>
      <c r="H1217" s="7" t="str">
        <f aca="false">IF(A1217="","",IF(E1217="",A1217,E1217)&amp;"."&amp;IF(F1217="",B1217,F1217))</f>
        <v/>
      </c>
      <c r="I1217" s="7" t="str">
        <f aca="false">IF(A1217="","",IFERROR(INDEX('Campos Growths'!$F:$F,MATCH(H1217,'Campos Growths'!$A:$A,0)),""))</f>
        <v/>
      </c>
      <c r="J1217" s="7" t="str">
        <f aca="false">IF(A1217="","",IFERROR(VLOOKUP(IF(ISNUMBER(SEARCH("(",C1217)),LEFT(C1217,SEARCH("(",C1217)-1),C1217),Tipos!$A:$B,2,FALSE()),"outro"))</f>
        <v/>
      </c>
      <c r="K1217" s="7" t="str">
        <f aca="false">IF(I1217="","",IFERROR(INDEX('Campos Growths'!$L:$L,MATCH(H1217,'Campos Growths'!$A:$A,0)),""))</f>
        <v/>
      </c>
      <c r="L1217" s="7" t="str">
        <f aca="false">IF(A1217="","",IF(G1217="não","Sem tabela no Growths",IF(I1217="","Sem campo no Growths",IF(J1217=K1217,"Importa direto","Ajustar tipo"))))</f>
        <v/>
      </c>
      <c r="M1217" s="9"/>
    </row>
    <row r="1218" customFormat="false" ht="15" hidden="false" customHeight="false" outlineLevel="0" collapsed="false">
      <c r="A1218" s="7" t="str">
        <f aca="false">IF('Outro banco'!A1218="","",IF(LEFT('Outro banco'!A1218,1)="(","",'Outro banco'!A1218))</f>
        <v/>
      </c>
      <c r="B1218" s="7" t="str">
        <f aca="false">IF(A1218="","",'Outro banco'!B1218)</f>
        <v/>
      </c>
      <c r="C1218" s="7" t="str">
        <f aca="false">IF(A1218="","",'Outro banco'!C1218)</f>
        <v/>
      </c>
      <c r="D1218" s="7" t="str">
        <f aca="false">IF(A1218="","",'Outro banco'!D1218)</f>
        <v/>
      </c>
      <c r="E1218" s="9"/>
      <c r="F1218" s="9"/>
      <c r="G1218" s="7" t="str">
        <f aca="false">IF(A1218="","",IF(COUNTIF(Tabelas!$A:$A,IF(E1218="",A1218,E1218))&gt;0,"sim","não"))</f>
        <v/>
      </c>
      <c r="H1218" s="7" t="str">
        <f aca="false">IF(A1218="","",IF(E1218="",A1218,E1218)&amp;"."&amp;IF(F1218="",B1218,F1218))</f>
        <v/>
      </c>
      <c r="I1218" s="7" t="str">
        <f aca="false">IF(A1218="","",IFERROR(INDEX('Campos Growths'!$F:$F,MATCH(H1218,'Campos Growths'!$A:$A,0)),""))</f>
        <v/>
      </c>
      <c r="J1218" s="7" t="str">
        <f aca="false">IF(A1218="","",IFERROR(VLOOKUP(IF(ISNUMBER(SEARCH("(",C1218)),LEFT(C1218,SEARCH("(",C1218)-1),C1218),Tipos!$A:$B,2,FALSE()),"outro"))</f>
        <v/>
      </c>
      <c r="K1218" s="7" t="str">
        <f aca="false">IF(I1218="","",IFERROR(INDEX('Campos Growths'!$L:$L,MATCH(H1218,'Campos Growths'!$A:$A,0)),""))</f>
        <v/>
      </c>
      <c r="L1218" s="7" t="str">
        <f aca="false">IF(A1218="","",IF(G1218="não","Sem tabela no Growths",IF(I1218="","Sem campo no Growths",IF(J1218=K1218,"Importa direto","Ajustar tipo"))))</f>
        <v/>
      </c>
      <c r="M1218" s="9"/>
    </row>
    <row r="1219" customFormat="false" ht="15" hidden="false" customHeight="false" outlineLevel="0" collapsed="false">
      <c r="A1219" s="7" t="str">
        <f aca="false">IF('Outro banco'!A1219="","",IF(LEFT('Outro banco'!A1219,1)="(","",'Outro banco'!A1219))</f>
        <v/>
      </c>
      <c r="B1219" s="7" t="str">
        <f aca="false">IF(A1219="","",'Outro banco'!B1219)</f>
        <v/>
      </c>
      <c r="C1219" s="7" t="str">
        <f aca="false">IF(A1219="","",'Outro banco'!C1219)</f>
        <v/>
      </c>
      <c r="D1219" s="7" t="str">
        <f aca="false">IF(A1219="","",'Outro banco'!D1219)</f>
        <v/>
      </c>
      <c r="E1219" s="9"/>
      <c r="F1219" s="9"/>
      <c r="G1219" s="7" t="str">
        <f aca="false">IF(A1219="","",IF(COUNTIF(Tabelas!$A:$A,IF(E1219="",A1219,E1219))&gt;0,"sim","não"))</f>
        <v/>
      </c>
      <c r="H1219" s="7" t="str">
        <f aca="false">IF(A1219="","",IF(E1219="",A1219,E1219)&amp;"."&amp;IF(F1219="",B1219,F1219))</f>
        <v/>
      </c>
      <c r="I1219" s="7" t="str">
        <f aca="false">IF(A1219="","",IFERROR(INDEX('Campos Growths'!$F:$F,MATCH(H1219,'Campos Growths'!$A:$A,0)),""))</f>
        <v/>
      </c>
      <c r="J1219" s="7" t="str">
        <f aca="false">IF(A1219="","",IFERROR(VLOOKUP(IF(ISNUMBER(SEARCH("(",C1219)),LEFT(C1219,SEARCH("(",C1219)-1),C1219),Tipos!$A:$B,2,FALSE()),"outro"))</f>
        <v/>
      </c>
      <c r="K1219" s="7" t="str">
        <f aca="false">IF(I1219="","",IFERROR(INDEX('Campos Growths'!$L:$L,MATCH(H1219,'Campos Growths'!$A:$A,0)),""))</f>
        <v/>
      </c>
      <c r="L1219" s="7" t="str">
        <f aca="false">IF(A1219="","",IF(G1219="não","Sem tabela no Growths",IF(I1219="","Sem campo no Growths",IF(J1219=K1219,"Importa direto","Ajustar tipo"))))</f>
        <v/>
      </c>
      <c r="M1219" s="9"/>
    </row>
    <row r="1220" customFormat="false" ht="15" hidden="false" customHeight="false" outlineLevel="0" collapsed="false">
      <c r="A1220" s="7" t="str">
        <f aca="false">IF('Outro banco'!A1220="","",IF(LEFT('Outro banco'!A1220,1)="(","",'Outro banco'!A1220))</f>
        <v/>
      </c>
      <c r="B1220" s="7" t="str">
        <f aca="false">IF(A1220="","",'Outro banco'!B1220)</f>
        <v/>
      </c>
      <c r="C1220" s="7" t="str">
        <f aca="false">IF(A1220="","",'Outro banco'!C1220)</f>
        <v/>
      </c>
      <c r="D1220" s="7" t="str">
        <f aca="false">IF(A1220="","",'Outro banco'!D1220)</f>
        <v/>
      </c>
      <c r="E1220" s="9"/>
      <c r="F1220" s="9"/>
      <c r="G1220" s="7" t="str">
        <f aca="false">IF(A1220="","",IF(COUNTIF(Tabelas!$A:$A,IF(E1220="",A1220,E1220))&gt;0,"sim","não"))</f>
        <v/>
      </c>
      <c r="H1220" s="7" t="str">
        <f aca="false">IF(A1220="","",IF(E1220="",A1220,E1220)&amp;"."&amp;IF(F1220="",B1220,F1220))</f>
        <v/>
      </c>
      <c r="I1220" s="7" t="str">
        <f aca="false">IF(A1220="","",IFERROR(INDEX('Campos Growths'!$F:$F,MATCH(H1220,'Campos Growths'!$A:$A,0)),""))</f>
        <v/>
      </c>
      <c r="J1220" s="7" t="str">
        <f aca="false">IF(A1220="","",IFERROR(VLOOKUP(IF(ISNUMBER(SEARCH("(",C1220)),LEFT(C1220,SEARCH("(",C1220)-1),C1220),Tipos!$A:$B,2,FALSE()),"outro"))</f>
        <v/>
      </c>
      <c r="K1220" s="7" t="str">
        <f aca="false">IF(I1220="","",IFERROR(INDEX('Campos Growths'!$L:$L,MATCH(H1220,'Campos Growths'!$A:$A,0)),""))</f>
        <v/>
      </c>
      <c r="L1220" s="7" t="str">
        <f aca="false">IF(A1220="","",IF(G1220="não","Sem tabela no Growths",IF(I1220="","Sem campo no Growths",IF(J1220=K1220,"Importa direto","Ajustar tipo"))))</f>
        <v/>
      </c>
      <c r="M1220" s="9"/>
    </row>
    <row r="1221" customFormat="false" ht="15" hidden="false" customHeight="false" outlineLevel="0" collapsed="false">
      <c r="A1221" s="7" t="str">
        <f aca="false">IF('Outro banco'!A1221="","",IF(LEFT('Outro banco'!A1221,1)="(","",'Outro banco'!A1221))</f>
        <v/>
      </c>
      <c r="B1221" s="7" t="str">
        <f aca="false">IF(A1221="","",'Outro banco'!B1221)</f>
        <v/>
      </c>
      <c r="C1221" s="7" t="str">
        <f aca="false">IF(A1221="","",'Outro banco'!C1221)</f>
        <v/>
      </c>
      <c r="D1221" s="7" t="str">
        <f aca="false">IF(A1221="","",'Outro banco'!D1221)</f>
        <v/>
      </c>
      <c r="E1221" s="9"/>
      <c r="F1221" s="9"/>
      <c r="G1221" s="7" t="str">
        <f aca="false">IF(A1221="","",IF(COUNTIF(Tabelas!$A:$A,IF(E1221="",A1221,E1221))&gt;0,"sim","não"))</f>
        <v/>
      </c>
      <c r="H1221" s="7" t="str">
        <f aca="false">IF(A1221="","",IF(E1221="",A1221,E1221)&amp;"."&amp;IF(F1221="",B1221,F1221))</f>
        <v/>
      </c>
      <c r="I1221" s="7" t="str">
        <f aca="false">IF(A1221="","",IFERROR(INDEX('Campos Growths'!$F:$F,MATCH(H1221,'Campos Growths'!$A:$A,0)),""))</f>
        <v/>
      </c>
      <c r="J1221" s="7" t="str">
        <f aca="false">IF(A1221="","",IFERROR(VLOOKUP(IF(ISNUMBER(SEARCH("(",C1221)),LEFT(C1221,SEARCH("(",C1221)-1),C1221),Tipos!$A:$B,2,FALSE()),"outro"))</f>
        <v/>
      </c>
      <c r="K1221" s="7" t="str">
        <f aca="false">IF(I1221="","",IFERROR(INDEX('Campos Growths'!$L:$L,MATCH(H1221,'Campos Growths'!$A:$A,0)),""))</f>
        <v/>
      </c>
      <c r="L1221" s="7" t="str">
        <f aca="false">IF(A1221="","",IF(G1221="não","Sem tabela no Growths",IF(I1221="","Sem campo no Growths",IF(J1221=K1221,"Importa direto","Ajustar tipo"))))</f>
        <v/>
      </c>
      <c r="M1221" s="9"/>
    </row>
    <row r="1222" customFormat="false" ht="15" hidden="false" customHeight="false" outlineLevel="0" collapsed="false">
      <c r="A1222" s="7" t="str">
        <f aca="false">IF('Outro banco'!A1222="","",IF(LEFT('Outro banco'!A1222,1)="(","",'Outro banco'!A1222))</f>
        <v/>
      </c>
      <c r="B1222" s="7" t="str">
        <f aca="false">IF(A1222="","",'Outro banco'!B1222)</f>
        <v/>
      </c>
      <c r="C1222" s="7" t="str">
        <f aca="false">IF(A1222="","",'Outro banco'!C1222)</f>
        <v/>
      </c>
      <c r="D1222" s="7" t="str">
        <f aca="false">IF(A1222="","",'Outro banco'!D1222)</f>
        <v/>
      </c>
      <c r="E1222" s="9"/>
      <c r="F1222" s="9"/>
      <c r="G1222" s="7" t="str">
        <f aca="false">IF(A1222="","",IF(COUNTIF(Tabelas!$A:$A,IF(E1222="",A1222,E1222))&gt;0,"sim","não"))</f>
        <v/>
      </c>
      <c r="H1222" s="7" t="str">
        <f aca="false">IF(A1222="","",IF(E1222="",A1222,E1222)&amp;"."&amp;IF(F1222="",B1222,F1222))</f>
        <v/>
      </c>
      <c r="I1222" s="7" t="str">
        <f aca="false">IF(A1222="","",IFERROR(INDEX('Campos Growths'!$F:$F,MATCH(H1222,'Campos Growths'!$A:$A,0)),""))</f>
        <v/>
      </c>
      <c r="J1222" s="7" t="str">
        <f aca="false">IF(A1222="","",IFERROR(VLOOKUP(IF(ISNUMBER(SEARCH("(",C1222)),LEFT(C1222,SEARCH("(",C1222)-1),C1222),Tipos!$A:$B,2,FALSE()),"outro"))</f>
        <v/>
      </c>
      <c r="K1222" s="7" t="str">
        <f aca="false">IF(I1222="","",IFERROR(INDEX('Campos Growths'!$L:$L,MATCH(H1222,'Campos Growths'!$A:$A,0)),""))</f>
        <v/>
      </c>
      <c r="L1222" s="7" t="str">
        <f aca="false">IF(A1222="","",IF(G1222="não","Sem tabela no Growths",IF(I1222="","Sem campo no Growths",IF(J1222=K1222,"Importa direto","Ajustar tipo"))))</f>
        <v/>
      </c>
      <c r="M1222" s="9"/>
    </row>
    <row r="1223" customFormat="false" ht="15" hidden="false" customHeight="false" outlineLevel="0" collapsed="false">
      <c r="A1223" s="7" t="str">
        <f aca="false">IF('Outro banco'!A1223="","",IF(LEFT('Outro banco'!A1223,1)="(","",'Outro banco'!A1223))</f>
        <v/>
      </c>
      <c r="B1223" s="7" t="str">
        <f aca="false">IF(A1223="","",'Outro banco'!B1223)</f>
        <v/>
      </c>
      <c r="C1223" s="7" t="str">
        <f aca="false">IF(A1223="","",'Outro banco'!C1223)</f>
        <v/>
      </c>
      <c r="D1223" s="7" t="str">
        <f aca="false">IF(A1223="","",'Outro banco'!D1223)</f>
        <v/>
      </c>
      <c r="E1223" s="9"/>
      <c r="F1223" s="9"/>
      <c r="G1223" s="7" t="str">
        <f aca="false">IF(A1223="","",IF(COUNTIF(Tabelas!$A:$A,IF(E1223="",A1223,E1223))&gt;0,"sim","não"))</f>
        <v/>
      </c>
      <c r="H1223" s="7" t="str">
        <f aca="false">IF(A1223="","",IF(E1223="",A1223,E1223)&amp;"."&amp;IF(F1223="",B1223,F1223))</f>
        <v/>
      </c>
      <c r="I1223" s="7" t="str">
        <f aca="false">IF(A1223="","",IFERROR(INDEX('Campos Growths'!$F:$F,MATCH(H1223,'Campos Growths'!$A:$A,0)),""))</f>
        <v/>
      </c>
      <c r="J1223" s="7" t="str">
        <f aca="false">IF(A1223="","",IFERROR(VLOOKUP(IF(ISNUMBER(SEARCH("(",C1223)),LEFT(C1223,SEARCH("(",C1223)-1),C1223),Tipos!$A:$B,2,FALSE()),"outro"))</f>
        <v/>
      </c>
      <c r="K1223" s="7" t="str">
        <f aca="false">IF(I1223="","",IFERROR(INDEX('Campos Growths'!$L:$L,MATCH(H1223,'Campos Growths'!$A:$A,0)),""))</f>
        <v/>
      </c>
      <c r="L1223" s="7" t="str">
        <f aca="false">IF(A1223="","",IF(G1223="não","Sem tabela no Growths",IF(I1223="","Sem campo no Growths",IF(J1223=K1223,"Importa direto","Ajustar tipo"))))</f>
        <v/>
      </c>
      <c r="M1223" s="9"/>
    </row>
    <row r="1224" customFormat="false" ht="15" hidden="false" customHeight="false" outlineLevel="0" collapsed="false">
      <c r="A1224" s="7" t="str">
        <f aca="false">IF('Outro banco'!A1224="","",IF(LEFT('Outro banco'!A1224,1)="(","",'Outro banco'!A1224))</f>
        <v/>
      </c>
      <c r="B1224" s="7" t="str">
        <f aca="false">IF(A1224="","",'Outro banco'!B1224)</f>
        <v/>
      </c>
      <c r="C1224" s="7" t="str">
        <f aca="false">IF(A1224="","",'Outro banco'!C1224)</f>
        <v/>
      </c>
      <c r="D1224" s="7" t="str">
        <f aca="false">IF(A1224="","",'Outro banco'!D1224)</f>
        <v/>
      </c>
      <c r="E1224" s="9"/>
      <c r="F1224" s="9"/>
      <c r="G1224" s="7" t="str">
        <f aca="false">IF(A1224="","",IF(COUNTIF(Tabelas!$A:$A,IF(E1224="",A1224,E1224))&gt;0,"sim","não"))</f>
        <v/>
      </c>
      <c r="H1224" s="7" t="str">
        <f aca="false">IF(A1224="","",IF(E1224="",A1224,E1224)&amp;"."&amp;IF(F1224="",B1224,F1224))</f>
        <v/>
      </c>
      <c r="I1224" s="7" t="str">
        <f aca="false">IF(A1224="","",IFERROR(INDEX('Campos Growths'!$F:$F,MATCH(H1224,'Campos Growths'!$A:$A,0)),""))</f>
        <v/>
      </c>
      <c r="J1224" s="7" t="str">
        <f aca="false">IF(A1224="","",IFERROR(VLOOKUP(IF(ISNUMBER(SEARCH("(",C1224)),LEFT(C1224,SEARCH("(",C1224)-1),C1224),Tipos!$A:$B,2,FALSE()),"outro"))</f>
        <v/>
      </c>
      <c r="K1224" s="7" t="str">
        <f aca="false">IF(I1224="","",IFERROR(INDEX('Campos Growths'!$L:$L,MATCH(H1224,'Campos Growths'!$A:$A,0)),""))</f>
        <v/>
      </c>
      <c r="L1224" s="7" t="str">
        <f aca="false">IF(A1224="","",IF(G1224="não","Sem tabela no Growths",IF(I1224="","Sem campo no Growths",IF(J1224=K1224,"Importa direto","Ajustar tipo"))))</f>
        <v/>
      </c>
      <c r="M1224" s="9"/>
    </row>
    <row r="1225" customFormat="false" ht="15" hidden="false" customHeight="false" outlineLevel="0" collapsed="false">
      <c r="A1225" s="7" t="str">
        <f aca="false">IF('Outro banco'!A1225="","",IF(LEFT('Outro banco'!A1225,1)="(","",'Outro banco'!A1225))</f>
        <v/>
      </c>
      <c r="B1225" s="7" t="str">
        <f aca="false">IF(A1225="","",'Outro banco'!B1225)</f>
        <v/>
      </c>
      <c r="C1225" s="7" t="str">
        <f aca="false">IF(A1225="","",'Outro banco'!C1225)</f>
        <v/>
      </c>
      <c r="D1225" s="7" t="str">
        <f aca="false">IF(A1225="","",'Outro banco'!D1225)</f>
        <v/>
      </c>
      <c r="E1225" s="9"/>
      <c r="F1225" s="9"/>
      <c r="G1225" s="7" t="str">
        <f aca="false">IF(A1225="","",IF(COUNTIF(Tabelas!$A:$A,IF(E1225="",A1225,E1225))&gt;0,"sim","não"))</f>
        <v/>
      </c>
      <c r="H1225" s="7" t="str">
        <f aca="false">IF(A1225="","",IF(E1225="",A1225,E1225)&amp;"."&amp;IF(F1225="",B1225,F1225))</f>
        <v/>
      </c>
      <c r="I1225" s="7" t="str">
        <f aca="false">IF(A1225="","",IFERROR(INDEX('Campos Growths'!$F:$F,MATCH(H1225,'Campos Growths'!$A:$A,0)),""))</f>
        <v/>
      </c>
      <c r="J1225" s="7" t="str">
        <f aca="false">IF(A1225="","",IFERROR(VLOOKUP(IF(ISNUMBER(SEARCH("(",C1225)),LEFT(C1225,SEARCH("(",C1225)-1),C1225),Tipos!$A:$B,2,FALSE()),"outro"))</f>
        <v/>
      </c>
      <c r="K1225" s="7" t="str">
        <f aca="false">IF(I1225="","",IFERROR(INDEX('Campos Growths'!$L:$L,MATCH(H1225,'Campos Growths'!$A:$A,0)),""))</f>
        <v/>
      </c>
      <c r="L1225" s="7" t="str">
        <f aca="false">IF(A1225="","",IF(G1225="não","Sem tabela no Growths",IF(I1225="","Sem campo no Growths",IF(J1225=K1225,"Importa direto","Ajustar tipo"))))</f>
        <v/>
      </c>
      <c r="M1225" s="9"/>
    </row>
    <row r="1226" customFormat="false" ht="15" hidden="false" customHeight="false" outlineLevel="0" collapsed="false">
      <c r="A1226" s="7" t="str">
        <f aca="false">IF('Outro banco'!A1226="","",IF(LEFT('Outro banco'!A1226,1)="(","",'Outro banco'!A1226))</f>
        <v/>
      </c>
      <c r="B1226" s="7" t="str">
        <f aca="false">IF(A1226="","",'Outro banco'!B1226)</f>
        <v/>
      </c>
      <c r="C1226" s="7" t="str">
        <f aca="false">IF(A1226="","",'Outro banco'!C1226)</f>
        <v/>
      </c>
      <c r="D1226" s="7" t="str">
        <f aca="false">IF(A1226="","",'Outro banco'!D1226)</f>
        <v/>
      </c>
      <c r="E1226" s="9"/>
      <c r="F1226" s="9"/>
      <c r="G1226" s="7" t="str">
        <f aca="false">IF(A1226="","",IF(COUNTIF(Tabelas!$A:$A,IF(E1226="",A1226,E1226))&gt;0,"sim","não"))</f>
        <v/>
      </c>
      <c r="H1226" s="7" t="str">
        <f aca="false">IF(A1226="","",IF(E1226="",A1226,E1226)&amp;"."&amp;IF(F1226="",B1226,F1226))</f>
        <v/>
      </c>
      <c r="I1226" s="7" t="str">
        <f aca="false">IF(A1226="","",IFERROR(INDEX('Campos Growths'!$F:$F,MATCH(H1226,'Campos Growths'!$A:$A,0)),""))</f>
        <v/>
      </c>
      <c r="J1226" s="7" t="str">
        <f aca="false">IF(A1226="","",IFERROR(VLOOKUP(IF(ISNUMBER(SEARCH("(",C1226)),LEFT(C1226,SEARCH("(",C1226)-1),C1226),Tipos!$A:$B,2,FALSE()),"outro"))</f>
        <v/>
      </c>
      <c r="K1226" s="7" t="str">
        <f aca="false">IF(I1226="","",IFERROR(INDEX('Campos Growths'!$L:$L,MATCH(H1226,'Campos Growths'!$A:$A,0)),""))</f>
        <v/>
      </c>
      <c r="L1226" s="7" t="str">
        <f aca="false">IF(A1226="","",IF(G1226="não","Sem tabela no Growths",IF(I1226="","Sem campo no Growths",IF(J1226=K1226,"Importa direto","Ajustar tipo"))))</f>
        <v/>
      </c>
      <c r="M1226" s="9"/>
    </row>
    <row r="1227" customFormat="false" ht="15" hidden="false" customHeight="false" outlineLevel="0" collapsed="false">
      <c r="A1227" s="7" t="str">
        <f aca="false">IF('Outro banco'!A1227="","",IF(LEFT('Outro banco'!A1227,1)="(","",'Outro banco'!A1227))</f>
        <v/>
      </c>
      <c r="B1227" s="7" t="str">
        <f aca="false">IF(A1227="","",'Outro banco'!B1227)</f>
        <v/>
      </c>
      <c r="C1227" s="7" t="str">
        <f aca="false">IF(A1227="","",'Outro banco'!C1227)</f>
        <v/>
      </c>
      <c r="D1227" s="7" t="str">
        <f aca="false">IF(A1227="","",'Outro banco'!D1227)</f>
        <v/>
      </c>
      <c r="E1227" s="9"/>
      <c r="F1227" s="9"/>
      <c r="G1227" s="7" t="str">
        <f aca="false">IF(A1227="","",IF(COUNTIF(Tabelas!$A:$A,IF(E1227="",A1227,E1227))&gt;0,"sim","não"))</f>
        <v/>
      </c>
      <c r="H1227" s="7" t="str">
        <f aca="false">IF(A1227="","",IF(E1227="",A1227,E1227)&amp;"."&amp;IF(F1227="",B1227,F1227))</f>
        <v/>
      </c>
      <c r="I1227" s="7" t="str">
        <f aca="false">IF(A1227="","",IFERROR(INDEX('Campos Growths'!$F:$F,MATCH(H1227,'Campos Growths'!$A:$A,0)),""))</f>
        <v/>
      </c>
      <c r="J1227" s="7" t="str">
        <f aca="false">IF(A1227="","",IFERROR(VLOOKUP(IF(ISNUMBER(SEARCH("(",C1227)),LEFT(C1227,SEARCH("(",C1227)-1),C1227),Tipos!$A:$B,2,FALSE()),"outro"))</f>
        <v/>
      </c>
      <c r="K1227" s="7" t="str">
        <f aca="false">IF(I1227="","",IFERROR(INDEX('Campos Growths'!$L:$L,MATCH(H1227,'Campos Growths'!$A:$A,0)),""))</f>
        <v/>
      </c>
      <c r="L1227" s="7" t="str">
        <f aca="false">IF(A1227="","",IF(G1227="não","Sem tabela no Growths",IF(I1227="","Sem campo no Growths",IF(J1227=K1227,"Importa direto","Ajustar tipo"))))</f>
        <v/>
      </c>
      <c r="M1227" s="9"/>
    </row>
    <row r="1228" customFormat="false" ht="15" hidden="false" customHeight="false" outlineLevel="0" collapsed="false">
      <c r="A1228" s="7" t="str">
        <f aca="false">IF('Outro banco'!A1228="","",IF(LEFT('Outro banco'!A1228,1)="(","",'Outro banco'!A1228))</f>
        <v/>
      </c>
      <c r="B1228" s="7" t="str">
        <f aca="false">IF(A1228="","",'Outro banco'!B1228)</f>
        <v/>
      </c>
      <c r="C1228" s="7" t="str">
        <f aca="false">IF(A1228="","",'Outro banco'!C1228)</f>
        <v/>
      </c>
      <c r="D1228" s="7" t="str">
        <f aca="false">IF(A1228="","",'Outro banco'!D1228)</f>
        <v/>
      </c>
      <c r="E1228" s="9"/>
      <c r="F1228" s="9"/>
      <c r="G1228" s="7" t="str">
        <f aca="false">IF(A1228="","",IF(COUNTIF(Tabelas!$A:$A,IF(E1228="",A1228,E1228))&gt;0,"sim","não"))</f>
        <v/>
      </c>
      <c r="H1228" s="7" t="str">
        <f aca="false">IF(A1228="","",IF(E1228="",A1228,E1228)&amp;"."&amp;IF(F1228="",B1228,F1228))</f>
        <v/>
      </c>
      <c r="I1228" s="7" t="str">
        <f aca="false">IF(A1228="","",IFERROR(INDEX('Campos Growths'!$F:$F,MATCH(H1228,'Campos Growths'!$A:$A,0)),""))</f>
        <v/>
      </c>
      <c r="J1228" s="7" t="str">
        <f aca="false">IF(A1228="","",IFERROR(VLOOKUP(IF(ISNUMBER(SEARCH("(",C1228)),LEFT(C1228,SEARCH("(",C1228)-1),C1228),Tipos!$A:$B,2,FALSE()),"outro"))</f>
        <v/>
      </c>
      <c r="K1228" s="7" t="str">
        <f aca="false">IF(I1228="","",IFERROR(INDEX('Campos Growths'!$L:$L,MATCH(H1228,'Campos Growths'!$A:$A,0)),""))</f>
        <v/>
      </c>
      <c r="L1228" s="7" t="str">
        <f aca="false">IF(A1228="","",IF(G1228="não","Sem tabela no Growths",IF(I1228="","Sem campo no Growths",IF(J1228=K1228,"Importa direto","Ajustar tipo"))))</f>
        <v/>
      </c>
      <c r="M1228" s="9"/>
    </row>
    <row r="1229" customFormat="false" ht="15" hidden="false" customHeight="false" outlineLevel="0" collapsed="false">
      <c r="A1229" s="7" t="str">
        <f aca="false">IF('Outro banco'!A1229="","",IF(LEFT('Outro banco'!A1229,1)="(","",'Outro banco'!A1229))</f>
        <v/>
      </c>
      <c r="B1229" s="7" t="str">
        <f aca="false">IF(A1229="","",'Outro banco'!B1229)</f>
        <v/>
      </c>
      <c r="C1229" s="7" t="str">
        <f aca="false">IF(A1229="","",'Outro banco'!C1229)</f>
        <v/>
      </c>
      <c r="D1229" s="7" t="str">
        <f aca="false">IF(A1229="","",'Outro banco'!D1229)</f>
        <v/>
      </c>
      <c r="E1229" s="9"/>
      <c r="F1229" s="9"/>
      <c r="G1229" s="7" t="str">
        <f aca="false">IF(A1229="","",IF(COUNTIF(Tabelas!$A:$A,IF(E1229="",A1229,E1229))&gt;0,"sim","não"))</f>
        <v/>
      </c>
      <c r="H1229" s="7" t="str">
        <f aca="false">IF(A1229="","",IF(E1229="",A1229,E1229)&amp;"."&amp;IF(F1229="",B1229,F1229))</f>
        <v/>
      </c>
      <c r="I1229" s="7" t="str">
        <f aca="false">IF(A1229="","",IFERROR(INDEX('Campos Growths'!$F:$F,MATCH(H1229,'Campos Growths'!$A:$A,0)),""))</f>
        <v/>
      </c>
      <c r="J1229" s="7" t="str">
        <f aca="false">IF(A1229="","",IFERROR(VLOOKUP(IF(ISNUMBER(SEARCH("(",C1229)),LEFT(C1229,SEARCH("(",C1229)-1),C1229),Tipos!$A:$B,2,FALSE()),"outro"))</f>
        <v/>
      </c>
      <c r="K1229" s="7" t="str">
        <f aca="false">IF(I1229="","",IFERROR(INDEX('Campos Growths'!$L:$L,MATCH(H1229,'Campos Growths'!$A:$A,0)),""))</f>
        <v/>
      </c>
      <c r="L1229" s="7" t="str">
        <f aca="false">IF(A1229="","",IF(G1229="não","Sem tabela no Growths",IF(I1229="","Sem campo no Growths",IF(J1229=K1229,"Importa direto","Ajustar tipo"))))</f>
        <v/>
      </c>
      <c r="M1229" s="9"/>
    </row>
    <row r="1230" customFormat="false" ht="15" hidden="false" customHeight="false" outlineLevel="0" collapsed="false">
      <c r="A1230" s="7" t="str">
        <f aca="false">IF('Outro banco'!A1230="","",IF(LEFT('Outro banco'!A1230,1)="(","",'Outro banco'!A1230))</f>
        <v/>
      </c>
      <c r="B1230" s="7" t="str">
        <f aca="false">IF(A1230="","",'Outro banco'!B1230)</f>
        <v/>
      </c>
      <c r="C1230" s="7" t="str">
        <f aca="false">IF(A1230="","",'Outro banco'!C1230)</f>
        <v/>
      </c>
      <c r="D1230" s="7" t="str">
        <f aca="false">IF(A1230="","",'Outro banco'!D1230)</f>
        <v/>
      </c>
      <c r="E1230" s="9"/>
      <c r="F1230" s="9"/>
      <c r="G1230" s="7" t="str">
        <f aca="false">IF(A1230="","",IF(COUNTIF(Tabelas!$A:$A,IF(E1230="",A1230,E1230))&gt;0,"sim","não"))</f>
        <v/>
      </c>
      <c r="H1230" s="7" t="str">
        <f aca="false">IF(A1230="","",IF(E1230="",A1230,E1230)&amp;"."&amp;IF(F1230="",B1230,F1230))</f>
        <v/>
      </c>
      <c r="I1230" s="7" t="str">
        <f aca="false">IF(A1230="","",IFERROR(INDEX('Campos Growths'!$F:$F,MATCH(H1230,'Campos Growths'!$A:$A,0)),""))</f>
        <v/>
      </c>
      <c r="J1230" s="7" t="str">
        <f aca="false">IF(A1230="","",IFERROR(VLOOKUP(IF(ISNUMBER(SEARCH("(",C1230)),LEFT(C1230,SEARCH("(",C1230)-1),C1230),Tipos!$A:$B,2,FALSE()),"outro"))</f>
        <v/>
      </c>
      <c r="K1230" s="7" t="str">
        <f aca="false">IF(I1230="","",IFERROR(INDEX('Campos Growths'!$L:$L,MATCH(H1230,'Campos Growths'!$A:$A,0)),""))</f>
        <v/>
      </c>
      <c r="L1230" s="7" t="str">
        <f aca="false">IF(A1230="","",IF(G1230="não","Sem tabela no Growths",IF(I1230="","Sem campo no Growths",IF(J1230=K1230,"Importa direto","Ajustar tipo"))))</f>
        <v/>
      </c>
      <c r="M1230" s="9"/>
    </row>
    <row r="1231" customFormat="false" ht="15" hidden="false" customHeight="false" outlineLevel="0" collapsed="false">
      <c r="A1231" s="7" t="str">
        <f aca="false">IF('Outro banco'!A1231="","",IF(LEFT('Outro banco'!A1231,1)="(","",'Outro banco'!A1231))</f>
        <v/>
      </c>
      <c r="B1231" s="7" t="str">
        <f aca="false">IF(A1231="","",'Outro banco'!B1231)</f>
        <v/>
      </c>
      <c r="C1231" s="7" t="str">
        <f aca="false">IF(A1231="","",'Outro banco'!C1231)</f>
        <v/>
      </c>
      <c r="D1231" s="7" t="str">
        <f aca="false">IF(A1231="","",'Outro banco'!D1231)</f>
        <v/>
      </c>
      <c r="E1231" s="9"/>
      <c r="F1231" s="9"/>
      <c r="G1231" s="7" t="str">
        <f aca="false">IF(A1231="","",IF(COUNTIF(Tabelas!$A:$A,IF(E1231="",A1231,E1231))&gt;0,"sim","não"))</f>
        <v/>
      </c>
      <c r="H1231" s="7" t="str">
        <f aca="false">IF(A1231="","",IF(E1231="",A1231,E1231)&amp;"."&amp;IF(F1231="",B1231,F1231))</f>
        <v/>
      </c>
      <c r="I1231" s="7" t="str">
        <f aca="false">IF(A1231="","",IFERROR(INDEX('Campos Growths'!$F:$F,MATCH(H1231,'Campos Growths'!$A:$A,0)),""))</f>
        <v/>
      </c>
      <c r="J1231" s="7" t="str">
        <f aca="false">IF(A1231="","",IFERROR(VLOOKUP(IF(ISNUMBER(SEARCH("(",C1231)),LEFT(C1231,SEARCH("(",C1231)-1),C1231),Tipos!$A:$B,2,FALSE()),"outro"))</f>
        <v/>
      </c>
      <c r="K1231" s="7" t="str">
        <f aca="false">IF(I1231="","",IFERROR(INDEX('Campos Growths'!$L:$L,MATCH(H1231,'Campos Growths'!$A:$A,0)),""))</f>
        <v/>
      </c>
      <c r="L1231" s="7" t="str">
        <f aca="false">IF(A1231="","",IF(G1231="não","Sem tabela no Growths",IF(I1231="","Sem campo no Growths",IF(J1231=K1231,"Importa direto","Ajustar tipo"))))</f>
        <v/>
      </c>
      <c r="M1231" s="9"/>
    </row>
    <row r="1232" customFormat="false" ht="15" hidden="false" customHeight="false" outlineLevel="0" collapsed="false">
      <c r="A1232" s="7" t="str">
        <f aca="false">IF('Outro banco'!A1232="","",IF(LEFT('Outro banco'!A1232,1)="(","",'Outro banco'!A1232))</f>
        <v/>
      </c>
      <c r="B1232" s="7" t="str">
        <f aca="false">IF(A1232="","",'Outro banco'!B1232)</f>
        <v/>
      </c>
      <c r="C1232" s="7" t="str">
        <f aca="false">IF(A1232="","",'Outro banco'!C1232)</f>
        <v/>
      </c>
      <c r="D1232" s="7" t="str">
        <f aca="false">IF(A1232="","",'Outro banco'!D1232)</f>
        <v/>
      </c>
      <c r="E1232" s="9"/>
      <c r="F1232" s="9"/>
      <c r="G1232" s="7" t="str">
        <f aca="false">IF(A1232="","",IF(COUNTIF(Tabelas!$A:$A,IF(E1232="",A1232,E1232))&gt;0,"sim","não"))</f>
        <v/>
      </c>
      <c r="H1232" s="7" t="str">
        <f aca="false">IF(A1232="","",IF(E1232="",A1232,E1232)&amp;"."&amp;IF(F1232="",B1232,F1232))</f>
        <v/>
      </c>
      <c r="I1232" s="7" t="str">
        <f aca="false">IF(A1232="","",IFERROR(INDEX('Campos Growths'!$F:$F,MATCH(H1232,'Campos Growths'!$A:$A,0)),""))</f>
        <v/>
      </c>
      <c r="J1232" s="7" t="str">
        <f aca="false">IF(A1232="","",IFERROR(VLOOKUP(IF(ISNUMBER(SEARCH("(",C1232)),LEFT(C1232,SEARCH("(",C1232)-1),C1232),Tipos!$A:$B,2,FALSE()),"outro"))</f>
        <v/>
      </c>
      <c r="K1232" s="7" t="str">
        <f aca="false">IF(I1232="","",IFERROR(INDEX('Campos Growths'!$L:$L,MATCH(H1232,'Campos Growths'!$A:$A,0)),""))</f>
        <v/>
      </c>
      <c r="L1232" s="7" t="str">
        <f aca="false">IF(A1232="","",IF(G1232="não","Sem tabela no Growths",IF(I1232="","Sem campo no Growths",IF(J1232=K1232,"Importa direto","Ajustar tipo"))))</f>
        <v/>
      </c>
      <c r="M1232" s="9"/>
    </row>
    <row r="1233" customFormat="false" ht="15" hidden="false" customHeight="false" outlineLevel="0" collapsed="false">
      <c r="A1233" s="7" t="str">
        <f aca="false">IF('Outro banco'!A1233="","",IF(LEFT('Outro banco'!A1233,1)="(","",'Outro banco'!A1233))</f>
        <v/>
      </c>
      <c r="B1233" s="7" t="str">
        <f aca="false">IF(A1233="","",'Outro banco'!B1233)</f>
        <v/>
      </c>
      <c r="C1233" s="7" t="str">
        <f aca="false">IF(A1233="","",'Outro banco'!C1233)</f>
        <v/>
      </c>
      <c r="D1233" s="7" t="str">
        <f aca="false">IF(A1233="","",'Outro banco'!D1233)</f>
        <v/>
      </c>
      <c r="E1233" s="9"/>
      <c r="F1233" s="9"/>
      <c r="G1233" s="7" t="str">
        <f aca="false">IF(A1233="","",IF(COUNTIF(Tabelas!$A:$A,IF(E1233="",A1233,E1233))&gt;0,"sim","não"))</f>
        <v/>
      </c>
      <c r="H1233" s="7" t="str">
        <f aca="false">IF(A1233="","",IF(E1233="",A1233,E1233)&amp;"."&amp;IF(F1233="",B1233,F1233))</f>
        <v/>
      </c>
      <c r="I1233" s="7" t="str">
        <f aca="false">IF(A1233="","",IFERROR(INDEX('Campos Growths'!$F:$F,MATCH(H1233,'Campos Growths'!$A:$A,0)),""))</f>
        <v/>
      </c>
      <c r="J1233" s="7" t="str">
        <f aca="false">IF(A1233="","",IFERROR(VLOOKUP(IF(ISNUMBER(SEARCH("(",C1233)),LEFT(C1233,SEARCH("(",C1233)-1),C1233),Tipos!$A:$B,2,FALSE()),"outro"))</f>
        <v/>
      </c>
      <c r="K1233" s="7" t="str">
        <f aca="false">IF(I1233="","",IFERROR(INDEX('Campos Growths'!$L:$L,MATCH(H1233,'Campos Growths'!$A:$A,0)),""))</f>
        <v/>
      </c>
      <c r="L1233" s="7" t="str">
        <f aca="false">IF(A1233="","",IF(G1233="não","Sem tabela no Growths",IF(I1233="","Sem campo no Growths",IF(J1233=K1233,"Importa direto","Ajustar tipo"))))</f>
        <v/>
      </c>
      <c r="M1233" s="9"/>
    </row>
    <row r="1234" customFormat="false" ht="15" hidden="false" customHeight="false" outlineLevel="0" collapsed="false">
      <c r="A1234" s="7" t="str">
        <f aca="false">IF('Outro banco'!A1234="","",IF(LEFT('Outro banco'!A1234,1)="(","",'Outro banco'!A1234))</f>
        <v/>
      </c>
      <c r="B1234" s="7" t="str">
        <f aca="false">IF(A1234="","",'Outro banco'!B1234)</f>
        <v/>
      </c>
      <c r="C1234" s="7" t="str">
        <f aca="false">IF(A1234="","",'Outro banco'!C1234)</f>
        <v/>
      </c>
      <c r="D1234" s="7" t="str">
        <f aca="false">IF(A1234="","",'Outro banco'!D1234)</f>
        <v/>
      </c>
      <c r="E1234" s="9"/>
      <c r="F1234" s="9"/>
      <c r="G1234" s="7" t="str">
        <f aca="false">IF(A1234="","",IF(COUNTIF(Tabelas!$A:$A,IF(E1234="",A1234,E1234))&gt;0,"sim","não"))</f>
        <v/>
      </c>
      <c r="H1234" s="7" t="str">
        <f aca="false">IF(A1234="","",IF(E1234="",A1234,E1234)&amp;"."&amp;IF(F1234="",B1234,F1234))</f>
        <v/>
      </c>
      <c r="I1234" s="7" t="str">
        <f aca="false">IF(A1234="","",IFERROR(INDEX('Campos Growths'!$F:$F,MATCH(H1234,'Campos Growths'!$A:$A,0)),""))</f>
        <v/>
      </c>
      <c r="J1234" s="7" t="str">
        <f aca="false">IF(A1234="","",IFERROR(VLOOKUP(IF(ISNUMBER(SEARCH("(",C1234)),LEFT(C1234,SEARCH("(",C1234)-1),C1234),Tipos!$A:$B,2,FALSE()),"outro"))</f>
        <v/>
      </c>
      <c r="K1234" s="7" t="str">
        <f aca="false">IF(I1234="","",IFERROR(INDEX('Campos Growths'!$L:$L,MATCH(H1234,'Campos Growths'!$A:$A,0)),""))</f>
        <v/>
      </c>
      <c r="L1234" s="7" t="str">
        <f aca="false">IF(A1234="","",IF(G1234="não","Sem tabela no Growths",IF(I1234="","Sem campo no Growths",IF(J1234=K1234,"Importa direto","Ajustar tipo"))))</f>
        <v/>
      </c>
      <c r="M1234" s="9"/>
    </row>
    <row r="1235" customFormat="false" ht="15" hidden="false" customHeight="false" outlineLevel="0" collapsed="false">
      <c r="A1235" s="7" t="str">
        <f aca="false">IF('Outro banco'!A1235="","",IF(LEFT('Outro banco'!A1235,1)="(","",'Outro banco'!A1235))</f>
        <v/>
      </c>
      <c r="B1235" s="7" t="str">
        <f aca="false">IF(A1235="","",'Outro banco'!B1235)</f>
        <v/>
      </c>
      <c r="C1235" s="7" t="str">
        <f aca="false">IF(A1235="","",'Outro banco'!C1235)</f>
        <v/>
      </c>
      <c r="D1235" s="7" t="str">
        <f aca="false">IF(A1235="","",'Outro banco'!D1235)</f>
        <v/>
      </c>
      <c r="E1235" s="9"/>
      <c r="F1235" s="9"/>
      <c r="G1235" s="7" t="str">
        <f aca="false">IF(A1235="","",IF(COUNTIF(Tabelas!$A:$A,IF(E1235="",A1235,E1235))&gt;0,"sim","não"))</f>
        <v/>
      </c>
      <c r="H1235" s="7" t="str">
        <f aca="false">IF(A1235="","",IF(E1235="",A1235,E1235)&amp;"."&amp;IF(F1235="",B1235,F1235))</f>
        <v/>
      </c>
      <c r="I1235" s="7" t="str">
        <f aca="false">IF(A1235="","",IFERROR(INDEX('Campos Growths'!$F:$F,MATCH(H1235,'Campos Growths'!$A:$A,0)),""))</f>
        <v/>
      </c>
      <c r="J1235" s="7" t="str">
        <f aca="false">IF(A1235="","",IFERROR(VLOOKUP(IF(ISNUMBER(SEARCH("(",C1235)),LEFT(C1235,SEARCH("(",C1235)-1),C1235),Tipos!$A:$B,2,FALSE()),"outro"))</f>
        <v/>
      </c>
      <c r="K1235" s="7" t="str">
        <f aca="false">IF(I1235="","",IFERROR(INDEX('Campos Growths'!$L:$L,MATCH(H1235,'Campos Growths'!$A:$A,0)),""))</f>
        <v/>
      </c>
      <c r="L1235" s="7" t="str">
        <f aca="false">IF(A1235="","",IF(G1235="não","Sem tabela no Growths",IF(I1235="","Sem campo no Growths",IF(J1235=K1235,"Importa direto","Ajustar tipo"))))</f>
        <v/>
      </c>
      <c r="M1235" s="9"/>
    </row>
    <row r="1236" customFormat="false" ht="15" hidden="false" customHeight="false" outlineLevel="0" collapsed="false">
      <c r="A1236" s="7" t="str">
        <f aca="false">IF('Outro banco'!A1236="","",IF(LEFT('Outro banco'!A1236,1)="(","",'Outro banco'!A1236))</f>
        <v/>
      </c>
      <c r="B1236" s="7" t="str">
        <f aca="false">IF(A1236="","",'Outro banco'!B1236)</f>
        <v/>
      </c>
      <c r="C1236" s="7" t="str">
        <f aca="false">IF(A1236="","",'Outro banco'!C1236)</f>
        <v/>
      </c>
      <c r="D1236" s="7" t="str">
        <f aca="false">IF(A1236="","",'Outro banco'!D1236)</f>
        <v/>
      </c>
      <c r="E1236" s="9"/>
      <c r="F1236" s="9"/>
      <c r="G1236" s="7" t="str">
        <f aca="false">IF(A1236="","",IF(COUNTIF(Tabelas!$A:$A,IF(E1236="",A1236,E1236))&gt;0,"sim","não"))</f>
        <v/>
      </c>
      <c r="H1236" s="7" t="str">
        <f aca="false">IF(A1236="","",IF(E1236="",A1236,E1236)&amp;"."&amp;IF(F1236="",B1236,F1236))</f>
        <v/>
      </c>
      <c r="I1236" s="7" t="str">
        <f aca="false">IF(A1236="","",IFERROR(INDEX('Campos Growths'!$F:$F,MATCH(H1236,'Campos Growths'!$A:$A,0)),""))</f>
        <v/>
      </c>
      <c r="J1236" s="7" t="str">
        <f aca="false">IF(A1236="","",IFERROR(VLOOKUP(IF(ISNUMBER(SEARCH("(",C1236)),LEFT(C1236,SEARCH("(",C1236)-1),C1236),Tipos!$A:$B,2,FALSE()),"outro"))</f>
        <v/>
      </c>
      <c r="K1236" s="7" t="str">
        <f aca="false">IF(I1236="","",IFERROR(INDEX('Campos Growths'!$L:$L,MATCH(H1236,'Campos Growths'!$A:$A,0)),""))</f>
        <v/>
      </c>
      <c r="L1236" s="7" t="str">
        <f aca="false">IF(A1236="","",IF(G1236="não","Sem tabela no Growths",IF(I1236="","Sem campo no Growths",IF(J1236=K1236,"Importa direto","Ajustar tipo"))))</f>
        <v/>
      </c>
      <c r="M1236" s="9"/>
    </row>
    <row r="1237" customFormat="false" ht="15" hidden="false" customHeight="false" outlineLevel="0" collapsed="false">
      <c r="A1237" s="7" t="str">
        <f aca="false">IF('Outro banco'!A1237="","",IF(LEFT('Outro banco'!A1237,1)="(","",'Outro banco'!A1237))</f>
        <v/>
      </c>
      <c r="B1237" s="7" t="str">
        <f aca="false">IF(A1237="","",'Outro banco'!B1237)</f>
        <v/>
      </c>
      <c r="C1237" s="7" t="str">
        <f aca="false">IF(A1237="","",'Outro banco'!C1237)</f>
        <v/>
      </c>
      <c r="D1237" s="7" t="str">
        <f aca="false">IF(A1237="","",'Outro banco'!D1237)</f>
        <v/>
      </c>
      <c r="E1237" s="9"/>
      <c r="F1237" s="9"/>
      <c r="G1237" s="7" t="str">
        <f aca="false">IF(A1237="","",IF(COUNTIF(Tabelas!$A:$A,IF(E1237="",A1237,E1237))&gt;0,"sim","não"))</f>
        <v/>
      </c>
      <c r="H1237" s="7" t="str">
        <f aca="false">IF(A1237="","",IF(E1237="",A1237,E1237)&amp;"."&amp;IF(F1237="",B1237,F1237))</f>
        <v/>
      </c>
      <c r="I1237" s="7" t="str">
        <f aca="false">IF(A1237="","",IFERROR(INDEX('Campos Growths'!$F:$F,MATCH(H1237,'Campos Growths'!$A:$A,0)),""))</f>
        <v/>
      </c>
      <c r="J1237" s="7" t="str">
        <f aca="false">IF(A1237="","",IFERROR(VLOOKUP(IF(ISNUMBER(SEARCH("(",C1237)),LEFT(C1237,SEARCH("(",C1237)-1),C1237),Tipos!$A:$B,2,FALSE()),"outro"))</f>
        <v/>
      </c>
      <c r="K1237" s="7" t="str">
        <f aca="false">IF(I1237="","",IFERROR(INDEX('Campos Growths'!$L:$L,MATCH(H1237,'Campos Growths'!$A:$A,0)),""))</f>
        <v/>
      </c>
      <c r="L1237" s="7" t="str">
        <f aca="false">IF(A1237="","",IF(G1237="não","Sem tabela no Growths",IF(I1237="","Sem campo no Growths",IF(J1237=K1237,"Importa direto","Ajustar tipo"))))</f>
        <v/>
      </c>
      <c r="M1237" s="9"/>
    </row>
    <row r="1238" customFormat="false" ht="15" hidden="false" customHeight="false" outlineLevel="0" collapsed="false">
      <c r="A1238" s="7" t="str">
        <f aca="false">IF('Outro banco'!A1238="","",IF(LEFT('Outro banco'!A1238,1)="(","",'Outro banco'!A1238))</f>
        <v/>
      </c>
      <c r="B1238" s="7" t="str">
        <f aca="false">IF(A1238="","",'Outro banco'!B1238)</f>
        <v/>
      </c>
      <c r="C1238" s="7" t="str">
        <f aca="false">IF(A1238="","",'Outro banco'!C1238)</f>
        <v/>
      </c>
      <c r="D1238" s="7" t="str">
        <f aca="false">IF(A1238="","",'Outro banco'!D1238)</f>
        <v/>
      </c>
      <c r="E1238" s="9"/>
      <c r="F1238" s="9"/>
      <c r="G1238" s="7" t="str">
        <f aca="false">IF(A1238="","",IF(COUNTIF(Tabelas!$A:$A,IF(E1238="",A1238,E1238))&gt;0,"sim","não"))</f>
        <v/>
      </c>
      <c r="H1238" s="7" t="str">
        <f aca="false">IF(A1238="","",IF(E1238="",A1238,E1238)&amp;"."&amp;IF(F1238="",B1238,F1238))</f>
        <v/>
      </c>
      <c r="I1238" s="7" t="str">
        <f aca="false">IF(A1238="","",IFERROR(INDEX('Campos Growths'!$F:$F,MATCH(H1238,'Campos Growths'!$A:$A,0)),""))</f>
        <v/>
      </c>
      <c r="J1238" s="7" t="str">
        <f aca="false">IF(A1238="","",IFERROR(VLOOKUP(IF(ISNUMBER(SEARCH("(",C1238)),LEFT(C1238,SEARCH("(",C1238)-1),C1238),Tipos!$A:$B,2,FALSE()),"outro"))</f>
        <v/>
      </c>
      <c r="K1238" s="7" t="str">
        <f aca="false">IF(I1238="","",IFERROR(INDEX('Campos Growths'!$L:$L,MATCH(H1238,'Campos Growths'!$A:$A,0)),""))</f>
        <v/>
      </c>
      <c r="L1238" s="7" t="str">
        <f aca="false">IF(A1238="","",IF(G1238="não","Sem tabela no Growths",IF(I1238="","Sem campo no Growths",IF(J1238=K1238,"Importa direto","Ajustar tipo"))))</f>
        <v/>
      </c>
      <c r="M1238" s="9"/>
    </row>
    <row r="1239" customFormat="false" ht="15" hidden="false" customHeight="false" outlineLevel="0" collapsed="false">
      <c r="A1239" s="7" t="str">
        <f aca="false">IF('Outro banco'!A1239="","",IF(LEFT('Outro banco'!A1239,1)="(","",'Outro banco'!A1239))</f>
        <v/>
      </c>
      <c r="B1239" s="7" t="str">
        <f aca="false">IF(A1239="","",'Outro banco'!B1239)</f>
        <v/>
      </c>
      <c r="C1239" s="7" t="str">
        <f aca="false">IF(A1239="","",'Outro banco'!C1239)</f>
        <v/>
      </c>
      <c r="D1239" s="7" t="str">
        <f aca="false">IF(A1239="","",'Outro banco'!D1239)</f>
        <v/>
      </c>
      <c r="E1239" s="9"/>
      <c r="F1239" s="9"/>
      <c r="G1239" s="7" t="str">
        <f aca="false">IF(A1239="","",IF(COUNTIF(Tabelas!$A:$A,IF(E1239="",A1239,E1239))&gt;0,"sim","não"))</f>
        <v/>
      </c>
      <c r="H1239" s="7" t="str">
        <f aca="false">IF(A1239="","",IF(E1239="",A1239,E1239)&amp;"."&amp;IF(F1239="",B1239,F1239))</f>
        <v/>
      </c>
      <c r="I1239" s="7" t="str">
        <f aca="false">IF(A1239="","",IFERROR(INDEX('Campos Growths'!$F:$F,MATCH(H1239,'Campos Growths'!$A:$A,0)),""))</f>
        <v/>
      </c>
      <c r="J1239" s="7" t="str">
        <f aca="false">IF(A1239="","",IFERROR(VLOOKUP(IF(ISNUMBER(SEARCH("(",C1239)),LEFT(C1239,SEARCH("(",C1239)-1),C1239),Tipos!$A:$B,2,FALSE()),"outro"))</f>
        <v/>
      </c>
      <c r="K1239" s="7" t="str">
        <f aca="false">IF(I1239="","",IFERROR(INDEX('Campos Growths'!$L:$L,MATCH(H1239,'Campos Growths'!$A:$A,0)),""))</f>
        <v/>
      </c>
      <c r="L1239" s="7" t="str">
        <f aca="false">IF(A1239="","",IF(G1239="não","Sem tabela no Growths",IF(I1239="","Sem campo no Growths",IF(J1239=K1239,"Importa direto","Ajustar tipo"))))</f>
        <v/>
      </c>
      <c r="M1239" s="9"/>
    </row>
    <row r="1240" customFormat="false" ht="15" hidden="false" customHeight="false" outlineLevel="0" collapsed="false">
      <c r="A1240" s="7" t="str">
        <f aca="false">IF('Outro banco'!A1240="","",IF(LEFT('Outro banco'!A1240,1)="(","",'Outro banco'!A1240))</f>
        <v/>
      </c>
      <c r="B1240" s="7" t="str">
        <f aca="false">IF(A1240="","",'Outro banco'!B1240)</f>
        <v/>
      </c>
      <c r="C1240" s="7" t="str">
        <f aca="false">IF(A1240="","",'Outro banco'!C1240)</f>
        <v/>
      </c>
      <c r="D1240" s="7" t="str">
        <f aca="false">IF(A1240="","",'Outro banco'!D1240)</f>
        <v/>
      </c>
      <c r="E1240" s="9"/>
      <c r="F1240" s="9"/>
      <c r="G1240" s="7" t="str">
        <f aca="false">IF(A1240="","",IF(COUNTIF(Tabelas!$A:$A,IF(E1240="",A1240,E1240))&gt;0,"sim","não"))</f>
        <v/>
      </c>
      <c r="H1240" s="7" t="str">
        <f aca="false">IF(A1240="","",IF(E1240="",A1240,E1240)&amp;"."&amp;IF(F1240="",B1240,F1240))</f>
        <v/>
      </c>
      <c r="I1240" s="7" t="str">
        <f aca="false">IF(A1240="","",IFERROR(INDEX('Campos Growths'!$F:$F,MATCH(H1240,'Campos Growths'!$A:$A,0)),""))</f>
        <v/>
      </c>
      <c r="J1240" s="7" t="str">
        <f aca="false">IF(A1240="","",IFERROR(VLOOKUP(IF(ISNUMBER(SEARCH("(",C1240)),LEFT(C1240,SEARCH("(",C1240)-1),C1240),Tipos!$A:$B,2,FALSE()),"outro"))</f>
        <v/>
      </c>
      <c r="K1240" s="7" t="str">
        <f aca="false">IF(I1240="","",IFERROR(INDEX('Campos Growths'!$L:$L,MATCH(H1240,'Campos Growths'!$A:$A,0)),""))</f>
        <v/>
      </c>
      <c r="L1240" s="7" t="str">
        <f aca="false">IF(A1240="","",IF(G1240="não","Sem tabela no Growths",IF(I1240="","Sem campo no Growths",IF(J1240=K1240,"Importa direto","Ajustar tipo"))))</f>
        <v/>
      </c>
      <c r="M1240" s="9"/>
    </row>
    <row r="1241" customFormat="false" ht="15" hidden="false" customHeight="false" outlineLevel="0" collapsed="false">
      <c r="A1241" s="7" t="str">
        <f aca="false">IF('Outro banco'!A1241="","",IF(LEFT('Outro banco'!A1241,1)="(","",'Outro banco'!A1241))</f>
        <v/>
      </c>
      <c r="B1241" s="7" t="str">
        <f aca="false">IF(A1241="","",'Outro banco'!B1241)</f>
        <v/>
      </c>
      <c r="C1241" s="7" t="str">
        <f aca="false">IF(A1241="","",'Outro banco'!C1241)</f>
        <v/>
      </c>
      <c r="D1241" s="7" t="str">
        <f aca="false">IF(A1241="","",'Outro banco'!D1241)</f>
        <v/>
      </c>
      <c r="E1241" s="9"/>
      <c r="F1241" s="9"/>
      <c r="G1241" s="7" t="str">
        <f aca="false">IF(A1241="","",IF(COUNTIF(Tabelas!$A:$A,IF(E1241="",A1241,E1241))&gt;0,"sim","não"))</f>
        <v/>
      </c>
      <c r="H1241" s="7" t="str">
        <f aca="false">IF(A1241="","",IF(E1241="",A1241,E1241)&amp;"."&amp;IF(F1241="",B1241,F1241))</f>
        <v/>
      </c>
      <c r="I1241" s="7" t="str">
        <f aca="false">IF(A1241="","",IFERROR(INDEX('Campos Growths'!$F:$F,MATCH(H1241,'Campos Growths'!$A:$A,0)),""))</f>
        <v/>
      </c>
      <c r="J1241" s="7" t="str">
        <f aca="false">IF(A1241="","",IFERROR(VLOOKUP(IF(ISNUMBER(SEARCH("(",C1241)),LEFT(C1241,SEARCH("(",C1241)-1),C1241),Tipos!$A:$B,2,FALSE()),"outro"))</f>
        <v/>
      </c>
      <c r="K1241" s="7" t="str">
        <f aca="false">IF(I1241="","",IFERROR(INDEX('Campos Growths'!$L:$L,MATCH(H1241,'Campos Growths'!$A:$A,0)),""))</f>
        <v/>
      </c>
      <c r="L1241" s="7" t="str">
        <f aca="false">IF(A1241="","",IF(G1241="não","Sem tabela no Growths",IF(I1241="","Sem campo no Growths",IF(J1241=K1241,"Importa direto","Ajustar tipo"))))</f>
        <v/>
      </c>
      <c r="M1241" s="9"/>
    </row>
    <row r="1242" customFormat="false" ht="15" hidden="false" customHeight="false" outlineLevel="0" collapsed="false">
      <c r="A1242" s="7" t="str">
        <f aca="false">IF('Outro banco'!A1242="","",IF(LEFT('Outro banco'!A1242,1)="(","",'Outro banco'!A1242))</f>
        <v/>
      </c>
      <c r="B1242" s="7" t="str">
        <f aca="false">IF(A1242="","",'Outro banco'!B1242)</f>
        <v/>
      </c>
      <c r="C1242" s="7" t="str">
        <f aca="false">IF(A1242="","",'Outro banco'!C1242)</f>
        <v/>
      </c>
      <c r="D1242" s="7" t="str">
        <f aca="false">IF(A1242="","",'Outro banco'!D1242)</f>
        <v/>
      </c>
      <c r="E1242" s="9"/>
      <c r="F1242" s="9"/>
      <c r="G1242" s="7" t="str">
        <f aca="false">IF(A1242="","",IF(COUNTIF(Tabelas!$A:$A,IF(E1242="",A1242,E1242))&gt;0,"sim","não"))</f>
        <v/>
      </c>
      <c r="H1242" s="7" t="str">
        <f aca="false">IF(A1242="","",IF(E1242="",A1242,E1242)&amp;"."&amp;IF(F1242="",B1242,F1242))</f>
        <v/>
      </c>
      <c r="I1242" s="7" t="str">
        <f aca="false">IF(A1242="","",IFERROR(INDEX('Campos Growths'!$F:$F,MATCH(H1242,'Campos Growths'!$A:$A,0)),""))</f>
        <v/>
      </c>
      <c r="J1242" s="7" t="str">
        <f aca="false">IF(A1242="","",IFERROR(VLOOKUP(IF(ISNUMBER(SEARCH("(",C1242)),LEFT(C1242,SEARCH("(",C1242)-1),C1242),Tipos!$A:$B,2,FALSE()),"outro"))</f>
        <v/>
      </c>
      <c r="K1242" s="7" t="str">
        <f aca="false">IF(I1242="","",IFERROR(INDEX('Campos Growths'!$L:$L,MATCH(H1242,'Campos Growths'!$A:$A,0)),""))</f>
        <v/>
      </c>
      <c r="L1242" s="7" t="str">
        <f aca="false">IF(A1242="","",IF(G1242="não","Sem tabela no Growths",IF(I1242="","Sem campo no Growths",IF(J1242=K1242,"Importa direto","Ajustar tipo"))))</f>
        <v/>
      </c>
      <c r="M1242" s="9"/>
    </row>
    <row r="1243" customFormat="false" ht="15" hidden="false" customHeight="false" outlineLevel="0" collapsed="false">
      <c r="A1243" s="7" t="str">
        <f aca="false">IF('Outro banco'!A1243="","",IF(LEFT('Outro banco'!A1243,1)="(","",'Outro banco'!A1243))</f>
        <v/>
      </c>
      <c r="B1243" s="7" t="str">
        <f aca="false">IF(A1243="","",'Outro banco'!B1243)</f>
        <v/>
      </c>
      <c r="C1243" s="7" t="str">
        <f aca="false">IF(A1243="","",'Outro banco'!C1243)</f>
        <v/>
      </c>
      <c r="D1243" s="7" t="str">
        <f aca="false">IF(A1243="","",'Outro banco'!D1243)</f>
        <v/>
      </c>
      <c r="E1243" s="9"/>
      <c r="F1243" s="9"/>
      <c r="G1243" s="7" t="str">
        <f aca="false">IF(A1243="","",IF(COUNTIF(Tabelas!$A:$A,IF(E1243="",A1243,E1243))&gt;0,"sim","não"))</f>
        <v/>
      </c>
      <c r="H1243" s="7" t="str">
        <f aca="false">IF(A1243="","",IF(E1243="",A1243,E1243)&amp;"."&amp;IF(F1243="",B1243,F1243))</f>
        <v/>
      </c>
      <c r="I1243" s="7" t="str">
        <f aca="false">IF(A1243="","",IFERROR(INDEX('Campos Growths'!$F:$F,MATCH(H1243,'Campos Growths'!$A:$A,0)),""))</f>
        <v/>
      </c>
      <c r="J1243" s="7" t="str">
        <f aca="false">IF(A1243="","",IFERROR(VLOOKUP(IF(ISNUMBER(SEARCH("(",C1243)),LEFT(C1243,SEARCH("(",C1243)-1),C1243),Tipos!$A:$B,2,FALSE()),"outro"))</f>
        <v/>
      </c>
      <c r="K1243" s="7" t="str">
        <f aca="false">IF(I1243="","",IFERROR(INDEX('Campos Growths'!$L:$L,MATCH(H1243,'Campos Growths'!$A:$A,0)),""))</f>
        <v/>
      </c>
      <c r="L1243" s="7" t="str">
        <f aca="false">IF(A1243="","",IF(G1243="não","Sem tabela no Growths",IF(I1243="","Sem campo no Growths",IF(J1243=K1243,"Importa direto","Ajustar tipo"))))</f>
        <v/>
      </c>
      <c r="M1243" s="9"/>
    </row>
    <row r="1244" customFormat="false" ht="15" hidden="false" customHeight="false" outlineLevel="0" collapsed="false">
      <c r="A1244" s="7" t="str">
        <f aca="false">IF('Outro banco'!A1244="","",IF(LEFT('Outro banco'!A1244,1)="(","",'Outro banco'!A1244))</f>
        <v/>
      </c>
      <c r="B1244" s="7" t="str">
        <f aca="false">IF(A1244="","",'Outro banco'!B1244)</f>
        <v/>
      </c>
      <c r="C1244" s="7" t="str">
        <f aca="false">IF(A1244="","",'Outro banco'!C1244)</f>
        <v/>
      </c>
      <c r="D1244" s="7" t="str">
        <f aca="false">IF(A1244="","",'Outro banco'!D1244)</f>
        <v/>
      </c>
      <c r="E1244" s="9"/>
      <c r="F1244" s="9"/>
      <c r="G1244" s="7" t="str">
        <f aca="false">IF(A1244="","",IF(COUNTIF(Tabelas!$A:$A,IF(E1244="",A1244,E1244))&gt;0,"sim","não"))</f>
        <v/>
      </c>
      <c r="H1244" s="7" t="str">
        <f aca="false">IF(A1244="","",IF(E1244="",A1244,E1244)&amp;"."&amp;IF(F1244="",B1244,F1244))</f>
        <v/>
      </c>
      <c r="I1244" s="7" t="str">
        <f aca="false">IF(A1244="","",IFERROR(INDEX('Campos Growths'!$F:$F,MATCH(H1244,'Campos Growths'!$A:$A,0)),""))</f>
        <v/>
      </c>
      <c r="J1244" s="7" t="str">
        <f aca="false">IF(A1244="","",IFERROR(VLOOKUP(IF(ISNUMBER(SEARCH("(",C1244)),LEFT(C1244,SEARCH("(",C1244)-1),C1244),Tipos!$A:$B,2,FALSE()),"outro"))</f>
        <v/>
      </c>
      <c r="K1244" s="7" t="str">
        <f aca="false">IF(I1244="","",IFERROR(INDEX('Campos Growths'!$L:$L,MATCH(H1244,'Campos Growths'!$A:$A,0)),""))</f>
        <v/>
      </c>
      <c r="L1244" s="7" t="str">
        <f aca="false">IF(A1244="","",IF(G1244="não","Sem tabela no Growths",IF(I1244="","Sem campo no Growths",IF(J1244=K1244,"Importa direto","Ajustar tipo"))))</f>
        <v/>
      </c>
      <c r="M1244" s="9"/>
    </row>
    <row r="1245" customFormat="false" ht="15" hidden="false" customHeight="false" outlineLevel="0" collapsed="false">
      <c r="A1245" s="7" t="str">
        <f aca="false">IF('Outro banco'!A1245="","",IF(LEFT('Outro banco'!A1245,1)="(","",'Outro banco'!A1245))</f>
        <v/>
      </c>
      <c r="B1245" s="7" t="str">
        <f aca="false">IF(A1245="","",'Outro banco'!B1245)</f>
        <v/>
      </c>
      <c r="C1245" s="7" t="str">
        <f aca="false">IF(A1245="","",'Outro banco'!C1245)</f>
        <v/>
      </c>
      <c r="D1245" s="7" t="str">
        <f aca="false">IF(A1245="","",'Outro banco'!D1245)</f>
        <v/>
      </c>
      <c r="E1245" s="9"/>
      <c r="F1245" s="9"/>
      <c r="G1245" s="7" t="str">
        <f aca="false">IF(A1245="","",IF(COUNTIF(Tabelas!$A:$A,IF(E1245="",A1245,E1245))&gt;0,"sim","não"))</f>
        <v/>
      </c>
      <c r="H1245" s="7" t="str">
        <f aca="false">IF(A1245="","",IF(E1245="",A1245,E1245)&amp;"."&amp;IF(F1245="",B1245,F1245))</f>
        <v/>
      </c>
      <c r="I1245" s="7" t="str">
        <f aca="false">IF(A1245="","",IFERROR(INDEX('Campos Growths'!$F:$F,MATCH(H1245,'Campos Growths'!$A:$A,0)),""))</f>
        <v/>
      </c>
      <c r="J1245" s="7" t="str">
        <f aca="false">IF(A1245="","",IFERROR(VLOOKUP(IF(ISNUMBER(SEARCH("(",C1245)),LEFT(C1245,SEARCH("(",C1245)-1),C1245),Tipos!$A:$B,2,FALSE()),"outro"))</f>
        <v/>
      </c>
      <c r="K1245" s="7" t="str">
        <f aca="false">IF(I1245="","",IFERROR(INDEX('Campos Growths'!$L:$L,MATCH(H1245,'Campos Growths'!$A:$A,0)),""))</f>
        <v/>
      </c>
      <c r="L1245" s="7" t="str">
        <f aca="false">IF(A1245="","",IF(G1245="não","Sem tabela no Growths",IF(I1245="","Sem campo no Growths",IF(J1245=K1245,"Importa direto","Ajustar tipo"))))</f>
        <v/>
      </c>
      <c r="M1245" s="9"/>
    </row>
    <row r="1246" customFormat="false" ht="15" hidden="false" customHeight="false" outlineLevel="0" collapsed="false">
      <c r="A1246" s="7" t="str">
        <f aca="false">IF('Outro banco'!A1246="","",IF(LEFT('Outro banco'!A1246,1)="(","",'Outro banco'!A1246))</f>
        <v/>
      </c>
      <c r="B1246" s="7" t="str">
        <f aca="false">IF(A1246="","",'Outro banco'!B1246)</f>
        <v/>
      </c>
      <c r="C1246" s="7" t="str">
        <f aca="false">IF(A1246="","",'Outro banco'!C1246)</f>
        <v/>
      </c>
      <c r="D1246" s="7" t="str">
        <f aca="false">IF(A1246="","",'Outro banco'!D1246)</f>
        <v/>
      </c>
      <c r="E1246" s="9"/>
      <c r="F1246" s="9"/>
      <c r="G1246" s="7" t="str">
        <f aca="false">IF(A1246="","",IF(COUNTIF(Tabelas!$A:$A,IF(E1246="",A1246,E1246))&gt;0,"sim","não"))</f>
        <v/>
      </c>
      <c r="H1246" s="7" t="str">
        <f aca="false">IF(A1246="","",IF(E1246="",A1246,E1246)&amp;"."&amp;IF(F1246="",B1246,F1246))</f>
        <v/>
      </c>
      <c r="I1246" s="7" t="str">
        <f aca="false">IF(A1246="","",IFERROR(INDEX('Campos Growths'!$F:$F,MATCH(H1246,'Campos Growths'!$A:$A,0)),""))</f>
        <v/>
      </c>
      <c r="J1246" s="7" t="str">
        <f aca="false">IF(A1246="","",IFERROR(VLOOKUP(IF(ISNUMBER(SEARCH("(",C1246)),LEFT(C1246,SEARCH("(",C1246)-1),C1246),Tipos!$A:$B,2,FALSE()),"outro"))</f>
        <v/>
      </c>
      <c r="K1246" s="7" t="str">
        <f aca="false">IF(I1246="","",IFERROR(INDEX('Campos Growths'!$L:$L,MATCH(H1246,'Campos Growths'!$A:$A,0)),""))</f>
        <v/>
      </c>
      <c r="L1246" s="7" t="str">
        <f aca="false">IF(A1246="","",IF(G1246="não","Sem tabela no Growths",IF(I1246="","Sem campo no Growths",IF(J1246=K1246,"Importa direto","Ajustar tipo"))))</f>
        <v/>
      </c>
      <c r="M1246" s="9"/>
    </row>
    <row r="1247" customFormat="false" ht="15" hidden="false" customHeight="false" outlineLevel="0" collapsed="false">
      <c r="A1247" s="7" t="str">
        <f aca="false">IF('Outro banco'!A1247="","",IF(LEFT('Outro banco'!A1247,1)="(","",'Outro banco'!A1247))</f>
        <v/>
      </c>
      <c r="B1247" s="7" t="str">
        <f aca="false">IF(A1247="","",'Outro banco'!B1247)</f>
        <v/>
      </c>
      <c r="C1247" s="7" t="str">
        <f aca="false">IF(A1247="","",'Outro banco'!C1247)</f>
        <v/>
      </c>
      <c r="D1247" s="7" t="str">
        <f aca="false">IF(A1247="","",'Outro banco'!D1247)</f>
        <v/>
      </c>
      <c r="E1247" s="9"/>
      <c r="F1247" s="9"/>
      <c r="G1247" s="7" t="str">
        <f aca="false">IF(A1247="","",IF(COUNTIF(Tabelas!$A:$A,IF(E1247="",A1247,E1247))&gt;0,"sim","não"))</f>
        <v/>
      </c>
      <c r="H1247" s="7" t="str">
        <f aca="false">IF(A1247="","",IF(E1247="",A1247,E1247)&amp;"."&amp;IF(F1247="",B1247,F1247))</f>
        <v/>
      </c>
      <c r="I1247" s="7" t="str">
        <f aca="false">IF(A1247="","",IFERROR(INDEX('Campos Growths'!$F:$F,MATCH(H1247,'Campos Growths'!$A:$A,0)),""))</f>
        <v/>
      </c>
      <c r="J1247" s="7" t="str">
        <f aca="false">IF(A1247="","",IFERROR(VLOOKUP(IF(ISNUMBER(SEARCH("(",C1247)),LEFT(C1247,SEARCH("(",C1247)-1),C1247),Tipos!$A:$B,2,FALSE()),"outro"))</f>
        <v/>
      </c>
      <c r="K1247" s="7" t="str">
        <f aca="false">IF(I1247="","",IFERROR(INDEX('Campos Growths'!$L:$L,MATCH(H1247,'Campos Growths'!$A:$A,0)),""))</f>
        <v/>
      </c>
      <c r="L1247" s="7" t="str">
        <f aca="false">IF(A1247="","",IF(G1247="não","Sem tabela no Growths",IF(I1247="","Sem campo no Growths",IF(J1247=K1247,"Importa direto","Ajustar tipo"))))</f>
        <v/>
      </c>
      <c r="M1247" s="9"/>
    </row>
    <row r="1248" customFormat="false" ht="15" hidden="false" customHeight="false" outlineLevel="0" collapsed="false">
      <c r="A1248" s="7" t="str">
        <f aca="false">IF('Outro banco'!A1248="","",IF(LEFT('Outro banco'!A1248,1)="(","",'Outro banco'!A1248))</f>
        <v/>
      </c>
      <c r="B1248" s="7" t="str">
        <f aca="false">IF(A1248="","",'Outro banco'!B1248)</f>
        <v/>
      </c>
      <c r="C1248" s="7" t="str">
        <f aca="false">IF(A1248="","",'Outro banco'!C1248)</f>
        <v/>
      </c>
      <c r="D1248" s="7" t="str">
        <f aca="false">IF(A1248="","",'Outro banco'!D1248)</f>
        <v/>
      </c>
      <c r="E1248" s="9"/>
      <c r="F1248" s="9"/>
      <c r="G1248" s="7" t="str">
        <f aca="false">IF(A1248="","",IF(COUNTIF(Tabelas!$A:$A,IF(E1248="",A1248,E1248))&gt;0,"sim","não"))</f>
        <v/>
      </c>
      <c r="H1248" s="7" t="str">
        <f aca="false">IF(A1248="","",IF(E1248="",A1248,E1248)&amp;"."&amp;IF(F1248="",B1248,F1248))</f>
        <v/>
      </c>
      <c r="I1248" s="7" t="str">
        <f aca="false">IF(A1248="","",IFERROR(INDEX('Campos Growths'!$F:$F,MATCH(H1248,'Campos Growths'!$A:$A,0)),""))</f>
        <v/>
      </c>
      <c r="J1248" s="7" t="str">
        <f aca="false">IF(A1248="","",IFERROR(VLOOKUP(IF(ISNUMBER(SEARCH("(",C1248)),LEFT(C1248,SEARCH("(",C1248)-1),C1248),Tipos!$A:$B,2,FALSE()),"outro"))</f>
        <v/>
      </c>
      <c r="K1248" s="7" t="str">
        <f aca="false">IF(I1248="","",IFERROR(INDEX('Campos Growths'!$L:$L,MATCH(H1248,'Campos Growths'!$A:$A,0)),""))</f>
        <v/>
      </c>
      <c r="L1248" s="7" t="str">
        <f aca="false">IF(A1248="","",IF(G1248="não","Sem tabela no Growths",IF(I1248="","Sem campo no Growths",IF(J1248=K1248,"Importa direto","Ajustar tipo"))))</f>
        <v/>
      </c>
      <c r="M1248" s="9"/>
    </row>
    <row r="1249" customFormat="false" ht="15" hidden="false" customHeight="false" outlineLevel="0" collapsed="false">
      <c r="A1249" s="7" t="str">
        <f aca="false">IF('Outro banco'!A1249="","",IF(LEFT('Outro banco'!A1249,1)="(","",'Outro banco'!A1249))</f>
        <v/>
      </c>
      <c r="B1249" s="7" t="str">
        <f aca="false">IF(A1249="","",'Outro banco'!B1249)</f>
        <v/>
      </c>
      <c r="C1249" s="7" t="str">
        <f aca="false">IF(A1249="","",'Outro banco'!C1249)</f>
        <v/>
      </c>
      <c r="D1249" s="7" t="str">
        <f aca="false">IF(A1249="","",'Outro banco'!D1249)</f>
        <v/>
      </c>
      <c r="E1249" s="9"/>
      <c r="F1249" s="9"/>
      <c r="G1249" s="7" t="str">
        <f aca="false">IF(A1249="","",IF(COUNTIF(Tabelas!$A:$A,IF(E1249="",A1249,E1249))&gt;0,"sim","não"))</f>
        <v/>
      </c>
      <c r="H1249" s="7" t="str">
        <f aca="false">IF(A1249="","",IF(E1249="",A1249,E1249)&amp;"."&amp;IF(F1249="",B1249,F1249))</f>
        <v/>
      </c>
      <c r="I1249" s="7" t="str">
        <f aca="false">IF(A1249="","",IFERROR(INDEX('Campos Growths'!$F:$F,MATCH(H1249,'Campos Growths'!$A:$A,0)),""))</f>
        <v/>
      </c>
      <c r="J1249" s="7" t="str">
        <f aca="false">IF(A1249="","",IFERROR(VLOOKUP(IF(ISNUMBER(SEARCH("(",C1249)),LEFT(C1249,SEARCH("(",C1249)-1),C1249),Tipos!$A:$B,2,FALSE()),"outro"))</f>
        <v/>
      </c>
      <c r="K1249" s="7" t="str">
        <f aca="false">IF(I1249="","",IFERROR(INDEX('Campos Growths'!$L:$L,MATCH(H1249,'Campos Growths'!$A:$A,0)),""))</f>
        <v/>
      </c>
      <c r="L1249" s="7" t="str">
        <f aca="false">IF(A1249="","",IF(G1249="não","Sem tabela no Growths",IF(I1249="","Sem campo no Growths",IF(J1249=K1249,"Importa direto","Ajustar tipo"))))</f>
        <v/>
      </c>
      <c r="M1249" s="9"/>
    </row>
    <row r="1250" customFormat="false" ht="15" hidden="false" customHeight="false" outlineLevel="0" collapsed="false">
      <c r="A1250" s="7" t="str">
        <f aca="false">IF('Outro banco'!A1250="","",IF(LEFT('Outro banco'!A1250,1)="(","",'Outro banco'!A1250))</f>
        <v/>
      </c>
      <c r="B1250" s="7" t="str">
        <f aca="false">IF(A1250="","",'Outro banco'!B1250)</f>
        <v/>
      </c>
      <c r="C1250" s="7" t="str">
        <f aca="false">IF(A1250="","",'Outro banco'!C1250)</f>
        <v/>
      </c>
      <c r="D1250" s="7" t="str">
        <f aca="false">IF(A1250="","",'Outro banco'!D1250)</f>
        <v/>
      </c>
      <c r="E1250" s="9"/>
      <c r="F1250" s="9"/>
      <c r="G1250" s="7" t="str">
        <f aca="false">IF(A1250="","",IF(COUNTIF(Tabelas!$A:$A,IF(E1250="",A1250,E1250))&gt;0,"sim","não"))</f>
        <v/>
      </c>
      <c r="H1250" s="7" t="str">
        <f aca="false">IF(A1250="","",IF(E1250="",A1250,E1250)&amp;"."&amp;IF(F1250="",B1250,F1250))</f>
        <v/>
      </c>
      <c r="I1250" s="7" t="str">
        <f aca="false">IF(A1250="","",IFERROR(INDEX('Campos Growths'!$F:$F,MATCH(H1250,'Campos Growths'!$A:$A,0)),""))</f>
        <v/>
      </c>
      <c r="J1250" s="7" t="str">
        <f aca="false">IF(A1250="","",IFERROR(VLOOKUP(IF(ISNUMBER(SEARCH("(",C1250)),LEFT(C1250,SEARCH("(",C1250)-1),C1250),Tipos!$A:$B,2,FALSE()),"outro"))</f>
        <v/>
      </c>
      <c r="K1250" s="7" t="str">
        <f aca="false">IF(I1250="","",IFERROR(INDEX('Campos Growths'!$L:$L,MATCH(H1250,'Campos Growths'!$A:$A,0)),""))</f>
        <v/>
      </c>
      <c r="L1250" s="7" t="str">
        <f aca="false">IF(A1250="","",IF(G1250="não","Sem tabela no Growths",IF(I1250="","Sem campo no Growths",IF(J1250=K1250,"Importa direto","Ajustar tipo"))))</f>
        <v/>
      </c>
      <c r="M1250" s="9"/>
    </row>
    <row r="1251" customFormat="false" ht="15" hidden="false" customHeight="false" outlineLevel="0" collapsed="false">
      <c r="A1251" s="7" t="str">
        <f aca="false">IF('Outro banco'!A1251="","",IF(LEFT('Outro banco'!A1251,1)="(","",'Outro banco'!A1251))</f>
        <v/>
      </c>
      <c r="B1251" s="7" t="str">
        <f aca="false">IF(A1251="","",'Outro banco'!B1251)</f>
        <v/>
      </c>
      <c r="C1251" s="7" t="str">
        <f aca="false">IF(A1251="","",'Outro banco'!C1251)</f>
        <v/>
      </c>
      <c r="D1251" s="7" t="str">
        <f aca="false">IF(A1251="","",'Outro banco'!D1251)</f>
        <v/>
      </c>
      <c r="E1251" s="9"/>
      <c r="F1251" s="9"/>
      <c r="G1251" s="7" t="str">
        <f aca="false">IF(A1251="","",IF(COUNTIF(Tabelas!$A:$A,IF(E1251="",A1251,E1251))&gt;0,"sim","não"))</f>
        <v/>
      </c>
      <c r="H1251" s="7" t="str">
        <f aca="false">IF(A1251="","",IF(E1251="",A1251,E1251)&amp;"."&amp;IF(F1251="",B1251,F1251))</f>
        <v/>
      </c>
      <c r="I1251" s="7" t="str">
        <f aca="false">IF(A1251="","",IFERROR(INDEX('Campos Growths'!$F:$F,MATCH(H1251,'Campos Growths'!$A:$A,0)),""))</f>
        <v/>
      </c>
      <c r="J1251" s="7" t="str">
        <f aca="false">IF(A1251="","",IFERROR(VLOOKUP(IF(ISNUMBER(SEARCH("(",C1251)),LEFT(C1251,SEARCH("(",C1251)-1),C1251),Tipos!$A:$B,2,FALSE()),"outro"))</f>
        <v/>
      </c>
      <c r="K1251" s="7" t="str">
        <f aca="false">IF(I1251="","",IFERROR(INDEX('Campos Growths'!$L:$L,MATCH(H1251,'Campos Growths'!$A:$A,0)),""))</f>
        <v/>
      </c>
      <c r="L1251" s="7" t="str">
        <f aca="false">IF(A1251="","",IF(G1251="não","Sem tabela no Growths",IF(I1251="","Sem campo no Growths",IF(J1251=K1251,"Importa direto","Ajustar tipo"))))</f>
        <v/>
      </c>
      <c r="M1251" s="9"/>
    </row>
    <row r="1252" customFormat="false" ht="15" hidden="false" customHeight="false" outlineLevel="0" collapsed="false">
      <c r="A1252" s="7" t="str">
        <f aca="false">IF('Outro banco'!A1252="","",IF(LEFT('Outro banco'!A1252,1)="(","",'Outro banco'!A1252))</f>
        <v/>
      </c>
      <c r="B1252" s="7" t="str">
        <f aca="false">IF(A1252="","",'Outro banco'!B1252)</f>
        <v/>
      </c>
      <c r="C1252" s="7" t="str">
        <f aca="false">IF(A1252="","",'Outro banco'!C1252)</f>
        <v/>
      </c>
      <c r="D1252" s="7" t="str">
        <f aca="false">IF(A1252="","",'Outro banco'!D1252)</f>
        <v/>
      </c>
      <c r="E1252" s="9"/>
      <c r="F1252" s="9"/>
      <c r="G1252" s="7" t="str">
        <f aca="false">IF(A1252="","",IF(COUNTIF(Tabelas!$A:$A,IF(E1252="",A1252,E1252))&gt;0,"sim","não"))</f>
        <v/>
      </c>
      <c r="H1252" s="7" t="str">
        <f aca="false">IF(A1252="","",IF(E1252="",A1252,E1252)&amp;"."&amp;IF(F1252="",B1252,F1252))</f>
        <v/>
      </c>
      <c r="I1252" s="7" t="str">
        <f aca="false">IF(A1252="","",IFERROR(INDEX('Campos Growths'!$F:$F,MATCH(H1252,'Campos Growths'!$A:$A,0)),""))</f>
        <v/>
      </c>
      <c r="J1252" s="7" t="str">
        <f aca="false">IF(A1252="","",IFERROR(VLOOKUP(IF(ISNUMBER(SEARCH("(",C1252)),LEFT(C1252,SEARCH("(",C1252)-1),C1252),Tipos!$A:$B,2,FALSE()),"outro"))</f>
        <v/>
      </c>
      <c r="K1252" s="7" t="str">
        <f aca="false">IF(I1252="","",IFERROR(INDEX('Campos Growths'!$L:$L,MATCH(H1252,'Campos Growths'!$A:$A,0)),""))</f>
        <v/>
      </c>
      <c r="L1252" s="7" t="str">
        <f aca="false">IF(A1252="","",IF(G1252="não","Sem tabela no Growths",IF(I1252="","Sem campo no Growths",IF(J1252=K1252,"Importa direto","Ajustar tipo"))))</f>
        <v/>
      </c>
      <c r="M1252" s="9"/>
    </row>
    <row r="1253" customFormat="false" ht="15" hidden="false" customHeight="false" outlineLevel="0" collapsed="false">
      <c r="A1253" s="7" t="str">
        <f aca="false">IF('Outro banco'!A1253="","",IF(LEFT('Outro banco'!A1253,1)="(","",'Outro banco'!A1253))</f>
        <v/>
      </c>
      <c r="B1253" s="7" t="str">
        <f aca="false">IF(A1253="","",'Outro banco'!B1253)</f>
        <v/>
      </c>
      <c r="C1253" s="7" t="str">
        <f aca="false">IF(A1253="","",'Outro banco'!C1253)</f>
        <v/>
      </c>
      <c r="D1253" s="7" t="str">
        <f aca="false">IF(A1253="","",'Outro banco'!D1253)</f>
        <v/>
      </c>
      <c r="E1253" s="9"/>
      <c r="F1253" s="9"/>
      <c r="G1253" s="7" t="str">
        <f aca="false">IF(A1253="","",IF(COUNTIF(Tabelas!$A:$A,IF(E1253="",A1253,E1253))&gt;0,"sim","não"))</f>
        <v/>
      </c>
      <c r="H1253" s="7" t="str">
        <f aca="false">IF(A1253="","",IF(E1253="",A1253,E1253)&amp;"."&amp;IF(F1253="",B1253,F1253))</f>
        <v/>
      </c>
      <c r="I1253" s="7" t="str">
        <f aca="false">IF(A1253="","",IFERROR(INDEX('Campos Growths'!$F:$F,MATCH(H1253,'Campos Growths'!$A:$A,0)),""))</f>
        <v/>
      </c>
      <c r="J1253" s="7" t="str">
        <f aca="false">IF(A1253="","",IFERROR(VLOOKUP(IF(ISNUMBER(SEARCH("(",C1253)),LEFT(C1253,SEARCH("(",C1253)-1),C1253),Tipos!$A:$B,2,FALSE()),"outro"))</f>
        <v/>
      </c>
      <c r="K1253" s="7" t="str">
        <f aca="false">IF(I1253="","",IFERROR(INDEX('Campos Growths'!$L:$L,MATCH(H1253,'Campos Growths'!$A:$A,0)),""))</f>
        <v/>
      </c>
      <c r="L1253" s="7" t="str">
        <f aca="false">IF(A1253="","",IF(G1253="não","Sem tabela no Growths",IF(I1253="","Sem campo no Growths",IF(J1253=K1253,"Importa direto","Ajustar tipo"))))</f>
        <v/>
      </c>
      <c r="M1253" s="9"/>
    </row>
    <row r="1254" customFormat="false" ht="15" hidden="false" customHeight="false" outlineLevel="0" collapsed="false">
      <c r="A1254" s="7" t="str">
        <f aca="false">IF('Outro banco'!A1254="","",IF(LEFT('Outro banco'!A1254,1)="(","",'Outro banco'!A1254))</f>
        <v/>
      </c>
      <c r="B1254" s="7" t="str">
        <f aca="false">IF(A1254="","",'Outro banco'!B1254)</f>
        <v/>
      </c>
      <c r="C1254" s="7" t="str">
        <f aca="false">IF(A1254="","",'Outro banco'!C1254)</f>
        <v/>
      </c>
      <c r="D1254" s="7" t="str">
        <f aca="false">IF(A1254="","",'Outro banco'!D1254)</f>
        <v/>
      </c>
      <c r="E1254" s="9"/>
      <c r="F1254" s="9"/>
      <c r="G1254" s="7" t="str">
        <f aca="false">IF(A1254="","",IF(COUNTIF(Tabelas!$A:$A,IF(E1254="",A1254,E1254))&gt;0,"sim","não"))</f>
        <v/>
      </c>
      <c r="H1254" s="7" t="str">
        <f aca="false">IF(A1254="","",IF(E1254="",A1254,E1254)&amp;"."&amp;IF(F1254="",B1254,F1254))</f>
        <v/>
      </c>
      <c r="I1254" s="7" t="str">
        <f aca="false">IF(A1254="","",IFERROR(INDEX('Campos Growths'!$F:$F,MATCH(H1254,'Campos Growths'!$A:$A,0)),""))</f>
        <v/>
      </c>
      <c r="J1254" s="7" t="str">
        <f aca="false">IF(A1254="","",IFERROR(VLOOKUP(IF(ISNUMBER(SEARCH("(",C1254)),LEFT(C1254,SEARCH("(",C1254)-1),C1254),Tipos!$A:$B,2,FALSE()),"outro"))</f>
        <v/>
      </c>
      <c r="K1254" s="7" t="str">
        <f aca="false">IF(I1254="","",IFERROR(INDEX('Campos Growths'!$L:$L,MATCH(H1254,'Campos Growths'!$A:$A,0)),""))</f>
        <v/>
      </c>
      <c r="L1254" s="7" t="str">
        <f aca="false">IF(A1254="","",IF(G1254="não","Sem tabela no Growths",IF(I1254="","Sem campo no Growths",IF(J1254=K1254,"Importa direto","Ajustar tipo"))))</f>
        <v/>
      </c>
      <c r="M1254" s="9"/>
    </row>
    <row r="1255" customFormat="false" ht="15" hidden="false" customHeight="false" outlineLevel="0" collapsed="false">
      <c r="A1255" s="7" t="str">
        <f aca="false">IF('Outro banco'!A1255="","",IF(LEFT('Outro banco'!A1255,1)="(","",'Outro banco'!A1255))</f>
        <v/>
      </c>
      <c r="B1255" s="7" t="str">
        <f aca="false">IF(A1255="","",'Outro banco'!B1255)</f>
        <v/>
      </c>
      <c r="C1255" s="7" t="str">
        <f aca="false">IF(A1255="","",'Outro banco'!C1255)</f>
        <v/>
      </c>
      <c r="D1255" s="7" t="str">
        <f aca="false">IF(A1255="","",'Outro banco'!D1255)</f>
        <v/>
      </c>
      <c r="E1255" s="9"/>
      <c r="F1255" s="9"/>
      <c r="G1255" s="7" t="str">
        <f aca="false">IF(A1255="","",IF(COUNTIF(Tabelas!$A:$A,IF(E1255="",A1255,E1255))&gt;0,"sim","não"))</f>
        <v/>
      </c>
      <c r="H1255" s="7" t="str">
        <f aca="false">IF(A1255="","",IF(E1255="",A1255,E1255)&amp;"."&amp;IF(F1255="",B1255,F1255))</f>
        <v/>
      </c>
      <c r="I1255" s="7" t="str">
        <f aca="false">IF(A1255="","",IFERROR(INDEX('Campos Growths'!$F:$F,MATCH(H1255,'Campos Growths'!$A:$A,0)),""))</f>
        <v/>
      </c>
      <c r="J1255" s="7" t="str">
        <f aca="false">IF(A1255="","",IFERROR(VLOOKUP(IF(ISNUMBER(SEARCH("(",C1255)),LEFT(C1255,SEARCH("(",C1255)-1),C1255),Tipos!$A:$B,2,FALSE()),"outro"))</f>
        <v/>
      </c>
      <c r="K1255" s="7" t="str">
        <f aca="false">IF(I1255="","",IFERROR(INDEX('Campos Growths'!$L:$L,MATCH(H1255,'Campos Growths'!$A:$A,0)),""))</f>
        <v/>
      </c>
      <c r="L1255" s="7" t="str">
        <f aca="false">IF(A1255="","",IF(G1255="não","Sem tabela no Growths",IF(I1255="","Sem campo no Growths",IF(J1255=K1255,"Importa direto","Ajustar tipo"))))</f>
        <v/>
      </c>
      <c r="M1255" s="9"/>
    </row>
    <row r="1256" customFormat="false" ht="15" hidden="false" customHeight="false" outlineLevel="0" collapsed="false">
      <c r="A1256" s="7" t="str">
        <f aca="false">IF('Outro banco'!A1256="","",IF(LEFT('Outro banco'!A1256,1)="(","",'Outro banco'!A1256))</f>
        <v/>
      </c>
      <c r="B1256" s="7" t="str">
        <f aca="false">IF(A1256="","",'Outro banco'!B1256)</f>
        <v/>
      </c>
      <c r="C1256" s="7" t="str">
        <f aca="false">IF(A1256="","",'Outro banco'!C1256)</f>
        <v/>
      </c>
      <c r="D1256" s="7" t="str">
        <f aca="false">IF(A1256="","",'Outro banco'!D1256)</f>
        <v/>
      </c>
      <c r="E1256" s="9"/>
      <c r="F1256" s="9"/>
      <c r="G1256" s="7" t="str">
        <f aca="false">IF(A1256="","",IF(COUNTIF(Tabelas!$A:$A,IF(E1256="",A1256,E1256))&gt;0,"sim","não"))</f>
        <v/>
      </c>
      <c r="H1256" s="7" t="str">
        <f aca="false">IF(A1256="","",IF(E1256="",A1256,E1256)&amp;"."&amp;IF(F1256="",B1256,F1256))</f>
        <v/>
      </c>
      <c r="I1256" s="7" t="str">
        <f aca="false">IF(A1256="","",IFERROR(INDEX('Campos Growths'!$F:$F,MATCH(H1256,'Campos Growths'!$A:$A,0)),""))</f>
        <v/>
      </c>
      <c r="J1256" s="7" t="str">
        <f aca="false">IF(A1256="","",IFERROR(VLOOKUP(IF(ISNUMBER(SEARCH("(",C1256)),LEFT(C1256,SEARCH("(",C1256)-1),C1256),Tipos!$A:$B,2,FALSE()),"outro"))</f>
        <v/>
      </c>
      <c r="K1256" s="7" t="str">
        <f aca="false">IF(I1256="","",IFERROR(INDEX('Campos Growths'!$L:$L,MATCH(H1256,'Campos Growths'!$A:$A,0)),""))</f>
        <v/>
      </c>
      <c r="L1256" s="7" t="str">
        <f aca="false">IF(A1256="","",IF(G1256="não","Sem tabela no Growths",IF(I1256="","Sem campo no Growths",IF(J1256=K1256,"Importa direto","Ajustar tipo"))))</f>
        <v/>
      </c>
      <c r="M1256" s="9"/>
    </row>
    <row r="1257" customFormat="false" ht="15" hidden="false" customHeight="false" outlineLevel="0" collapsed="false">
      <c r="A1257" s="7" t="str">
        <f aca="false">IF('Outro banco'!A1257="","",IF(LEFT('Outro banco'!A1257,1)="(","",'Outro banco'!A1257))</f>
        <v/>
      </c>
      <c r="B1257" s="7" t="str">
        <f aca="false">IF(A1257="","",'Outro banco'!B1257)</f>
        <v/>
      </c>
      <c r="C1257" s="7" t="str">
        <f aca="false">IF(A1257="","",'Outro banco'!C1257)</f>
        <v/>
      </c>
      <c r="D1257" s="7" t="str">
        <f aca="false">IF(A1257="","",'Outro banco'!D1257)</f>
        <v/>
      </c>
      <c r="E1257" s="9"/>
      <c r="F1257" s="9"/>
      <c r="G1257" s="7" t="str">
        <f aca="false">IF(A1257="","",IF(COUNTIF(Tabelas!$A:$A,IF(E1257="",A1257,E1257))&gt;0,"sim","não"))</f>
        <v/>
      </c>
      <c r="H1257" s="7" t="str">
        <f aca="false">IF(A1257="","",IF(E1257="",A1257,E1257)&amp;"."&amp;IF(F1257="",B1257,F1257))</f>
        <v/>
      </c>
      <c r="I1257" s="7" t="str">
        <f aca="false">IF(A1257="","",IFERROR(INDEX('Campos Growths'!$F:$F,MATCH(H1257,'Campos Growths'!$A:$A,0)),""))</f>
        <v/>
      </c>
      <c r="J1257" s="7" t="str">
        <f aca="false">IF(A1257="","",IFERROR(VLOOKUP(IF(ISNUMBER(SEARCH("(",C1257)),LEFT(C1257,SEARCH("(",C1257)-1),C1257),Tipos!$A:$B,2,FALSE()),"outro"))</f>
        <v/>
      </c>
      <c r="K1257" s="7" t="str">
        <f aca="false">IF(I1257="","",IFERROR(INDEX('Campos Growths'!$L:$L,MATCH(H1257,'Campos Growths'!$A:$A,0)),""))</f>
        <v/>
      </c>
      <c r="L1257" s="7" t="str">
        <f aca="false">IF(A1257="","",IF(G1257="não","Sem tabela no Growths",IF(I1257="","Sem campo no Growths",IF(J1257=K1257,"Importa direto","Ajustar tipo"))))</f>
        <v/>
      </c>
      <c r="M1257" s="9"/>
    </row>
    <row r="1258" customFormat="false" ht="15" hidden="false" customHeight="false" outlineLevel="0" collapsed="false">
      <c r="A1258" s="7" t="str">
        <f aca="false">IF('Outro banco'!A1258="","",IF(LEFT('Outro banco'!A1258,1)="(","",'Outro banco'!A1258))</f>
        <v/>
      </c>
      <c r="B1258" s="7" t="str">
        <f aca="false">IF(A1258="","",'Outro banco'!B1258)</f>
        <v/>
      </c>
      <c r="C1258" s="7" t="str">
        <f aca="false">IF(A1258="","",'Outro banco'!C1258)</f>
        <v/>
      </c>
      <c r="D1258" s="7" t="str">
        <f aca="false">IF(A1258="","",'Outro banco'!D1258)</f>
        <v/>
      </c>
      <c r="E1258" s="9"/>
      <c r="F1258" s="9"/>
      <c r="G1258" s="7" t="str">
        <f aca="false">IF(A1258="","",IF(COUNTIF(Tabelas!$A:$A,IF(E1258="",A1258,E1258))&gt;0,"sim","não"))</f>
        <v/>
      </c>
      <c r="H1258" s="7" t="str">
        <f aca="false">IF(A1258="","",IF(E1258="",A1258,E1258)&amp;"."&amp;IF(F1258="",B1258,F1258))</f>
        <v/>
      </c>
      <c r="I1258" s="7" t="str">
        <f aca="false">IF(A1258="","",IFERROR(INDEX('Campos Growths'!$F:$F,MATCH(H1258,'Campos Growths'!$A:$A,0)),""))</f>
        <v/>
      </c>
      <c r="J1258" s="7" t="str">
        <f aca="false">IF(A1258="","",IFERROR(VLOOKUP(IF(ISNUMBER(SEARCH("(",C1258)),LEFT(C1258,SEARCH("(",C1258)-1),C1258),Tipos!$A:$B,2,FALSE()),"outro"))</f>
        <v/>
      </c>
      <c r="K1258" s="7" t="str">
        <f aca="false">IF(I1258="","",IFERROR(INDEX('Campos Growths'!$L:$L,MATCH(H1258,'Campos Growths'!$A:$A,0)),""))</f>
        <v/>
      </c>
      <c r="L1258" s="7" t="str">
        <f aca="false">IF(A1258="","",IF(G1258="não","Sem tabela no Growths",IF(I1258="","Sem campo no Growths",IF(J1258=K1258,"Importa direto","Ajustar tipo"))))</f>
        <v/>
      </c>
      <c r="M1258" s="9"/>
    </row>
    <row r="1259" customFormat="false" ht="15" hidden="false" customHeight="false" outlineLevel="0" collapsed="false">
      <c r="A1259" s="7" t="str">
        <f aca="false">IF('Outro banco'!A1259="","",IF(LEFT('Outro banco'!A1259,1)="(","",'Outro banco'!A1259))</f>
        <v/>
      </c>
      <c r="B1259" s="7" t="str">
        <f aca="false">IF(A1259="","",'Outro banco'!B1259)</f>
        <v/>
      </c>
      <c r="C1259" s="7" t="str">
        <f aca="false">IF(A1259="","",'Outro banco'!C1259)</f>
        <v/>
      </c>
      <c r="D1259" s="7" t="str">
        <f aca="false">IF(A1259="","",'Outro banco'!D1259)</f>
        <v/>
      </c>
      <c r="E1259" s="9"/>
      <c r="F1259" s="9"/>
      <c r="G1259" s="7" t="str">
        <f aca="false">IF(A1259="","",IF(COUNTIF(Tabelas!$A:$A,IF(E1259="",A1259,E1259))&gt;0,"sim","não"))</f>
        <v/>
      </c>
      <c r="H1259" s="7" t="str">
        <f aca="false">IF(A1259="","",IF(E1259="",A1259,E1259)&amp;"."&amp;IF(F1259="",B1259,F1259))</f>
        <v/>
      </c>
      <c r="I1259" s="7" t="str">
        <f aca="false">IF(A1259="","",IFERROR(INDEX('Campos Growths'!$F:$F,MATCH(H1259,'Campos Growths'!$A:$A,0)),""))</f>
        <v/>
      </c>
      <c r="J1259" s="7" t="str">
        <f aca="false">IF(A1259="","",IFERROR(VLOOKUP(IF(ISNUMBER(SEARCH("(",C1259)),LEFT(C1259,SEARCH("(",C1259)-1),C1259),Tipos!$A:$B,2,FALSE()),"outro"))</f>
        <v/>
      </c>
      <c r="K1259" s="7" t="str">
        <f aca="false">IF(I1259="","",IFERROR(INDEX('Campos Growths'!$L:$L,MATCH(H1259,'Campos Growths'!$A:$A,0)),""))</f>
        <v/>
      </c>
      <c r="L1259" s="7" t="str">
        <f aca="false">IF(A1259="","",IF(G1259="não","Sem tabela no Growths",IF(I1259="","Sem campo no Growths",IF(J1259=K1259,"Importa direto","Ajustar tipo"))))</f>
        <v/>
      </c>
      <c r="M1259" s="9"/>
    </row>
    <row r="1260" customFormat="false" ht="15" hidden="false" customHeight="false" outlineLevel="0" collapsed="false">
      <c r="A1260" s="7" t="str">
        <f aca="false">IF('Outro banco'!A1260="","",IF(LEFT('Outro banco'!A1260,1)="(","",'Outro banco'!A1260))</f>
        <v/>
      </c>
      <c r="B1260" s="7" t="str">
        <f aca="false">IF(A1260="","",'Outro banco'!B1260)</f>
        <v/>
      </c>
      <c r="C1260" s="7" t="str">
        <f aca="false">IF(A1260="","",'Outro banco'!C1260)</f>
        <v/>
      </c>
      <c r="D1260" s="7" t="str">
        <f aca="false">IF(A1260="","",'Outro banco'!D1260)</f>
        <v/>
      </c>
      <c r="E1260" s="9"/>
      <c r="F1260" s="9"/>
      <c r="G1260" s="7" t="str">
        <f aca="false">IF(A1260="","",IF(COUNTIF(Tabelas!$A:$A,IF(E1260="",A1260,E1260))&gt;0,"sim","não"))</f>
        <v/>
      </c>
      <c r="H1260" s="7" t="str">
        <f aca="false">IF(A1260="","",IF(E1260="",A1260,E1260)&amp;"."&amp;IF(F1260="",B1260,F1260))</f>
        <v/>
      </c>
      <c r="I1260" s="7" t="str">
        <f aca="false">IF(A1260="","",IFERROR(INDEX('Campos Growths'!$F:$F,MATCH(H1260,'Campos Growths'!$A:$A,0)),""))</f>
        <v/>
      </c>
      <c r="J1260" s="7" t="str">
        <f aca="false">IF(A1260="","",IFERROR(VLOOKUP(IF(ISNUMBER(SEARCH("(",C1260)),LEFT(C1260,SEARCH("(",C1260)-1),C1260),Tipos!$A:$B,2,FALSE()),"outro"))</f>
        <v/>
      </c>
      <c r="K1260" s="7" t="str">
        <f aca="false">IF(I1260="","",IFERROR(INDEX('Campos Growths'!$L:$L,MATCH(H1260,'Campos Growths'!$A:$A,0)),""))</f>
        <v/>
      </c>
      <c r="L1260" s="7" t="str">
        <f aca="false">IF(A1260="","",IF(G1260="não","Sem tabela no Growths",IF(I1260="","Sem campo no Growths",IF(J1260=K1260,"Importa direto","Ajustar tipo"))))</f>
        <v/>
      </c>
      <c r="M1260" s="9"/>
    </row>
    <row r="1261" customFormat="false" ht="15" hidden="false" customHeight="false" outlineLevel="0" collapsed="false">
      <c r="A1261" s="7" t="str">
        <f aca="false">IF('Outro banco'!A1261="","",IF(LEFT('Outro banco'!A1261,1)="(","",'Outro banco'!A1261))</f>
        <v/>
      </c>
      <c r="B1261" s="7" t="str">
        <f aca="false">IF(A1261="","",'Outro banco'!B1261)</f>
        <v/>
      </c>
      <c r="C1261" s="7" t="str">
        <f aca="false">IF(A1261="","",'Outro banco'!C1261)</f>
        <v/>
      </c>
      <c r="D1261" s="7" t="str">
        <f aca="false">IF(A1261="","",'Outro banco'!D1261)</f>
        <v/>
      </c>
      <c r="E1261" s="9"/>
      <c r="F1261" s="9"/>
      <c r="G1261" s="7" t="str">
        <f aca="false">IF(A1261="","",IF(COUNTIF(Tabelas!$A:$A,IF(E1261="",A1261,E1261))&gt;0,"sim","não"))</f>
        <v/>
      </c>
      <c r="H1261" s="7" t="str">
        <f aca="false">IF(A1261="","",IF(E1261="",A1261,E1261)&amp;"."&amp;IF(F1261="",B1261,F1261))</f>
        <v/>
      </c>
      <c r="I1261" s="7" t="str">
        <f aca="false">IF(A1261="","",IFERROR(INDEX('Campos Growths'!$F:$F,MATCH(H1261,'Campos Growths'!$A:$A,0)),""))</f>
        <v/>
      </c>
      <c r="J1261" s="7" t="str">
        <f aca="false">IF(A1261="","",IFERROR(VLOOKUP(IF(ISNUMBER(SEARCH("(",C1261)),LEFT(C1261,SEARCH("(",C1261)-1),C1261),Tipos!$A:$B,2,FALSE()),"outro"))</f>
        <v/>
      </c>
      <c r="K1261" s="7" t="str">
        <f aca="false">IF(I1261="","",IFERROR(INDEX('Campos Growths'!$L:$L,MATCH(H1261,'Campos Growths'!$A:$A,0)),""))</f>
        <v/>
      </c>
      <c r="L1261" s="7" t="str">
        <f aca="false">IF(A1261="","",IF(G1261="não","Sem tabela no Growths",IF(I1261="","Sem campo no Growths",IF(J1261=K1261,"Importa direto","Ajustar tipo"))))</f>
        <v/>
      </c>
      <c r="M1261" s="9"/>
    </row>
    <row r="1262" customFormat="false" ht="15" hidden="false" customHeight="false" outlineLevel="0" collapsed="false">
      <c r="A1262" s="7" t="str">
        <f aca="false">IF('Outro banco'!A1262="","",IF(LEFT('Outro banco'!A1262,1)="(","",'Outro banco'!A1262))</f>
        <v/>
      </c>
      <c r="B1262" s="7" t="str">
        <f aca="false">IF(A1262="","",'Outro banco'!B1262)</f>
        <v/>
      </c>
      <c r="C1262" s="7" t="str">
        <f aca="false">IF(A1262="","",'Outro banco'!C1262)</f>
        <v/>
      </c>
      <c r="D1262" s="7" t="str">
        <f aca="false">IF(A1262="","",'Outro banco'!D1262)</f>
        <v/>
      </c>
      <c r="E1262" s="9"/>
      <c r="F1262" s="9"/>
      <c r="G1262" s="7" t="str">
        <f aca="false">IF(A1262="","",IF(COUNTIF(Tabelas!$A:$A,IF(E1262="",A1262,E1262))&gt;0,"sim","não"))</f>
        <v/>
      </c>
      <c r="H1262" s="7" t="str">
        <f aca="false">IF(A1262="","",IF(E1262="",A1262,E1262)&amp;"."&amp;IF(F1262="",B1262,F1262))</f>
        <v/>
      </c>
      <c r="I1262" s="7" t="str">
        <f aca="false">IF(A1262="","",IFERROR(INDEX('Campos Growths'!$F:$F,MATCH(H1262,'Campos Growths'!$A:$A,0)),""))</f>
        <v/>
      </c>
      <c r="J1262" s="7" t="str">
        <f aca="false">IF(A1262="","",IFERROR(VLOOKUP(IF(ISNUMBER(SEARCH("(",C1262)),LEFT(C1262,SEARCH("(",C1262)-1),C1262),Tipos!$A:$B,2,FALSE()),"outro"))</f>
        <v/>
      </c>
      <c r="K1262" s="7" t="str">
        <f aca="false">IF(I1262="","",IFERROR(INDEX('Campos Growths'!$L:$L,MATCH(H1262,'Campos Growths'!$A:$A,0)),""))</f>
        <v/>
      </c>
      <c r="L1262" s="7" t="str">
        <f aca="false">IF(A1262="","",IF(G1262="não","Sem tabela no Growths",IF(I1262="","Sem campo no Growths",IF(J1262=K1262,"Importa direto","Ajustar tipo"))))</f>
        <v/>
      </c>
      <c r="M1262" s="9"/>
    </row>
    <row r="1263" customFormat="false" ht="15" hidden="false" customHeight="false" outlineLevel="0" collapsed="false">
      <c r="A1263" s="7" t="str">
        <f aca="false">IF('Outro banco'!A1263="","",IF(LEFT('Outro banco'!A1263,1)="(","",'Outro banco'!A1263))</f>
        <v/>
      </c>
      <c r="B1263" s="7" t="str">
        <f aca="false">IF(A1263="","",'Outro banco'!B1263)</f>
        <v/>
      </c>
      <c r="C1263" s="7" t="str">
        <f aca="false">IF(A1263="","",'Outro banco'!C1263)</f>
        <v/>
      </c>
      <c r="D1263" s="7" t="str">
        <f aca="false">IF(A1263="","",'Outro banco'!D1263)</f>
        <v/>
      </c>
      <c r="E1263" s="9"/>
      <c r="F1263" s="9"/>
      <c r="G1263" s="7" t="str">
        <f aca="false">IF(A1263="","",IF(COUNTIF(Tabelas!$A:$A,IF(E1263="",A1263,E1263))&gt;0,"sim","não"))</f>
        <v/>
      </c>
      <c r="H1263" s="7" t="str">
        <f aca="false">IF(A1263="","",IF(E1263="",A1263,E1263)&amp;"."&amp;IF(F1263="",B1263,F1263))</f>
        <v/>
      </c>
      <c r="I1263" s="7" t="str">
        <f aca="false">IF(A1263="","",IFERROR(INDEX('Campos Growths'!$F:$F,MATCH(H1263,'Campos Growths'!$A:$A,0)),""))</f>
        <v/>
      </c>
      <c r="J1263" s="7" t="str">
        <f aca="false">IF(A1263="","",IFERROR(VLOOKUP(IF(ISNUMBER(SEARCH("(",C1263)),LEFT(C1263,SEARCH("(",C1263)-1),C1263),Tipos!$A:$B,2,FALSE()),"outro"))</f>
        <v/>
      </c>
      <c r="K1263" s="7" t="str">
        <f aca="false">IF(I1263="","",IFERROR(INDEX('Campos Growths'!$L:$L,MATCH(H1263,'Campos Growths'!$A:$A,0)),""))</f>
        <v/>
      </c>
      <c r="L1263" s="7" t="str">
        <f aca="false">IF(A1263="","",IF(G1263="não","Sem tabela no Growths",IF(I1263="","Sem campo no Growths",IF(J1263=K1263,"Importa direto","Ajustar tipo"))))</f>
        <v/>
      </c>
      <c r="M1263" s="9"/>
    </row>
    <row r="1264" customFormat="false" ht="15" hidden="false" customHeight="false" outlineLevel="0" collapsed="false">
      <c r="A1264" s="7" t="str">
        <f aca="false">IF('Outro banco'!A1264="","",IF(LEFT('Outro banco'!A1264,1)="(","",'Outro banco'!A1264))</f>
        <v/>
      </c>
      <c r="B1264" s="7" t="str">
        <f aca="false">IF(A1264="","",'Outro banco'!B1264)</f>
        <v/>
      </c>
      <c r="C1264" s="7" t="str">
        <f aca="false">IF(A1264="","",'Outro banco'!C1264)</f>
        <v/>
      </c>
      <c r="D1264" s="7" t="str">
        <f aca="false">IF(A1264="","",'Outro banco'!D1264)</f>
        <v/>
      </c>
      <c r="E1264" s="9"/>
      <c r="F1264" s="9"/>
      <c r="G1264" s="7" t="str">
        <f aca="false">IF(A1264="","",IF(COUNTIF(Tabelas!$A:$A,IF(E1264="",A1264,E1264))&gt;0,"sim","não"))</f>
        <v/>
      </c>
      <c r="H1264" s="7" t="str">
        <f aca="false">IF(A1264="","",IF(E1264="",A1264,E1264)&amp;"."&amp;IF(F1264="",B1264,F1264))</f>
        <v/>
      </c>
      <c r="I1264" s="7" t="str">
        <f aca="false">IF(A1264="","",IFERROR(INDEX('Campos Growths'!$F:$F,MATCH(H1264,'Campos Growths'!$A:$A,0)),""))</f>
        <v/>
      </c>
      <c r="J1264" s="7" t="str">
        <f aca="false">IF(A1264="","",IFERROR(VLOOKUP(IF(ISNUMBER(SEARCH("(",C1264)),LEFT(C1264,SEARCH("(",C1264)-1),C1264),Tipos!$A:$B,2,FALSE()),"outro"))</f>
        <v/>
      </c>
      <c r="K1264" s="7" t="str">
        <f aca="false">IF(I1264="","",IFERROR(INDEX('Campos Growths'!$L:$L,MATCH(H1264,'Campos Growths'!$A:$A,0)),""))</f>
        <v/>
      </c>
      <c r="L1264" s="7" t="str">
        <f aca="false">IF(A1264="","",IF(G1264="não","Sem tabela no Growths",IF(I1264="","Sem campo no Growths",IF(J1264=K1264,"Importa direto","Ajustar tipo"))))</f>
        <v/>
      </c>
      <c r="M1264" s="9"/>
    </row>
    <row r="1265" customFormat="false" ht="15" hidden="false" customHeight="false" outlineLevel="0" collapsed="false">
      <c r="A1265" s="7" t="str">
        <f aca="false">IF('Outro banco'!A1265="","",IF(LEFT('Outro banco'!A1265,1)="(","",'Outro banco'!A1265))</f>
        <v/>
      </c>
      <c r="B1265" s="7" t="str">
        <f aca="false">IF(A1265="","",'Outro banco'!B1265)</f>
        <v/>
      </c>
      <c r="C1265" s="7" t="str">
        <f aca="false">IF(A1265="","",'Outro banco'!C1265)</f>
        <v/>
      </c>
      <c r="D1265" s="7" t="str">
        <f aca="false">IF(A1265="","",'Outro banco'!D1265)</f>
        <v/>
      </c>
      <c r="E1265" s="9"/>
      <c r="F1265" s="9"/>
      <c r="G1265" s="7" t="str">
        <f aca="false">IF(A1265="","",IF(COUNTIF(Tabelas!$A:$A,IF(E1265="",A1265,E1265))&gt;0,"sim","não"))</f>
        <v/>
      </c>
      <c r="H1265" s="7" t="str">
        <f aca="false">IF(A1265="","",IF(E1265="",A1265,E1265)&amp;"."&amp;IF(F1265="",B1265,F1265))</f>
        <v/>
      </c>
      <c r="I1265" s="7" t="str">
        <f aca="false">IF(A1265="","",IFERROR(INDEX('Campos Growths'!$F:$F,MATCH(H1265,'Campos Growths'!$A:$A,0)),""))</f>
        <v/>
      </c>
      <c r="J1265" s="7" t="str">
        <f aca="false">IF(A1265="","",IFERROR(VLOOKUP(IF(ISNUMBER(SEARCH("(",C1265)),LEFT(C1265,SEARCH("(",C1265)-1),C1265),Tipos!$A:$B,2,FALSE()),"outro"))</f>
        <v/>
      </c>
      <c r="K1265" s="7" t="str">
        <f aca="false">IF(I1265="","",IFERROR(INDEX('Campos Growths'!$L:$L,MATCH(H1265,'Campos Growths'!$A:$A,0)),""))</f>
        <v/>
      </c>
      <c r="L1265" s="7" t="str">
        <f aca="false">IF(A1265="","",IF(G1265="não","Sem tabela no Growths",IF(I1265="","Sem campo no Growths",IF(J1265=K1265,"Importa direto","Ajustar tipo"))))</f>
        <v/>
      </c>
      <c r="M1265" s="9"/>
    </row>
    <row r="1266" customFormat="false" ht="15" hidden="false" customHeight="false" outlineLevel="0" collapsed="false">
      <c r="A1266" s="7" t="str">
        <f aca="false">IF('Outro banco'!A1266="","",IF(LEFT('Outro banco'!A1266,1)="(","",'Outro banco'!A1266))</f>
        <v/>
      </c>
      <c r="B1266" s="7" t="str">
        <f aca="false">IF(A1266="","",'Outro banco'!B1266)</f>
        <v/>
      </c>
      <c r="C1266" s="7" t="str">
        <f aca="false">IF(A1266="","",'Outro banco'!C1266)</f>
        <v/>
      </c>
      <c r="D1266" s="7" t="str">
        <f aca="false">IF(A1266="","",'Outro banco'!D1266)</f>
        <v/>
      </c>
      <c r="E1266" s="9"/>
      <c r="F1266" s="9"/>
      <c r="G1266" s="7" t="str">
        <f aca="false">IF(A1266="","",IF(COUNTIF(Tabelas!$A:$A,IF(E1266="",A1266,E1266))&gt;0,"sim","não"))</f>
        <v/>
      </c>
      <c r="H1266" s="7" t="str">
        <f aca="false">IF(A1266="","",IF(E1266="",A1266,E1266)&amp;"."&amp;IF(F1266="",B1266,F1266))</f>
        <v/>
      </c>
      <c r="I1266" s="7" t="str">
        <f aca="false">IF(A1266="","",IFERROR(INDEX('Campos Growths'!$F:$F,MATCH(H1266,'Campos Growths'!$A:$A,0)),""))</f>
        <v/>
      </c>
      <c r="J1266" s="7" t="str">
        <f aca="false">IF(A1266="","",IFERROR(VLOOKUP(IF(ISNUMBER(SEARCH("(",C1266)),LEFT(C1266,SEARCH("(",C1266)-1),C1266),Tipos!$A:$B,2,FALSE()),"outro"))</f>
        <v/>
      </c>
      <c r="K1266" s="7" t="str">
        <f aca="false">IF(I1266="","",IFERROR(INDEX('Campos Growths'!$L:$L,MATCH(H1266,'Campos Growths'!$A:$A,0)),""))</f>
        <v/>
      </c>
      <c r="L1266" s="7" t="str">
        <f aca="false">IF(A1266="","",IF(G1266="não","Sem tabela no Growths",IF(I1266="","Sem campo no Growths",IF(J1266=K1266,"Importa direto","Ajustar tipo"))))</f>
        <v/>
      </c>
      <c r="M1266" s="9"/>
    </row>
    <row r="1267" customFormat="false" ht="15" hidden="false" customHeight="false" outlineLevel="0" collapsed="false">
      <c r="A1267" s="7" t="str">
        <f aca="false">IF('Outro banco'!A1267="","",IF(LEFT('Outro banco'!A1267,1)="(","",'Outro banco'!A1267))</f>
        <v/>
      </c>
      <c r="B1267" s="7" t="str">
        <f aca="false">IF(A1267="","",'Outro banco'!B1267)</f>
        <v/>
      </c>
      <c r="C1267" s="7" t="str">
        <f aca="false">IF(A1267="","",'Outro banco'!C1267)</f>
        <v/>
      </c>
      <c r="D1267" s="7" t="str">
        <f aca="false">IF(A1267="","",'Outro banco'!D1267)</f>
        <v/>
      </c>
      <c r="E1267" s="9"/>
      <c r="F1267" s="9"/>
      <c r="G1267" s="7" t="str">
        <f aca="false">IF(A1267="","",IF(COUNTIF(Tabelas!$A:$A,IF(E1267="",A1267,E1267))&gt;0,"sim","não"))</f>
        <v/>
      </c>
      <c r="H1267" s="7" t="str">
        <f aca="false">IF(A1267="","",IF(E1267="",A1267,E1267)&amp;"."&amp;IF(F1267="",B1267,F1267))</f>
        <v/>
      </c>
      <c r="I1267" s="7" t="str">
        <f aca="false">IF(A1267="","",IFERROR(INDEX('Campos Growths'!$F:$F,MATCH(H1267,'Campos Growths'!$A:$A,0)),""))</f>
        <v/>
      </c>
      <c r="J1267" s="7" t="str">
        <f aca="false">IF(A1267="","",IFERROR(VLOOKUP(IF(ISNUMBER(SEARCH("(",C1267)),LEFT(C1267,SEARCH("(",C1267)-1),C1267),Tipos!$A:$B,2,FALSE()),"outro"))</f>
        <v/>
      </c>
      <c r="K1267" s="7" t="str">
        <f aca="false">IF(I1267="","",IFERROR(INDEX('Campos Growths'!$L:$L,MATCH(H1267,'Campos Growths'!$A:$A,0)),""))</f>
        <v/>
      </c>
      <c r="L1267" s="7" t="str">
        <f aca="false">IF(A1267="","",IF(G1267="não","Sem tabela no Growths",IF(I1267="","Sem campo no Growths",IF(J1267=K1267,"Importa direto","Ajustar tipo"))))</f>
        <v/>
      </c>
      <c r="M1267" s="9"/>
    </row>
    <row r="1268" customFormat="false" ht="15" hidden="false" customHeight="false" outlineLevel="0" collapsed="false">
      <c r="A1268" s="7" t="str">
        <f aca="false">IF('Outro banco'!A1268="","",IF(LEFT('Outro banco'!A1268,1)="(","",'Outro banco'!A1268))</f>
        <v/>
      </c>
      <c r="B1268" s="7" t="str">
        <f aca="false">IF(A1268="","",'Outro banco'!B1268)</f>
        <v/>
      </c>
      <c r="C1268" s="7" t="str">
        <f aca="false">IF(A1268="","",'Outro banco'!C1268)</f>
        <v/>
      </c>
      <c r="D1268" s="7" t="str">
        <f aca="false">IF(A1268="","",'Outro banco'!D1268)</f>
        <v/>
      </c>
      <c r="E1268" s="9"/>
      <c r="F1268" s="9"/>
      <c r="G1268" s="7" t="str">
        <f aca="false">IF(A1268="","",IF(COUNTIF(Tabelas!$A:$A,IF(E1268="",A1268,E1268))&gt;0,"sim","não"))</f>
        <v/>
      </c>
      <c r="H1268" s="7" t="str">
        <f aca="false">IF(A1268="","",IF(E1268="",A1268,E1268)&amp;"."&amp;IF(F1268="",B1268,F1268))</f>
        <v/>
      </c>
      <c r="I1268" s="7" t="str">
        <f aca="false">IF(A1268="","",IFERROR(INDEX('Campos Growths'!$F:$F,MATCH(H1268,'Campos Growths'!$A:$A,0)),""))</f>
        <v/>
      </c>
      <c r="J1268" s="7" t="str">
        <f aca="false">IF(A1268="","",IFERROR(VLOOKUP(IF(ISNUMBER(SEARCH("(",C1268)),LEFT(C1268,SEARCH("(",C1268)-1),C1268),Tipos!$A:$B,2,FALSE()),"outro"))</f>
        <v/>
      </c>
      <c r="K1268" s="7" t="str">
        <f aca="false">IF(I1268="","",IFERROR(INDEX('Campos Growths'!$L:$L,MATCH(H1268,'Campos Growths'!$A:$A,0)),""))</f>
        <v/>
      </c>
      <c r="L1268" s="7" t="str">
        <f aca="false">IF(A1268="","",IF(G1268="não","Sem tabela no Growths",IF(I1268="","Sem campo no Growths",IF(J1268=K1268,"Importa direto","Ajustar tipo"))))</f>
        <v/>
      </c>
      <c r="M1268" s="9"/>
    </row>
    <row r="1269" customFormat="false" ht="15" hidden="false" customHeight="false" outlineLevel="0" collapsed="false">
      <c r="A1269" s="7" t="str">
        <f aca="false">IF('Outro banco'!A1269="","",IF(LEFT('Outro banco'!A1269,1)="(","",'Outro banco'!A1269))</f>
        <v/>
      </c>
      <c r="B1269" s="7" t="str">
        <f aca="false">IF(A1269="","",'Outro banco'!B1269)</f>
        <v/>
      </c>
      <c r="C1269" s="7" t="str">
        <f aca="false">IF(A1269="","",'Outro banco'!C1269)</f>
        <v/>
      </c>
      <c r="D1269" s="7" t="str">
        <f aca="false">IF(A1269="","",'Outro banco'!D1269)</f>
        <v/>
      </c>
      <c r="E1269" s="9"/>
      <c r="F1269" s="9"/>
      <c r="G1269" s="7" t="str">
        <f aca="false">IF(A1269="","",IF(COUNTIF(Tabelas!$A:$A,IF(E1269="",A1269,E1269))&gt;0,"sim","não"))</f>
        <v/>
      </c>
      <c r="H1269" s="7" t="str">
        <f aca="false">IF(A1269="","",IF(E1269="",A1269,E1269)&amp;"."&amp;IF(F1269="",B1269,F1269))</f>
        <v/>
      </c>
      <c r="I1269" s="7" t="str">
        <f aca="false">IF(A1269="","",IFERROR(INDEX('Campos Growths'!$F:$F,MATCH(H1269,'Campos Growths'!$A:$A,0)),""))</f>
        <v/>
      </c>
      <c r="J1269" s="7" t="str">
        <f aca="false">IF(A1269="","",IFERROR(VLOOKUP(IF(ISNUMBER(SEARCH("(",C1269)),LEFT(C1269,SEARCH("(",C1269)-1),C1269),Tipos!$A:$B,2,FALSE()),"outro"))</f>
        <v/>
      </c>
      <c r="K1269" s="7" t="str">
        <f aca="false">IF(I1269="","",IFERROR(INDEX('Campos Growths'!$L:$L,MATCH(H1269,'Campos Growths'!$A:$A,0)),""))</f>
        <v/>
      </c>
      <c r="L1269" s="7" t="str">
        <f aca="false">IF(A1269="","",IF(G1269="não","Sem tabela no Growths",IF(I1269="","Sem campo no Growths",IF(J1269=K1269,"Importa direto","Ajustar tipo"))))</f>
        <v/>
      </c>
      <c r="M1269" s="9"/>
    </row>
    <row r="1270" customFormat="false" ht="15" hidden="false" customHeight="false" outlineLevel="0" collapsed="false">
      <c r="A1270" s="7" t="str">
        <f aca="false">IF('Outro banco'!A1270="","",IF(LEFT('Outro banco'!A1270,1)="(","",'Outro banco'!A1270))</f>
        <v/>
      </c>
      <c r="B1270" s="7" t="str">
        <f aca="false">IF(A1270="","",'Outro banco'!B1270)</f>
        <v/>
      </c>
      <c r="C1270" s="7" t="str">
        <f aca="false">IF(A1270="","",'Outro banco'!C1270)</f>
        <v/>
      </c>
      <c r="D1270" s="7" t="str">
        <f aca="false">IF(A1270="","",'Outro banco'!D1270)</f>
        <v/>
      </c>
      <c r="E1270" s="9"/>
      <c r="F1270" s="9"/>
      <c r="G1270" s="7" t="str">
        <f aca="false">IF(A1270="","",IF(COUNTIF(Tabelas!$A:$A,IF(E1270="",A1270,E1270))&gt;0,"sim","não"))</f>
        <v/>
      </c>
      <c r="H1270" s="7" t="str">
        <f aca="false">IF(A1270="","",IF(E1270="",A1270,E1270)&amp;"."&amp;IF(F1270="",B1270,F1270))</f>
        <v/>
      </c>
      <c r="I1270" s="7" t="str">
        <f aca="false">IF(A1270="","",IFERROR(INDEX('Campos Growths'!$F:$F,MATCH(H1270,'Campos Growths'!$A:$A,0)),""))</f>
        <v/>
      </c>
      <c r="J1270" s="7" t="str">
        <f aca="false">IF(A1270="","",IFERROR(VLOOKUP(IF(ISNUMBER(SEARCH("(",C1270)),LEFT(C1270,SEARCH("(",C1270)-1),C1270),Tipos!$A:$B,2,FALSE()),"outro"))</f>
        <v/>
      </c>
      <c r="K1270" s="7" t="str">
        <f aca="false">IF(I1270="","",IFERROR(INDEX('Campos Growths'!$L:$L,MATCH(H1270,'Campos Growths'!$A:$A,0)),""))</f>
        <v/>
      </c>
      <c r="L1270" s="7" t="str">
        <f aca="false">IF(A1270="","",IF(G1270="não","Sem tabela no Growths",IF(I1270="","Sem campo no Growths",IF(J1270=K1270,"Importa direto","Ajustar tipo"))))</f>
        <v/>
      </c>
      <c r="M1270" s="9"/>
    </row>
    <row r="1271" customFormat="false" ht="15" hidden="false" customHeight="false" outlineLevel="0" collapsed="false">
      <c r="A1271" s="7" t="str">
        <f aca="false">IF('Outro banco'!A1271="","",IF(LEFT('Outro banco'!A1271,1)="(","",'Outro banco'!A1271))</f>
        <v/>
      </c>
      <c r="B1271" s="7" t="str">
        <f aca="false">IF(A1271="","",'Outro banco'!B1271)</f>
        <v/>
      </c>
      <c r="C1271" s="7" t="str">
        <f aca="false">IF(A1271="","",'Outro banco'!C1271)</f>
        <v/>
      </c>
      <c r="D1271" s="7" t="str">
        <f aca="false">IF(A1271="","",'Outro banco'!D1271)</f>
        <v/>
      </c>
      <c r="E1271" s="9"/>
      <c r="F1271" s="9"/>
      <c r="G1271" s="7" t="str">
        <f aca="false">IF(A1271="","",IF(COUNTIF(Tabelas!$A:$A,IF(E1271="",A1271,E1271))&gt;0,"sim","não"))</f>
        <v/>
      </c>
      <c r="H1271" s="7" t="str">
        <f aca="false">IF(A1271="","",IF(E1271="",A1271,E1271)&amp;"."&amp;IF(F1271="",B1271,F1271))</f>
        <v/>
      </c>
      <c r="I1271" s="7" t="str">
        <f aca="false">IF(A1271="","",IFERROR(INDEX('Campos Growths'!$F:$F,MATCH(H1271,'Campos Growths'!$A:$A,0)),""))</f>
        <v/>
      </c>
      <c r="J1271" s="7" t="str">
        <f aca="false">IF(A1271="","",IFERROR(VLOOKUP(IF(ISNUMBER(SEARCH("(",C1271)),LEFT(C1271,SEARCH("(",C1271)-1),C1271),Tipos!$A:$B,2,FALSE()),"outro"))</f>
        <v/>
      </c>
      <c r="K1271" s="7" t="str">
        <f aca="false">IF(I1271="","",IFERROR(INDEX('Campos Growths'!$L:$L,MATCH(H1271,'Campos Growths'!$A:$A,0)),""))</f>
        <v/>
      </c>
      <c r="L1271" s="7" t="str">
        <f aca="false">IF(A1271="","",IF(G1271="não","Sem tabela no Growths",IF(I1271="","Sem campo no Growths",IF(J1271=K1271,"Importa direto","Ajustar tipo"))))</f>
        <v/>
      </c>
      <c r="M1271" s="9"/>
    </row>
    <row r="1272" customFormat="false" ht="15" hidden="false" customHeight="false" outlineLevel="0" collapsed="false">
      <c r="A1272" s="7" t="str">
        <f aca="false">IF('Outro banco'!A1272="","",IF(LEFT('Outro banco'!A1272,1)="(","",'Outro banco'!A1272))</f>
        <v/>
      </c>
      <c r="B1272" s="7" t="str">
        <f aca="false">IF(A1272="","",'Outro banco'!B1272)</f>
        <v/>
      </c>
      <c r="C1272" s="7" t="str">
        <f aca="false">IF(A1272="","",'Outro banco'!C1272)</f>
        <v/>
      </c>
      <c r="D1272" s="7" t="str">
        <f aca="false">IF(A1272="","",'Outro banco'!D1272)</f>
        <v/>
      </c>
      <c r="E1272" s="9"/>
      <c r="F1272" s="9"/>
      <c r="G1272" s="7" t="str">
        <f aca="false">IF(A1272="","",IF(COUNTIF(Tabelas!$A:$A,IF(E1272="",A1272,E1272))&gt;0,"sim","não"))</f>
        <v/>
      </c>
      <c r="H1272" s="7" t="str">
        <f aca="false">IF(A1272="","",IF(E1272="",A1272,E1272)&amp;"."&amp;IF(F1272="",B1272,F1272))</f>
        <v/>
      </c>
      <c r="I1272" s="7" t="str">
        <f aca="false">IF(A1272="","",IFERROR(INDEX('Campos Growths'!$F:$F,MATCH(H1272,'Campos Growths'!$A:$A,0)),""))</f>
        <v/>
      </c>
      <c r="J1272" s="7" t="str">
        <f aca="false">IF(A1272="","",IFERROR(VLOOKUP(IF(ISNUMBER(SEARCH("(",C1272)),LEFT(C1272,SEARCH("(",C1272)-1),C1272),Tipos!$A:$B,2,FALSE()),"outro"))</f>
        <v/>
      </c>
      <c r="K1272" s="7" t="str">
        <f aca="false">IF(I1272="","",IFERROR(INDEX('Campos Growths'!$L:$L,MATCH(H1272,'Campos Growths'!$A:$A,0)),""))</f>
        <v/>
      </c>
      <c r="L1272" s="7" t="str">
        <f aca="false">IF(A1272="","",IF(G1272="não","Sem tabela no Growths",IF(I1272="","Sem campo no Growths",IF(J1272=K1272,"Importa direto","Ajustar tipo"))))</f>
        <v/>
      </c>
      <c r="M1272" s="9"/>
    </row>
    <row r="1273" customFormat="false" ht="15" hidden="false" customHeight="false" outlineLevel="0" collapsed="false">
      <c r="A1273" s="7" t="str">
        <f aca="false">IF('Outro banco'!A1273="","",IF(LEFT('Outro banco'!A1273,1)="(","",'Outro banco'!A1273))</f>
        <v/>
      </c>
      <c r="B1273" s="7" t="str">
        <f aca="false">IF(A1273="","",'Outro banco'!B1273)</f>
        <v/>
      </c>
      <c r="C1273" s="7" t="str">
        <f aca="false">IF(A1273="","",'Outro banco'!C1273)</f>
        <v/>
      </c>
      <c r="D1273" s="7" t="str">
        <f aca="false">IF(A1273="","",'Outro banco'!D1273)</f>
        <v/>
      </c>
      <c r="E1273" s="9"/>
      <c r="F1273" s="9"/>
      <c r="G1273" s="7" t="str">
        <f aca="false">IF(A1273="","",IF(COUNTIF(Tabelas!$A:$A,IF(E1273="",A1273,E1273))&gt;0,"sim","não"))</f>
        <v/>
      </c>
      <c r="H1273" s="7" t="str">
        <f aca="false">IF(A1273="","",IF(E1273="",A1273,E1273)&amp;"."&amp;IF(F1273="",B1273,F1273))</f>
        <v/>
      </c>
      <c r="I1273" s="7" t="str">
        <f aca="false">IF(A1273="","",IFERROR(INDEX('Campos Growths'!$F:$F,MATCH(H1273,'Campos Growths'!$A:$A,0)),""))</f>
        <v/>
      </c>
      <c r="J1273" s="7" t="str">
        <f aca="false">IF(A1273="","",IFERROR(VLOOKUP(IF(ISNUMBER(SEARCH("(",C1273)),LEFT(C1273,SEARCH("(",C1273)-1),C1273),Tipos!$A:$B,2,FALSE()),"outro"))</f>
        <v/>
      </c>
      <c r="K1273" s="7" t="str">
        <f aca="false">IF(I1273="","",IFERROR(INDEX('Campos Growths'!$L:$L,MATCH(H1273,'Campos Growths'!$A:$A,0)),""))</f>
        <v/>
      </c>
      <c r="L1273" s="7" t="str">
        <f aca="false">IF(A1273="","",IF(G1273="não","Sem tabela no Growths",IF(I1273="","Sem campo no Growths",IF(J1273=K1273,"Importa direto","Ajustar tipo"))))</f>
        <v/>
      </c>
      <c r="M1273" s="9"/>
    </row>
    <row r="1274" customFormat="false" ht="15" hidden="false" customHeight="false" outlineLevel="0" collapsed="false">
      <c r="A1274" s="7" t="str">
        <f aca="false">IF('Outro banco'!A1274="","",IF(LEFT('Outro banco'!A1274,1)="(","",'Outro banco'!A1274))</f>
        <v/>
      </c>
      <c r="B1274" s="7" t="str">
        <f aca="false">IF(A1274="","",'Outro banco'!B1274)</f>
        <v/>
      </c>
      <c r="C1274" s="7" t="str">
        <f aca="false">IF(A1274="","",'Outro banco'!C1274)</f>
        <v/>
      </c>
      <c r="D1274" s="7" t="str">
        <f aca="false">IF(A1274="","",'Outro banco'!D1274)</f>
        <v/>
      </c>
      <c r="E1274" s="9"/>
      <c r="F1274" s="9"/>
      <c r="G1274" s="7" t="str">
        <f aca="false">IF(A1274="","",IF(COUNTIF(Tabelas!$A:$A,IF(E1274="",A1274,E1274))&gt;0,"sim","não"))</f>
        <v/>
      </c>
      <c r="H1274" s="7" t="str">
        <f aca="false">IF(A1274="","",IF(E1274="",A1274,E1274)&amp;"."&amp;IF(F1274="",B1274,F1274))</f>
        <v/>
      </c>
      <c r="I1274" s="7" t="str">
        <f aca="false">IF(A1274="","",IFERROR(INDEX('Campos Growths'!$F:$F,MATCH(H1274,'Campos Growths'!$A:$A,0)),""))</f>
        <v/>
      </c>
      <c r="J1274" s="7" t="str">
        <f aca="false">IF(A1274="","",IFERROR(VLOOKUP(IF(ISNUMBER(SEARCH("(",C1274)),LEFT(C1274,SEARCH("(",C1274)-1),C1274),Tipos!$A:$B,2,FALSE()),"outro"))</f>
        <v/>
      </c>
      <c r="K1274" s="7" t="str">
        <f aca="false">IF(I1274="","",IFERROR(INDEX('Campos Growths'!$L:$L,MATCH(H1274,'Campos Growths'!$A:$A,0)),""))</f>
        <v/>
      </c>
      <c r="L1274" s="7" t="str">
        <f aca="false">IF(A1274="","",IF(G1274="não","Sem tabela no Growths",IF(I1274="","Sem campo no Growths",IF(J1274=K1274,"Importa direto","Ajustar tipo"))))</f>
        <v/>
      </c>
      <c r="M1274" s="9"/>
    </row>
    <row r="1275" customFormat="false" ht="15" hidden="false" customHeight="false" outlineLevel="0" collapsed="false">
      <c r="A1275" s="7" t="str">
        <f aca="false">IF('Outro banco'!A1275="","",IF(LEFT('Outro banco'!A1275,1)="(","",'Outro banco'!A1275))</f>
        <v/>
      </c>
      <c r="B1275" s="7" t="str">
        <f aca="false">IF(A1275="","",'Outro banco'!B1275)</f>
        <v/>
      </c>
      <c r="C1275" s="7" t="str">
        <f aca="false">IF(A1275="","",'Outro banco'!C1275)</f>
        <v/>
      </c>
      <c r="D1275" s="7" t="str">
        <f aca="false">IF(A1275="","",'Outro banco'!D1275)</f>
        <v/>
      </c>
      <c r="E1275" s="9"/>
      <c r="F1275" s="9"/>
      <c r="G1275" s="7" t="str">
        <f aca="false">IF(A1275="","",IF(COUNTIF(Tabelas!$A:$A,IF(E1275="",A1275,E1275))&gt;0,"sim","não"))</f>
        <v/>
      </c>
      <c r="H1275" s="7" t="str">
        <f aca="false">IF(A1275="","",IF(E1275="",A1275,E1275)&amp;"."&amp;IF(F1275="",B1275,F1275))</f>
        <v/>
      </c>
      <c r="I1275" s="7" t="str">
        <f aca="false">IF(A1275="","",IFERROR(INDEX('Campos Growths'!$F:$F,MATCH(H1275,'Campos Growths'!$A:$A,0)),""))</f>
        <v/>
      </c>
      <c r="J1275" s="7" t="str">
        <f aca="false">IF(A1275="","",IFERROR(VLOOKUP(IF(ISNUMBER(SEARCH("(",C1275)),LEFT(C1275,SEARCH("(",C1275)-1),C1275),Tipos!$A:$B,2,FALSE()),"outro"))</f>
        <v/>
      </c>
      <c r="K1275" s="7" t="str">
        <f aca="false">IF(I1275="","",IFERROR(INDEX('Campos Growths'!$L:$L,MATCH(H1275,'Campos Growths'!$A:$A,0)),""))</f>
        <v/>
      </c>
      <c r="L1275" s="7" t="str">
        <f aca="false">IF(A1275="","",IF(G1275="não","Sem tabela no Growths",IF(I1275="","Sem campo no Growths",IF(J1275=K1275,"Importa direto","Ajustar tipo"))))</f>
        <v/>
      </c>
      <c r="M1275" s="9"/>
    </row>
    <row r="1276" customFormat="false" ht="15" hidden="false" customHeight="false" outlineLevel="0" collapsed="false">
      <c r="A1276" s="7" t="str">
        <f aca="false">IF('Outro banco'!A1276="","",IF(LEFT('Outro banco'!A1276,1)="(","",'Outro banco'!A1276))</f>
        <v/>
      </c>
      <c r="B1276" s="7" t="str">
        <f aca="false">IF(A1276="","",'Outro banco'!B1276)</f>
        <v/>
      </c>
      <c r="C1276" s="7" t="str">
        <f aca="false">IF(A1276="","",'Outro banco'!C1276)</f>
        <v/>
      </c>
      <c r="D1276" s="7" t="str">
        <f aca="false">IF(A1276="","",'Outro banco'!D1276)</f>
        <v/>
      </c>
      <c r="E1276" s="9"/>
      <c r="F1276" s="9"/>
      <c r="G1276" s="7" t="str">
        <f aca="false">IF(A1276="","",IF(COUNTIF(Tabelas!$A:$A,IF(E1276="",A1276,E1276))&gt;0,"sim","não"))</f>
        <v/>
      </c>
      <c r="H1276" s="7" t="str">
        <f aca="false">IF(A1276="","",IF(E1276="",A1276,E1276)&amp;"."&amp;IF(F1276="",B1276,F1276))</f>
        <v/>
      </c>
      <c r="I1276" s="7" t="str">
        <f aca="false">IF(A1276="","",IFERROR(INDEX('Campos Growths'!$F:$F,MATCH(H1276,'Campos Growths'!$A:$A,0)),""))</f>
        <v/>
      </c>
      <c r="J1276" s="7" t="str">
        <f aca="false">IF(A1276="","",IFERROR(VLOOKUP(IF(ISNUMBER(SEARCH("(",C1276)),LEFT(C1276,SEARCH("(",C1276)-1),C1276),Tipos!$A:$B,2,FALSE()),"outro"))</f>
        <v/>
      </c>
      <c r="K1276" s="7" t="str">
        <f aca="false">IF(I1276="","",IFERROR(INDEX('Campos Growths'!$L:$L,MATCH(H1276,'Campos Growths'!$A:$A,0)),""))</f>
        <v/>
      </c>
      <c r="L1276" s="7" t="str">
        <f aca="false">IF(A1276="","",IF(G1276="não","Sem tabela no Growths",IF(I1276="","Sem campo no Growths",IF(J1276=K1276,"Importa direto","Ajustar tipo"))))</f>
        <v/>
      </c>
      <c r="M1276" s="9"/>
    </row>
    <row r="1277" customFormat="false" ht="15" hidden="false" customHeight="false" outlineLevel="0" collapsed="false">
      <c r="A1277" s="7" t="str">
        <f aca="false">IF('Outro banco'!A1277="","",IF(LEFT('Outro banco'!A1277,1)="(","",'Outro banco'!A1277))</f>
        <v/>
      </c>
      <c r="B1277" s="7" t="str">
        <f aca="false">IF(A1277="","",'Outro banco'!B1277)</f>
        <v/>
      </c>
      <c r="C1277" s="7" t="str">
        <f aca="false">IF(A1277="","",'Outro banco'!C1277)</f>
        <v/>
      </c>
      <c r="D1277" s="7" t="str">
        <f aca="false">IF(A1277="","",'Outro banco'!D1277)</f>
        <v/>
      </c>
      <c r="E1277" s="9"/>
      <c r="F1277" s="9"/>
      <c r="G1277" s="7" t="str">
        <f aca="false">IF(A1277="","",IF(COUNTIF(Tabelas!$A:$A,IF(E1277="",A1277,E1277))&gt;0,"sim","não"))</f>
        <v/>
      </c>
      <c r="H1277" s="7" t="str">
        <f aca="false">IF(A1277="","",IF(E1277="",A1277,E1277)&amp;"."&amp;IF(F1277="",B1277,F1277))</f>
        <v/>
      </c>
      <c r="I1277" s="7" t="str">
        <f aca="false">IF(A1277="","",IFERROR(INDEX('Campos Growths'!$F:$F,MATCH(H1277,'Campos Growths'!$A:$A,0)),""))</f>
        <v/>
      </c>
      <c r="J1277" s="7" t="str">
        <f aca="false">IF(A1277="","",IFERROR(VLOOKUP(IF(ISNUMBER(SEARCH("(",C1277)),LEFT(C1277,SEARCH("(",C1277)-1),C1277),Tipos!$A:$B,2,FALSE()),"outro"))</f>
        <v/>
      </c>
      <c r="K1277" s="7" t="str">
        <f aca="false">IF(I1277="","",IFERROR(INDEX('Campos Growths'!$L:$L,MATCH(H1277,'Campos Growths'!$A:$A,0)),""))</f>
        <v/>
      </c>
      <c r="L1277" s="7" t="str">
        <f aca="false">IF(A1277="","",IF(G1277="não","Sem tabela no Growths",IF(I1277="","Sem campo no Growths",IF(J1277=K1277,"Importa direto","Ajustar tipo"))))</f>
        <v/>
      </c>
      <c r="M1277" s="9"/>
    </row>
    <row r="1278" customFormat="false" ht="15" hidden="false" customHeight="false" outlineLevel="0" collapsed="false">
      <c r="A1278" s="7" t="str">
        <f aca="false">IF('Outro banco'!A1278="","",IF(LEFT('Outro banco'!A1278,1)="(","",'Outro banco'!A1278))</f>
        <v/>
      </c>
      <c r="B1278" s="7" t="str">
        <f aca="false">IF(A1278="","",'Outro banco'!B1278)</f>
        <v/>
      </c>
      <c r="C1278" s="7" t="str">
        <f aca="false">IF(A1278="","",'Outro banco'!C1278)</f>
        <v/>
      </c>
      <c r="D1278" s="7" t="str">
        <f aca="false">IF(A1278="","",'Outro banco'!D1278)</f>
        <v/>
      </c>
      <c r="E1278" s="9"/>
      <c r="F1278" s="9"/>
      <c r="G1278" s="7" t="str">
        <f aca="false">IF(A1278="","",IF(COUNTIF(Tabelas!$A:$A,IF(E1278="",A1278,E1278))&gt;0,"sim","não"))</f>
        <v/>
      </c>
      <c r="H1278" s="7" t="str">
        <f aca="false">IF(A1278="","",IF(E1278="",A1278,E1278)&amp;"."&amp;IF(F1278="",B1278,F1278))</f>
        <v/>
      </c>
      <c r="I1278" s="7" t="str">
        <f aca="false">IF(A1278="","",IFERROR(INDEX('Campos Growths'!$F:$F,MATCH(H1278,'Campos Growths'!$A:$A,0)),""))</f>
        <v/>
      </c>
      <c r="J1278" s="7" t="str">
        <f aca="false">IF(A1278="","",IFERROR(VLOOKUP(IF(ISNUMBER(SEARCH("(",C1278)),LEFT(C1278,SEARCH("(",C1278)-1),C1278),Tipos!$A:$B,2,FALSE()),"outro"))</f>
        <v/>
      </c>
      <c r="K1278" s="7" t="str">
        <f aca="false">IF(I1278="","",IFERROR(INDEX('Campos Growths'!$L:$L,MATCH(H1278,'Campos Growths'!$A:$A,0)),""))</f>
        <v/>
      </c>
      <c r="L1278" s="7" t="str">
        <f aca="false">IF(A1278="","",IF(G1278="não","Sem tabela no Growths",IF(I1278="","Sem campo no Growths",IF(J1278=K1278,"Importa direto","Ajustar tipo"))))</f>
        <v/>
      </c>
      <c r="M1278" s="9"/>
    </row>
    <row r="1279" customFormat="false" ht="15" hidden="false" customHeight="false" outlineLevel="0" collapsed="false">
      <c r="A1279" s="7" t="str">
        <f aca="false">IF('Outro banco'!A1279="","",IF(LEFT('Outro banco'!A1279,1)="(","",'Outro banco'!A1279))</f>
        <v/>
      </c>
      <c r="B1279" s="7" t="str">
        <f aca="false">IF(A1279="","",'Outro banco'!B1279)</f>
        <v/>
      </c>
      <c r="C1279" s="7" t="str">
        <f aca="false">IF(A1279="","",'Outro banco'!C1279)</f>
        <v/>
      </c>
      <c r="D1279" s="7" t="str">
        <f aca="false">IF(A1279="","",'Outro banco'!D1279)</f>
        <v/>
      </c>
      <c r="E1279" s="9"/>
      <c r="F1279" s="9"/>
      <c r="G1279" s="7" t="str">
        <f aca="false">IF(A1279="","",IF(COUNTIF(Tabelas!$A:$A,IF(E1279="",A1279,E1279))&gt;0,"sim","não"))</f>
        <v/>
      </c>
      <c r="H1279" s="7" t="str">
        <f aca="false">IF(A1279="","",IF(E1279="",A1279,E1279)&amp;"."&amp;IF(F1279="",B1279,F1279))</f>
        <v/>
      </c>
      <c r="I1279" s="7" t="str">
        <f aca="false">IF(A1279="","",IFERROR(INDEX('Campos Growths'!$F:$F,MATCH(H1279,'Campos Growths'!$A:$A,0)),""))</f>
        <v/>
      </c>
      <c r="J1279" s="7" t="str">
        <f aca="false">IF(A1279="","",IFERROR(VLOOKUP(IF(ISNUMBER(SEARCH("(",C1279)),LEFT(C1279,SEARCH("(",C1279)-1),C1279),Tipos!$A:$B,2,FALSE()),"outro"))</f>
        <v/>
      </c>
      <c r="K1279" s="7" t="str">
        <f aca="false">IF(I1279="","",IFERROR(INDEX('Campos Growths'!$L:$L,MATCH(H1279,'Campos Growths'!$A:$A,0)),""))</f>
        <v/>
      </c>
      <c r="L1279" s="7" t="str">
        <f aca="false">IF(A1279="","",IF(G1279="não","Sem tabela no Growths",IF(I1279="","Sem campo no Growths",IF(J1279=K1279,"Importa direto","Ajustar tipo"))))</f>
        <v/>
      </c>
      <c r="M1279" s="9"/>
    </row>
    <row r="1280" customFormat="false" ht="15" hidden="false" customHeight="false" outlineLevel="0" collapsed="false">
      <c r="A1280" s="7" t="str">
        <f aca="false">IF('Outro banco'!A1280="","",IF(LEFT('Outro banco'!A1280,1)="(","",'Outro banco'!A1280))</f>
        <v/>
      </c>
      <c r="B1280" s="7" t="str">
        <f aca="false">IF(A1280="","",'Outro banco'!B1280)</f>
        <v/>
      </c>
      <c r="C1280" s="7" t="str">
        <f aca="false">IF(A1280="","",'Outro banco'!C1280)</f>
        <v/>
      </c>
      <c r="D1280" s="7" t="str">
        <f aca="false">IF(A1280="","",'Outro banco'!D1280)</f>
        <v/>
      </c>
      <c r="E1280" s="9"/>
      <c r="F1280" s="9"/>
      <c r="G1280" s="7" t="str">
        <f aca="false">IF(A1280="","",IF(COUNTIF(Tabelas!$A:$A,IF(E1280="",A1280,E1280))&gt;0,"sim","não"))</f>
        <v/>
      </c>
      <c r="H1280" s="7" t="str">
        <f aca="false">IF(A1280="","",IF(E1280="",A1280,E1280)&amp;"."&amp;IF(F1280="",B1280,F1280))</f>
        <v/>
      </c>
      <c r="I1280" s="7" t="str">
        <f aca="false">IF(A1280="","",IFERROR(INDEX('Campos Growths'!$F:$F,MATCH(H1280,'Campos Growths'!$A:$A,0)),""))</f>
        <v/>
      </c>
      <c r="J1280" s="7" t="str">
        <f aca="false">IF(A1280="","",IFERROR(VLOOKUP(IF(ISNUMBER(SEARCH("(",C1280)),LEFT(C1280,SEARCH("(",C1280)-1),C1280),Tipos!$A:$B,2,FALSE()),"outro"))</f>
        <v/>
      </c>
      <c r="K1280" s="7" t="str">
        <f aca="false">IF(I1280="","",IFERROR(INDEX('Campos Growths'!$L:$L,MATCH(H1280,'Campos Growths'!$A:$A,0)),""))</f>
        <v/>
      </c>
      <c r="L1280" s="7" t="str">
        <f aca="false">IF(A1280="","",IF(G1280="não","Sem tabela no Growths",IF(I1280="","Sem campo no Growths",IF(J1280=K1280,"Importa direto","Ajustar tipo"))))</f>
        <v/>
      </c>
      <c r="M1280" s="9"/>
    </row>
    <row r="1281" customFormat="false" ht="15" hidden="false" customHeight="false" outlineLevel="0" collapsed="false">
      <c r="A1281" s="7" t="str">
        <f aca="false">IF('Outro banco'!A1281="","",IF(LEFT('Outro banco'!A1281,1)="(","",'Outro banco'!A1281))</f>
        <v/>
      </c>
      <c r="B1281" s="7" t="str">
        <f aca="false">IF(A1281="","",'Outro banco'!B1281)</f>
        <v/>
      </c>
      <c r="C1281" s="7" t="str">
        <f aca="false">IF(A1281="","",'Outro banco'!C1281)</f>
        <v/>
      </c>
      <c r="D1281" s="7" t="str">
        <f aca="false">IF(A1281="","",'Outro banco'!D1281)</f>
        <v/>
      </c>
      <c r="E1281" s="9"/>
      <c r="F1281" s="9"/>
      <c r="G1281" s="7" t="str">
        <f aca="false">IF(A1281="","",IF(COUNTIF(Tabelas!$A:$A,IF(E1281="",A1281,E1281))&gt;0,"sim","não"))</f>
        <v/>
      </c>
      <c r="H1281" s="7" t="str">
        <f aca="false">IF(A1281="","",IF(E1281="",A1281,E1281)&amp;"."&amp;IF(F1281="",B1281,F1281))</f>
        <v/>
      </c>
      <c r="I1281" s="7" t="str">
        <f aca="false">IF(A1281="","",IFERROR(INDEX('Campos Growths'!$F:$F,MATCH(H1281,'Campos Growths'!$A:$A,0)),""))</f>
        <v/>
      </c>
      <c r="J1281" s="7" t="str">
        <f aca="false">IF(A1281="","",IFERROR(VLOOKUP(IF(ISNUMBER(SEARCH("(",C1281)),LEFT(C1281,SEARCH("(",C1281)-1),C1281),Tipos!$A:$B,2,FALSE()),"outro"))</f>
        <v/>
      </c>
      <c r="K1281" s="7" t="str">
        <f aca="false">IF(I1281="","",IFERROR(INDEX('Campos Growths'!$L:$L,MATCH(H1281,'Campos Growths'!$A:$A,0)),""))</f>
        <v/>
      </c>
      <c r="L1281" s="7" t="str">
        <f aca="false">IF(A1281="","",IF(G1281="não","Sem tabela no Growths",IF(I1281="","Sem campo no Growths",IF(J1281=K1281,"Importa direto","Ajustar tipo"))))</f>
        <v/>
      </c>
      <c r="M1281" s="9"/>
    </row>
    <row r="1282" customFormat="false" ht="15" hidden="false" customHeight="false" outlineLevel="0" collapsed="false">
      <c r="A1282" s="7" t="str">
        <f aca="false">IF('Outro banco'!A1282="","",IF(LEFT('Outro banco'!A1282,1)="(","",'Outro banco'!A1282))</f>
        <v/>
      </c>
      <c r="B1282" s="7" t="str">
        <f aca="false">IF(A1282="","",'Outro banco'!B1282)</f>
        <v/>
      </c>
      <c r="C1282" s="7" t="str">
        <f aca="false">IF(A1282="","",'Outro banco'!C1282)</f>
        <v/>
      </c>
      <c r="D1282" s="7" t="str">
        <f aca="false">IF(A1282="","",'Outro banco'!D1282)</f>
        <v/>
      </c>
      <c r="E1282" s="9"/>
      <c r="F1282" s="9"/>
      <c r="G1282" s="7" t="str">
        <f aca="false">IF(A1282="","",IF(COUNTIF(Tabelas!$A:$A,IF(E1282="",A1282,E1282))&gt;0,"sim","não"))</f>
        <v/>
      </c>
      <c r="H1282" s="7" t="str">
        <f aca="false">IF(A1282="","",IF(E1282="",A1282,E1282)&amp;"."&amp;IF(F1282="",B1282,F1282))</f>
        <v/>
      </c>
      <c r="I1282" s="7" t="str">
        <f aca="false">IF(A1282="","",IFERROR(INDEX('Campos Growths'!$F:$F,MATCH(H1282,'Campos Growths'!$A:$A,0)),""))</f>
        <v/>
      </c>
      <c r="J1282" s="7" t="str">
        <f aca="false">IF(A1282="","",IFERROR(VLOOKUP(IF(ISNUMBER(SEARCH("(",C1282)),LEFT(C1282,SEARCH("(",C1282)-1),C1282),Tipos!$A:$B,2,FALSE()),"outro"))</f>
        <v/>
      </c>
      <c r="K1282" s="7" t="str">
        <f aca="false">IF(I1282="","",IFERROR(INDEX('Campos Growths'!$L:$L,MATCH(H1282,'Campos Growths'!$A:$A,0)),""))</f>
        <v/>
      </c>
      <c r="L1282" s="7" t="str">
        <f aca="false">IF(A1282="","",IF(G1282="não","Sem tabela no Growths",IF(I1282="","Sem campo no Growths",IF(J1282=K1282,"Importa direto","Ajustar tipo"))))</f>
        <v/>
      </c>
      <c r="M1282" s="9"/>
    </row>
    <row r="1283" customFormat="false" ht="15" hidden="false" customHeight="false" outlineLevel="0" collapsed="false">
      <c r="A1283" s="7" t="str">
        <f aca="false">IF('Outro banco'!A1283="","",IF(LEFT('Outro banco'!A1283,1)="(","",'Outro banco'!A1283))</f>
        <v/>
      </c>
      <c r="B1283" s="7" t="str">
        <f aca="false">IF(A1283="","",'Outro banco'!B1283)</f>
        <v/>
      </c>
      <c r="C1283" s="7" t="str">
        <f aca="false">IF(A1283="","",'Outro banco'!C1283)</f>
        <v/>
      </c>
      <c r="D1283" s="7" t="str">
        <f aca="false">IF(A1283="","",'Outro banco'!D1283)</f>
        <v/>
      </c>
      <c r="E1283" s="9"/>
      <c r="F1283" s="9"/>
      <c r="G1283" s="7" t="str">
        <f aca="false">IF(A1283="","",IF(COUNTIF(Tabelas!$A:$A,IF(E1283="",A1283,E1283))&gt;0,"sim","não"))</f>
        <v/>
      </c>
      <c r="H1283" s="7" t="str">
        <f aca="false">IF(A1283="","",IF(E1283="",A1283,E1283)&amp;"."&amp;IF(F1283="",B1283,F1283))</f>
        <v/>
      </c>
      <c r="I1283" s="7" t="str">
        <f aca="false">IF(A1283="","",IFERROR(INDEX('Campos Growths'!$F:$F,MATCH(H1283,'Campos Growths'!$A:$A,0)),""))</f>
        <v/>
      </c>
      <c r="J1283" s="7" t="str">
        <f aca="false">IF(A1283="","",IFERROR(VLOOKUP(IF(ISNUMBER(SEARCH("(",C1283)),LEFT(C1283,SEARCH("(",C1283)-1),C1283),Tipos!$A:$B,2,FALSE()),"outro"))</f>
        <v/>
      </c>
      <c r="K1283" s="7" t="str">
        <f aca="false">IF(I1283="","",IFERROR(INDEX('Campos Growths'!$L:$L,MATCH(H1283,'Campos Growths'!$A:$A,0)),""))</f>
        <v/>
      </c>
      <c r="L1283" s="7" t="str">
        <f aca="false">IF(A1283="","",IF(G1283="não","Sem tabela no Growths",IF(I1283="","Sem campo no Growths",IF(J1283=K1283,"Importa direto","Ajustar tipo"))))</f>
        <v/>
      </c>
      <c r="M1283" s="9"/>
    </row>
    <row r="1284" customFormat="false" ht="15" hidden="false" customHeight="false" outlineLevel="0" collapsed="false">
      <c r="A1284" s="7" t="str">
        <f aca="false">IF('Outro banco'!A1284="","",IF(LEFT('Outro banco'!A1284,1)="(","",'Outro banco'!A1284))</f>
        <v/>
      </c>
      <c r="B1284" s="7" t="str">
        <f aca="false">IF(A1284="","",'Outro banco'!B1284)</f>
        <v/>
      </c>
      <c r="C1284" s="7" t="str">
        <f aca="false">IF(A1284="","",'Outro banco'!C1284)</f>
        <v/>
      </c>
      <c r="D1284" s="7" t="str">
        <f aca="false">IF(A1284="","",'Outro banco'!D1284)</f>
        <v/>
      </c>
      <c r="E1284" s="9"/>
      <c r="F1284" s="9"/>
      <c r="G1284" s="7" t="str">
        <f aca="false">IF(A1284="","",IF(COUNTIF(Tabelas!$A:$A,IF(E1284="",A1284,E1284))&gt;0,"sim","não"))</f>
        <v/>
      </c>
      <c r="H1284" s="7" t="str">
        <f aca="false">IF(A1284="","",IF(E1284="",A1284,E1284)&amp;"."&amp;IF(F1284="",B1284,F1284))</f>
        <v/>
      </c>
      <c r="I1284" s="7" t="str">
        <f aca="false">IF(A1284="","",IFERROR(INDEX('Campos Growths'!$F:$F,MATCH(H1284,'Campos Growths'!$A:$A,0)),""))</f>
        <v/>
      </c>
      <c r="J1284" s="7" t="str">
        <f aca="false">IF(A1284="","",IFERROR(VLOOKUP(IF(ISNUMBER(SEARCH("(",C1284)),LEFT(C1284,SEARCH("(",C1284)-1),C1284),Tipos!$A:$B,2,FALSE()),"outro"))</f>
        <v/>
      </c>
      <c r="K1284" s="7" t="str">
        <f aca="false">IF(I1284="","",IFERROR(INDEX('Campos Growths'!$L:$L,MATCH(H1284,'Campos Growths'!$A:$A,0)),""))</f>
        <v/>
      </c>
      <c r="L1284" s="7" t="str">
        <f aca="false">IF(A1284="","",IF(G1284="não","Sem tabela no Growths",IF(I1284="","Sem campo no Growths",IF(J1284=K1284,"Importa direto","Ajustar tipo"))))</f>
        <v/>
      </c>
      <c r="M1284" s="9"/>
    </row>
    <row r="1285" customFormat="false" ht="15" hidden="false" customHeight="false" outlineLevel="0" collapsed="false">
      <c r="A1285" s="7" t="str">
        <f aca="false">IF('Outro banco'!A1285="","",IF(LEFT('Outro banco'!A1285,1)="(","",'Outro banco'!A1285))</f>
        <v/>
      </c>
      <c r="B1285" s="7" t="str">
        <f aca="false">IF(A1285="","",'Outro banco'!B1285)</f>
        <v/>
      </c>
      <c r="C1285" s="7" t="str">
        <f aca="false">IF(A1285="","",'Outro banco'!C1285)</f>
        <v/>
      </c>
      <c r="D1285" s="7" t="str">
        <f aca="false">IF(A1285="","",'Outro banco'!D1285)</f>
        <v/>
      </c>
      <c r="E1285" s="9"/>
      <c r="F1285" s="9"/>
      <c r="G1285" s="7" t="str">
        <f aca="false">IF(A1285="","",IF(COUNTIF(Tabelas!$A:$A,IF(E1285="",A1285,E1285))&gt;0,"sim","não"))</f>
        <v/>
      </c>
      <c r="H1285" s="7" t="str">
        <f aca="false">IF(A1285="","",IF(E1285="",A1285,E1285)&amp;"."&amp;IF(F1285="",B1285,F1285))</f>
        <v/>
      </c>
      <c r="I1285" s="7" t="str">
        <f aca="false">IF(A1285="","",IFERROR(INDEX('Campos Growths'!$F:$F,MATCH(H1285,'Campos Growths'!$A:$A,0)),""))</f>
        <v/>
      </c>
      <c r="J1285" s="7" t="str">
        <f aca="false">IF(A1285="","",IFERROR(VLOOKUP(IF(ISNUMBER(SEARCH("(",C1285)),LEFT(C1285,SEARCH("(",C1285)-1),C1285),Tipos!$A:$B,2,FALSE()),"outro"))</f>
        <v/>
      </c>
      <c r="K1285" s="7" t="str">
        <f aca="false">IF(I1285="","",IFERROR(INDEX('Campos Growths'!$L:$L,MATCH(H1285,'Campos Growths'!$A:$A,0)),""))</f>
        <v/>
      </c>
      <c r="L1285" s="7" t="str">
        <f aca="false">IF(A1285="","",IF(G1285="não","Sem tabela no Growths",IF(I1285="","Sem campo no Growths",IF(J1285=K1285,"Importa direto","Ajustar tipo"))))</f>
        <v/>
      </c>
      <c r="M1285" s="9"/>
    </row>
    <row r="1286" customFormat="false" ht="15" hidden="false" customHeight="false" outlineLevel="0" collapsed="false">
      <c r="A1286" s="7" t="str">
        <f aca="false">IF('Outro banco'!A1286="","",IF(LEFT('Outro banco'!A1286,1)="(","",'Outro banco'!A1286))</f>
        <v/>
      </c>
      <c r="B1286" s="7" t="str">
        <f aca="false">IF(A1286="","",'Outro banco'!B1286)</f>
        <v/>
      </c>
      <c r="C1286" s="7" t="str">
        <f aca="false">IF(A1286="","",'Outro banco'!C1286)</f>
        <v/>
      </c>
      <c r="D1286" s="7" t="str">
        <f aca="false">IF(A1286="","",'Outro banco'!D1286)</f>
        <v/>
      </c>
      <c r="E1286" s="9"/>
      <c r="F1286" s="9"/>
      <c r="G1286" s="7" t="str">
        <f aca="false">IF(A1286="","",IF(COUNTIF(Tabelas!$A:$A,IF(E1286="",A1286,E1286))&gt;0,"sim","não"))</f>
        <v/>
      </c>
      <c r="H1286" s="7" t="str">
        <f aca="false">IF(A1286="","",IF(E1286="",A1286,E1286)&amp;"."&amp;IF(F1286="",B1286,F1286))</f>
        <v/>
      </c>
      <c r="I1286" s="7" t="str">
        <f aca="false">IF(A1286="","",IFERROR(INDEX('Campos Growths'!$F:$F,MATCH(H1286,'Campos Growths'!$A:$A,0)),""))</f>
        <v/>
      </c>
      <c r="J1286" s="7" t="str">
        <f aca="false">IF(A1286="","",IFERROR(VLOOKUP(IF(ISNUMBER(SEARCH("(",C1286)),LEFT(C1286,SEARCH("(",C1286)-1),C1286),Tipos!$A:$B,2,FALSE()),"outro"))</f>
        <v/>
      </c>
      <c r="K1286" s="7" t="str">
        <f aca="false">IF(I1286="","",IFERROR(INDEX('Campos Growths'!$L:$L,MATCH(H1286,'Campos Growths'!$A:$A,0)),""))</f>
        <v/>
      </c>
      <c r="L1286" s="7" t="str">
        <f aca="false">IF(A1286="","",IF(G1286="não","Sem tabela no Growths",IF(I1286="","Sem campo no Growths",IF(J1286=K1286,"Importa direto","Ajustar tipo"))))</f>
        <v/>
      </c>
      <c r="M1286" s="9"/>
    </row>
    <row r="1287" customFormat="false" ht="15" hidden="false" customHeight="false" outlineLevel="0" collapsed="false">
      <c r="A1287" s="7" t="str">
        <f aca="false">IF('Outro banco'!A1287="","",IF(LEFT('Outro banco'!A1287,1)="(","",'Outro banco'!A1287))</f>
        <v/>
      </c>
      <c r="B1287" s="7" t="str">
        <f aca="false">IF(A1287="","",'Outro banco'!B1287)</f>
        <v/>
      </c>
      <c r="C1287" s="7" t="str">
        <f aca="false">IF(A1287="","",'Outro banco'!C1287)</f>
        <v/>
      </c>
      <c r="D1287" s="7" t="str">
        <f aca="false">IF(A1287="","",'Outro banco'!D1287)</f>
        <v/>
      </c>
      <c r="E1287" s="9"/>
      <c r="F1287" s="9"/>
      <c r="G1287" s="7" t="str">
        <f aca="false">IF(A1287="","",IF(COUNTIF(Tabelas!$A:$A,IF(E1287="",A1287,E1287))&gt;0,"sim","não"))</f>
        <v/>
      </c>
      <c r="H1287" s="7" t="str">
        <f aca="false">IF(A1287="","",IF(E1287="",A1287,E1287)&amp;"."&amp;IF(F1287="",B1287,F1287))</f>
        <v/>
      </c>
      <c r="I1287" s="7" t="str">
        <f aca="false">IF(A1287="","",IFERROR(INDEX('Campos Growths'!$F:$F,MATCH(H1287,'Campos Growths'!$A:$A,0)),""))</f>
        <v/>
      </c>
      <c r="J1287" s="7" t="str">
        <f aca="false">IF(A1287="","",IFERROR(VLOOKUP(IF(ISNUMBER(SEARCH("(",C1287)),LEFT(C1287,SEARCH("(",C1287)-1),C1287),Tipos!$A:$B,2,FALSE()),"outro"))</f>
        <v/>
      </c>
      <c r="K1287" s="7" t="str">
        <f aca="false">IF(I1287="","",IFERROR(INDEX('Campos Growths'!$L:$L,MATCH(H1287,'Campos Growths'!$A:$A,0)),""))</f>
        <v/>
      </c>
      <c r="L1287" s="7" t="str">
        <f aca="false">IF(A1287="","",IF(G1287="não","Sem tabela no Growths",IF(I1287="","Sem campo no Growths",IF(J1287=K1287,"Importa direto","Ajustar tipo"))))</f>
        <v/>
      </c>
      <c r="M1287" s="9"/>
    </row>
    <row r="1288" customFormat="false" ht="15" hidden="false" customHeight="false" outlineLevel="0" collapsed="false">
      <c r="A1288" s="7" t="str">
        <f aca="false">IF('Outro banco'!A1288="","",IF(LEFT('Outro banco'!A1288,1)="(","",'Outro banco'!A1288))</f>
        <v/>
      </c>
      <c r="B1288" s="7" t="str">
        <f aca="false">IF(A1288="","",'Outro banco'!B1288)</f>
        <v/>
      </c>
      <c r="C1288" s="7" t="str">
        <f aca="false">IF(A1288="","",'Outro banco'!C1288)</f>
        <v/>
      </c>
      <c r="D1288" s="7" t="str">
        <f aca="false">IF(A1288="","",'Outro banco'!D1288)</f>
        <v/>
      </c>
      <c r="E1288" s="9"/>
      <c r="F1288" s="9"/>
      <c r="G1288" s="7" t="str">
        <f aca="false">IF(A1288="","",IF(COUNTIF(Tabelas!$A:$A,IF(E1288="",A1288,E1288))&gt;0,"sim","não"))</f>
        <v/>
      </c>
      <c r="H1288" s="7" t="str">
        <f aca="false">IF(A1288="","",IF(E1288="",A1288,E1288)&amp;"."&amp;IF(F1288="",B1288,F1288))</f>
        <v/>
      </c>
      <c r="I1288" s="7" t="str">
        <f aca="false">IF(A1288="","",IFERROR(INDEX('Campos Growths'!$F:$F,MATCH(H1288,'Campos Growths'!$A:$A,0)),""))</f>
        <v/>
      </c>
      <c r="J1288" s="7" t="str">
        <f aca="false">IF(A1288="","",IFERROR(VLOOKUP(IF(ISNUMBER(SEARCH("(",C1288)),LEFT(C1288,SEARCH("(",C1288)-1),C1288),Tipos!$A:$B,2,FALSE()),"outro"))</f>
        <v/>
      </c>
      <c r="K1288" s="7" t="str">
        <f aca="false">IF(I1288="","",IFERROR(INDEX('Campos Growths'!$L:$L,MATCH(H1288,'Campos Growths'!$A:$A,0)),""))</f>
        <v/>
      </c>
      <c r="L1288" s="7" t="str">
        <f aca="false">IF(A1288="","",IF(G1288="não","Sem tabela no Growths",IF(I1288="","Sem campo no Growths",IF(J1288=K1288,"Importa direto","Ajustar tipo"))))</f>
        <v/>
      </c>
      <c r="M1288" s="9"/>
    </row>
    <row r="1289" customFormat="false" ht="15" hidden="false" customHeight="false" outlineLevel="0" collapsed="false">
      <c r="A1289" s="7" t="str">
        <f aca="false">IF('Outro banco'!A1289="","",IF(LEFT('Outro banco'!A1289,1)="(","",'Outro banco'!A1289))</f>
        <v/>
      </c>
      <c r="B1289" s="7" t="str">
        <f aca="false">IF(A1289="","",'Outro banco'!B1289)</f>
        <v/>
      </c>
      <c r="C1289" s="7" t="str">
        <f aca="false">IF(A1289="","",'Outro banco'!C1289)</f>
        <v/>
      </c>
      <c r="D1289" s="7" t="str">
        <f aca="false">IF(A1289="","",'Outro banco'!D1289)</f>
        <v/>
      </c>
      <c r="E1289" s="9"/>
      <c r="F1289" s="9"/>
      <c r="G1289" s="7" t="str">
        <f aca="false">IF(A1289="","",IF(COUNTIF(Tabelas!$A:$A,IF(E1289="",A1289,E1289))&gt;0,"sim","não"))</f>
        <v/>
      </c>
      <c r="H1289" s="7" t="str">
        <f aca="false">IF(A1289="","",IF(E1289="",A1289,E1289)&amp;"."&amp;IF(F1289="",B1289,F1289))</f>
        <v/>
      </c>
      <c r="I1289" s="7" t="str">
        <f aca="false">IF(A1289="","",IFERROR(INDEX('Campos Growths'!$F:$F,MATCH(H1289,'Campos Growths'!$A:$A,0)),""))</f>
        <v/>
      </c>
      <c r="J1289" s="7" t="str">
        <f aca="false">IF(A1289="","",IFERROR(VLOOKUP(IF(ISNUMBER(SEARCH("(",C1289)),LEFT(C1289,SEARCH("(",C1289)-1),C1289),Tipos!$A:$B,2,FALSE()),"outro"))</f>
        <v/>
      </c>
      <c r="K1289" s="7" t="str">
        <f aca="false">IF(I1289="","",IFERROR(INDEX('Campos Growths'!$L:$L,MATCH(H1289,'Campos Growths'!$A:$A,0)),""))</f>
        <v/>
      </c>
      <c r="L1289" s="7" t="str">
        <f aca="false">IF(A1289="","",IF(G1289="não","Sem tabela no Growths",IF(I1289="","Sem campo no Growths",IF(J1289=K1289,"Importa direto","Ajustar tipo"))))</f>
        <v/>
      </c>
      <c r="M1289" s="9"/>
    </row>
    <row r="1290" customFormat="false" ht="15" hidden="false" customHeight="false" outlineLevel="0" collapsed="false">
      <c r="A1290" s="7" t="str">
        <f aca="false">IF('Outro banco'!A1290="","",IF(LEFT('Outro banco'!A1290,1)="(","",'Outro banco'!A1290))</f>
        <v/>
      </c>
      <c r="B1290" s="7" t="str">
        <f aca="false">IF(A1290="","",'Outro banco'!B1290)</f>
        <v/>
      </c>
      <c r="C1290" s="7" t="str">
        <f aca="false">IF(A1290="","",'Outro banco'!C1290)</f>
        <v/>
      </c>
      <c r="D1290" s="7" t="str">
        <f aca="false">IF(A1290="","",'Outro banco'!D1290)</f>
        <v/>
      </c>
      <c r="E1290" s="9"/>
      <c r="F1290" s="9"/>
      <c r="G1290" s="7" t="str">
        <f aca="false">IF(A1290="","",IF(COUNTIF(Tabelas!$A:$A,IF(E1290="",A1290,E1290))&gt;0,"sim","não"))</f>
        <v/>
      </c>
      <c r="H1290" s="7" t="str">
        <f aca="false">IF(A1290="","",IF(E1290="",A1290,E1290)&amp;"."&amp;IF(F1290="",B1290,F1290))</f>
        <v/>
      </c>
      <c r="I1290" s="7" t="str">
        <f aca="false">IF(A1290="","",IFERROR(INDEX('Campos Growths'!$F:$F,MATCH(H1290,'Campos Growths'!$A:$A,0)),""))</f>
        <v/>
      </c>
      <c r="J1290" s="7" t="str">
        <f aca="false">IF(A1290="","",IFERROR(VLOOKUP(IF(ISNUMBER(SEARCH("(",C1290)),LEFT(C1290,SEARCH("(",C1290)-1),C1290),Tipos!$A:$B,2,FALSE()),"outro"))</f>
        <v/>
      </c>
      <c r="K1290" s="7" t="str">
        <f aca="false">IF(I1290="","",IFERROR(INDEX('Campos Growths'!$L:$L,MATCH(H1290,'Campos Growths'!$A:$A,0)),""))</f>
        <v/>
      </c>
      <c r="L1290" s="7" t="str">
        <f aca="false">IF(A1290="","",IF(G1290="não","Sem tabela no Growths",IF(I1290="","Sem campo no Growths",IF(J1290=K1290,"Importa direto","Ajustar tipo"))))</f>
        <v/>
      </c>
      <c r="M1290" s="9"/>
    </row>
    <row r="1291" customFormat="false" ht="15" hidden="false" customHeight="false" outlineLevel="0" collapsed="false">
      <c r="A1291" s="7" t="str">
        <f aca="false">IF('Outro banco'!A1291="","",IF(LEFT('Outro banco'!A1291,1)="(","",'Outro banco'!A1291))</f>
        <v/>
      </c>
      <c r="B1291" s="7" t="str">
        <f aca="false">IF(A1291="","",'Outro banco'!B1291)</f>
        <v/>
      </c>
      <c r="C1291" s="7" t="str">
        <f aca="false">IF(A1291="","",'Outro banco'!C1291)</f>
        <v/>
      </c>
      <c r="D1291" s="7" t="str">
        <f aca="false">IF(A1291="","",'Outro banco'!D1291)</f>
        <v/>
      </c>
      <c r="E1291" s="9"/>
      <c r="F1291" s="9"/>
      <c r="G1291" s="7" t="str">
        <f aca="false">IF(A1291="","",IF(COUNTIF(Tabelas!$A:$A,IF(E1291="",A1291,E1291))&gt;0,"sim","não"))</f>
        <v/>
      </c>
      <c r="H1291" s="7" t="str">
        <f aca="false">IF(A1291="","",IF(E1291="",A1291,E1291)&amp;"."&amp;IF(F1291="",B1291,F1291))</f>
        <v/>
      </c>
      <c r="I1291" s="7" t="str">
        <f aca="false">IF(A1291="","",IFERROR(INDEX('Campos Growths'!$F:$F,MATCH(H1291,'Campos Growths'!$A:$A,0)),""))</f>
        <v/>
      </c>
      <c r="J1291" s="7" t="str">
        <f aca="false">IF(A1291="","",IFERROR(VLOOKUP(IF(ISNUMBER(SEARCH("(",C1291)),LEFT(C1291,SEARCH("(",C1291)-1),C1291),Tipos!$A:$B,2,FALSE()),"outro"))</f>
        <v/>
      </c>
      <c r="K1291" s="7" t="str">
        <f aca="false">IF(I1291="","",IFERROR(INDEX('Campos Growths'!$L:$L,MATCH(H1291,'Campos Growths'!$A:$A,0)),""))</f>
        <v/>
      </c>
      <c r="L1291" s="7" t="str">
        <f aca="false">IF(A1291="","",IF(G1291="não","Sem tabela no Growths",IF(I1291="","Sem campo no Growths",IF(J1291=K1291,"Importa direto","Ajustar tipo"))))</f>
        <v/>
      </c>
      <c r="M1291" s="9"/>
    </row>
    <row r="1292" customFormat="false" ht="15" hidden="false" customHeight="false" outlineLevel="0" collapsed="false">
      <c r="A1292" s="7" t="str">
        <f aca="false">IF('Outro banco'!A1292="","",IF(LEFT('Outro banco'!A1292,1)="(","",'Outro banco'!A1292))</f>
        <v/>
      </c>
      <c r="B1292" s="7" t="str">
        <f aca="false">IF(A1292="","",'Outro banco'!B1292)</f>
        <v/>
      </c>
      <c r="C1292" s="7" t="str">
        <f aca="false">IF(A1292="","",'Outro banco'!C1292)</f>
        <v/>
      </c>
      <c r="D1292" s="7" t="str">
        <f aca="false">IF(A1292="","",'Outro banco'!D1292)</f>
        <v/>
      </c>
      <c r="E1292" s="9"/>
      <c r="F1292" s="9"/>
      <c r="G1292" s="7" t="str">
        <f aca="false">IF(A1292="","",IF(COUNTIF(Tabelas!$A:$A,IF(E1292="",A1292,E1292))&gt;0,"sim","não"))</f>
        <v/>
      </c>
      <c r="H1292" s="7" t="str">
        <f aca="false">IF(A1292="","",IF(E1292="",A1292,E1292)&amp;"."&amp;IF(F1292="",B1292,F1292))</f>
        <v/>
      </c>
      <c r="I1292" s="7" t="str">
        <f aca="false">IF(A1292="","",IFERROR(INDEX('Campos Growths'!$F:$F,MATCH(H1292,'Campos Growths'!$A:$A,0)),""))</f>
        <v/>
      </c>
      <c r="J1292" s="7" t="str">
        <f aca="false">IF(A1292="","",IFERROR(VLOOKUP(IF(ISNUMBER(SEARCH("(",C1292)),LEFT(C1292,SEARCH("(",C1292)-1),C1292),Tipos!$A:$B,2,FALSE()),"outro"))</f>
        <v/>
      </c>
      <c r="K1292" s="7" t="str">
        <f aca="false">IF(I1292="","",IFERROR(INDEX('Campos Growths'!$L:$L,MATCH(H1292,'Campos Growths'!$A:$A,0)),""))</f>
        <v/>
      </c>
      <c r="L1292" s="7" t="str">
        <f aca="false">IF(A1292="","",IF(G1292="não","Sem tabela no Growths",IF(I1292="","Sem campo no Growths",IF(J1292=K1292,"Importa direto","Ajustar tipo"))))</f>
        <v/>
      </c>
      <c r="M1292" s="9"/>
    </row>
    <row r="1293" customFormat="false" ht="15" hidden="false" customHeight="false" outlineLevel="0" collapsed="false">
      <c r="A1293" s="7" t="str">
        <f aca="false">IF('Outro banco'!A1293="","",IF(LEFT('Outro banco'!A1293,1)="(","",'Outro banco'!A1293))</f>
        <v/>
      </c>
      <c r="B1293" s="7" t="str">
        <f aca="false">IF(A1293="","",'Outro banco'!B1293)</f>
        <v/>
      </c>
      <c r="C1293" s="7" t="str">
        <f aca="false">IF(A1293="","",'Outro banco'!C1293)</f>
        <v/>
      </c>
      <c r="D1293" s="7" t="str">
        <f aca="false">IF(A1293="","",'Outro banco'!D1293)</f>
        <v/>
      </c>
      <c r="E1293" s="9"/>
      <c r="F1293" s="9"/>
      <c r="G1293" s="7" t="str">
        <f aca="false">IF(A1293="","",IF(COUNTIF(Tabelas!$A:$A,IF(E1293="",A1293,E1293))&gt;0,"sim","não"))</f>
        <v/>
      </c>
      <c r="H1293" s="7" t="str">
        <f aca="false">IF(A1293="","",IF(E1293="",A1293,E1293)&amp;"."&amp;IF(F1293="",B1293,F1293))</f>
        <v/>
      </c>
      <c r="I1293" s="7" t="str">
        <f aca="false">IF(A1293="","",IFERROR(INDEX('Campos Growths'!$F:$F,MATCH(H1293,'Campos Growths'!$A:$A,0)),""))</f>
        <v/>
      </c>
      <c r="J1293" s="7" t="str">
        <f aca="false">IF(A1293="","",IFERROR(VLOOKUP(IF(ISNUMBER(SEARCH("(",C1293)),LEFT(C1293,SEARCH("(",C1293)-1),C1293),Tipos!$A:$B,2,FALSE()),"outro"))</f>
        <v/>
      </c>
      <c r="K1293" s="7" t="str">
        <f aca="false">IF(I1293="","",IFERROR(INDEX('Campos Growths'!$L:$L,MATCH(H1293,'Campos Growths'!$A:$A,0)),""))</f>
        <v/>
      </c>
      <c r="L1293" s="7" t="str">
        <f aca="false">IF(A1293="","",IF(G1293="não","Sem tabela no Growths",IF(I1293="","Sem campo no Growths",IF(J1293=K1293,"Importa direto","Ajustar tipo"))))</f>
        <v/>
      </c>
      <c r="M1293" s="9"/>
    </row>
    <row r="1294" customFormat="false" ht="15" hidden="false" customHeight="false" outlineLevel="0" collapsed="false">
      <c r="A1294" s="7" t="str">
        <f aca="false">IF('Outro banco'!A1294="","",IF(LEFT('Outro banco'!A1294,1)="(","",'Outro banco'!A1294))</f>
        <v/>
      </c>
      <c r="B1294" s="7" t="str">
        <f aca="false">IF(A1294="","",'Outro banco'!B1294)</f>
        <v/>
      </c>
      <c r="C1294" s="7" t="str">
        <f aca="false">IF(A1294="","",'Outro banco'!C1294)</f>
        <v/>
      </c>
      <c r="D1294" s="7" t="str">
        <f aca="false">IF(A1294="","",'Outro banco'!D1294)</f>
        <v/>
      </c>
      <c r="E1294" s="9"/>
      <c r="F1294" s="9"/>
      <c r="G1294" s="7" t="str">
        <f aca="false">IF(A1294="","",IF(COUNTIF(Tabelas!$A:$A,IF(E1294="",A1294,E1294))&gt;0,"sim","não"))</f>
        <v/>
      </c>
      <c r="H1294" s="7" t="str">
        <f aca="false">IF(A1294="","",IF(E1294="",A1294,E1294)&amp;"."&amp;IF(F1294="",B1294,F1294))</f>
        <v/>
      </c>
      <c r="I1294" s="7" t="str">
        <f aca="false">IF(A1294="","",IFERROR(INDEX('Campos Growths'!$F:$F,MATCH(H1294,'Campos Growths'!$A:$A,0)),""))</f>
        <v/>
      </c>
      <c r="J1294" s="7" t="str">
        <f aca="false">IF(A1294="","",IFERROR(VLOOKUP(IF(ISNUMBER(SEARCH("(",C1294)),LEFT(C1294,SEARCH("(",C1294)-1),C1294),Tipos!$A:$B,2,FALSE()),"outro"))</f>
        <v/>
      </c>
      <c r="K1294" s="7" t="str">
        <f aca="false">IF(I1294="","",IFERROR(INDEX('Campos Growths'!$L:$L,MATCH(H1294,'Campos Growths'!$A:$A,0)),""))</f>
        <v/>
      </c>
      <c r="L1294" s="7" t="str">
        <f aca="false">IF(A1294="","",IF(G1294="não","Sem tabela no Growths",IF(I1294="","Sem campo no Growths",IF(J1294=K1294,"Importa direto","Ajustar tipo"))))</f>
        <v/>
      </c>
      <c r="M1294" s="9"/>
    </row>
    <row r="1295" customFormat="false" ht="15" hidden="false" customHeight="false" outlineLevel="0" collapsed="false">
      <c r="A1295" s="7" t="str">
        <f aca="false">IF('Outro banco'!A1295="","",IF(LEFT('Outro banco'!A1295,1)="(","",'Outro banco'!A1295))</f>
        <v/>
      </c>
      <c r="B1295" s="7" t="str">
        <f aca="false">IF(A1295="","",'Outro banco'!B1295)</f>
        <v/>
      </c>
      <c r="C1295" s="7" t="str">
        <f aca="false">IF(A1295="","",'Outro banco'!C1295)</f>
        <v/>
      </c>
      <c r="D1295" s="7" t="str">
        <f aca="false">IF(A1295="","",'Outro banco'!D1295)</f>
        <v/>
      </c>
      <c r="E1295" s="9"/>
      <c r="F1295" s="9"/>
      <c r="G1295" s="7" t="str">
        <f aca="false">IF(A1295="","",IF(COUNTIF(Tabelas!$A:$A,IF(E1295="",A1295,E1295))&gt;0,"sim","não"))</f>
        <v/>
      </c>
      <c r="H1295" s="7" t="str">
        <f aca="false">IF(A1295="","",IF(E1295="",A1295,E1295)&amp;"."&amp;IF(F1295="",B1295,F1295))</f>
        <v/>
      </c>
      <c r="I1295" s="7" t="str">
        <f aca="false">IF(A1295="","",IFERROR(INDEX('Campos Growths'!$F:$F,MATCH(H1295,'Campos Growths'!$A:$A,0)),""))</f>
        <v/>
      </c>
      <c r="J1295" s="7" t="str">
        <f aca="false">IF(A1295="","",IFERROR(VLOOKUP(IF(ISNUMBER(SEARCH("(",C1295)),LEFT(C1295,SEARCH("(",C1295)-1),C1295),Tipos!$A:$B,2,FALSE()),"outro"))</f>
        <v/>
      </c>
      <c r="K1295" s="7" t="str">
        <f aca="false">IF(I1295="","",IFERROR(INDEX('Campos Growths'!$L:$L,MATCH(H1295,'Campos Growths'!$A:$A,0)),""))</f>
        <v/>
      </c>
      <c r="L1295" s="7" t="str">
        <f aca="false">IF(A1295="","",IF(G1295="não","Sem tabela no Growths",IF(I1295="","Sem campo no Growths",IF(J1295=K1295,"Importa direto","Ajustar tipo"))))</f>
        <v/>
      </c>
      <c r="M1295" s="9"/>
    </row>
    <row r="1296" customFormat="false" ht="15" hidden="false" customHeight="false" outlineLevel="0" collapsed="false">
      <c r="A1296" s="7" t="str">
        <f aca="false">IF('Outro banco'!A1296="","",IF(LEFT('Outro banco'!A1296,1)="(","",'Outro banco'!A1296))</f>
        <v/>
      </c>
      <c r="B1296" s="7" t="str">
        <f aca="false">IF(A1296="","",'Outro banco'!B1296)</f>
        <v/>
      </c>
      <c r="C1296" s="7" t="str">
        <f aca="false">IF(A1296="","",'Outro banco'!C1296)</f>
        <v/>
      </c>
      <c r="D1296" s="7" t="str">
        <f aca="false">IF(A1296="","",'Outro banco'!D1296)</f>
        <v/>
      </c>
      <c r="E1296" s="9"/>
      <c r="F1296" s="9"/>
      <c r="G1296" s="7" t="str">
        <f aca="false">IF(A1296="","",IF(COUNTIF(Tabelas!$A:$A,IF(E1296="",A1296,E1296))&gt;0,"sim","não"))</f>
        <v/>
      </c>
      <c r="H1296" s="7" t="str">
        <f aca="false">IF(A1296="","",IF(E1296="",A1296,E1296)&amp;"."&amp;IF(F1296="",B1296,F1296))</f>
        <v/>
      </c>
      <c r="I1296" s="7" t="str">
        <f aca="false">IF(A1296="","",IFERROR(INDEX('Campos Growths'!$F:$F,MATCH(H1296,'Campos Growths'!$A:$A,0)),""))</f>
        <v/>
      </c>
      <c r="J1296" s="7" t="str">
        <f aca="false">IF(A1296="","",IFERROR(VLOOKUP(IF(ISNUMBER(SEARCH("(",C1296)),LEFT(C1296,SEARCH("(",C1296)-1),C1296),Tipos!$A:$B,2,FALSE()),"outro"))</f>
        <v/>
      </c>
      <c r="K1296" s="7" t="str">
        <f aca="false">IF(I1296="","",IFERROR(INDEX('Campos Growths'!$L:$L,MATCH(H1296,'Campos Growths'!$A:$A,0)),""))</f>
        <v/>
      </c>
      <c r="L1296" s="7" t="str">
        <f aca="false">IF(A1296="","",IF(G1296="não","Sem tabela no Growths",IF(I1296="","Sem campo no Growths",IF(J1296=K1296,"Importa direto","Ajustar tipo"))))</f>
        <v/>
      </c>
      <c r="M1296" s="9"/>
    </row>
    <row r="1297" customFormat="false" ht="15" hidden="false" customHeight="false" outlineLevel="0" collapsed="false">
      <c r="A1297" s="7" t="str">
        <f aca="false">IF('Outro banco'!A1297="","",IF(LEFT('Outro banco'!A1297,1)="(","",'Outro banco'!A1297))</f>
        <v/>
      </c>
      <c r="B1297" s="7" t="str">
        <f aca="false">IF(A1297="","",'Outro banco'!B1297)</f>
        <v/>
      </c>
      <c r="C1297" s="7" t="str">
        <f aca="false">IF(A1297="","",'Outro banco'!C1297)</f>
        <v/>
      </c>
      <c r="D1297" s="7" t="str">
        <f aca="false">IF(A1297="","",'Outro banco'!D1297)</f>
        <v/>
      </c>
      <c r="E1297" s="9"/>
      <c r="F1297" s="9"/>
      <c r="G1297" s="7" t="str">
        <f aca="false">IF(A1297="","",IF(COUNTIF(Tabelas!$A:$A,IF(E1297="",A1297,E1297))&gt;0,"sim","não"))</f>
        <v/>
      </c>
      <c r="H1297" s="7" t="str">
        <f aca="false">IF(A1297="","",IF(E1297="",A1297,E1297)&amp;"."&amp;IF(F1297="",B1297,F1297))</f>
        <v/>
      </c>
      <c r="I1297" s="7" t="str">
        <f aca="false">IF(A1297="","",IFERROR(INDEX('Campos Growths'!$F:$F,MATCH(H1297,'Campos Growths'!$A:$A,0)),""))</f>
        <v/>
      </c>
      <c r="J1297" s="7" t="str">
        <f aca="false">IF(A1297="","",IFERROR(VLOOKUP(IF(ISNUMBER(SEARCH("(",C1297)),LEFT(C1297,SEARCH("(",C1297)-1),C1297),Tipos!$A:$B,2,FALSE()),"outro"))</f>
        <v/>
      </c>
      <c r="K1297" s="7" t="str">
        <f aca="false">IF(I1297="","",IFERROR(INDEX('Campos Growths'!$L:$L,MATCH(H1297,'Campos Growths'!$A:$A,0)),""))</f>
        <v/>
      </c>
      <c r="L1297" s="7" t="str">
        <f aca="false">IF(A1297="","",IF(G1297="não","Sem tabela no Growths",IF(I1297="","Sem campo no Growths",IF(J1297=K1297,"Importa direto","Ajustar tipo"))))</f>
        <v/>
      </c>
      <c r="M1297" s="9"/>
    </row>
    <row r="1298" customFormat="false" ht="15" hidden="false" customHeight="false" outlineLevel="0" collapsed="false">
      <c r="A1298" s="7" t="str">
        <f aca="false">IF('Outro banco'!A1298="","",IF(LEFT('Outro banco'!A1298,1)="(","",'Outro banco'!A1298))</f>
        <v/>
      </c>
      <c r="B1298" s="7" t="str">
        <f aca="false">IF(A1298="","",'Outro banco'!B1298)</f>
        <v/>
      </c>
      <c r="C1298" s="7" t="str">
        <f aca="false">IF(A1298="","",'Outro banco'!C1298)</f>
        <v/>
      </c>
      <c r="D1298" s="7" t="str">
        <f aca="false">IF(A1298="","",'Outro banco'!D1298)</f>
        <v/>
      </c>
      <c r="E1298" s="9"/>
      <c r="F1298" s="9"/>
      <c r="G1298" s="7" t="str">
        <f aca="false">IF(A1298="","",IF(COUNTIF(Tabelas!$A:$A,IF(E1298="",A1298,E1298))&gt;0,"sim","não"))</f>
        <v/>
      </c>
      <c r="H1298" s="7" t="str">
        <f aca="false">IF(A1298="","",IF(E1298="",A1298,E1298)&amp;"."&amp;IF(F1298="",B1298,F1298))</f>
        <v/>
      </c>
      <c r="I1298" s="7" t="str">
        <f aca="false">IF(A1298="","",IFERROR(INDEX('Campos Growths'!$F:$F,MATCH(H1298,'Campos Growths'!$A:$A,0)),""))</f>
        <v/>
      </c>
      <c r="J1298" s="7" t="str">
        <f aca="false">IF(A1298="","",IFERROR(VLOOKUP(IF(ISNUMBER(SEARCH("(",C1298)),LEFT(C1298,SEARCH("(",C1298)-1),C1298),Tipos!$A:$B,2,FALSE()),"outro"))</f>
        <v/>
      </c>
      <c r="K1298" s="7" t="str">
        <f aca="false">IF(I1298="","",IFERROR(INDEX('Campos Growths'!$L:$L,MATCH(H1298,'Campos Growths'!$A:$A,0)),""))</f>
        <v/>
      </c>
      <c r="L1298" s="7" t="str">
        <f aca="false">IF(A1298="","",IF(G1298="não","Sem tabela no Growths",IF(I1298="","Sem campo no Growths",IF(J1298=K1298,"Importa direto","Ajustar tipo"))))</f>
        <v/>
      </c>
      <c r="M1298" s="9"/>
    </row>
    <row r="1299" customFormat="false" ht="15" hidden="false" customHeight="false" outlineLevel="0" collapsed="false">
      <c r="A1299" s="7" t="str">
        <f aca="false">IF('Outro banco'!A1299="","",IF(LEFT('Outro banco'!A1299,1)="(","",'Outro banco'!A1299))</f>
        <v/>
      </c>
      <c r="B1299" s="7" t="str">
        <f aca="false">IF(A1299="","",'Outro banco'!B1299)</f>
        <v/>
      </c>
      <c r="C1299" s="7" t="str">
        <f aca="false">IF(A1299="","",'Outro banco'!C1299)</f>
        <v/>
      </c>
      <c r="D1299" s="7" t="str">
        <f aca="false">IF(A1299="","",'Outro banco'!D1299)</f>
        <v/>
      </c>
      <c r="E1299" s="9"/>
      <c r="F1299" s="9"/>
      <c r="G1299" s="7" t="str">
        <f aca="false">IF(A1299="","",IF(COUNTIF(Tabelas!$A:$A,IF(E1299="",A1299,E1299))&gt;0,"sim","não"))</f>
        <v/>
      </c>
      <c r="H1299" s="7" t="str">
        <f aca="false">IF(A1299="","",IF(E1299="",A1299,E1299)&amp;"."&amp;IF(F1299="",B1299,F1299))</f>
        <v/>
      </c>
      <c r="I1299" s="7" t="str">
        <f aca="false">IF(A1299="","",IFERROR(INDEX('Campos Growths'!$F:$F,MATCH(H1299,'Campos Growths'!$A:$A,0)),""))</f>
        <v/>
      </c>
      <c r="J1299" s="7" t="str">
        <f aca="false">IF(A1299="","",IFERROR(VLOOKUP(IF(ISNUMBER(SEARCH("(",C1299)),LEFT(C1299,SEARCH("(",C1299)-1),C1299),Tipos!$A:$B,2,FALSE()),"outro"))</f>
        <v/>
      </c>
      <c r="K1299" s="7" t="str">
        <f aca="false">IF(I1299="","",IFERROR(INDEX('Campos Growths'!$L:$L,MATCH(H1299,'Campos Growths'!$A:$A,0)),""))</f>
        <v/>
      </c>
      <c r="L1299" s="7" t="str">
        <f aca="false">IF(A1299="","",IF(G1299="não","Sem tabela no Growths",IF(I1299="","Sem campo no Growths",IF(J1299=K1299,"Importa direto","Ajustar tipo"))))</f>
        <v/>
      </c>
      <c r="M1299" s="9"/>
    </row>
    <row r="1300" customFormat="false" ht="15" hidden="false" customHeight="false" outlineLevel="0" collapsed="false">
      <c r="A1300" s="7" t="str">
        <f aca="false">IF('Outro banco'!A1300="","",IF(LEFT('Outro banco'!A1300,1)="(","",'Outro banco'!A1300))</f>
        <v/>
      </c>
      <c r="B1300" s="7" t="str">
        <f aca="false">IF(A1300="","",'Outro banco'!B1300)</f>
        <v/>
      </c>
      <c r="C1300" s="7" t="str">
        <f aca="false">IF(A1300="","",'Outro banco'!C1300)</f>
        <v/>
      </c>
      <c r="D1300" s="7" t="str">
        <f aca="false">IF(A1300="","",'Outro banco'!D1300)</f>
        <v/>
      </c>
      <c r="E1300" s="9"/>
      <c r="F1300" s="9"/>
      <c r="G1300" s="7" t="str">
        <f aca="false">IF(A1300="","",IF(COUNTIF(Tabelas!$A:$A,IF(E1300="",A1300,E1300))&gt;0,"sim","não"))</f>
        <v/>
      </c>
      <c r="H1300" s="7" t="str">
        <f aca="false">IF(A1300="","",IF(E1300="",A1300,E1300)&amp;"."&amp;IF(F1300="",B1300,F1300))</f>
        <v/>
      </c>
      <c r="I1300" s="7" t="str">
        <f aca="false">IF(A1300="","",IFERROR(INDEX('Campos Growths'!$F:$F,MATCH(H1300,'Campos Growths'!$A:$A,0)),""))</f>
        <v/>
      </c>
      <c r="J1300" s="7" t="str">
        <f aca="false">IF(A1300="","",IFERROR(VLOOKUP(IF(ISNUMBER(SEARCH("(",C1300)),LEFT(C1300,SEARCH("(",C1300)-1),C1300),Tipos!$A:$B,2,FALSE()),"outro"))</f>
        <v/>
      </c>
      <c r="K1300" s="7" t="str">
        <f aca="false">IF(I1300="","",IFERROR(INDEX('Campos Growths'!$L:$L,MATCH(H1300,'Campos Growths'!$A:$A,0)),""))</f>
        <v/>
      </c>
      <c r="L1300" s="7" t="str">
        <f aca="false">IF(A1300="","",IF(G1300="não","Sem tabela no Growths",IF(I1300="","Sem campo no Growths",IF(J1300=K1300,"Importa direto","Ajustar tipo"))))</f>
        <v/>
      </c>
      <c r="M1300" s="9"/>
    </row>
    <row r="1301" customFormat="false" ht="15" hidden="false" customHeight="false" outlineLevel="0" collapsed="false">
      <c r="A1301" s="7" t="str">
        <f aca="false">IF('Outro banco'!A1301="","",IF(LEFT('Outro banco'!A1301,1)="(","",'Outro banco'!A1301))</f>
        <v/>
      </c>
      <c r="B1301" s="7" t="str">
        <f aca="false">IF(A1301="","",'Outro banco'!B1301)</f>
        <v/>
      </c>
      <c r="C1301" s="7" t="str">
        <f aca="false">IF(A1301="","",'Outro banco'!C1301)</f>
        <v/>
      </c>
      <c r="D1301" s="7" t="str">
        <f aca="false">IF(A1301="","",'Outro banco'!D1301)</f>
        <v/>
      </c>
      <c r="E1301" s="9"/>
      <c r="F1301" s="9"/>
      <c r="G1301" s="7" t="str">
        <f aca="false">IF(A1301="","",IF(COUNTIF(Tabelas!$A:$A,IF(E1301="",A1301,E1301))&gt;0,"sim","não"))</f>
        <v/>
      </c>
      <c r="H1301" s="7" t="str">
        <f aca="false">IF(A1301="","",IF(E1301="",A1301,E1301)&amp;"."&amp;IF(F1301="",B1301,F1301))</f>
        <v/>
      </c>
      <c r="I1301" s="7" t="str">
        <f aca="false">IF(A1301="","",IFERROR(INDEX('Campos Growths'!$F:$F,MATCH(H1301,'Campos Growths'!$A:$A,0)),""))</f>
        <v/>
      </c>
      <c r="J1301" s="7" t="str">
        <f aca="false">IF(A1301="","",IFERROR(VLOOKUP(IF(ISNUMBER(SEARCH("(",C1301)),LEFT(C1301,SEARCH("(",C1301)-1),C1301),Tipos!$A:$B,2,FALSE()),"outro"))</f>
        <v/>
      </c>
      <c r="K1301" s="7" t="str">
        <f aca="false">IF(I1301="","",IFERROR(INDEX('Campos Growths'!$L:$L,MATCH(H1301,'Campos Growths'!$A:$A,0)),""))</f>
        <v/>
      </c>
      <c r="L1301" s="7" t="str">
        <f aca="false">IF(A1301="","",IF(G1301="não","Sem tabela no Growths",IF(I1301="","Sem campo no Growths",IF(J1301=K1301,"Importa direto","Ajustar tipo"))))</f>
        <v/>
      </c>
      <c r="M1301" s="9"/>
    </row>
    <row r="1302" customFormat="false" ht="15" hidden="false" customHeight="false" outlineLevel="0" collapsed="false">
      <c r="A1302" s="7" t="str">
        <f aca="false">IF('Outro banco'!A1302="","",IF(LEFT('Outro banco'!A1302,1)="(","",'Outro banco'!A1302))</f>
        <v/>
      </c>
      <c r="B1302" s="7" t="str">
        <f aca="false">IF(A1302="","",'Outro banco'!B1302)</f>
        <v/>
      </c>
      <c r="C1302" s="7" t="str">
        <f aca="false">IF(A1302="","",'Outro banco'!C1302)</f>
        <v/>
      </c>
      <c r="D1302" s="7" t="str">
        <f aca="false">IF(A1302="","",'Outro banco'!D1302)</f>
        <v/>
      </c>
      <c r="E1302" s="9"/>
      <c r="F1302" s="9"/>
      <c r="G1302" s="7" t="str">
        <f aca="false">IF(A1302="","",IF(COUNTIF(Tabelas!$A:$A,IF(E1302="",A1302,E1302))&gt;0,"sim","não"))</f>
        <v/>
      </c>
      <c r="H1302" s="7" t="str">
        <f aca="false">IF(A1302="","",IF(E1302="",A1302,E1302)&amp;"."&amp;IF(F1302="",B1302,F1302))</f>
        <v/>
      </c>
      <c r="I1302" s="7" t="str">
        <f aca="false">IF(A1302="","",IFERROR(INDEX('Campos Growths'!$F:$F,MATCH(H1302,'Campos Growths'!$A:$A,0)),""))</f>
        <v/>
      </c>
      <c r="J1302" s="7" t="str">
        <f aca="false">IF(A1302="","",IFERROR(VLOOKUP(IF(ISNUMBER(SEARCH("(",C1302)),LEFT(C1302,SEARCH("(",C1302)-1),C1302),Tipos!$A:$B,2,FALSE()),"outro"))</f>
        <v/>
      </c>
      <c r="K1302" s="7" t="str">
        <f aca="false">IF(I1302="","",IFERROR(INDEX('Campos Growths'!$L:$L,MATCH(H1302,'Campos Growths'!$A:$A,0)),""))</f>
        <v/>
      </c>
      <c r="L1302" s="7" t="str">
        <f aca="false">IF(A1302="","",IF(G1302="não","Sem tabela no Growths",IF(I1302="","Sem campo no Growths",IF(J1302=K1302,"Importa direto","Ajustar tipo"))))</f>
        <v/>
      </c>
      <c r="M1302" s="9"/>
    </row>
    <row r="1303" customFormat="false" ht="15" hidden="false" customHeight="false" outlineLevel="0" collapsed="false">
      <c r="A1303" s="7" t="str">
        <f aca="false">IF('Outro banco'!A1303="","",IF(LEFT('Outro banco'!A1303,1)="(","",'Outro banco'!A1303))</f>
        <v/>
      </c>
      <c r="B1303" s="7" t="str">
        <f aca="false">IF(A1303="","",'Outro banco'!B1303)</f>
        <v/>
      </c>
      <c r="C1303" s="7" t="str">
        <f aca="false">IF(A1303="","",'Outro banco'!C1303)</f>
        <v/>
      </c>
      <c r="D1303" s="7" t="str">
        <f aca="false">IF(A1303="","",'Outro banco'!D1303)</f>
        <v/>
      </c>
      <c r="E1303" s="9"/>
      <c r="F1303" s="9"/>
      <c r="G1303" s="7" t="str">
        <f aca="false">IF(A1303="","",IF(COUNTIF(Tabelas!$A:$A,IF(E1303="",A1303,E1303))&gt;0,"sim","não"))</f>
        <v/>
      </c>
      <c r="H1303" s="7" t="str">
        <f aca="false">IF(A1303="","",IF(E1303="",A1303,E1303)&amp;"."&amp;IF(F1303="",B1303,F1303))</f>
        <v/>
      </c>
      <c r="I1303" s="7" t="str">
        <f aca="false">IF(A1303="","",IFERROR(INDEX('Campos Growths'!$F:$F,MATCH(H1303,'Campos Growths'!$A:$A,0)),""))</f>
        <v/>
      </c>
      <c r="J1303" s="7" t="str">
        <f aca="false">IF(A1303="","",IFERROR(VLOOKUP(IF(ISNUMBER(SEARCH("(",C1303)),LEFT(C1303,SEARCH("(",C1303)-1),C1303),Tipos!$A:$B,2,FALSE()),"outro"))</f>
        <v/>
      </c>
      <c r="K1303" s="7" t="str">
        <f aca="false">IF(I1303="","",IFERROR(INDEX('Campos Growths'!$L:$L,MATCH(H1303,'Campos Growths'!$A:$A,0)),""))</f>
        <v/>
      </c>
      <c r="L1303" s="7" t="str">
        <f aca="false">IF(A1303="","",IF(G1303="não","Sem tabela no Growths",IF(I1303="","Sem campo no Growths",IF(J1303=K1303,"Importa direto","Ajustar tipo"))))</f>
        <v/>
      </c>
      <c r="M1303" s="9"/>
    </row>
    <row r="1304" customFormat="false" ht="15" hidden="false" customHeight="false" outlineLevel="0" collapsed="false">
      <c r="A1304" s="7" t="str">
        <f aca="false">IF('Outro banco'!A1304="","",IF(LEFT('Outro banco'!A1304,1)="(","",'Outro banco'!A1304))</f>
        <v/>
      </c>
      <c r="B1304" s="7" t="str">
        <f aca="false">IF(A1304="","",'Outro banco'!B1304)</f>
        <v/>
      </c>
      <c r="C1304" s="7" t="str">
        <f aca="false">IF(A1304="","",'Outro banco'!C1304)</f>
        <v/>
      </c>
      <c r="D1304" s="7" t="str">
        <f aca="false">IF(A1304="","",'Outro banco'!D1304)</f>
        <v/>
      </c>
      <c r="E1304" s="9"/>
      <c r="F1304" s="9"/>
      <c r="G1304" s="7" t="str">
        <f aca="false">IF(A1304="","",IF(COUNTIF(Tabelas!$A:$A,IF(E1304="",A1304,E1304))&gt;0,"sim","não"))</f>
        <v/>
      </c>
      <c r="H1304" s="7" t="str">
        <f aca="false">IF(A1304="","",IF(E1304="",A1304,E1304)&amp;"."&amp;IF(F1304="",B1304,F1304))</f>
        <v/>
      </c>
      <c r="I1304" s="7" t="str">
        <f aca="false">IF(A1304="","",IFERROR(INDEX('Campos Growths'!$F:$F,MATCH(H1304,'Campos Growths'!$A:$A,0)),""))</f>
        <v/>
      </c>
      <c r="J1304" s="7" t="str">
        <f aca="false">IF(A1304="","",IFERROR(VLOOKUP(IF(ISNUMBER(SEARCH("(",C1304)),LEFT(C1304,SEARCH("(",C1304)-1),C1304),Tipos!$A:$B,2,FALSE()),"outro"))</f>
        <v/>
      </c>
      <c r="K1304" s="7" t="str">
        <f aca="false">IF(I1304="","",IFERROR(INDEX('Campos Growths'!$L:$L,MATCH(H1304,'Campos Growths'!$A:$A,0)),""))</f>
        <v/>
      </c>
      <c r="L1304" s="7" t="str">
        <f aca="false">IF(A1304="","",IF(G1304="não","Sem tabela no Growths",IF(I1304="","Sem campo no Growths",IF(J1304=K1304,"Importa direto","Ajustar tipo"))))</f>
        <v/>
      </c>
      <c r="M1304" s="9"/>
    </row>
    <row r="1305" customFormat="false" ht="15" hidden="false" customHeight="false" outlineLevel="0" collapsed="false">
      <c r="A1305" s="7" t="str">
        <f aca="false">IF('Outro banco'!A1305="","",IF(LEFT('Outro banco'!A1305,1)="(","",'Outro banco'!A1305))</f>
        <v/>
      </c>
      <c r="B1305" s="7" t="str">
        <f aca="false">IF(A1305="","",'Outro banco'!B1305)</f>
        <v/>
      </c>
      <c r="C1305" s="7" t="str">
        <f aca="false">IF(A1305="","",'Outro banco'!C1305)</f>
        <v/>
      </c>
      <c r="D1305" s="7" t="str">
        <f aca="false">IF(A1305="","",'Outro banco'!D1305)</f>
        <v/>
      </c>
      <c r="E1305" s="9"/>
      <c r="F1305" s="9"/>
      <c r="G1305" s="7" t="str">
        <f aca="false">IF(A1305="","",IF(COUNTIF(Tabelas!$A:$A,IF(E1305="",A1305,E1305))&gt;0,"sim","não"))</f>
        <v/>
      </c>
      <c r="H1305" s="7" t="str">
        <f aca="false">IF(A1305="","",IF(E1305="",A1305,E1305)&amp;"."&amp;IF(F1305="",B1305,F1305))</f>
        <v/>
      </c>
      <c r="I1305" s="7" t="str">
        <f aca="false">IF(A1305="","",IFERROR(INDEX('Campos Growths'!$F:$F,MATCH(H1305,'Campos Growths'!$A:$A,0)),""))</f>
        <v/>
      </c>
      <c r="J1305" s="7" t="str">
        <f aca="false">IF(A1305="","",IFERROR(VLOOKUP(IF(ISNUMBER(SEARCH("(",C1305)),LEFT(C1305,SEARCH("(",C1305)-1),C1305),Tipos!$A:$B,2,FALSE()),"outro"))</f>
        <v/>
      </c>
      <c r="K1305" s="7" t="str">
        <f aca="false">IF(I1305="","",IFERROR(INDEX('Campos Growths'!$L:$L,MATCH(H1305,'Campos Growths'!$A:$A,0)),""))</f>
        <v/>
      </c>
      <c r="L1305" s="7" t="str">
        <f aca="false">IF(A1305="","",IF(G1305="não","Sem tabela no Growths",IF(I1305="","Sem campo no Growths",IF(J1305=K1305,"Importa direto","Ajustar tipo"))))</f>
        <v/>
      </c>
      <c r="M1305" s="9"/>
    </row>
    <row r="1306" customFormat="false" ht="15" hidden="false" customHeight="false" outlineLevel="0" collapsed="false">
      <c r="A1306" s="7" t="str">
        <f aca="false">IF('Outro banco'!A1306="","",IF(LEFT('Outro banco'!A1306,1)="(","",'Outro banco'!A1306))</f>
        <v/>
      </c>
      <c r="B1306" s="7" t="str">
        <f aca="false">IF(A1306="","",'Outro banco'!B1306)</f>
        <v/>
      </c>
      <c r="C1306" s="7" t="str">
        <f aca="false">IF(A1306="","",'Outro banco'!C1306)</f>
        <v/>
      </c>
      <c r="D1306" s="7" t="str">
        <f aca="false">IF(A1306="","",'Outro banco'!D1306)</f>
        <v/>
      </c>
      <c r="E1306" s="9"/>
      <c r="F1306" s="9"/>
      <c r="G1306" s="7" t="str">
        <f aca="false">IF(A1306="","",IF(COUNTIF(Tabelas!$A:$A,IF(E1306="",A1306,E1306))&gt;0,"sim","não"))</f>
        <v/>
      </c>
      <c r="H1306" s="7" t="str">
        <f aca="false">IF(A1306="","",IF(E1306="",A1306,E1306)&amp;"."&amp;IF(F1306="",B1306,F1306))</f>
        <v/>
      </c>
      <c r="I1306" s="7" t="str">
        <f aca="false">IF(A1306="","",IFERROR(INDEX('Campos Growths'!$F:$F,MATCH(H1306,'Campos Growths'!$A:$A,0)),""))</f>
        <v/>
      </c>
      <c r="J1306" s="7" t="str">
        <f aca="false">IF(A1306="","",IFERROR(VLOOKUP(IF(ISNUMBER(SEARCH("(",C1306)),LEFT(C1306,SEARCH("(",C1306)-1),C1306),Tipos!$A:$B,2,FALSE()),"outro"))</f>
        <v/>
      </c>
      <c r="K1306" s="7" t="str">
        <f aca="false">IF(I1306="","",IFERROR(INDEX('Campos Growths'!$L:$L,MATCH(H1306,'Campos Growths'!$A:$A,0)),""))</f>
        <v/>
      </c>
      <c r="L1306" s="7" t="str">
        <f aca="false">IF(A1306="","",IF(G1306="não","Sem tabela no Growths",IF(I1306="","Sem campo no Growths",IF(J1306=K1306,"Importa direto","Ajustar tipo"))))</f>
        <v/>
      </c>
      <c r="M1306" s="9"/>
    </row>
    <row r="1307" customFormat="false" ht="15" hidden="false" customHeight="false" outlineLevel="0" collapsed="false">
      <c r="A1307" s="7" t="str">
        <f aca="false">IF('Outro banco'!A1307="","",IF(LEFT('Outro banco'!A1307,1)="(","",'Outro banco'!A1307))</f>
        <v/>
      </c>
      <c r="B1307" s="7" t="str">
        <f aca="false">IF(A1307="","",'Outro banco'!B1307)</f>
        <v/>
      </c>
      <c r="C1307" s="7" t="str">
        <f aca="false">IF(A1307="","",'Outro banco'!C1307)</f>
        <v/>
      </c>
      <c r="D1307" s="7" t="str">
        <f aca="false">IF(A1307="","",'Outro banco'!D1307)</f>
        <v/>
      </c>
      <c r="E1307" s="9"/>
      <c r="F1307" s="9"/>
      <c r="G1307" s="7" t="str">
        <f aca="false">IF(A1307="","",IF(COUNTIF(Tabelas!$A:$A,IF(E1307="",A1307,E1307))&gt;0,"sim","não"))</f>
        <v/>
      </c>
      <c r="H1307" s="7" t="str">
        <f aca="false">IF(A1307="","",IF(E1307="",A1307,E1307)&amp;"."&amp;IF(F1307="",B1307,F1307))</f>
        <v/>
      </c>
      <c r="I1307" s="7" t="str">
        <f aca="false">IF(A1307="","",IFERROR(INDEX('Campos Growths'!$F:$F,MATCH(H1307,'Campos Growths'!$A:$A,0)),""))</f>
        <v/>
      </c>
      <c r="J1307" s="7" t="str">
        <f aca="false">IF(A1307="","",IFERROR(VLOOKUP(IF(ISNUMBER(SEARCH("(",C1307)),LEFT(C1307,SEARCH("(",C1307)-1),C1307),Tipos!$A:$B,2,FALSE()),"outro"))</f>
        <v/>
      </c>
      <c r="K1307" s="7" t="str">
        <f aca="false">IF(I1307="","",IFERROR(INDEX('Campos Growths'!$L:$L,MATCH(H1307,'Campos Growths'!$A:$A,0)),""))</f>
        <v/>
      </c>
      <c r="L1307" s="7" t="str">
        <f aca="false">IF(A1307="","",IF(G1307="não","Sem tabela no Growths",IF(I1307="","Sem campo no Growths",IF(J1307=K1307,"Importa direto","Ajustar tipo"))))</f>
        <v/>
      </c>
      <c r="M1307" s="9"/>
    </row>
    <row r="1308" customFormat="false" ht="15" hidden="false" customHeight="false" outlineLevel="0" collapsed="false">
      <c r="A1308" s="7" t="str">
        <f aca="false">IF('Outro banco'!A1308="","",IF(LEFT('Outro banco'!A1308,1)="(","",'Outro banco'!A1308))</f>
        <v/>
      </c>
      <c r="B1308" s="7" t="str">
        <f aca="false">IF(A1308="","",'Outro banco'!B1308)</f>
        <v/>
      </c>
      <c r="C1308" s="7" t="str">
        <f aca="false">IF(A1308="","",'Outro banco'!C1308)</f>
        <v/>
      </c>
      <c r="D1308" s="7" t="str">
        <f aca="false">IF(A1308="","",'Outro banco'!D1308)</f>
        <v/>
      </c>
      <c r="E1308" s="9"/>
      <c r="F1308" s="9"/>
      <c r="G1308" s="7" t="str">
        <f aca="false">IF(A1308="","",IF(COUNTIF(Tabelas!$A:$A,IF(E1308="",A1308,E1308))&gt;0,"sim","não"))</f>
        <v/>
      </c>
      <c r="H1308" s="7" t="str">
        <f aca="false">IF(A1308="","",IF(E1308="",A1308,E1308)&amp;"."&amp;IF(F1308="",B1308,F1308))</f>
        <v/>
      </c>
      <c r="I1308" s="7" t="str">
        <f aca="false">IF(A1308="","",IFERROR(INDEX('Campos Growths'!$F:$F,MATCH(H1308,'Campos Growths'!$A:$A,0)),""))</f>
        <v/>
      </c>
      <c r="J1308" s="7" t="str">
        <f aca="false">IF(A1308="","",IFERROR(VLOOKUP(IF(ISNUMBER(SEARCH("(",C1308)),LEFT(C1308,SEARCH("(",C1308)-1),C1308),Tipos!$A:$B,2,FALSE()),"outro"))</f>
        <v/>
      </c>
      <c r="K1308" s="7" t="str">
        <f aca="false">IF(I1308="","",IFERROR(INDEX('Campos Growths'!$L:$L,MATCH(H1308,'Campos Growths'!$A:$A,0)),""))</f>
        <v/>
      </c>
      <c r="L1308" s="7" t="str">
        <f aca="false">IF(A1308="","",IF(G1308="não","Sem tabela no Growths",IF(I1308="","Sem campo no Growths",IF(J1308=K1308,"Importa direto","Ajustar tipo"))))</f>
        <v/>
      </c>
      <c r="M1308" s="9"/>
    </row>
    <row r="1309" customFormat="false" ht="15" hidden="false" customHeight="false" outlineLevel="0" collapsed="false">
      <c r="A1309" s="7" t="str">
        <f aca="false">IF('Outro banco'!A1309="","",IF(LEFT('Outro banco'!A1309,1)="(","",'Outro banco'!A1309))</f>
        <v/>
      </c>
      <c r="B1309" s="7" t="str">
        <f aca="false">IF(A1309="","",'Outro banco'!B1309)</f>
        <v/>
      </c>
      <c r="C1309" s="7" t="str">
        <f aca="false">IF(A1309="","",'Outro banco'!C1309)</f>
        <v/>
      </c>
      <c r="D1309" s="7" t="str">
        <f aca="false">IF(A1309="","",'Outro banco'!D1309)</f>
        <v/>
      </c>
      <c r="E1309" s="9"/>
      <c r="F1309" s="9"/>
      <c r="G1309" s="7" t="str">
        <f aca="false">IF(A1309="","",IF(COUNTIF(Tabelas!$A:$A,IF(E1309="",A1309,E1309))&gt;0,"sim","não"))</f>
        <v/>
      </c>
      <c r="H1309" s="7" t="str">
        <f aca="false">IF(A1309="","",IF(E1309="",A1309,E1309)&amp;"."&amp;IF(F1309="",B1309,F1309))</f>
        <v/>
      </c>
      <c r="I1309" s="7" t="str">
        <f aca="false">IF(A1309="","",IFERROR(INDEX('Campos Growths'!$F:$F,MATCH(H1309,'Campos Growths'!$A:$A,0)),""))</f>
        <v/>
      </c>
      <c r="J1309" s="7" t="str">
        <f aca="false">IF(A1309="","",IFERROR(VLOOKUP(IF(ISNUMBER(SEARCH("(",C1309)),LEFT(C1309,SEARCH("(",C1309)-1),C1309),Tipos!$A:$B,2,FALSE()),"outro"))</f>
        <v/>
      </c>
      <c r="K1309" s="7" t="str">
        <f aca="false">IF(I1309="","",IFERROR(INDEX('Campos Growths'!$L:$L,MATCH(H1309,'Campos Growths'!$A:$A,0)),""))</f>
        <v/>
      </c>
      <c r="L1309" s="7" t="str">
        <f aca="false">IF(A1309="","",IF(G1309="não","Sem tabela no Growths",IF(I1309="","Sem campo no Growths",IF(J1309=K1309,"Importa direto","Ajustar tipo"))))</f>
        <v/>
      </c>
      <c r="M1309" s="9"/>
    </row>
    <row r="1310" customFormat="false" ht="15" hidden="false" customHeight="false" outlineLevel="0" collapsed="false">
      <c r="A1310" s="7" t="str">
        <f aca="false">IF('Outro banco'!A1310="","",IF(LEFT('Outro banco'!A1310,1)="(","",'Outro banco'!A1310))</f>
        <v/>
      </c>
      <c r="B1310" s="7" t="str">
        <f aca="false">IF(A1310="","",'Outro banco'!B1310)</f>
        <v/>
      </c>
      <c r="C1310" s="7" t="str">
        <f aca="false">IF(A1310="","",'Outro banco'!C1310)</f>
        <v/>
      </c>
      <c r="D1310" s="7" t="str">
        <f aca="false">IF(A1310="","",'Outro banco'!D1310)</f>
        <v/>
      </c>
      <c r="E1310" s="9"/>
      <c r="F1310" s="9"/>
      <c r="G1310" s="7" t="str">
        <f aca="false">IF(A1310="","",IF(COUNTIF(Tabelas!$A:$A,IF(E1310="",A1310,E1310))&gt;0,"sim","não"))</f>
        <v/>
      </c>
      <c r="H1310" s="7" t="str">
        <f aca="false">IF(A1310="","",IF(E1310="",A1310,E1310)&amp;"."&amp;IF(F1310="",B1310,F1310))</f>
        <v/>
      </c>
      <c r="I1310" s="7" t="str">
        <f aca="false">IF(A1310="","",IFERROR(INDEX('Campos Growths'!$F:$F,MATCH(H1310,'Campos Growths'!$A:$A,0)),""))</f>
        <v/>
      </c>
      <c r="J1310" s="7" t="str">
        <f aca="false">IF(A1310="","",IFERROR(VLOOKUP(IF(ISNUMBER(SEARCH("(",C1310)),LEFT(C1310,SEARCH("(",C1310)-1),C1310),Tipos!$A:$B,2,FALSE()),"outro"))</f>
        <v/>
      </c>
      <c r="K1310" s="7" t="str">
        <f aca="false">IF(I1310="","",IFERROR(INDEX('Campos Growths'!$L:$L,MATCH(H1310,'Campos Growths'!$A:$A,0)),""))</f>
        <v/>
      </c>
      <c r="L1310" s="7" t="str">
        <f aca="false">IF(A1310="","",IF(G1310="não","Sem tabela no Growths",IF(I1310="","Sem campo no Growths",IF(J1310=K1310,"Importa direto","Ajustar tipo"))))</f>
        <v/>
      </c>
      <c r="M1310" s="9"/>
    </row>
    <row r="1311" customFormat="false" ht="15" hidden="false" customHeight="false" outlineLevel="0" collapsed="false">
      <c r="A1311" s="7" t="str">
        <f aca="false">IF('Outro banco'!A1311="","",IF(LEFT('Outro banco'!A1311,1)="(","",'Outro banco'!A1311))</f>
        <v/>
      </c>
      <c r="B1311" s="7" t="str">
        <f aca="false">IF(A1311="","",'Outro banco'!B1311)</f>
        <v/>
      </c>
      <c r="C1311" s="7" t="str">
        <f aca="false">IF(A1311="","",'Outro banco'!C1311)</f>
        <v/>
      </c>
      <c r="D1311" s="7" t="str">
        <f aca="false">IF(A1311="","",'Outro banco'!D1311)</f>
        <v/>
      </c>
      <c r="E1311" s="9"/>
      <c r="F1311" s="9"/>
      <c r="G1311" s="7" t="str">
        <f aca="false">IF(A1311="","",IF(COUNTIF(Tabelas!$A:$A,IF(E1311="",A1311,E1311))&gt;0,"sim","não"))</f>
        <v/>
      </c>
      <c r="H1311" s="7" t="str">
        <f aca="false">IF(A1311="","",IF(E1311="",A1311,E1311)&amp;"."&amp;IF(F1311="",B1311,F1311))</f>
        <v/>
      </c>
      <c r="I1311" s="7" t="str">
        <f aca="false">IF(A1311="","",IFERROR(INDEX('Campos Growths'!$F:$F,MATCH(H1311,'Campos Growths'!$A:$A,0)),""))</f>
        <v/>
      </c>
      <c r="J1311" s="7" t="str">
        <f aca="false">IF(A1311="","",IFERROR(VLOOKUP(IF(ISNUMBER(SEARCH("(",C1311)),LEFT(C1311,SEARCH("(",C1311)-1),C1311),Tipos!$A:$B,2,FALSE()),"outro"))</f>
        <v/>
      </c>
      <c r="K1311" s="7" t="str">
        <f aca="false">IF(I1311="","",IFERROR(INDEX('Campos Growths'!$L:$L,MATCH(H1311,'Campos Growths'!$A:$A,0)),""))</f>
        <v/>
      </c>
      <c r="L1311" s="7" t="str">
        <f aca="false">IF(A1311="","",IF(G1311="não","Sem tabela no Growths",IF(I1311="","Sem campo no Growths",IF(J1311=K1311,"Importa direto","Ajustar tipo"))))</f>
        <v/>
      </c>
      <c r="M1311" s="9"/>
    </row>
    <row r="1312" customFormat="false" ht="15" hidden="false" customHeight="false" outlineLevel="0" collapsed="false">
      <c r="A1312" s="7" t="str">
        <f aca="false">IF('Outro banco'!A1312="","",IF(LEFT('Outro banco'!A1312,1)="(","",'Outro banco'!A1312))</f>
        <v/>
      </c>
      <c r="B1312" s="7" t="str">
        <f aca="false">IF(A1312="","",'Outro banco'!B1312)</f>
        <v/>
      </c>
      <c r="C1312" s="7" t="str">
        <f aca="false">IF(A1312="","",'Outro banco'!C1312)</f>
        <v/>
      </c>
      <c r="D1312" s="7" t="str">
        <f aca="false">IF(A1312="","",'Outro banco'!D1312)</f>
        <v/>
      </c>
      <c r="E1312" s="9"/>
      <c r="F1312" s="9"/>
      <c r="G1312" s="7" t="str">
        <f aca="false">IF(A1312="","",IF(COUNTIF(Tabelas!$A:$A,IF(E1312="",A1312,E1312))&gt;0,"sim","não"))</f>
        <v/>
      </c>
      <c r="H1312" s="7" t="str">
        <f aca="false">IF(A1312="","",IF(E1312="",A1312,E1312)&amp;"."&amp;IF(F1312="",B1312,F1312))</f>
        <v/>
      </c>
      <c r="I1312" s="7" t="str">
        <f aca="false">IF(A1312="","",IFERROR(INDEX('Campos Growths'!$F:$F,MATCH(H1312,'Campos Growths'!$A:$A,0)),""))</f>
        <v/>
      </c>
      <c r="J1312" s="7" t="str">
        <f aca="false">IF(A1312="","",IFERROR(VLOOKUP(IF(ISNUMBER(SEARCH("(",C1312)),LEFT(C1312,SEARCH("(",C1312)-1),C1312),Tipos!$A:$B,2,FALSE()),"outro"))</f>
        <v/>
      </c>
      <c r="K1312" s="7" t="str">
        <f aca="false">IF(I1312="","",IFERROR(INDEX('Campos Growths'!$L:$L,MATCH(H1312,'Campos Growths'!$A:$A,0)),""))</f>
        <v/>
      </c>
      <c r="L1312" s="7" t="str">
        <f aca="false">IF(A1312="","",IF(G1312="não","Sem tabela no Growths",IF(I1312="","Sem campo no Growths",IF(J1312=K1312,"Importa direto","Ajustar tipo"))))</f>
        <v/>
      </c>
      <c r="M1312" s="9"/>
    </row>
    <row r="1313" customFormat="false" ht="15" hidden="false" customHeight="false" outlineLevel="0" collapsed="false">
      <c r="A1313" s="7" t="str">
        <f aca="false">IF('Outro banco'!A1313="","",IF(LEFT('Outro banco'!A1313,1)="(","",'Outro banco'!A1313))</f>
        <v/>
      </c>
      <c r="B1313" s="7" t="str">
        <f aca="false">IF(A1313="","",'Outro banco'!B1313)</f>
        <v/>
      </c>
      <c r="C1313" s="7" t="str">
        <f aca="false">IF(A1313="","",'Outro banco'!C1313)</f>
        <v/>
      </c>
      <c r="D1313" s="7" t="str">
        <f aca="false">IF(A1313="","",'Outro banco'!D1313)</f>
        <v/>
      </c>
      <c r="E1313" s="9"/>
      <c r="F1313" s="9"/>
      <c r="G1313" s="7" t="str">
        <f aca="false">IF(A1313="","",IF(COUNTIF(Tabelas!$A:$A,IF(E1313="",A1313,E1313))&gt;0,"sim","não"))</f>
        <v/>
      </c>
      <c r="H1313" s="7" t="str">
        <f aca="false">IF(A1313="","",IF(E1313="",A1313,E1313)&amp;"."&amp;IF(F1313="",B1313,F1313))</f>
        <v/>
      </c>
      <c r="I1313" s="7" t="str">
        <f aca="false">IF(A1313="","",IFERROR(INDEX('Campos Growths'!$F:$F,MATCH(H1313,'Campos Growths'!$A:$A,0)),""))</f>
        <v/>
      </c>
      <c r="J1313" s="7" t="str">
        <f aca="false">IF(A1313="","",IFERROR(VLOOKUP(IF(ISNUMBER(SEARCH("(",C1313)),LEFT(C1313,SEARCH("(",C1313)-1),C1313),Tipos!$A:$B,2,FALSE()),"outro"))</f>
        <v/>
      </c>
      <c r="K1313" s="7" t="str">
        <f aca="false">IF(I1313="","",IFERROR(INDEX('Campos Growths'!$L:$L,MATCH(H1313,'Campos Growths'!$A:$A,0)),""))</f>
        <v/>
      </c>
      <c r="L1313" s="7" t="str">
        <f aca="false">IF(A1313="","",IF(G1313="não","Sem tabela no Growths",IF(I1313="","Sem campo no Growths",IF(J1313=K1313,"Importa direto","Ajustar tipo"))))</f>
        <v/>
      </c>
      <c r="M1313" s="9"/>
    </row>
    <row r="1314" customFormat="false" ht="15" hidden="false" customHeight="false" outlineLevel="0" collapsed="false">
      <c r="A1314" s="7" t="str">
        <f aca="false">IF('Outro banco'!A1314="","",IF(LEFT('Outro banco'!A1314,1)="(","",'Outro banco'!A1314))</f>
        <v/>
      </c>
      <c r="B1314" s="7" t="str">
        <f aca="false">IF(A1314="","",'Outro banco'!B1314)</f>
        <v/>
      </c>
      <c r="C1314" s="7" t="str">
        <f aca="false">IF(A1314="","",'Outro banco'!C1314)</f>
        <v/>
      </c>
      <c r="D1314" s="7" t="str">
        <f aca="false">IF(A1314="","",'Outro banco'!D1314)</f>
        <v/>
      </c>
      <c r="E1314" s="9"/>
      <c r="F1314" s="9"/>
      <c r="G1314" s="7" t="str">
        <f aca="false">IF(A1314="","",IF(COUNTIF(Tabelas!$A:$A,IF(E1314="",A1314,E1314))&gt;0,"sim","não"))</f>
        <v/>
      </c>
      <c r="H1314" s="7" t="str">
        <f aca="false">IF(A1314="","",IF(E1314="",A1314,E1314)&amp;"."&amp;IF(F1314="",B1314,F1314))</f>
        <v/>
      </c>
      <c r="I1314" s="7" t="str">
        <f aca="false">IF(A1314="","",IFERROR(INDEX('Campos Growths'!$F:$F,MATCH(H1314,'Campos Growths'!$A:$A,0)),""))</f>
        <v/>
      </c>
      <c r="J1314" s="7" t="str">
        <f aca="false">IF(A1314="","",IFERROR(VLOOKUP(IF(ISNUMBER(SEARCH("(",C1314)),LEFT(C1314,SEARCH("(",C1314)-1),C1314),Tipos!$A:$B,2,FALSE()),"outro"))</f>
        <v/>
      </c>
      <c r="K1314" s="7" t="str">
        <f aca="false">IF(I1314="","",IFERROR(INDEX('Campos Growths'!$L:$L,MATCH(H1314,'Campos Growths'!$A:$A,0)),""))</f>
        <v/>
      </c>
      <c r="L1314" s="7" t="str">
        <f aca="false">IF(A1314="","",IF(G1314="não","Sem tabela no Growths",IF(I1314="","Sem campo no Growths",IF(J1314=K1314,"Importa direto","Ajustar tipo"))))</f>
        <v/>
      </c>
      <c r="M1314" s="9"/>
    </row>
    <row r="1315" customFormat="false" ht="15" hidden="false" customHeight="false" outlineLevel="0" collapsed="false">
      <c r="A1315" s="7" t="str">
        <f aca="false">IF('Outro banco'!A1315="","",IF(LEFT('Outro banco'!A1315,1)="(","",'Outro banco'!A1315))</f>
        <v/>
      </c>
      <c r="B1315" s="7" t="str">
        <f aca="false">IF(A1315="","",'Outro banco'!B1315)</f>
        <v/>
      </c>
      <c r="C1315" s="7" t="str">
        <f aca="false">IF(A1315="","",'Outro banco'!C1315)</f>
        <v/>
      </c>
      <c r="D1315" s="7" t="str">
        <f aca="false">IF(A1315="","",'Outro banco'!D1315)</f>
        <v/>
      </c>
      <c r="E1315" s="9"/>
      <c r="F1315" s="9"/>
      <c r="G1315" s="7" t="str">
        <f aca="false">IF(A1315="","",IF(COUNTIF(Tabelas!$A:$A,IF(E1315="",A1315,E1315))&gt;0,"sim","não"))</f>
        <v/>
      </c>
      <c r="H1315" s="7" t="str">
        <f aca="false">IF(A1315="","",IF(E1315="",A1315,E1315)&amp;"."&amp;IF(F1315="",B1315,F1315))</f>
        <v/>
      </c>
      <c r="I1315" s="7" t="str">
        <f aca="false">IF(A1315="","",IFERROR(INDEX('Campos Growths'!$F:$F,MATCH(H1315,'Campos Growths'!$A:$A,0)),""))</f>
        <v/>
      </c>
      <c r="J1315" s="7" t="str">
        <f aca="false">IF(A1315="","",IFERROR(VLOOKUP(IF(ISNUMBER(SEARCH("(",C1315)),LEFT(C1315,SEARCH("(",C1315)-1),C1315),Tipos!$A:$B,2,FALSE()),"outro"))</f>
        <v/>
      </c>
      <c r="K1315" s="7" t="str">
        <f aca="false">IF(I1315="","",IFERROR(INDEX('Campos Growths'!$L:$L,MATCH(H1315,'Campos Growths'!$A:$A,0)),""))</f>
        <v/>
      </c>
      <c r="L1315" s="7" t="str">
        <f aca="false">IF(A1315="","",IF(G1315="não","Sem tabela no Growths",IF(I1315="","Sem campo no Growths",IF(J1315=K1315,"Importa direto","Ajustar tipo"))))</f>
        <v/>
      </c>
      <c r="M1315" s="9"/>
    </row>
    <row r="1316" customFormat="false" ht="15" hidden="false" customHeight="false" outlineLevel="0" collapsed="false">
      <c r="A1316" s="7" t="str">
        <f aca="false">IF('Outro banco'!A1316="","",IF(LEFT('Outro banco'!A1316,1)="(","",'Outro banco'!A1316))</f>
        <v/>
      </c>
      <c r="B1316" s="7" t="str">
        <f aca="false">IF(A1316="","",'Outro banco'!B1316)</f>
        <v/>
      </c>
      <c r="C1316" s="7" t="str">
        <f aca="false">IF(A1316="","",'Outro banco'!C1316)</f>
        <v/>
      </c>
      <c r="D1316" s="7" t="str">
        <f aca="false">IF(A1316="","",'Outro banco'!D1316)</f>
        <v/>
      </c>
      <c r="E1316" s="9"/>
      <c r="F1316" s="9"/>
      <c r="G1316" s="7" t="str">
        <f aca="false">IF(A1316="","",IF(COUNTIF(Tabelas!$A:$A,IF(E1316="",A1316,E1316))&gt;0,"sim","não"))</f>
        <v/>
      </c>
      <c r="H1316" s="7" t="str">
        <f aca="false">IF(A1316="","",IF(E1316="",A1316,E1316)&amp;"."&amp;IF(F1316="",B1316,F1316))</f>
        <v/>
      </c>
      <c r="I1316" s="7" t="str">
        <f aca="false">IF(A1316="","",IFERROR(INDEX('Campos Growths'!$F:$F,MATCH(H1316,'Campos Growths'!$A:$A,0)),""))</f>
        <v/>
      </c>
      <c r="J1316" s="7" t="str">
        <f aca="false">IF(A1316="","",IFERROR(VLOOKUP(IF(ISNUMBER(SEARCH("(",C1316)),LEFT(C1316,SEARCH("(",C1316)-1),C1316),Tipos!$A:$B,2,FALSE()),"outro"))</f>
        <v/>
      </c>
      <c r="K1316" s="7" t="str">
        <f aca="false">IF(I1316="","",IFERROR(INDEX('Campos Growths'!$L:$L,MATCH(H1316,'Campos Growths'!$A:$A,0)),""))</f>
        <v/>
      </c>
      <c r="L1316" s="7" t="str">
        <f aca="false">IF(A1316="","",IF(G1316="não","Sem tabela no Growths",IF(I1316="","Sem campo no Growths",IF(J1316=K1316,"Importa direto","Ajustar tipo"))))</f>
        <v/>
      </c>
      <c r="M1316" s="9"/>
    </row>
    <row r="1317" customFormat="false" ht="15" hidden="false" customHeight="false" outlineLevel="0" collapsed="false">
      <c r="A1317" s="7" t="str">
        <f aca="false">IF('Outro banco'!A1317="","",IF(LEFT('Outro banco'!A1317,1)="(","",'Outro banco'!A1317))</f>
        <v/>
      </c>
      <c r="B1317" s="7" t="str">
        <f aca="false">IF(A1317="","",'Outro banco'!B1317)</f>
        <v/>
      </c>
      <c r="C1317" s="7" t="str">
        <f aca="false">IF(A1317="","",'Outro banco'!C1317)</f>
        <v/>
      </c>
      <c r="D1317" s="7" t="str">
        <f aca="false">IF(A1317="","",'Outro banco'!D1317)</f>
        <v/>
      </c>
      <c r="E1317" s="9"/>
      <c r="F1317" s="9"/>
      <c r="G1317" s="7" t="str">
        <f aca="false">IF(A1317="","",IF(COUNTIF(Tabelas!$A:$A,IF(E1317="",A1317,E1317))&gt;0,"sim","não"))</f>
        <v/>
      </c>
      <c r="H1317" s="7" t="str">
        <f aca="false">IF(A1317="","",IF(E1317="",A1317,E1317)&amp;"."&amp;IF(F1317="",B1317,F1317))</f>
        <v/>
      </c>
      <c r="I1317" s="7" t="str">
        <f aca="false">IF(A1317="","",IFERROR(INDEX('Campos Growths'!$F:$F,MATCH(H1317,'Campos Growths'!$A:$A,0)),""))</f>
        <v/>
      </c>
      <c r="J1317" s="7" t="str">
        <f aca="false">IF(A1317="","",IFERROR(VLOOKUP(IF(ISNUMBER(SEARCH("(",C1317)),LEFT(C1317,SEARCH("(",C1317)-1),C1317),Tipos!$A:$B,2,FALSE()),"outro"))</f>
        <v/>
      </c>
      <c r="K1317" s="7" t="str">
        <f aca="false">IF(I1317="","",IFERROR(INDEX('Campos Growths'!$L:$L,MATCH(H1317,'Campos Growths'!$A:$A,0)),""))</f>
        <v/>
      </c>
      <c r="L1317" s="7" t="str">
        <f aca="false">IF(A1317="","",IF(G1317="não","Sem tabela no Growths",IF(I1317="","Sem campo no Growths",IF(J1317=K1317,"Importa direto","Ajustar tipo"))))</f>
        <v/>
      </c>
      <c r="M1317" s="9"/>
    </row>
    <row r="1318" customFormat="false" ht="15" hidden="false" customHeight="false" outlineLevel="0" collapsed="false">
      <c r="A1318" s="7" t="str">
        <f aca="false">IF('Outro banco'!A1318="","",IF(LEFT('Outro banco'!A1318,1)="(","",'Outro banco'!A1318))</f>
        <v/>
      </c>
      <c r="B1318" s="7" t="str">
        <f aca="false">IF(A1318="","",'Outro banco'!B1318)</f>
        <v/>
      </c>
      <c r="C1318" s="7" t="str">
        <f aca="false">IF(A1318="","",'Outro banco'!C1318)</f>
        <v/>
      </c>
      <c r="D1318" s="7" t="str">
        <f aca="false">IF(A1318="","",'Outro banco'!D1318)</f>
        <v/>
      </c>
      <c r="E1318" s="9"/>
      <c r="F1318" s="9"/>
      <c r="G1318" s="7" t="str">
        <f aca="false">IF(A1318="","",IF(COUNTIF(Tabelas!$A:$A,IF(E1318="",A1318,E1318))&gt;0,"sim","não"))</f>
        <v/>
      </c>
      <c r="H1318" s="7" t="str">
        <f aca="false">IF(A1318="","",IF(E1318="",A1318,E1318)&amp;"."&amp;IF(F1318="",B1318,F1318))</f>
        <v/>
      </c>
      <c r="I1318" s="7" t="str">
        <f aca="false">IF(A1318="","",IFERROR(INDEX('Campos Growths'!$F:$F,MATCH(H1318,'Campos Growths'!$A:$A,0)),""))</f>
        <v/>
      </c>
      <c r="J1318" s="7" t="str">
        <f aca="false">IF(A1318="","",IFERROR(VLOOKUP(IF(ISNUMBER(SEARCH("(",C1318)),LEFT(C1318,SEARCH("(",C1318)-1),C1318),Tipos!$A:$B,2,FALSE()),"outro"))</f>
        <v/>
      </c>
      <c r="K1318" s="7" t="str">
        <f aca="false">IF(I1318="","",IFERROR(INDEX('Campos Growths'!$L:$L,MATCH(H1318,'Campos Growths'!$A:$A,0)),""))</f>
        <v/>
      </c>
      <c r="L1318" s="7" t="str">
        <f aca="false">IF(A1318="","",IF(G1318="não","Sem tabela no Growths",IF(I1318="","Sem campo no Growths",IF(J1318=K1318,"Importa direto","Ajustar tipo"))))</f>
        <v/>
      </c>
      <c r="M1318" s="9"/>
    </row>
    <row r="1319" customFormat="false" ht="15" hidden="false" customHeight="false" outlineLevel="0" collapsed="false">
      <c r="A1319" s="7" t="str">
        <f aca="false">IF('Outro banco'!A1319="","",IF(LEFT('Outro banco'!A1319,1)="(","",'Outro banco'!A1319))</f>
        <v/>
      </c>
      <c r="B1319" s="7" t="str">
        <f aca="false">IF(A1319="","",'Outro banco'!B1319)</f>
        <v/>
      </c>
      <c r="C1319" s="7" t="str">
        <f aca="false">IF(A1319="","",'Outro banco'!C1319)</f>
        <v/>
      </c>
      <c r="D1319" s="7" t="str">
        <f aca="false">IF(A1319="","",'Outro banco'!D1319)</f>
        <v/>
      </c>
      <c r="E1319" s="9"/>
      <c r="F1319" s="9"/>
      <c r="G1319" s="7" t="str">
        <f aca="false">IF(A1319="","",IF(COUNTIF(Tabelas!$A:$A,IF(E1319="",A1319,E1319))&gt;0,"sim","não"))</f>
        <v/>
      </c>
      <c r="H1319" s="7" t="str">
        <f aca="false">IF(A1319="","",IF(E1319="",A1319,E1319)&amp;"."&amp;IF(F1319="",B1319,F1319))</f>
        <v/>
      </c>
      <c r="I1319" s="7" t="str">
        <f aca="false">IF(A1319="","",IFERROR(INDEX('Campos Growths'!$F:$F,MATCH(H1319,'Campos Growths'!$A:$A,0)),""))</f>
        <v/>
      </c>
      <c r="J1319" s="7" t="str">
        <f aca="false">IF(A1319="","",IFERROR(VLOOKUP(IF(ISNUMBER(SEARCH("(",C1319)),LEFT(C1319,SEARCH("(",C1319)-1),C1319),Tipos!$A:$B,2,FALSE()),"outro"))</f>
        <v/>
      </c>
      <c r="K1319" s="7" t="str">
        <f aca="false">IF(I1319="","",IFERROR(INDEX('Campos Growths'!$L:$L,MATCH(H1319,'Campos Growths'!$A:$A,0)),""))</f>
        <v/>
      </c>
      <c r="L1319" s="7" t="str">
        <f aca="false">IF(A1319="","",IF(G1319="não","Sem tabela no Growths",IF(I1319="","Sem campo no Growths",IF(J1319=K1319,"Importa direto","Ajustar tipo"))))</f>
        <v/>
      </c>
      <c r="M1319" s="9"/>
    </row>
    <row r="1320" customFormat="false" ht="15" hidden="false" customHeight="false" outlineLevel="0" collapsed="false">
      <c r="A1320" s="7" t="str">
        <f aca="false">IF('Outro banco'!A1320="","",IF(LEFT('Outro banco'!A1320,1)="(","",'Outro banco'!A1320))</f>
        <v/>
      </c>
      <c r="B1320" s="7" t="str">
        <f aca="false">IF(A1320="","",'Outro banco'!B1320)</f>
        <v/>
      </c>
      <c r="C1320" s="7" t="str">
        <f aca="false">IF(A1320="","",'Outro banco'!C1320)</f>
        <v/>
      </c>
      <c r="D1320" s="7" t="str">
        <f aca="false">IF(A1320="","",'Outro banco'!D1320)</f>
        <v/>
      </c>
      <c r="E1320" s="9"/>
      <c r="F1320" s="9"/>
      <c r="G1320" s="7" t="str">
        <f aca="false">IF(A1320="","",IF(COUNTIF(Tabelas!$A:$A,IF(E1320="",A1320,E1320))&gt;0,"sim","não"))</f>
        <v/>
      </c>
      <c r="H1320" s="7" t="str">
        <f aca="false">IF(A1320="","",IF(E1320="",A1320,E1320)&amp;"."&amp;IF(F1320="",B1320,F1320))</f>
        <v/>
      </c>
      <c r="I1320" s="7" t="str">
        <f aca="false">IF(A1320="","",IFERROR(INDEX('Campos Growths'!$F:$F,MATCH(H1320,'Campos Growths'!$A:$A,0)),""))</f>
        <v/>
      </c>
      <c r="J1320" s="7" t="str">
        <f aca="false">IF(A1320="","",IFERROR(VLOOKUP(IF(ISNUMBER(SEARCH("(",C1320)),LEFT(C1320,SEARCH("(",C1320)-1),C1320),Tipos!$A:$B,2,FALSE()),"outro"))</f>
        <v/>
      </c>
      <c r="K1320" s="7" t="str">
        <f aca="false">IF(I1320="","",IFERROR(INDEX('Campos Growths'!$L:$L,MATCH(H1320,'Campos Growths'!$A:$A,0)),""))</f>
        <v/>
      </c>
      <c r="L1320" s="7" t="str">
        <f aca="false">IF(A1320="","",IF(G1320="não","Sem tabela no Growths",IF(I1320="","Sem campo no Growths",IF(J1320=K1320,"Importa direto","Ajustar tipo"))))</f>
        <v/>
      </c>
      <c r="M1320" s="9"/>
    </row>
    <row r="1321" customFormat="false" ht="15" hidden="false" customHeight="false" outlineLevel="0" collapsed="false">
      <c r="A1321" s="7" t="str">
        <f aca="false">IF('Outro banco'!A1321="","",IF(LEFT('Outro banco'!A1321,1)="(","",'Outro banco'!A1321))</f>
        <v/>
      </c>
      <c r="B1321" s="7" t="str">
        <f aca="false">IF(A1321="","",'Outro banco'!B1321)</f>
        <v/>
      </c>
      <c r="C1321" s="7" t="str">
        <f aca="false">IF(A1321="","",'Outro banco'!C1321)</f>
        <v/>
      </c>
      <c r="D1321" s="7" t="str">
        <f aca="false">IF(A1321="","",'Outro banco'!D1321)</f>
        <v/>
      </c>
      <c r="E1321" s="9"/>
      <c r="F1321" s="9"/>
      <c r="G1321" s="7" t="str">
        <f aca="false">IF(A1321="","",IF(COUNTIF(Tabelas!$A:$A,IF(E1321="",A1321,E1321))&gt;0,"sim","não"))</f>
        <v/>
      </c>
      <c r="H1321" s="7" t="str">
        <f aca="false">IF(A1321="","",IF(E1321="",A1321,E1321)&amp;"."&amp;IF(F1321="",B1321,F1321))</f>
        <v/>
      </c>
      <c r="I1321" s="7" t="str">
        <f aca="false">IF(A1321="","",IFERROR(INDEX('Campos Growths'!$F:$F,MATCH(H1321,'Campos Growths'!$A:$A,0)),""))</f>
        <v/>
      </c>
      <c r="J1321" s="7" t="str">
        <f aca="false">IF(A1321="","",IFERROR(VLOOKUP(IF(ISNUMBER(SEARCH("(",C1321)),LEFT(C1321,SEARCH("(",C1321)-1),C1321),Tipos!$A:$B,2,FALSE()),"outro"))</f>
        <v/>
      </c>
      <c r="K1321" s="7" t="str">
        <f aca="false">IF(I1321="","",IFERROR(INDEX('Campos Growths'!$L:$L,MATCH(H1321,'Campos Growths'!$A:$A,0)),""))</f>
        <v/>
      </c>
      <c r="L1321" s="7" t="str">
        <f aca="false">IF(A1321="","",IF(G1321="não","Sem tabela no Growths",IF(I1321="","Sem campo no Growths",IF(J1321=K1321,"Importa direto","Ajustar tipo"))))</f>
        <v/>
      </c>
      <c r="M1321" s="9"/>
    </row>
    <row r="1322" customFormat="false" ht="15" hidden="false" customHeight="false" outlineLevel="0" collapsed="false">
      <c r="A1322" s="7" t="str">
        <f aca="false">IF('Outro banco'!A1322="","",IF(LEFT('Outro banco'!A1322,1)="(","",'Outro banco'!A1322))</f>
        <v/>
      </c>
      <c r="B1322" s="7" t="str">
        <f aca="false">IF(A1322="","",'Outro banco'!B1322)</f>
        <v/>
      </c>
      <c r="C1322" s="7" t="str">
        <f aca="false">IF(A1322="","",'Outro banco'!C1322)</f>
        <v/>
      </c>
      <c r="D1322" s="7" t="str">
        <f aca="false">IF(A1322="","",'Outro banco'!D1322)</f>
        <v/>
      </c>
      <c r="E1322" s="9"/>
      <c r="F1322" s="9"/>
      <c r="G1322" s="7" t="str">
        <f aca="false">IF(A1322="","",IF(COUNTIF(Tabelas!$A:$A,IF(E1322="",A1322,E1322))&gt;0,"sim","não"))</f>
        <v/>
      </c>
      <c r="H1322" s="7" t="str">
        <f aca="false">IF(A1322="","",IF(E1322="",A1322,E1322)&amp;"."&amp;IF(F1322="",B1322,F1322))</f>
        <v/>
      </c>
      <c r="I1322" s="7" t="str">
        <f aca="false">IF(A1322="","",IFERROR(INDEX('Campos Growths'!$F:$F,MATCH(H1322,'Campos Growths'!$A:$A,0)),""))</f>
        <v/>
      </c>
      <c r="J1322" s="7" t="str">
        <f aca="false">IF(A1322="","",IFERROR(VLOOKUP(IF(ISNUMBER(SEARCH("(",C1322)),LEFT(C1322,SEARCH("(",C1322)-1),C1322),Tipos!$A:$B,2,FALSE()),"outro"))</f>
        <v/>
      </c>
      <c r="K1322" s="7" t="str">
        <f aca="false">IF(I1322="","",IFERROR(INDEX('Campos Growths'!$L:$L,MATCH(H1322,'Campos Growths'!$A:$A,0)),""))</f>
        <v/>
      </c>
      <c r="L1322" s="7" t="str">
        <f aca="false">IF(A1322="","",IF(G1322="não","Sem tabela no Growths",IF(I1322="","Sem campo no Growths",IF(J1322=K1322,"Importa direto","Ajustar tipo"))))</f>
        <v/>
      </c>
      <c r="M1322" s="9"/>
    </row>
    <row r="1323" customFormat="false" ht="15" hidden="false" customHeight="false" outlineLevel="0" collapsed="false">
      <c r="A1323" s="7" t="str">
        <f aca="false">IF('Outro banco'!A1323="","",IF(LEFT('Outro banco'!A1323,1)="(","",'Outro banco'!A1323))</f>
        <v/>
      </c>
      <c r="B1323" s="7" t="str">
        <f aca="false">IF(A1323="","",'Outro banco'!B1323)</f>
        <v/>
      </c>
      <c r="C1323" s="7" t="str">
        <f aca="false">IF(A1323="","",'Outro banco'!C1323)</f>
        <v/>
      </c>
      <c r="D1323" s="7" t="str">
        <f aca="false">IF(A1323="","",'Outro banco'!D1323)</f>
        <v/>
      </c>
      <c r="E1323" s="9"/>
      <c r="F1323" s="9"/>
      <c r="G1323" s="7" t="str">
        <f aca="false">IF(A1323="","",IF(COUNTIF(Tabelas!$A:$A,IF(E1323="",A1323,E1323))&gt;0,"sim","não"))</f>
        <v/>
      </c>
      <c r="H1323" s="7" t="str">
        <f aca="false">IF(A1323="","",IF(E1323="",A1323,E1323)&amp;"."&amp;IF(F1323="",B1323,F1323))</f>
        <v/>
      </c>
      <c r="I1323" s="7" t="str">
        <f aca="false">IF(A1323="","",IFERROR(INDEX('Campos Growths'!$F:$F,MATCH(H1323,'Campos Growths'!$A:$A,0)),""))</f>
        <v/>
      </c>
      <c r="J1323" s="7" t="str">
        <f aca="false">IF(A1323="","",IFERROR(VLOOKUP(IF(ISNUMBER(SEARCH("(",C1323)),LEFT(C1323,SEARCH("(",C1323)-1),C1323),Tipos!$A:$B,2,FALSE()),"outro"))</f>
        <v/>
      </c>
      <c r="K1323" s="7" t="str">
        <f aca="false">IF(I1323="","",IFERROR(INDEX('Campos Growths'!$L:$L,MATCH(H1323,'Campos Growths'!$A:$A,0)),""))</f>
        <v/>
      </c>
      <c r="L1323" s="7" t="str">
        <f aca="false">IF(A1323="","",IF(G1323="não","Sem tabela no Growths",IF(I1323="","Sem campo no Growths",IF(J1323=K1323,"Importa direto","Ajustar tipo"))))</f>
        <v/>
      </c>
      <c r="M1323" s="9"/>
    </row>
    <row r="1324" customFormat="false" ht="15" hidden="false" customHeight="false" outlineLevel="0" collapsed="false">
      <c r="A1324" s="7" t="str">
        <f aca="false">IF('Outro banco'!A1324="","",IF(LEFT('Outro banco'!A1324,1)="(","",'Outro banco'!A1324))</f>
        <v/>
      </c>
      <c r="B1324" s="7" t="str">
        <f aca="false">IF(A1324="","",'Outro banco'!B1324)</f>
        <v/>
      </c>
      <c r="C1324" s="7" t="str">
        <f aca="false">IF(A1324="","",'Outro banco'!C1324)</f>
        <v/>
      </c>
      <c r="D1324" s="7" t="str">
        <f aca="false">IF(A1324="","",'Outro banco'!D1324)</f>
        <v/>
      </c>
      <c r="E1324" s="9"/>
      <c r="F1324" s="9"/>
      <c r="G1324" s="7" t="str">
        <f aca="false">IF(A1324="","",IF(COUNTIF(Tabelas!$A:$A,IF(E1324="",A1324,E1324))&gt;0,"sim","não"))</f>
        <v/>
      </c>
      <c r="H1324" s="7" t="str">
        <f aca="false">IF(A1324="","",IF(E1324="",A1324,E1324)&amp;"."&amp;IF(F1324="",B1324,F1324))</f>
        <v/>
      </c>
      <c r="I1324" s="7" t="str">
        <f aca="false">IF(A1324="","",IFERROR(INDEX('Campos Growths'!$F:$F,MATCH(H1324,'Campos Growths'!$A:$A,0)),""))</f>
        <v/>
      </c>
      <c r="J1324" s="7" t="str">
        <f aca="false">IF(A1324="","",IFERROR(VLOOKUP(IF(ISNUMBER(SEARCH("(",C1324)),LEFT(C1324,SEARCH("(",C1324)-1),C1324),Tipos!$A:$B,2,FALSE()),"outro"))</f>
        <v/>
      </c>
      <c r="K1324" s="7" t="str">
        <f aca="false">IF(I1324="","",IFERROR(INDEX('Campos Growths'!$L:$L,MATCH(H1324,'Campos Growths'!$A:$A,0)),""))</f>
        <v/>
      </c>
      <c r="L1324" s="7" t="str">
        <f aca="false">IF(A1324="","",IF(G1324="não","Sem tabela no Growths",IF(I1324="","Sem campo no Growths",IF(J1324=K1324,"Importa direto","Ajustar tipo"))))</f>
        <v/>
      </c>
      <c r="M1324" s="9"/>
    </row>
    <row r="1325" customFormat="false" ht="15" hidden="false" customHeight="false" outlineLevel="0" collapsed="false">
      <c r="A1325" s="7" t="str">
        <f aca="false">IF('Outro banco'!A1325="","",IF(LEFT('Outro banco'!A1325,1)="(","",'Outro banco'!A1325))</f>
        <v/>
      </c>
      <c r="B1325" s="7" t="str">
        <f aca="false">IF(A1325="","",'Outro banco'!B1325)</f>
        <v/>
      </c>
      <c r="C1325" s="7" t="str">
        <f aca="false">IF(A1325="","",'Outro banco'!C1325)</f>
        <v/>
      </c>
      <c r="D1325" s="7" t="str">
        <f aca="false">IF(A1325="","",'Outro banco'!D1325)</f>
        <v/>
      </c>
      <c r="E1325" s="9"/>
      <c r="F1325" s="9"/>
      <c r="G1325" s="7" t="str">
        <f aca="false">IF(A1325="","",IF(COUNTIF(Tabelas!$A:$A,IF(E1325="",A1325,E1325))&gt;0,"sim","não"))</f>
        <v/>
      </c>
      <c r="H1325" s="7" t="str">
        <f aca="false">IF(A1325="","",IF(E1325="",A1325,E1325)&amp;"."&amp;IF(F1325="",B1325,F1325))</f>
        <v/>
      </c>
      <c r="I1325" s="7" t="str">
        <f aca="false">IF(A1325="","",IFERROR(INDEX('Campos Growths'!$F:$F,MATCH(H1325,'Campos Growths'!$A:$A,0)),""))</f>
        <v/>
      </c>
      <c r="J1325" s="7" t="str">
        <f aca="false">IF(A1325="","",IFERROR(VLOOKUP(IF(ISNUMBER(SEARCH("(",C1325)),LEFT(C1325,SEARCH("(",C1325)-1),C1325),Tipos!$A:$B,2,FALSE()),"outro"))</f>
        <v/>
      </c>
      <c r="K1325" s="7" t="str">
        <f aca="false">IF(I1325="","",IFERROR(INDEX('Campos Growths'!$L:$L,MATCH(H1325,'Campos Growths'!$A:$A,0)),""))</f>
        <v/>
      </c>
      <c r="L1325" s="7" t="str">
        <f aca="false">IF(A1325="","",IF(G1325="não","Sem tabela no Growths",IF(I1325="","Sem campo no Growths",IF(J1325=K1325,"Importa direto","Ajustar tipo"))))</f>
        <v/>
      </c>
      <c r="M1325" s="9"/>
    </row>
    <row r="1326" customFormat="false" ht="15" hidden="false" customHeight="false" outlineLevel="0" collapsed="false">
      <c r="A1326" s="7" t="str">
        <f aca="false">IF('Outro banco'!A1326="","",IF(LEFT('Outro banco'!A1326,1)="(","",'Outro banco'!A1326))</f>
        <v/>
      </c>
      <c r="B1326" s="7" t="str">
        <f aca="false">IF(A1326="","",'Outro banco'!B1326)</f>
        <v/>
      </c>
      <c r="C1326" s="7" t="str">
        <f aca="false">IF(A1326="","",'Outro banco'!C1326)</f>
        <v/>
      </c>
      <c r="D1326" s="7" t="str">
        <f aca="false">IF(A1326="","",'Outro banco'!D1326)</f>
        <v/>
      </c>
      <c r="E1326" s="9"/>
      <c r="F1326" s="9"/>
      <c r="G1326" s="7" t="str">
        <f aca="false">IF(A1326="","",IF(COUNTIF(Tabelas!$A:$A,IF(E1326="",A1326,E1326))&gt;0,"sim","não"))</f>
        <v/>
      </c>
      <c r="H1326" s="7" t="str">
        <f aca="false">IF(A1326="","",IF(E1326="",A1326,E1326)&amp;"."&amp;IF(F1326="",B1326,F1326))</f>
        <v/>
      </c>
      <c r="I1326" s="7" t="str">
        <f aca="false">IF(A1326="","",IFERROR(INDEX('Campos Growths'!$F:$F,MATCH(H1326,'Campos Growths'!$A:$A,0)),""))</f>
        <v/>
      </c>
      <c r="J1326" s="7" t="str">
        <f aca="false">IF(A1326="","",IFERROR(VLOOKUP(IF(ISNUMBER(SEARCH("(",C1326)),LEFT(C1326,SEARCH("(",C1326)-1),C1326),Tipos!$A:$B,2,FALSE()),"outro"))</f>
        <v/>
      </c>
      <c r="K1326" s="7" t="str">
        <f aca="false">IF(I1326="","",IFERROR(INDEX('Campos Growths'!$L:$L,MATCH(H1326,'Campos Growths'!$A:$A,0)),""))</f>
        <v/>
      </c>
      <c r="L1326" s="7" t="str">
        <f aca="false">IF(A1326="","",IF(G1326="não","Sem tabela no Growths",IF(I1326="","Sem campo no Growths",IF(J1326=K1326,"Importa direto","Ajustar tipo"))))</f>
        <v/>
      </c>
      <c r="M1326" s="9"/>
    </row>
    <row r="1327" customFormat="false" ht="15" hidden="false" customHeight="false" outlineLevel="0" collapsed="false">
      <c r="A1327" s="7" t="str">
        <f aca="false">IF('Outro banco'!A1327="","",IF(LEFT('Outro banco'!A1327,1)="(","",'Outro banco'!A1327))</f>
        <v/>
      </c>
      <c r="B1327" s="7" t="str">
        <f aca="false">IF(A1327="","",'Outro banco'!B1327)</f>
        <v/>
      </c>
      <c r="C1327" s="7" t="str">
        <f aca="false">IF(A1327="","",'Outro banco'!C1327)</f>
        <v/>
      </c>
      <c r="D1327" s="7" t="str">
        <f aca="false">IF(A1327="","",'Outro banco'!D1327)</f>
        <v/>
      </c>
      <c r="E1327" s="9"/>
      <c r="F1327" s="9"/>
      <c r="G1327" s="7" t="str">
        <f aca="false">IF(A1327="","",IF(COUNTIF(Tabelas!$A:$A,IF(E1327="",A1327,E1327))&gt;0,"sim","não"))</f>
        <v/>
      </c>
      <c r="H1327" s="7" t="str">
        <f aca="false">IF(A1327="","",IF(E1327="",A1327,E1327)&amp;"."&amp;IF(F1327="",B1327,F1327))</f>
        <v/>
      </c>
      <c r="I1327" s="7" t="str">
        <f aca="false">IF(A1327="","",IFERROR(INDEX('Campos Growths'!$F:$F,MATCH(H1327,'Campos Growths'!$A:$A,0)),""))</f>
        <v/>
      </c>
      <c r="J1327" s="7" t="str">
        <f aca="false">IF(A1327="","",IFERROR(VLOOKUP(IF(ISNUMBER(SEARCH("(",C1327)),LEFT(C1327,SEARCH("(",C1327)-1),C1327),Tipos!$A:$B,2,FALSE()),"outro"))</f>
        <v/>
      </c>
      <c r="K1327" s="7" t="str">
        <f aca="false">IF(I1327="","",IFERROR(INDEX('Campos Growths'!$L:$L,MATCH(H1327,'Campos Growths'!$A:$A,0)),""))</f>
        <v/>
      </c>
      <c r="L1327" s="7" t="str">
        <f aca="false">IF(A1327="","",IF(G1327="não","Sem tabela no Growths",IF(I1327="","Sem campo no Growths",IF(J1327=K1327,"Importa direto","Ajustar tipo"))))</f>
        <v/>
      </c>
      <c r="M1327" s="9"/>
    </row>
    <row r="1328" customFormat="false" ht="15" hidden="false" customHeight="false" outlineLevel="0" collapsed="false">
      <c r="A1328" s="7" t="str">
        <f aca="false">IF('Outro banco'!A1328="","",IF(LEFT('Outro banco'!A1328,1)="(","",'Outro banco'!A1328))</f>
        <v/>
      </c>
      <c r="B1328" s="7" t="str">
        <f aca="false">IF(A1328="","",'Outro banco'!B1328)</f>
        <v/>
      </c>
      <c r="C1328" s="7" t="str">
        <f aca="false">IF(A1328="","",'Outro banco'!C1328)</f>
        <v/>
      </c>
      <c r="D1328" s="7" t="str">
        <f aca="false">IF(A1328="","",'Outro banco'!D1328)</f>
        <v/>
      </c>
      <c r="E1328" s="9"/>
      <c r="F1328" s="9"/>
      <c r="G1328" s="7" t="str">
        <f aca="false">IF(A1328="","",IF(COUNTIF(Tabelas!$A:$A,IF(E1328="",A1328,E1328))&gt;0,"sim","não"))</f>
        <v/>
      </c>
      <c r="H1328" s="7" t="str">
        <f aca="false">IF(A1328="","",IF(E1328="",A1328,E1328)&amp;"."&amp;IF(F1328="",B1328,F1328))</f>
        <v/>
      </c>
      <c r="I1328" s="7" t="str">
        <f aca="false">IF(A1328="","",IFERROR(INDEX('Campos Growths'!$F:$F,MATCH(H1328,'Campos Growths'!$A:$A,0)),""))</f>
        <v/>
      </c>
      <c r="J1328" s="7" t="str">
        <f aca="false">IF(A1328="","",IFERROR(VLOOKUP(IF(ISNUMBER(SEARCH("(",C1328)),LEFT(C1328,SEARCH("(",C1328)-1),C1328),Tipos!$A:$B,2,FALSE()),"outro"))</f>
        <v/>
      </c>
      <c r="K1328" s="7" t="str">
        <f aca="false">IF(I1328="","",IFERROR(INDEX('Campos Growths'!$L:$L,MATCH(H1328,'Campos Growths'!$A:$A,0)),""))</f>
        <v/>
      </c>
      <c r="L1328" s="7" t="str">
        <f aca="false">IF(A1328="","",IF(G1328="não","Sem tabela no Growths",IF(I1328="","Sem campo no Growths",IF(J1328=K1328,"Importa direto","Ajustar tipo"))))</f>
        <v/>
      </c>
      <c r="M1328" s="9"/>
    </row>
    <row r="1329" customFormat="false" ht="15" hidden="false" customHeight="false" outlineLevel="0" collapsed="false">
      <c r="A1329" s="7" t="str">
        <f aca="false">IF('Outro banco'!A1329="","",IF(LEFT('Outro banco'!A1329,1)="(","",'Outro banco'!A1329))</f>
        <v/>
      </c>
      <c r="B1329" s="7" t="str">
        <f aca="false">IF(A1329="","",'Outro banco'!B1329)</f>
        <v/>
      </c>
      <c r="C1329" s="7" t="str">
        <f aca="false">IF(A1329="","",'Outro banco'!C1329)</f>
        <v/>
      </c>
      <c r="D1329" s="7" t="str">
        <f aca="false">IF(A1329="","",'Outro banco'!D1329)</f>
        <v/>
      </c>
      <c r="E1329" s="9"/>
      <c r="F1329" s="9"/>
      <c r="G1329" s="7" t="str">
        <f aca="false">IF(A1329="","",IF(COUNTIF(Tabelas!$A:$A,IF(E1329="",A1329,E1329))&gt;0,"sim","não"))</f>
        <v/>
      </c>
      <c r="H1329" s="7" t="str">
        <f aca="false">IF(A1329="","",IF(E1329="",A1329,E1329)&amp;"."&amp;IF(F1329="",B1329,F1329))</f>
        <v/>
      </c>
      <c r="I1329" s="7" t="str">
        <f aca="false">IF(A1329="","",IFERROR(INDEX('Campos Growths'!$F:$F,MATCH(H1329,'Campos Growths'!$A:$A,0)),""))</f>
        <v/>
      </c>
      <c r="J1329" s="7" t="str">
        <f aca="false">IF(A1329="","",IFERROR(VLOOKUP(IF(ISNUMBER(SEARCH("(",C1329)),LEFT(C1329,SEARCH("(",C1329)-1),C1329),Tipos!$A:$B,2,FALSE()),"outro"))</f>
        <v/>
      </c>
      <c r="K1329" s="7" t="str">
        <f aca="false">IF(I1329="","",IFERROR(INDEX('Campos Growths'!$L:$L,MATCH(H1329,'Campos Growths'!$A:$A,0)),""))</f>
        <v/>
      </c>
      <c r="L1329" s="7" t="str">
        <f aca="false">IF(A1329="","",IF(G1329="não","Sem tabela no Growths",IF(I1329="","Sem campo no Growths",IF(J1329=K1329,"Importa direto","Ajustar tipo"))))</f>
        <v/>
      </c>
      <c r="M1329" s="9"/>
    </row>
    <row r="1330" customFormat="false" ht="15" hidden="false" customHeight="false" outlineLevel="0" collapsed="false">
      <c r="A1330" s="7" t="str">
        <f aca="false">IF('Outro banco'!A1330="","",IF(LEFT('Outro banco'!A1330,1)="(","",'Outro banco'!A1330))</f>
        <v/>
      </c>
      <c r="B1330" s="7" t="str">
        <f aca="false">IF(A1330="","",'Outro banco'!B1330)</f>
        <v/>
      </c>
      <c r="C1330" s="7" t="str">
        <f aca="false">IF(A1330="","",'Outro banco'!C1330)</f>
        <v/>
      </c>
      <c r="D1330" s="7" t="str">
        <f aca="false">IF(A1330="","",'Outro banco'!D1330)</f>
        <v/>
      </c>
      <c r="E1330" s="9"/>
      <c r="F1330" s="9"/>
      <c r="G1330" s="7" t="str">
        <f aca="false">IF(A1330="","",IF(COUNTIF(Tabelas!$A:$A,IF(E1330="",A1330,E1330))&gt;0,"sim","não"))</f>
        <v/>
      </c>
      <c r="H1330" s="7" t="str">
        <f aca="false">IF(A1330="","",IF(E1330="",A1330,E1330)&amp;"."&amp;IF(F1330="",B1330,F1330))</f>
        <v/>
      </c>
      <c r="I1330" s="7" t="str">
        <f aca="false">IF(A1330="","",IFERROR(INDEX('Campos Growths'!$F:$F,MATCH(H1330,'Campos Growths'!$A:$A,0)),""))</f>
        <v/>
      </c>
      <c r="J1330" s="7" t="str">
        <f aca="false">IF(A1330="","",IFERROR(VLOOKUP(IF(ISNUMBER(SEARCH("(",C1330)),LEFT(C1330,SEARCH("(",C1330)-1),C1330),Tipos!$A:$B,2,FALSE()),"outro"))</f>
        <v/>
      </c>
      <c r="K1330" s="7" t="str">
        <f aca="false">IF(I1330="","",IFERROR(INDEX('Campos Growths'!$L:$L,MATCH(H1330,'Campos Growths'!$A:$A,0)),""))</f>
        <v/>
      </c>
      <c r="L1330" s="7" t="str">
        <f aca="false">IF(A1330="","",IF(G1330="não","Sem tabela no Growths",IF(I1330="","Sem campo no Growths",IF(J1330=K1330,"Importa direto","Ajustar tipo"))))</f>
        <v/>
      </c>
      <c r="M1330" s="9"/>
    </row>
    <row r="1331" customFormat="false" ht="15" hidden="false" customHeight="false" outlineLevel="0" collapsed="false">
      <c r="A1331" s="7" t="str">
        <f aca="false">IF('Outro banco'!A1331="","",IF(LEFT('Outro banco'!A1331,1)="(","",'Outro banco'!A1331))</f>
        <v/>
      </c>
      <c r="B1331" s="7" t="str">
        <f aca="false">IF(A1331="","",'Outro banco'!B1331)</f>
        <v/>
      </c>
      <c r="C1331" s="7" t="str">
        <f aca="false">IF(A1331="","",'Outro banco'!C1331)</f>
        <v/>
      </c>
      <c r="D1331" s="7" t="str">
        <f aca="false">IF(A1331="","",'Outro banco'!D1331)</f>
        <v/>
      </c>
      <c r="E1331" s="9"/>
      <c r="F1331" s="9"/>
      <c r="G1331" s="7" t="str">
        <f aca="false">IF(A1331="","",IF(COUNTIF(Tabelas!$A:$A,IF(E1331="",A1331,E1331))&gt;0,"sim","não"))</f>
        <v/>
      </c>
      <c r="H1331" s="7" t="str">
        <f aca="false">IF(A1331="","",IF(E1331="",A1331,E1331)&amp;"."&amp;IF(F1331="",B1331,F1331))</f>
        <v/>
      </c>
      <c r="I1331" s="7" t="str">
        <f aca="false">IF(A1331="","",IFERROR(INDEX('Campos Growths'!$F:$F,MATCH(H1331,'Campos Growths'!$A:$A,0)),""))</f>
        <v/>
      </c>
      <c r="J1331" s="7" t="str">
        <f aca="false">IF(A1331="","",IFERROR(VLOOKUP(IF(ISNUMBER(SEARCH("(",C1331)),LEFT(C1331,SEARCH("(",C1331)-1),C1331),Tipos!$A:$B,2,FALSE()),"outro"))</f>
        <v/>
      </c>
      <c r="K1331" s="7" t="str">
        <f aca="false">IF(I1331="","",IFERROR(INDEX('Campos Growths'!$L:$L,MATCH(H1331,'Campos Growths'!$A:$A,0)),""))</f>
        <v/>
      </c>
      <c r="L1331" s="7" t="str">
        <f aca="false">IF(A1331="","",IF(G1331="não","Sem tabela no Growths",IF(I1331="","Sem campo no Growths",IF(J1331=K1331,"Importa direto","Ajustar tipo"))))</f>
        <v/>
      </c>
      <c r="M1331" s="9"/>
    </row>
    <row r="1332" customFormat="false" ht="15" hidden="false" customHeight="false" outlineLevel="0" collapsed="false">
      <c r="A1332" s="7" t="str">
        <f aca="false">IF('Outro banco'!A1332="","",IF(LEFT('Outro banco'!A1332,1)="(","",'Outro banco'!A1332))</f>
        <v/>
      </c>
      <c r="B1332" s="7" t="str">
        <f aca="false">IF(A1332="","",'Outro banco'!B1332)</f>
        <v/>
      </c>
      <c r="C1332" s="7" t="str">
        <f aca="false">IF(A1332="","",'Outro banco'!C1332)</f>
        <v/>
      </c>
      <c r="D1332" s="7" t="str">
        <f aca="false">IF(A1332="","",'Outro banco'!D1332)</f>
        <v/>
      </c>
      <c r="E1332" s="9"/>
      <c r="F1332" s="9"/>
      <c r="G1332" s="7" t="str">
        <f aca="false">IF(A1332="","",IF(COUNTIF(Tabelas!$A:$A,IF(E1332="",A1332,E1332))&gt;0,"sim","não"))</f>
        <v/>
      </c>
      <c r="H1332" s="7" t="str">
        <f aca="false">IF(A1332="","",IF(E1332="",A1332,E1332)&amp;"."&amp;IF(F1332="",B1332,F1332))</f>
        <v/>
      </c>
      <c r="I1332" s="7" t="str">
        <f aca="false">IF(A1332="","",IFERROR(INDEX('Campos Growths'!$F:$F,MATCH(H1332,'Campos Growths'!$A:$A,0)),""))</f>
        <v/>
      </c>
      <c r="J1332" s="7" t="str">
        <f aca="false">IF(A1332="","",IFERROR(VLOOKUP(IF(ISNUMBER(SEARCH("(",C1332)),LEFT(C1332,SEARCH("(",C1332)-1),C1332),Tipos!$A:$B,2,FALSE()),"outro"))</f>
        <v/>
      </c>
      <c r="K1332" s="7" t="str">
        <f aca="false">IF(I1332="","",IFERROR(INDEX('Campos Growths'!$L:$L,MATCH(H1332,'Campos Growths'!$A:$A,0)),""))</f>
        <v/>
      </c>
      <c r="L1332" s="7" t="str">
        <f aca="false">IF(A1332="","",IF(G1332="não","Sem tabela no Growths",IF(I1332="","Sem campo no Growths",IF(J1332=K1332,"Importa direto","Ajustar tipo"))))</f>
        <v/>
      </c>
      <c r="M1332" s="9"/>
    </row>
    <row r="1333" customFormat="false" ht="15" hidden="false" customHeight="false" outlineLevel="0" collapsed="false">
      <c r="A1333" s="7" t="str">
        <f aca="false">IF('Outro banco'!A1333="","",IF(LEFT('Outro banco'!A1333,1)="(","",'Outro banco'!A1333))</f>
        <v/>
      </c>
      <c r="B1333" s="7" t="str">
        <f aca="false">IF(A1333="","",'Outro banco'!B1333)</f>
        <v/>
      </c>
      <c r="C1333" s="7" t="str">
        <f aca="false">IF(A1333="","",'Outro banco'!C1333)</f>
        <v/>
      </c>
      <c r="D1333" s="7" t="str">
        <f aca="false">IF(A1333="","",'Outro banco'!D1333)</f>
        <v/>
      </c>
      <c r="E1333" s="9"/>
      <c r="F1333" s="9"/>
      <c r="G1333" s="7" t="str">
        <f aca="false">IF(A1333="","",IF(COUNTIF(Tabelas!$A:$A,IF(E1333="",A1333,E1333))&gt;0,"sim","não"))</f>
        <v/>
      </c>
      <c r="H1333" s="7" t="str">
        <f aca="false">IF(A1333="","",IF(E1333="",A1333,E1333)&amp;"."&amp;IF(F1333="",B1333,F1333))</f>
        <v/>
      </c>
      <c r="I1333" s="7" t="str">
        <f aca="false">IF(A1333="","",IFERROR(INDEX('Campos Growths'!$F:$F,MATCH(H1333,'Campos Growths'!$A:$A,0)),""))</f>
        <v/>
      </c>
      <c r="J1333" s="7" t="str">
        <f aca="false">IF(A1333="","",IFERROR(VLOOKUP(IF(ISNUMBER(SEARCH("(",C1333)),LEFT(C1333,SEARCH("(",C1333)-1),C1333),Tipos!$A:$B,2,FALSE()),"outro"))</f>
        <v/>
      </c>
      <c r="K1333" s="7" t="str">
        <f aca="false">IF(I1333="","",IFERROR(INDEX('Campos Growths'!$L:$L,MATCH(H1333,'Campos Growths'!$A:$A,0)),""))</f>
        <v/>
      </c>
      <c r="L1333" s="7" t="str">
        <f aca="false">IF(A1333="","",IF(G1333="não","Sem tabela no Growths",IF(I1333="","Sem campo no Growths",IF(J1333=K1333,"Importa direto","Ajustar tipo"))))</f>
        <v/>
      </c>
      <c r="M1333" s="9"/>
    </row>
    <row r="1334" customFormat="false" ht="15" hidden="false" customHeight="false" outlineLevel="0" collapsed="false">
      <c r="A1334" s="7" t="str">
        <f aca="false">IF('Outro banco'!A1334="","",IF(LEFT('Outro banco'!A1334,1)="(","",'Outro banco'!A1334))</f>
        <v/>
      </c>
      <c r="B1334" s="7" t="str">
        <f aca="false">IF(A1334="","",'Outro banco'!B1334)</f>
        <v/>
      </c>
      <c r="C1334" s="7" t="str">
        <f aca="false">IF(A1334="","",'Outro banco'!C1334)</f>
        <v/>
      </c>
      <c r="D1334" s="7" t="str">
        <f aca="false">IF(A1334="","",'Outro banco'!D1334)</f>
        <v/>
      </c>
      <c r="E1334" s="9"/>
      <c r="F1334" s="9"/>
      <c r="G1334" s="7" t="str">
        <f aca="false">IF(A1334="","",IF(COUNTIF(Tabelas!$A:$A,IF(E1334="",A1334,E1334))&gt;0,"sim","não"))</f>
        <v/>
      </c>
      <c r="H1334" s="7" t="str">
        <f aca="false">IF(A1334="","",IF(E1334="",A1334,E1334)&amp;"."&amp;IF(F1334="",B1334,F1334))</f>
        <v/>
      </c>
      <c r="I1334" s="7" t="str">
        <f aca="false">IF(A1334="","",IFERROR(INDEX('Campos Growths'!$F:$F,MATCH(H1334,'Campos Growths'!$A:$A,0)),""))</f>
        <v/>
      </c>
      <c r="J1334" s="7" t="str">
        <f aca="false">IF(A1334="","",IFERROR(VLOOKUP(IF(ISNUMBER(SEARCH("(",C1334)),LEFT(C1334,SEARCH("(",C1334)-1),C1334),Tipos!$A:$B,2,FALSE()),"outro"))</f>
        <v/>
      </c>
      <c r="K1334" s="7" t="str">
        <f aca="false">IF(I1334="","",IFERROR(INDEX('Campos Growths'!$L:$L,MATCH(H1334,'Campos Growths'!$A:$A,0)),""))</f>
        <v/>
      </c>
      <c r="L1334" s="7" t="str">
        <f aca="false">IF(A1334="","",IF(G1334="não","Sem tabela no Growths",IF(I1334="","Sem campo no Growths",IF(J1334=K1334,"Importa direto","Ajustar tipo"))))</f>
        <v/>
      </c>
      <c r="M1334" s="9"/>
    </row>
    <row r="1335" customFormat="false" ht="15" hidden="false" customHeight="false" outlineLevel="0" collapsed="false">
      <c r="A1335" s="7" t="str">
        <f aca="false">IF('Outro banco'!A1335="","",IF(LEFT('Outro banco'!A1335,1)="(","",'Outro banco'!A1335))</f>
        <v/>
      </c>
      <c r="B1335" s="7" t="str">
        <f aca="false">IF(A1335="","",'Outro banco'!B1335)</f>
        <v/>
      </c>
      <c r="C1335" s="7" t="str">
        <f aca="false">IF(A1335="","",'Outro banco'!C1335)</f>
        <v/>
      </c>
      <c r="D1335" s="7" t="str">
        <f aca="false">IF(A1335="","",'Outro banco'!D1335)</f>
        <v/>
      </c>
      <c r="E1335" s="9"/>
      <c r="F1335" s="9"/>
      <c r="G1335" s="7" t="str">
        <f aca="false">IF(A1335="","",IF(COUNTIF(Tabelas!$A:$A,IF(E1335="",A1335,E1335))&gt;0,"sim","não"))</f>
        <v/>
      </c>
      <c r="H1335" s="7" t="str">
        <f aca="false">IF(A1335="","",IF(E1335="",A1335,E1335)&amp;"."&amp;IF(F1335="",B1335,F1335))</f>
        <v/>
      </c>
      <c r="I1335" s="7" t="str">
        <f aca="false">IF(A1335="","",IFERROR(INDEX('Campos Growths'!$F:$F,MATCH(H1335,'Campos Growths'!$A:$A,0)),""))</f>
        <v/>
      </c>
      <c r="J1335" s="7" t="str">
        <f aca="false">IF(A1335="","",IFERROR(VLOOKUP(IF(ISNUMBER(SEARCH("(",C1335)),LEFT(C1335,SEARCH("(",C1335)-1),C1335),Tipos!$A:$B,2,FALSE()),"outro"))</f>
        <v/>
      </c>
      <c r="K1335" s="7" t="str">
        <f aca="false">IF(I1335="","",IFERROR(INDEX('Campos Growths'!$L:$L,MATCH(H1335,'Campos Growths'!$A:$A,0)),""))</f>
        <v/>
      </c>
      <c r="L1335" s="7" t="str">
        <f aca="false">IF(A1335="","",IF(G1335="não","Sem tabela no Growths",IF(I1335="","Sem campo no Growths",IF(J1335=K1335,"Importa direto","Ajustar tipo"))))</f>
        <v/>
      </c>
      <c r="M1335" s="9"/>
    </row>
    <row r="1336" customFormat="false" ht="15" hidden="false" customHeight="false" outlineLevel="0" collapsed="false">
      <c r="A1336" s="7" t="str">
        <f aca="false">IF('Outro banco'!A1336="","",IF(LEFT('Outro banco'!A1336,1)="(","",'Outro banco'!A1336))</f>
        <v/>
      </c>
      <c r="B1336" s="7" t="str">
        <f aca="false">IF(A1336="","",'Outro banco'!B1336)</f>
        <v/>
      </c>
      <c r="C1336" s="7" t="str">
        <f aca="false">IF(A1336="","",'Outro banco'!C1336)</f>
        <v/>
      </c>
      <c r="D1336" s="7" t="str">
        <f aca="false">IF(A1336="","",'Outro banco'!D1336)</f>
        <v/>
      </c>
      <c r="E1336" s="9"/>
      <c r="F1336" s="9"/>
      <c r="G1336" s="7" t="str">
        <f aca="false">IF(A1336="","",IF(COUNTIF(Tabelas!$A:$A,IF(E1336="",A1336,E1336))&gt;0,"sim","não"))</f>
        <v/>
      </c>
      <c r="H1336" s="7" t="str">
        <f aca="false">IF(A1336="","",IF(E1336="",A1336,E1336)&amp;"."&amp;IF(F1336="",B1336,F1336))</f>
        <v/>
      </c>
      <c r="I1336" s="7" t="str">
        <f aca="false">IF(A1336="","",IFERROR(INDEX('Campos Growths'!$F:$F,MATCH(H1336,'Campos Growths'!$A:$A,0)),""))</f>
        <v/>
      </c>
      <c r="J1336" s="7" t="str">
        <f aca="false">IF(A1336="","",IFERROR(VLOOKUP(IF(ISNUMBER(SEARCH("(",C1336)),LEFT(C1336,SEARCH("(",C1336)-1),C1336),Tipos!$A:$B,2,FALSE()),"outro"))</f>
        <v/>
      </c>
      <c r="K1336" s="7" t="str">
        <f aca="false">IF(I1336="","",IFERROR(INDEX('Campos Growths'!$L:$L,MATCH(H1336,'Campos Growths'!$A:$A,0)),""))</f>
        <v/>
      </c>
      <c r="L1336" s="7" t="str">
        <f aca="false">IF(A1336="","",IF(G1336="não","Sem tabela no Growths",IF(I1336="","Sem campo no Growths",IF(J1336=K1336,"Importa direto","Ajustar tipo"))))</f>
        <v/>
      </c>
      <c r="M1336" s="9"/>
    </row>
    <row r="1337" customFormat="false" ht="15" hidden="false" customHeight="false" outlineLevel="0" collapsed="false">
      <c r="A1337" s="7" t="str">
        <f aca="false">IF('Outro banco'!A1337="","",IF(LEFT('Outro banco'!A1337,1)="(","",'Outro banco'!A1337))</f>
        <v/>
      </c>
      <c r="B1337" s="7" t="str">
        <f aca="false">IF(A1337="","",'Outro banco'!B1337)</f>
        <v/>
      </c>
      <c r="C1337" s="7" t="str">
        <f aca="false">IF(A1337="","",'Outro banco'!C1337)</f>
        <v/>
      </c>
      <c r="D1337" s="7" t="str">
        <f aca="false">IF(A1337="","",'Outro banco'!D1337)</f>
        <v/>
      </c>
      <c r="E1337" s="9"/>
      <c r="F1337" s="9"/>
      <c r="G1337" s="7" t="str">
        <f aca="false">IF(A1337="","",IF(COUNTIF(Tabelas!$A:$A,IF(E1337="",A1337,E1337))&gt;0,"sim","não"))</f>
        <v/>
      </c>
      <c r="H1337" s="7" t="str">
        <f aca="false">IF(A1337="","",IF(E1337="",A1337,E1337)&amp;"."&amp;IF(F1337="",B1337,F1337))</f>
        <v/>
      </c>
      <c r="I1337" s="7" t="str">
        <f aca="false">IF(A1337="","",IFERROR(INDEX('Campos Growths'!$F:$F,MATCH(H1337,'Campos Growths'!$A:$A,0)),""))</f>
        <v/>
      </c>
      <c r="J1337" s="7" t="str">
        <f aca="false">IF(A1337="","",IFERROR(VLOOKUP(IF(ISNUMBER(SEARCH("(",C1337)),LEFT(C1337,SEARCH("(",C1337)-1),C1337),Tipos!$A:$B,2,FALSE()),"outro"))</f>
        <v/>
      </c>
      <c r="K1337" s="7" t="str">
        <f aca="false">IF(I1337="","",IFERROR(INDEX('Campos Growths'!$L:$L,MATCH(H1337,'Campos Growths'!$A:$A,0)),""))</f>
        <v/>
      </c>
      <c r="L1337" s="7" t="str">
        <f aca="false">IF(A1337="","",IF(G1337="não","Sem tabela no Growths",IF(I1337="","Sem campo no Growths",IF(J1337=K1337,"Importa direto","Ajustar tipo"))))</f>
        <v/>
      </c>
      <c r="M1337" s="9"/>
    </row>
    <row r="1338" customFormat="false" ht="15" hidden="false" customHeight="false" outlineLevel="0" collapsed="false">
      <c r="A1338" s="7" t="str">
        <f aca="false">IF('Outro banco'!A1338="","",IF(LEFT('Outro banco'!A1338,1)="(","",'Outro banco'!A1338))</f>
        <v/>
      </c>
      <c r="B1338" s="7" t="str">
        <f aca="false">IF(A1338="","",'Outro banco'!B1338)</f>
        <v/>
      </c>
      <c r="C1338" s="7" t="str">
        <f aca="false">IF(A1338="","",'Outro banco'!C1338)</f>
        <v/>
      </c>
      <c r="D1338" s="7" t="str">
        <f aca="false">IF(A1338="","",'Outro banco'!D1338)</f>
        <v/>
      </c>
      <c r="E1338" s="9"/>
      <c r="F1338" s="9"/>
      <c r="G1338" s="7" t="str">
        <f aca="false">IF(A1338="","",IF(COUNTIF(Tabelas!$A:$A,IF(E1338="",A1338,E1338))&gt;0,"sim","não"))</f>
        <v/>
      </c>
      <c r="H1338" s="7" t="str">
        <f aca="false">IF(A1338="","",IF(E1338="",A1338,E1338)&amp;"."&amp;IF(F1338="",B1338,F1338))</f>
        <v/>
      </c>
      <c r="I1338" s="7" t="str">
        <f aca="false">IF(A1338="","",IFERROR(INDEX('Campos Growths'!$F:$F,MATCH(H1338,'Campos Growths'!$A:$A,0)),""))</f>
        <v/>
      </c>
      <c r="J1338" s="7" t="str">
        <f aca="false">IF(A1338="","",IFERROR(VLOOKUP(IF(ISNUMBER(SEARCH("(",C1338)),LEFT(C1338,SEARCH("(",C1338)-1),C1338),Tipos!$A:$B,2,FALSE()),"outro"))</f>
        <v/>
      </c>
      <c r="K1338" s="7" t="str">
        <f aca="false">IF(I1338="","",IFERROR(INDEX('Campos Growths'!$L:$L,MATCH(H1338,'Campos Growths'!$A:$A,0)),""))</f>
        <v/>
      </c>
      <c r="L1338" s="7" t="str">
        <f aca="false">IF(A1338="","",IF(G1338="não","Sem tabela no Growths",IF(I1338="","Sem campo no Growths",IF(J1338=K1338,"Importa direto","Ajustar tipo"))))</f>
        <v/>
      </c>
      <c r="M1338" s="9"/>
    </row>
    <row r="1339" customFormat="false" ht="15" hidden="false" customHeight="false" outlineLevel="0" collapsed="false">
      <c r="A1339" s="7" t="str">
        <f aca="false">IF('Outro banco'!A1339="","",IF(LEFT('Outro banco'!A1339,1)="(","",'Outro banco'!A1339))</f>
        <v/>
      </c>
      <c r="B1339" s="7" t="str">
        <f aca="false">IF(A1339="","",'Outro banco'!B1339)</f>
        <v/>
      </c>
      <c r="C1339" s="7" t="str">
        <f aca="false">IF(A1339="","",'Outro banco'!C1339)</f>
        <v/>
      </c>
      <c r="D1339" s="7" t="str">
        <f aca="false">IF(A1339="","",'Outro banco'!D1339)</f>
        <v/>
      </c>
      <c r="E1339" s="9"/>
      <c r="F1339" s="9"/>
      <c r="G1339" s="7" t="str">
        <f aca="false">IF(A1339="","",IF(COUNTIF(Tabelas!$A:$A,IF(E1339="",A1339,E1339))&gt;0,"sim","não"))</f>
        <v/>
      </c>
      <c r="H1339" s="7" t="str">
        <f aca="false">IF(A1339="","",IF(E1339="",A1339,E1339)&amp;"."&amp;IF(F1339="",B1339,F1339))</f>
        <v/>
      </c>
      <c r="I1339" s="7" t="str">
        <f aca="false">IF(A1339="","",IFERROR(INDEX('Campos Growths'!$F:$F,MATCH(H1339,'Campos Growths'!$A:$A,0)),""))</f>
        <v/>
      </c>
      <c r="J1339" s="7" t="str">
        <f aca="false">IF(A1339="","",IFERROR(VLOOKUP(IF(ISNUMBER(SEARCH("(",C1339)),LEFT(C1339,SEARCH("(",C1339)-1),C1339),Tipos!$A:$B,2,FALSE()),"outro"))</f>
        <v/>
      </c>
      <c r="K1339" s="7" t="str">
        <f aca="false">IF(I1339="","",IFERROR(INDEX('Campos Growths'!$L:$L,MATCH(H1339,'Campos Growths'!$A:$A,0)),""))</f>
        <v/>
      </c>
      <c r="L1339" s="7" t="str">
        <f aca="false">IF(A1339="","",IF(G1339="não","Sem tabela no Growths",IF(I1339="","Sem campo no Growths",IF(J1339=K1339,"Importa direto","Ajustar tipo"))))</f>
        <v/>
      </c>
      <c r="M1339" s="9"/>
    </row>
    <row r="1340" customFormat="false" ht="15" hidden="false" customHeight="false" outlineLevel="0" collapsed="false">
      <c r="A1340" s="7" t="str">
        <f aca="false">IF('Outro banco'!A1340="","",IF(LEFT('Outro banco'!A1340,1)="(","",'Outro banco'!A1340))</f>
        <v/>
      </c>
      <c r="B1340" s="7" t="str">
        <f aca="false">IF(A1340="","",'Outro banco'!B1340)</f>
        <v/>
      </c>
      <c r="C1340" s="7" t="str">
        <f aca="false">IF(A1340="","",'Outro banco'!C1340)</f>
        <v/>
      </c>
      <c r="D1340" s="7" t="str">
        <f aca="false">IF(A1340="","",'Outro banco'!D1340)</f>
        <v/>
      </c>
      <c r="E1340" s="9"/>
      <c r="F1340" s="9"/>
      <c r="G1340" s="7" t="str">
        <f aca="false">IF(A1340="","",IF(COUNTIF(Tabelas!$A:$A,IF(E1340="",A1340,E1340))&gt;0,"sim","não"))</f>
        <v/>
      </c>
      <c r="H1340" s="7" t="str">
        <f aca="false">IF(A1340="","",IF(E1340="",A1340,E1340)&amp;"."&amp;IF(F1340="",B1340,F1340))</f>
        <v/>
      </c>
      <c r="I1340" s="7" t="str">
        <f aca="false">IF(A1340="","",IFERROR(INDEX('Campos Growths'!$F:$F,MATCH(H1340,'Campos Growths'!$A:$A,0)),""))</f>
        <v/>
      </c>
      <c r="J1340" s="7" t="str">
        <f aca="false">IF(A1340="","",IFERROR(VLOOKUP(IF(ISNUMBER(SEARCH("(",C1340)),LEFT(C1340,SEARCH("(",C1340)-1),C1340),Tipos!$A:$B,2,FALSE()),"outro"))</f>
        <v/>
      </c>
      <c r="K1340" s="7" t="str">
        <f aca="false">IF(I1340="","",IFERROR(INDEX('Campos Growths'!$L:$L,MATCH(H1340,'Campos Growths'!$A:$A,0)),""))</f>
        <v/>
      </c>
      <c r="L1340" s="7" t="str">
        <f aca="false">IF(A1340="","",IF(G1340="não","Sem tabela no Growths",IF(I1340="","Sem campo no Growths",IF(J1340=K1340,"Importa direto","Ajustar tipo"))))</f>
        <v/>
      </c>
      <c r="M1340" s="9"/>
    </row>
    <row r="1341" customFormat="false" ht="15" hidden="false" customHeight="false" outlineLevel="0" collapsed="false">
      <c r="A1341" s="7" t="str">
        <f aca="false">IF('Outro banco'!A1341="","",IF(LEFT('Outro banco'!A1341,1)="(","",'Outro banco'!A1341))</f>
        <v/>
      </c>
      <c r="B1341" s="7" t="str">
        <f aca="false">IF(A1341="","",'Outro banco'!B1341)</f>
        <v/>
      </c>
      <c r="C1341" s="7" t="str">
        <f aca="false">IF(A1341="","",'Outro banco'!C1341)</f>
        <v/>
      </c>
      <c r="D1341" s="7" t="str">
        <f aca="false">IF(A1341="","",'Outro banco'!D1341)</f>
        <v/>
      </c>
      <c r="E1341" s="9"/>
      <c r="F1341" s="9"/>
      <c r="G1341" s="7" t="str">
        <f aca="false">IF(A1341="","",IF(COUNTIF(Tabelas!$A:$A,IF(E1341="",A1341,E1341))&gt;0,"sim","não"))</f>
        <v/>
      </c>
      <c r="H1341" s="7" t="str">
        <f aca="false">IF(A1341="","",IF(E1341="",A1341,E1341)&amp;"."&amp;IF(F1341="",B1341,F1341))</f>
        <v/>
      </c>
      <c r="I1341" s="7" t="str">
        <f aca="false">IF(A1341="","",IFERROR(INDEX('Campos Growths'!$F:$F,MATCH(H1341,'Campos Growths'!$A:$A,0)),""))</f>
        <v/>
      </c>
      <c r="J1341" s="7" t="str">
        <f aca="false">IF(A1341="","",IFERROR(VLOOKUP(IF(ISNUMBER(SEARCH("(",C1341)),LEFT(C1341,SEARCH("(",C1341)-1),C1341),Tipos!$A:$B,2,FALSE()),"outro"))</f>
        <v/>
      </c>
      <c r="K1341" s="7" t="str">
        <f aca="false">IF(I1341="","",IFERROR(INDEX('Campos Growths'!$L:$L,MATCH(H1341,'Campos Growths'!$A:$A,0)),""))</f>
        <v/>
      </c>
      <c r="L1341" s="7" t="str">
        <f aca="false">IF(A1341="","",IF(G1341="não","Sem tabela no Growths",IF(I1341="","Sem campo no Growths",IF(J1341=K1341,"Importa direto","Ajustar tipo"))))</f>
        <v/>
      </c>
      <c r="M1341" s="9"/>
    </row>
    <row r="1342" customFormat="false" ht="15" hidden="false" customHeight="false" outlineLevel="0" collapsed="false">
      <c r="A1342" s="7" t="str">
        <f aca="false">IF('Outro banco'!A1342="","",IF(LEFT('Outro banco'!A1342,1)="(","",'Outro banco'!A1342))</f>
        <v/>
      </c>
      <c r="B1342" s="7" t="str">
        <f aca="false">IF(A1342="","",'Outro banco'!B1342)</f>
        <v/>
      </c>
      <c r="C1342" s="7" t="str">
        <f aca="false">IF(A1342="","",'Outro banco'!C1342)</f>
        <v/>
      </c>
      <c r="D1342" s="7" t="str">
        <f aca="false">IF(A1342="","",'Outro banco'!D1342)</f>
        <v/>
      </c>
      <c r="E1342" s="9"/>
      <c r="F1342" s="9"/>
      <c r="G1342" s="7" t="str">
        <f aca="false">IF(A1342="","",IF(COUNTIF(Tabelas!$A:$A,IF(E1342="",A1342,E1342))&gt;0,"sim","não"))</f>
        <v/>
      </c>
      <c r="H1342" s="7" t="str">
        <f aca="false">IF(A1342="","",IF(E1342="",A1342,E1342)&amp;"."&amp;IF(F1342="",B1342,F1342))</f>
        <v/>
      </c>
      <c r="I1342" s="7" t="str">
        <f aca="false">IF(A1342="","",IFERROR(INDEX('Campos Growths'!$F:$F,MATCH(H1342,'Campos Growths'!$A:$A,0)),""))</f>
        <v/>
      </c>
      <c r="J1342" s="7" t="str">
        <f aca="false">IF(A1342="","",IFERROR(VLOOKUP(IF(ISNUMBER(SEARCH("(",C1342)),LEFT(C1342,SEARCH("(",C1342)-1),C1342),Tipos!$A:$B,2,FALSE()),"outro"))</f>
        <v/>
      </c>
      <c r="K1342" s="7" t="str">
        <f aca="false">IF(I1342="","",IFERROR(INDEX('Campos Growths'!$L:$L,MATCH(H1342,'Campos Growths'!$A:$A,0)),""))</f>
        <v/>
      </c>
      <c r="L1342" s="7" t="str">
        <f aca="false">IF(A1342="","",IF(G1342="não","Sem tabela no Growths",IF(I1342="","Sem campo no Growths",IF(J1342=K1342,"Importa direto","Ajustar tipo"))))</f>
        <v/>
      </c>
      <c r="M1342" s="9"/>
    </row>
    <row r="1343" customFormat="false" ht="15" hidden="false" customHeight="false" outlineLevel="0" collapsed="false">
      <c r="A1343" s="7" t="str">
        <f aca="false">IF('Outro banco'!A1343="","",IF(LEFT('Outro banco'!A1343,1)="(","",'Outro banco'!A1343))</f>
        <v/>
      </c>
      <c r="B1343" s="7" t="str">
        <f aca="false">IF(A1343="","",'Outro banco'!B1343)</f>
        <v/>
      </c>
      <c r="C1343" s="7" t="str">
        <f aca="false">IF(A1343="","",'Outro banco'!C1343)</f>
        <v/>
      </c>
      <c r="D1343" s="7" t="str">
        <f aca="false">IF(A1343="","",'Outro banco'!D1343)</f>
        <v/>
      </c>
      <c r="E1343" s="9"/>
      <c r="F1343" s="9"/>
      <c r="G1343" s="7" t="str">
        <f aca="false">IF(A1343="","",IF(COUNTIF(Tabelas!$A:$A,IF(E1343="",A1343,E1343))&gt;0,"sim","não"))</f>
        <v/>
      </c>
      <c r="H1343" s="7" t="str">
        <f aca="false">IF(A1343="","",IF(E1343="",A1343,E1343)&amp;"."&amp;IF(F1343="",B1343,F1343))</f>
        <v/>
      </c>
      <c r="I1343" s="7" t="str">
        <f aca="false">IF(A1343="","",IFERROR(INDEX('Campos Growths'!$F:$F,MATCH(H1343,'Campos Growths'!$A:$A,0)),""))</f>
        <v/>
      </c>
      <c r="J1343" s="7" t="str">
        <f aca="false">IF(A1343="","",IFERROR(VLOOKUP(IF(ISNUMBER(SEARCH("(",C1343)),LEFT(C1343,SEARCH("(",C1343)-1),C1343),Tipos!$A:$B,2,FALSE()),"outro"))</f>
        <v/>
      </c>
      <c r="K1343" s="7" t="str">
        <f aca="false">IF(I1343="","",IFERROR(INDEX('Campos Growths'!$L:$L,MATCH(H1343,'Campos Growths'!$A:$A,0)),""))</f>
        <v/>
      </c>
      <c r="L1343" s="7" t="str">
        <f aca="false">IF(A1343="","",IF(G1343="não","Sem tabela no Growths",IF(I1343="","Sem campo no Growths",IF(J1343=K1343,"Importa direto","Ajustar tipo"))))</f>
        <v/>
      </c>
      <c r="M1343" s="9"/>
    </row>
    <row r="1344" customFormat="false" ht="15" hidden="false" customHeight="false" outlineLevel="0" collapsed="false">
      <c r="A1344" s="7" t="str">
        <f aca="false">IF('Outro banco'!A1344="","",IF(LEFT('Outro banco'!A1344,1)="(","",'Outro banco'!A1344))</f>
        <v/>
      </c>
      <c r="B1344" s="7" t="str">
        <f aca="false">IF(A1344="","",'Outro banco'!B1344)</f>
        <v/>
      </c>
      <c r="C1344" s="7" t="str">
        <f aca="false">IF(A1344="","",'Outro banco'!C1344)</f>
        <v/>
      </c>
      <c r="D1344" s="7" t="str">
        <f aca="false">IF(A1344="","",'Outro banco'!D1344)</f>
        <v/>
      </c>
      <c r="E1344" s="9"/>
      <c r="F1344" s="9"/>
      <c r="G1344" s="7" t="str">
        <f aca="false">IF(A1344="","",IF(COUNTIF(Tabelas!$A:$A,IF(E1344="",A1344,E1344))&gt;0,"sim","não"))</f>
        <v/>
      </c>
      <c r="H1344" s="7" t="str">
        <f aca="false">IF(A1344="","",IF(E1344="",A1344,E1344)&amp;"."&amp;IF(F1344="",B1344,F1344))</f>
        <v/>
      </c>
      <c r="I1344" s="7" t="str">
        <f aca="false">IF(A1344="","",IFERROR(INDEX('Campos Growths'!$F:$F,MATCH(H1344,'Campos Growths'!$A:$A,0)),""))</f>
        <v/>
      </c>
      <c r="J1344" s="7" t="str">
        <f aca="false">IF(A1344="","",IFERROR(VLOOKUP(IF(ISNUMBER(SEARCH("(",C1344)),LEFT(C1344,SEARCH("(",C1344)-1),C1344),Tipos!$A:$B,2,FALSE()),"outro"))</f>
        <v/>
      </c>
      <c r="K1344" s="7" t="str">
        <f aca="false">IF(I1344="","",IFERROR(INDEX('Campos Growths'!$L:$L,MATCH(H1344,'Campos Growths'!$A:$A,0)),""))</f>
        <v/>
      </c>
      <c r="L1344" s="7" t="str">
        <f aca="false">IF(A1344="","",IF(G1344="não","Sem tabela no Growths",IF(I1344="","Sem campo no Growths",IF(J1344=K1344,"Importa direto","Ajustar tipo"))))</f>
        <v/>
      </c>
      <c r="M1344" s="9"/>
    </row>
    <row r="1345" customFormat="false" ht="15" hidden="false" customHeight="false" outlineLevel="0" collapsed="false">
      <c r="A1345" s="7" t="str">
        <f aca="false">IF('Outro banco'!A1345="","",IF(LEFT('Outro banco'!A1345,1)="(","",'Outro banco'!A1345))</f>
        <v/>
      </c>
      <c r="B1345" s="7" t="str">
        <f aca="false">IF(A1345="","",'Outro banco'!B1345)</f>
        <v/>
      </c>
      <c r="C1345" s="7" t="str">
        <f aca="false">IF(A1345="","",'Outro banco'!C1345)</f>
        <v/>
      </c>
      <c r="D1345" s="7" t="str">
        <f aca="false">IF(A1345="","",'Outro banco'!D1345)</f>
        <v/>
      </c>
      <c r="E1345" s="9"/>
      <c r="F1345" s="9"/>
      <c r="G1345" s="7" t="str">
        <f aca="false">IF(A1345="","",IF(COUNTIF(Tabelas!$A:$A,IF(E1345="",A1345,E1345))&gt;0,"sim","não"))</f>
        <v/>
      </c>
      <c r="H1345" s="7" t="str">
        <f aca="false">IF(A1345="","",IF(E1345="",A1345,E1345)&amp;"."&amp;IF(F1345="",B1345,F1345))</f>
        <v/>
      </c>
      <c r="I1345" s="7" t="str">
        <f aca="false">IF(A1345="","",IFERROR(INDEX('Campos Growths'!$F:$F,MATCH(H1345,'Campos Growths'!$A:$A,0)),""))</f>
        <v/>
      </c>
      <c r="J1345" s="7" t="str">
        <f aca="false">IF(A1345="","",IFERROR(VLOOKUP(IF(ISNUMBER(SEARCH("(",C1345)),LEFT(C1345,SEARCH("(",C1345)-1),C1345),Tipos!$A:$B,2,FALSE()),"outro"))</f>
        <v/>
      </c>
      <c r="K1345" s="7" t="str">
        <f aca="false">IF(I1345="","",IFERROR(INDEX('Campos Growths'!$L:$L,MATCH(H1345,'Campos Growths'!$A:$A,0)),""))</f>
        <v/>
      </c>
      <c r="L1345" s="7" t="str">
        <f aca="false">IF(A1345="","",IF(G1345="não","Sem tabela no Growths",IF(I1345="","Sem campo no Growths",IF(J1345=K1345,"Importa direto","Ajustar tipo"))))</f>
        <v/>
      </c>
      <c r="M1345" s="9"/>
    </row>
    <row r="1346" customFormat="false" ht="15" hidden="false" customHeight="false" outlineLevel="0" collapsed="false">
      <c r="A1346" s="7" t="str">
        <f aca="false">IF('Outro banco'!A1346="","",IF(LEFT('Outro banco'!A1346,1)="(","",'Outro banco'!A1346))</f>
        <v/>
      </c>
      <c r="B1346" s="7" t="str">
        <f aca="false">IF(A1346="","",'Outro banco'!B1346)</f>
        <v/>
      </c>
      <c r="C1346" s="7" t="str">
        <f aca="false">IF(A1346="","",'Outro banco'!C1346)</f>
        <v/>
      </c>
      <c r="D1346" s="7" t="str">
        <f aca="false">IF(A1346="","",'Outro banco'!D1346)</f>
        <v/>
      </c>
      <c r="E1346" s="9"/>
      <c r="F1346" s="9"/>
      <c r="G1346" s="7" t="str">
        <f aca="false">IF(A1346="","",IF(COUNTIF(Tabelas!$A:$A,IF(E1346="",A1346,E1346))&gt;0,"sim","não"))</f>
        <v/>
      </c>
      <c r="H1346" s="7" t="str">
        <f aca="false">IF(A1346="","",IF(E1346="",A1346,E1346)&amp;"."&amp;IF(F1346="",B1346,F1346))</f>
        <v/>
      </c>
      <c r="I1346" s="7" t="str">
        <f aca="false">IF(A1346="","",IFERROR(INDEX('Campos Growths'!$F:$F,MATCH(H1346,'Campos Growths'!$A:$A,0)),""))</f>
        <v/>
      </c>
      <c r="J1346" s="7" t="str">
        <f aca="false">IF(A1346="","",IFERROR(VLOOKUP(IF(ISNUMBER(SEARCH("(",C1346)),LEFT(C1346,SEARCH("(",C1346)-1),C1346),Tipos!$A:$B,2,FALSE()),"outro"))</f>
        <v/>
      </c>
      <c r="K1346" s="7" t="str">
        <f aca="false">IF(I1346="","",IFERROR(INDEX('Campos Growths'!$L:$L,MATCH(H1346,'Campos Growths'!$A:$A,0)),""))</f>
        <v/>
      </c>
      <c r="L1346" s="7" t="str">
        <f aca="false">IF(A1346="","",IF(G1346="não","Sem tabela no Growths",IF(I1346="","Sem campo no Growths",IF(J1346=K1346,"Importa direto","Ajustar tipo"))))</f>
        <v/>
      </c>
      <c r="M1346" s="9"/>
    </row>
    <row r="1347" customFormat="false" ht="15" hidden="false" customHeight="false" outlineLevel="0" collapsed="false">
      <c r="A1347" s="7" t="str">
        <f aca="false">IF('Outro banco'!A1347="","",IF(LEFT('Outro banco'!A1347,1)="(","",'Outro banco'!A1347))</f>
        <v/>
      </c>
      <c r="B1347" s="7" t="str">
        <f aca="false">IF(A1347="","",'Outro banco'!B1347)</f>
        <v/>
      </c>
      <c r="C1347" s="7" t="str">
        <f aca="false">IF(A1347="","",'Outro banco'!C1347)</f>
        <v/>
      </c>
      <c r="D1347" s="7" t="str">
        <f aca="false">IF(A1347="","",'Outro banco'!D1347)</f>
        <v/>
      </c>
      <c r="E1347" s="9"/>
      <c r="F1347" s="9"/>
      <c r="G1347" s="7" t="str">
        <f aca="false">IF(A1347="","",IF(COUNTIF(Tabelas!$A:$A,IF(E1347="",A1347,E1347))&gt;0,"sim","não"))</f>
        <v/>
      </c>
      <c r="H1347" s="7" t="str">
        <f aca="false">IF(A1347="","",IF(E1347="",A1347,E1347)&amp;"."&amp;IF(F1347="",B1347,F1347))</f>
        <v/>
      </c>
      <c r="I1347" s="7" t="str">
        <f aca="false">IF(A1347="","",IFERROR(INDEX('Campos Growths'!$F:$F,MATCH(H1347,'Campos Growths'!$A:$A,0)),""))</f>
        <v/>
      </c>
      <c r="J1347" s="7" t="str">
        <f aca="false">IF(A1347="","",IFERROR(VLOOKUP(IF(ISNUMBER(SEARCH("(",C1347)),LEFT(C1347,SEARCH("(",C1347)-1),C1347),Tipos!$A:$B,2,FALSE()),"outro"))</f>
        <v/>
      </c>
      <c r="K1347" s="7" t="str">
        <f aca="false">IF(I1347="","",IFERROR(INDEX('Campos Growths'!$L:$L,MATCH(H1347,'Campos Growths'!$A:$A,0)),""))</f>
        <v/>
      </c>
      <c r="L1347" s="7" t="str">
        <f aca="false">IF(A1347="","",IF(G1347="não","Sem tabela no Growths",IF(I1347="","Sem campo no Growths",IF(J1347=K1347,"Importa direto","Ajustar tipo"))))</f>
        <v/>
      </c>
      <c r="M1347" s="9"/>
    </row>
    <row r="1348" customFormat="false" ht="15" hidden="false" customHeight="false" outlineLevel="0" collapsed="false">
      <c r="A1348" s="7" t="str">
        <f aca="false">IF('Outro banco'!A1348="","",IF(LEFT('Outro banco'!A1348,1)="(","",'Outro banco'!A1348))</f>
        <v/>
      </c>
      <c r="B1348" s="7" t="str">
        <f aca="false">IF(A1348="","",'Outro banco'!B1348)</f>
        <v/>
      </c>
      <c r="C1348" s="7" t="str">
        <f aca="false">IF(A1348="","",'Outro banco'!C1348)</f>
        <v/>
      </c>
      <c r="D1348" s="7" t="str">
        <f aca="false">IF(A1348="","",'Outro banco'!D1348)</f>
        <v/>
      </c>
      <c r="E1348" s="9"/>
      <c r="F1348" s="9"/>
      <c r="G1348" s="7" t="str">
        <f aca="false">IF(A1348="","",IF(COUNTIF(Tabelas!$A:$A,IF(E1348="",A1348,E1348))&gt;0,"sim","não"))</f>
        <v/>
      </c>
      <c r="H1348" s="7" t="str">
        <f aca="false">IF(A1348="","",IF(E1348="",A1348,E1348)&amp;"."&amp;IF(F1348="",B1348,F1348))</f>
        <v/>
      </c>
      <c r="I1348" s="7" t="str">
        <f aca="false">IF(A1348="","",IFERROR(INDEX('Campos Growths'!$F:$F,MATCH(H1348,'Campos Growths'!$A:$A,0)),""))</f>
        <v/>
      </c>
      <c r="J1348" s="7" t="str">
        <f aca="false">IF(A1348="","",IFERROR(VLOOKUP(IF(ISNUMBER(SEARCH("(",C1348)),LEFT(C1348,SEARCH("(",C1348)-1),C1348),Tipos!$A:$B,2,FALSE()),"outro"))</f>
        <v/>
      </c>
      <c r="K1348" s="7" t="str">
        <f aca="false">IF(I1348="","",IFERROR(INDEX('Campos Growths'!$L:$L,MATCH(H1348,'Campos Growths'!$A:$A,0)),""))</f>
        <v/>
      </c>
      <c r="L1348" s="7" t="str">
        <f aca="false">IF(A1348="","",IF(G1348="não","Sem tabela no Growths",IF(I1348="","Sem campo no Growths",IF(J1348=K1348,"Importa direto","Ajustar tipo"))))</f>
        <v/>
      </c>
      <c r="M1348" s="9"/>
    </row>
    <row r="1349" customFormat="false" ht="15" hidden="false" customHeight="false" outlineLevel="0" collapsed="false">
      <c r="A1349" s="7" t="str">
        <f aca="false">IF('Outro banco'!A1349="","",IF(LEFT('Outro banco'!A1349,1)="(","",'Outro banco'!A1349))</f>
        <v/>
      </c>
      <c r="B1349" s="7" t="str">
        <f aca="false">IF(A1349="","",'Outro banco'!B1349)</f>
        <v/>
      </c>
      <c r="C1349" s="7" t="str">
        <f aca="false">IF(A1349="","",'Outro banco'!C1349)</f>
        <v/>
      </c>
      <c r="D1349" s="7" t="str">
        <f aca="false">IF(A1349="","",'Outro banco'!D1349)</f>
        <v/>
      </c>
      <c r="E1349" s="9"/>
      <c r="F1349" s="9"/>
      <c r="G1349" s="7" t="str">
        <f aca="false">IF(A1349="","",IF(COUNTIF(Tabelas!$A:$A,IF(E1349="",A1349,E1349))&gt;0,"sim","não"))</f>
        <v/>
      </c>
      <c r="H1349" s="7" t="str">
        <f aca="false">IF(A1349="","",IF(E1349="",A1349,E1349)&amp;"."&amp;IF(F1349="",B1349,F1349))</f>
        <v/>
      </c>
      <c r="I1349" s="7" t="str">
        <f aca="false">IF(A1349="","",IFERROR(INDEX('Campos Growths'!$F:$F,MATCH(H1349,'Campos Growths'!$A:$A,0)),""))</f>
        <v/>
      </c>
      <c r="J1349" s="7" t="str">
        <f aca="false">IF(A1349="","",IFERROR(VLOOKUP(IF(ISNUMBER(SEARCH("(",C1349)),LEFT(C1349,SEARCH("(",C1349)-1),C1349),Tipos!$A:$B,2,FALSE()),"outro"))</f>
        <v/>
      </c>
      <c r="K1349" s="7" t="str">
        <f aca="false">IF(I1349="","",IFERROR(INDEX('Campos Growths'!$L:$L,MATCH(H1349,'Campos Growths'!$A:$A,0)),""))</f>
        <v/>
      </c>
      <c r="L1349" s="7" t="str">
        <f aca="false">IF(A1349="","",IF(G1349="não","Sem tabela no Growths",IF(I1349="","Sem campo no Growths",IF(J1349=K1349,"Importa direto","Ajustar tipo"))))</f>
        <v/>
      </c>
      <c r="M1349" s="9"/>
    </row>
    <row r="1350" customFormat="false" ht="15" hidden="false" customHeight="false" outlineLevel="0" collapsed="false">
      <c r="A1350" s="7" t="str">
        <f aca="false">IF('Outro banco'!A1350="","",IF(LEFT('Outro banco'!A1350,1)="(","",'Outro banco'!A1350))</f>
        <v/>
      </c>
      <c r="B1350" s="7" t="str">
        <f aca="false">IF(A1350="","",'Outro banco'!B1350)</f>
        <v/>
      </c>
      <c r="C1350" s="7" t="str">
        <f aca="false">IF(A1350="","",'Outro banco'!C1350)</f>
        <v/>
      </c>
      <c r="D1350" s="7" t="str">
        <f aca="false">IF(A1350="","",'Outro banco'!D1350)</f>
        <v/>
      </c>
      <c r="E1350" s="9"/>
      <c r="F1350" s="9"/>
      <c r="G1350" s="7" t="str">
        <f aca="false">IF(A1350="","",IF(COUNTIF(Tabelas!$A:$A,IF(E1350="",A1350,E1350))&gt;0,"sim","não"))</f>
        <v/>
      </c>
      <c r="H1350" s="7" t="str">
        <f aca="false">IF(A1350="","",IF(E1350="",A1350,E1350)&amp;"."&amp;IF(F1350="",B1350,F1350))</f>
        <v/>
      </c>
      <c r="I1350" s="7" t="str">
        <f aca="false">IF(A1350="","",IFERROR(INDEX('Campos Growths'!$F:$F,MATCH(H1350,'Campos Growths'!$A:$A,0)),""))</f>
        <v/>
      </c>
      <c r="J1350" s="7" t="str">
        <f aca="false">IF(A1350="","",IFERROR(VLOOKUP(IF(ISNUMBER(SEARCH("(",C1350)),LEFT(C1350,SEARCH("(",C1350)-1),C1350),Tipos!$A:$B,2,FALSE()),"outro"))</f>
        <v/>
      </c>
      <c r="K1350" s="7" t="str">
        <f aca="false">IF(I1350="","",IFERROR(INDEX('Campos Growths'!$L:$L,MATCH(H1350,'Campos Growths'!$A:$A,0)),""))</f>
        <v/>
      </c>
      <c r="L1350" s="7" t="str">
        <f aca="false">IF(A1350="","",IF(G1350="não","Sem tabela no Growths",IF(I1350="","Sem campo no Growths",IF(J1350=K1350,"Importa direto","Ajustar tipo"))))</f>
        <v/>
      </c>
      <c r="M1350" s="9"/>
    </row>
    <row r="1351" customFormat="false" ht="15" hidden="false" customHeight="false" outlineLevel="0" collapsed="false">
      <c r="A1351" s="7" t="str">
        <f aca="false">IF('Outro banco'!A1351="","",IF(LEFT('Outro banco'!A1351,1)="(","",'Outro banco'!A1351))</f>
        <v/>
      </c>
      <c r="B1351" s="7" t="str">
        <f aca="false">IF(A1351="","",'Outro banco'!B1351)</f>
        <v/>
      </c>
      <c r="C1351" s="7" t="str">
        <f aca="false">IF(A1351="","",'Outro banco'!C1351)</f>
        <v/>
      </c>
      <c r="D1351" s="7" t="str">
        <f aca="false">IF(A1351="","",'Outro banco'!D1351)</f>
        <v/>
      </c>
      <c r="E1351" s="9"/>
      <c r="F1351" s="9"/>
      <c r="G1351" s="7" t="str">
        <f aca="false">IF(A1351="","",IF(COUNTIF(Tabelas!$A:$A,IF(E1351="",A1351,E1351))&gt;0,"sim","não"))</f>
        <v/>
      </c>
      <c r="H1351" s="7" t="str">
        <f aca="false">IF(A1351="","",IF(E1351="",A1351,E1351)&amp;"."&amp;IF(F1351="",B1351,F1351))</f>
        <v/>
      </c>
      <c r="I1351" s="7" t="str">
        <f aca="false">IF(A1351="","",IFERROR(INDEX('Campos Growths'!$F:$F,MATCH(H1351,'Campos Growths'!$A:$A,0)),""))</f>
        <v/>
      </c>
      <c r="J1351" s="7" t="str">
        <f aca="false">IF(A1351="","",IFERROR(VLOOKUP(IF(ISNUMBER(SEARCH("(",C1351)),LEFT(C1351,SEARCH("(",C1351)-1),C1351),Tipos!$A:$B,2,FALSE()),"outro"))</f>
        <v/>
      </c>
      <c r="K1351" s="7" t="str">
        <f aca="false">IF(I1351="","",IFERROR(INDEX('Campos Growths'!$L:$L,MATCH(H1351,'Campos Growths'!$A:$A,0)),""))</f>
        <v/>
      </c>
      <c r="L1351" s="7" t="str">
        <f aca="false">IF(A1351="","",IF(G1351="não","Sem tabela no Growths",IF(I1351="","Sem campo no Growths",IF(J1351=K1351,"Importa direto","Ajustar tipo"))))</f>
        <v/>
      </c>
      <c r="M1351" s="9"/>
    </row>
    <row r="1352" customFormat="false" ht="15" hidden="false" customHeight="false" outlineLevel="0" collapsed="false">
      <c r="A1352" s="7" t="str">
        <f aca="false">IF('Outro banco'!A1352="","",IF(LEFT('Outro banco'!A1352,1)="(","",'Outro banco'!A1352))</f>
        <v/>
      </c>
      <c r="B1352" s="7" t="str">
        <f aca="false">IF(A1352="","",'Outro banco'!B1352)</f>
        <v/>
      </c>
      <c r="C1352" s="7" t="str">
        <f aca="false">IF(A1352="","",'Outro banco'!C1352)</f>
        <v/>
      </c>
      <c r="D1352" s="7" t="str">
        <f aca="false">IF(A1352="","",'Outro banco'!D1352)</f>
        <v/>
      </c>
      <c r="E1352" s="9"/>
      <c r="F1352" s="9"/>
      <c r="G1352" s="7" t="str">
        <f aca="false">IF(A1352="","",IF(COUNTIF(Tabelas!$A:$A,IF(E1352="",A1352,E1352))&gt;0,"sim","não"))</f>
        <v/>
      </c>
      <c r="H1352" s="7" t="str">
        <f aca="false">IF(A1352="","",IF(E1352="",A1352,E1352)&amp;"."&amp;IF(F1352="",B1352,F1352))</f>
        <v/>
      </c>
      <c r="I1352" s="7" t="str">
        <f aca="false">IF(A1352="","",IFERROR(INDEX('Campos Growths'!$F:$F,MATCH(H1352,'Campos Growths'!$A:$A,0)),""))</f>
        <v/>
      </c>
      <c r="J1352" s="7" t="str">
        <f aca="false">IF(A1352="","",IFERROR(VLOOKUP(IF(ISNUMBER(SEARCH("(",C1352)),LEFT(C1352,SEARCH("(",C1352)-1),C1352),Tipos!$A:$B,2,FALSE()),"outro"))</f>
        <v/>
      </c>
      <c r="K1352" s="7" t="str">
        <f aca="false">IF(I1352="","",IFERROR(INDEX('Campos Growths'!$L:$L,MATCH(H1352,'Campos Growths'!$A:$A,0)),""))</f>
        <v/>
      </c>
      <c r="L1352" s="7" t="str">
        <f aca="false">IF(A1352="","",IF(G1352="não","Sem tabela no Growths",IF(I1352="","Sem campo no Growths",IF(J1352=K1352,"Importa direto","Ajustar tipo"))))</f>
        <v/>
      </c>
      <c r="M1352" s="9"/>
    </row>
    <row r="1353" customFormat="false" ht="15" hidden="false" customHeight="false" outlineLevel="0" collapsed="false">
      <c r="A1353" s="7" t="str">
        <f aca="false">IF('Outro banco'!A1353="","",IF(LEFT('Outro banco'!A1353,1)="(","",'Outro banco'!A1353))</f>
        <v/>
      </c>
      <c r="B1353" s="7" t="str">
        <f aca="false">IF(A1353="","",'Outro banco'!B1353)</f>
        <v/>
      </c>
      <c r="C1353" s="7" t="str">
        <f aca="false">IF(A1353="","",'Outro banco'!C1353)</f>
        <v/>
      </c>
      <c r="D1353" s="7" t="str">
        <f aca="false">IF(A1353="","",'Outro banco'!D1353)</f>
        <v/>
      </c>
      <c r="E1353" s="9"/>
      <c r="F1353" s="9"/>
      <c r="G1353" s="7" t="str">
        <f aca="false">IF(A1353="","",IF(COUNTIF(Tabelas!$A:$A,IF(E1353="",A1353,E1353))&gt;0,"sim","não"))</f>
        <v/>
      </c>
      <c r="H1353" s="7" t="str">
        <f aca="false">IF(A1353="","",IF(E1353="",A1353,E1353)&amp;"."&amp;IF(F1353="",B1353,F1353))</f>
        <v/>
      </c>
      <c r="I1353" s="7" t="str">
        <f aca="false">IF(A1353="","",IFERROR(INDEX('Campos Growths'!$F:$F,MATCH(H1353,'Campos Growths'!$A:$A,0)),""))</f>
        <v/>
      </c>
      <c r="J1353" s="7" t="str">
        <f aca="false">IF(A1353="","",IFERROR(VLOOKUP(IF(ISNUMBER(SEARCH("(",C1353)),LEFT(C1353,SEARCH("(",C1353)-1),C1353),Tipos!$A:$B,2,FALSE()),"outro"))</f>
        <v/>
      </c>
      <c r="K1353" s="7" t="str">
        <f aca="false">IF(I1353="","",IFERROR(INDEX('Campos Growths'!$L:$L,MATCH(H1353,'Campos Growths'!$A:$A,0)),""))</f>
        <v/>
      </c>
      <c r="L1353" s="7" t="str">
        <f aca="false">IF(A1353="","",IF(G1353="não","Sem tabela no Growths",IF(I1353="","Sem campo no Growths",IF(J1353=K1353,"Importa direto","Ajustar tipo"))))</f>
        <v/>
      </c>
      <c r="M1353" s="9"/>
    </row>
    <row r="1354" customFormat="false" ht="15" hidden="false" customHeight="false" outlineLevel="0" collapsed="false">
      <c r="A1354" s="7" t="str">
        <f aca="false">IF('Outro banco'!A1354="","",IF(LEFT('Outro banco'!A1354,1)="(","",'Outro banco'!A1354))</f>
        <v/>
      </c>
      <c r="B1354" s="7" t="str">
        <f aca="false">IF(A1354="","",'Outro banco'!B1354)</f>
        <v/>
      </c>
      <c r="C1354" s="7" t="str">
        <f aca="false">IF(A1354="","",'Outro banco'!C1354)</f>
        <v/>
      </c>
      <c r="D1354" s="7" t="str">
        <f aca="false">IF(A1354="","",'Outro banco'!D1354)</f>
        <v/>
      </c>
      <c r="E1354" s="9"/>
      <c r="F1354" s="9"/>
      <c r="G1354" s="7" t="str">
        <f aca="false">IF(A1354="","",IF(COUNTIF(Tabelas!$A:$A,IF(E1354="",A1354,E1354))&gt;0,"sim","não"))</f>
        <v/>
      </c>
      <c r="H1354" s="7" t="str">
        <f aca="false">IF(A1354="","",IF(E1354="",A1354,E1354)&amp;"."&amp;IF(F1354="",B1354,F1354))</f>
        <v/>
      </c>
      <c r="I1354" s="7" t="str">
        <f aca="false">IF(A1354="","",IFERROR(INDEX('Campos Growths'!$F:$F,MATCH(H1354,'Campos Growths'!$A:$A,0)),""))</f>
        <v/>
      </c>
      <c r="J1354" s="7" t="str">
        <f aca="false">IF(A1354="","",IFERROR(VLOOKUP(IF(ISNUMBER(SEARCH("(",C1354)),LEFT(C1354,SEARCH("(",C1354)-1),C1354),Tipos!$A:$B,2,FALSE()),"outro"))</f>
        <v/>
      </c>
      <c r="K1354" s="7" t="str">
        <f aca="false">IF(I1354="","",IFERROR(INDEX('Campos Growths'!$L:$L,MATCH(H1354,'Campos Growths'!$A:$A,0)),""))</f>
        <v/>
      </c>
      <c r="L1354" s="7" t="str">
        <f aca="false">IF(A1354="","",IF(G1354="não","Sem tabela no Growths",IF(I1354="","Sem campo no Growths",IF(J1354=K1354,"Importa direto","Ajustar tipo"))))</f>
        <v/>
      </c>
      <c r="M1354" s="9"/>
    </row>
    <row r="1355" customFormat="false" ht="15" hidden="false" customHeight="false" outlineLevel="0" collapsed="false">
      <c r="A1355" s="7" t="str">
        <f aca="false">IF('Outro banco'!A1355="","",IF(LEFT('Outro banco'!A1355,1)="(","",'Outro banco'!A1355))</f>
        <v/>
      </c>
      <c r="B1355" s="7" t="str">
        <f aca="false">IF(A1355="","",'Outro banco'!B1355)</f>
        <v/>
      </c>
      <c r="C1355" s="7" t="str">
        <f aca="false">IF(A1355="","",'Outro banco'!C1355)</f>
        <v/>
      </c>
      <c r="D1355" s="7" t="str">
        <f aca="false">IF(A1355="","",'Outro banco'!D1355)</f>
        <v/>
      </c>
      <c r="E1355" s="9"/>
      <c r="F1355" s="9"/>
      <c r="G1355" s="7" t="str">
        <f aca="false">IF(A1355="","",IF(COUNTIF(Tabelas!$A:$A,IF(E1355="",A1355,E1355))&gt;0,"sim","não"))</f>
        <v/>
      </c>
      <c r="H1355" s="7" t="str">
        <f aca="false">IF(A1355="","",IF(E1355="",A1355,E1355)&amp;"."&amp;IF(F1355="",B1355,F1355))</f>
        <v/>
      </c>
      <c r="I1355" s="7" t="str">
        <f aca="false">IF(A1355="","",IFERROR(INDEX('Campos Growths'!$F:$F,MATCH(H1355,'Campos Growths'!$A:$A,0)),""))</f>
        <v/>
      </c>
      <c r="J1355" s="7" t="str">
        <f aca="false">IF(A1355="","",IFERROR(VLOOKUP(IF(ISNUMBER(SEARCH("(",C1355)),LEFT(C1355,SEARCH("(",C1355)-1),C1355),Tipos!$A:$B,2,FALSE()),"outro"))</f>
        <v/>
      </c>
      <c r="K1355" s="7" t="str">
        <f aca="false">IF(I1355="","",IFERROR(INDEX('Campos Growths'!$L:$L,MATCH(H1355,'Campos Growths'!$A:$A,0)),""))</f>
        <v/>
      </c>
      <c r="L1355" s="7" t="str">
        <f aca="false">IF(A1355="","",IF(G1355="não","Sem tabela no Growths",IF(I1355="","Sem campo no Growths",IF(J1355=K1355,"Importa direto","Ajustar tipo"))))</f>
        <v/>
      </c>
      <c r="M1355" s="9"/>
    </row>
    <row r="1356" customFormat="false" ht="15" hidden="false" customHeight="false" outlineLevel="0" collapsed="false">
      <c r="A1356" s="7" t="str">
        <f aca="false">IF('Outro banco'!A1356="","",IF(LEFT('Outro banco'!A1356,1)="(","",'Outro banco'!A1356))</f>
        <v/>
      </c>
      <c r="B1356" s="7" t="str">
        <f aca="false">IF(A1356="","",'Outro banco'!B1356)</f>
        <v/>
      </c>
      <c r="C1356" s="7" t="str">
        <f aca="false">IF(A1356="","",'Outro banco'!C1356)</f>
        <v/>
      </c>
      <c r="D1356" s="7" t="str">
        <f aca="false">IF(A1356="","",'Outro banco'!D1356)</f>
        <v/>
      </c>
      <c r="E1356" s="9"/>
      <c r="F1356" s="9"/>
      <c r="G1356" s="7" t="str">
        <f aca="false">IF(A1356="","",IF(COUNTIF(Tabelas!$A:$A,IF(E1356="",A1356,E1356))&gt;0,"sim","não"))</f>
        <v/>
      </c>
      <c r="H1356" s="7" t="str">
        <f aca="false">IF(A1356="","",IF(E1356="",A1356,E1356)&amp;"."&amp;IF(F1356="",B1356,F1356))</f>
        <v/>
      </c>
      <c r="I1356" s="7" t="str">
        <f aca="false">IF(A1356="","",IFERROR(INDEX('Campos Growths'!$F:$F,MATCH(H1356,'Campos Growths'!$A:$A,0)),""))</f>
        <v/>
      </c>
      <c r="J1356" s="7" t="str">
        <f aca="false">IF(A1356="","",IFERROR(VLOOKUP(IF(ISNUMBER(SEARCH("(",C1356)),LEFT(C1356,SEARCH("(",C1356)-1),C1356),Tipos!$A:$B,2,FALSE()),"outro"))</f>
        <v/>
      </c>
      <c r="K1356" s="7" t="str">
        <f aca="false">IF(I1356="","",IFERROR(INDEX('Campos Growths'!$L:$L,MATCH(H1356,'Campos Growths'!$A:$A,0)),""))</f>
        <v/>
      </c>
      <c r="L1356" s="7" t="str">
        <f aca="false">IF(A1356="","",IF(G1356="não","Sem tabela no Growths",IF(I1356="","Sem campo no Growths",IF(J1356=K1356,"Importa direto","Ajustar tipo"))))</f>
        <v/>
      </c>
      <c r="M1356" s="9"/>
    </row>
    <row r="1357" customFormat="false" ht="15" hidden="false" customHeight="false" outlineLevel="0" collapsed="false">
      <c r="A1357" s="7" t="str">
        <f aca="false">IF('Outro banco'!A1357="","",IF(LEFT('Outro banco'!A1357,1)="(","",'Outro banco'!A1357))</f>
        <v/>
      </c>
      <c r="B1357" s="7" t="str">
        <f aca="false">IF(A1357="","",'Outro banco'!B1357)</f>
        <v/>
      </c>
      <c r="C1357" s="7" t="str">
        <f aca="false">IF(A1357="","",'Outro banco'!C1357)</f>
        <v/>
      </c>
      <c r="D1357" s="7" t="str">
        <f aca="false">IF(A1357="","",'Outro banco'!D1357)</f>
        <v/>
      </c>
      <c r="E1357" s="9"/>
      <c r="F1357" s="9"/>
      <c r="G1357" s="7" t="str">
        <f aca="false">IF(A1357="","",IF(COUNTIF(Tabelas!$A:$A,IF(E1357="",A1357,E1357))&gt;0,"sim","não"))</f>
        <v/>
      </c>
      <c r="H1357" s="7" t="str">
        <f aca="false">IF(A1357="","",IF(E1357="",A1357,E1357)&amp;"."&amp;IF(F1357="",B1357,F1357))</f>
        <v/>
      </c>
      <c r="I1357" s="7" t="str">
        <f aca="false">IF(A1357="","",IFERROR(INDEX('Campos Growths'!$F:$F,MATCH(H1357,'Campos Growths'!$A:$A,0)),""))</f>
        <v/>
      </c>
      <c r="J1357" s="7" t="str">
        <f aca="false">IF(A1357="","",IFERROR(VLOOKUP(IF(ISNUMBER(SEARCH("(",C1357)),LEFT(C1357,SEARCH("(",C1357)-1),C1357),Tipos!$A:$B,2,FALSE()),"outro"))</f>
        <v/>
      </c>
      <c r="K1357" s="7" t="str">
        <f aca="false">IF(I1357="","",IFERROR(INDEX('Campos Growths'!$L:$L,MATCH(H1357,'Campos Growths'!$A:$A,0)),""))</f>
        <v/>
      </c>
      <c r="L1357" s="7" t="str">
        <f aca="false">IF(A1357="","",IF(G1357="não","Sem tabela no Growths",IF(I1357="","Sem campo no Growths",IF(J1357=K1357,"Importa direto","Ajustar tipo"))))</f>
        <v/>
      </c>
      <c r="M1357" s="9"/>
    </row>
    <row r="1358" customFormat="false" ht="15" hidden="false" customHeight="false" outlineLevel="0" collapsed="false">
      <c r="A1358" s="7" t="str">
        <f aca="false">IF('Outro banco'!A1358="","",IF(LEFT('Outro banco'!A1358,1)="(","",'Outro banco'!A1358))</f>
        <v/>
      </c>
      <c r="B1358" s="7" t="str">
        <f aca="false">IF(A1358="","",'Outro banco'!B1358)</f>
        <v/>
      </c>
      <c r="C1358" s="7" t="str">
        <f aca="false">IF(A1358="","",'Outro banco'!C1358)</f>
        <v/>
      </c>
      <c r="D1358" s="7" t="str">
        <f aca="false">IF(A1358="","",'Outro banco'!D1358)</f>
        <v/>
      </c>
      <c r="E1358" s="9"/>
      <c r="F1358" s="9"/>
      <c r="G1358" s="7" t="str">
        <f aca="false">IF(A1358="","",IF(COUNTIF(Tabelas!$A:$A,IF(E1358="",A1358,E1358))&gt;0,"sim","não"))</f>
        <v/>
      </c>
      <c r="H1358" s="7" t="str">
        <f aca="false">IF(A1358="","",IF(E1358="",A1358,E1358)&amp;"."&amp;IF(F1358="",B1358,F1358))</f>
        <v/>
      </c>
      <c r="I1358" s="7" t="str">
        <f aca="false">IF(A1358="","",IFERROR(INDEX('Campos Growths'!$F:$F,MATCH(H1358,'Campos Growths'!$A:$A,0)),""))</f>
        <v/>
      </c>
      <c r="J1358" s="7" t="str">
        <f aca="false">IF(A1358="","",IFERROR(VLOOKUP(IF(ISNUMBER(SEARCH("(",C1358)),LEFT(C1358,SEARCH("(",C1358)-1),C1358),Tipos!$A:$B,2,FALSE()),"outro"))</f>
        <v/>
      </c>
      <c r="K1358" s="7" t="str">
        <f aca="false">IF(I1358="","",IFERROR(INDEX('Campos Growths'!$L:$L,MATCH(H1358,'Campos Growths'!$A:$A,0)),""))</f>
        <v/>
      </c>
      <c r="L1358" s="7" t="str">
        <f aca="false">IF(A1358="","",IF(G1358="não","Sem tabela no Growths",IF(I1358="","Sem campo no Growths",IF(J1358=K1358,"Importa direto","Ajustar tipo"))))</f>
        <v/>
      </c>
      <c r="M1358" s="9"/>
    </row>
    <row r="1359" customFormat="false" ht="15" hidden="false" customHeight="false" outlineLevel="0" collapsed="false">
      <c r="A1359" s="7" t="str">
        <f aca="false">IF('Outro banco'!A1359="","",IF(LEFT('Outro banco'!A1359,1)="(","",'Outro banco'!A1359))</f>
        <v/>
      </c>
      <c r="B1359" s="7" t="str">
        <f aca="false">IF(A1359="","",'Outro banco'!B1359)</f>
        <v/>
      </c>
      <c r="C1359" s="7" t="str">
        <f aca="false">IF(A1359="","",'Outro banco'!C1359)</f>
        <v/>
      </c>
      <c r="D1359" s="7" t="str">
        <f aca="false">IF(A1359="","",'Outro banco'!D1359)</f>
        <v/>
      </c>
      <c r="E1359" s="9"/>
      <c r="F1359" s="9"/>
      <c r="G1359" s="7" t="str">
        <f aca="false">IF(A1359="","",IF(COUNTIF(Tabelas!$A:$A,IF(E1359="",A1359,E1359))&gt;0,"sim","não"))</f>
        <v/>
      </c>
      <c r="H1359" s="7" t="str">
        <f aca="false">IF(A1359="","",IF(E1359="",A1359,E1359)&amp;"."&amp;IF(F1359="",B1359,F1359))</f>
        <v/>
      </c>
      <c r="I1359" s="7" t="str">
        <f aca="false">IF(A1359="","",IFERROR(INDEX('Campos Growths'!$F:$F,MATCH(H1359,'Campos Growths'!$A:$A,0)),""))</f>
        <v/>
      </c>
      <c r="J1359" s="7" t="str">
        <f aca="false">IF(A1359="","",IFERROR(VLOOKUP(IF(ISNUMBER(SEARCH("(",C1359)),LEFT(C1359,SEARCH("(",C1359)-1),C1359),Tipos!$A:$B,2,FALSE()),"outro"))</f>
        <v/>
      </c>
      <c r="K1359" s="7" t="str">
        <f aca="false">IF(I1359="","",IFERROR(INDEX('Campos Growths'!$L:$L,MATCH(H1359,'Campos Growths'!$A:$A,0)),""))</f>
        <v/>
      </c>
      <c r="L1359" s="7" t="str">
        <f aca="false">IF(A1359="","",IF(G1359="não","Sem tabela no Growths",IF(I1359="","Sem campo no Growths",IF(J1359=K1359,"Importa direto","Ajustar tipo"))))</f>
        <v/>
      </c>
      <c r="M1359" s="9"/>
    </row>
    <row r="1360" customFormat="false" ht="15" hidden="false" customHeight="false" outlineLevel="0" collapsed="false">
      <c r="A1360" s="7" t="str">
        <f aca="false">IF('Outro banco'!A1360="","",IF(LEFT('Outro banco'!A1360,1)="(","",'Outro banco'!A1360))</f>
        <v/>
      </c>
      <c r="B1360" s="7" t="str">
        <f aca="false">IF(A1360="","",'Outro banco'!B1360)</f>
        <v/>
      </c>
      <c r="C1360" s="7" t="str">
        <f aca="false">IF(A1360="","",'Outro banco'!C1360)</f>
        <v/>
      </c>
      <c r="D1360" s="7" t="str">
        <f aca="false">IF(A1360="","",'Outro banco'!D1360)</f>
        <v/>
      </c>
      <c r="E1360" s="9"/>
      <c r="F1360" s="9"/>
      <c r="G1360" s="7" t="str">
        <f aca="false">IF(A1360="","",IF(COUNTIF(Tabelas!$A:$A,IF(E1360="",A1360,E1360))&gt;0,"sim","não"))</f>
        <v/>
      </c>
      <c r="H1360" s="7" t="str">
        <f aca="false">IF(A1360="","",IF(E1360="",A1360,E1360)&amp;"."&amp;IF(F1360="",B1360,F1360))</f>
        <v/>
      </c>
      <c r="I1360" s="7" t="str">
        <f aca="false">IF(A1360="","",IFERROR(INDEX('Campos Growths'!$F:$F,MATCH(H1360,'Campos Growths'!$A:$A,0)),""))</f>
        <v/>
      </c>
      <c r="J1360" s="7" t="str">
        <f aca="false">IF(A1360="","",IFERROR(VLOOKUP(IF(ISNUMBER(SEARCH("(",C1360)),LEFT(C1360,SEARCH("(",C1360)-1),C1360),Tipos!$A:$B,2,FALSE()),"outro"))</f>
        <v/>
      </c>
      <c r="K1360" s="7" t="str">
        <f aca="false">IF(I1360="","",IFERROR(INDEX('Campos Growths'!$L:$L,MATCH(H1360,'Campos Growths'!$A:$A,0)),""))</f>
        <v/>
      </c>
      <c r="L1360" s="7" t="str">
        <f aca="false">IF(A1360="","",IF(G1360="não","Sem tabela no Growths",IF(I1360="","Sem campo no Growths",IF(J1360=K1360,"Importa direto","Ajustar tipo"))))</f>
        <v/>
      </c>
      <c r="M1360" s="9"/>
    </row>
    <row r="1361" customFormat="false" ht="15" hidden="false" customHeight="false" outlineLevel="0" collapsed="false">
      <c r="A1361" s="7" t="str">
        <f aca="false">IF('Outro banco'!A1361="","",IF(LEFT('Outro banco'!A1361,1)="(","",'Outro banco'!A1361))</f>
        <v/>
      </c>
      <c r="B1361" s="7" t="str">
        <f aca="false">IF(A1361="","",'Outro banco'!B1361)</f>
        <v/>
      </c>
      <c r="C1361" s="7" t="str">
        <f aca="false">IF(A1361="","",'Outro banco'!C1361)</f>
        <v/>
      </c>
      <c r="D1361" s="7" t="str">
        <f aca="false">IF(A1361="","",'Outro banco'!D1361)</f>
        <v/>
      </c>
      <c r="E1361" s="9"/>
      <c r="F1361" s="9"/>
      <c r="G1361" s="7" t="str">
        <f aca="false">IF(A1361="","",IF(COUNTIF(Tabelas!$A:$A,IF(E1361="",A1361,E1361))&gt;0,"sim","não"))</f>
        <v/>
      </c>
      <c r="H1361" s="7" t="str">
        <f aca="false">IF(A1361="","",IF(E1361="",A1361,E1361)&amp;"."&amp;IF(F1361="",B1361,F1361))</f>
        <v/>
      </c>
      <c r="I1361" s="7" t="str">
        <f aca="false">IF(A1361="","",IFERROR(INDEX('Campos Growths'!$F:$F,MATCH(H1361,'Campos Growths'!$A:$A,0)),""))</f>
        <v/>
      </c>
      <c r="J1361" s="7" t="str">
        <f aca="false">IF(A1361="","",IFERROR(VLOOKUP(IF(ISNUMBER(SEARCH("(",C1361)),LEFT(C1361,SEARCH("(",C1361)-1),C1361),Tipos!$A:$B,2,FALSE()),"outro"))</f>
        <v/>
      </c>
      <c r="K1361" s="7" t="str">
        <f aca="false">IF(I1361="","",IFERROR(INDEX('Campos Growths'!$L:$L,MATCH(H1361,'Campos Growths'!$A:$A,0)),""))</f>
        <v/>
      </c>
      <c r="L1361" s="7" t="str">
        <f aca="false">IF(A1361="","",IF(G1361="não","Sem tabela no Growths",IF(I1361="","Sem campo no Growths",IF(J1361=K1361,"Importa direto","Ajustar tipo"))))</f>
        <v/>
      </c>
      <c r="M1361" s="9"/>
    </row>
    <row r="1362" customFormat="false" ht="15" hidden="false" customHeight="false" outlineLevel="0" collapsed="false">
      <c r="A1362" s="7" t="str">
        <f aca="false">IF('Outro banco'!A1362="","",IF(LEFT('Outro banco'!A1362,1)="(","",'Outro banco'!A1362))</f>
        <v/>
      </c>
      <c r="B1362" s="7" t="str">
        <f aca="false">IF(A1362="","",'Outro banco'!B1362)</f>
        <v/>
      </c>
      <c r="C1362" s="7" t="str">
        <f aca="false">IF(A1362="","",'Outro banco'!C1362)</f>
        <v/>
      </c>
      <c r="D1362" s="7" t="str">
        <f aca="false">IF(A1362="","",'Outro banco'!D1362)</f>
        <v/>
      </c>
      <c r="E1362" s="9"/>
      <c r="F1362" s="9"/>
      <c r="G1362" s="7" t="str">
        <f aca="false">IF(A1362="","",IF(COUNTIF(Tabelas!$A:$A,IF(E1362="",A1362,E1362))&gt;0,"sim","não"))</f>
        <v/>
      </c>
      <c r="H1362" s="7" t="str">
        <f aca="false">IF(A1362="","",IF(E1362="",A1362,E1362)&amp;"."&amp;IF(F1362="",B1362,F1362))</f>
        <v/>
      </c>
      <c r="I1362" s="7" t="str">
        <f aca="false">IF(A1362="","",IFERROR(INDEX('Campos Growths'!$F:$F,MATCH(H1362,'Campos Growths'!$A:$A,0)),""))</f>
        <v/>
      </c>
      <c r="J1362" s="7" t="str">
        <f aca="false">IF(A1362="","",IFERROR(VLOOKUP(IF(ISNUMBER(SEARCH("(",C1362)),LEFT(C1362,SEARCH("(",C1362)-1),C1362),Tipos!$A:$B,2,FALSE()),"outro"))</f>
        <v/>
      </c>
      <c r="K1362" s="7" t="str">
        <f aca="false">IF(I1362="","",IFERROR(INDEX('Campos Growths'!$L:$L,MATCH(H1362,'Campos Growths'!$A:$A,0)),""))</f>
        <v/>
      </c>
      <c r="L1362" s="7" t="str">
        <f aca="false">IF(A1362="","",IF(G1362="não","Sem tabela no Growths",IF(I1362="","Sem campo no Growths",IF(J1362=K1362,"Importa direto","Ajustar tipo"))))</f>
        <v/>
      </c>
      <c r="M1362" s="9"/>
    </row>
    <row r="1363" customFormat="false" ht="15" hidden="false" customHeight="false" outlineLevel="0" collapsed="false">
      <c r="A1363" s="7" t="str">
        <f aca="false">IF('Outro banco'!A1363="","",IF(LEFT('Outro banco'!A1363,1)="(","",'Outro banco'!A1363))</f>
        <v/>
      </c>
      <c r="B1363" s="7" t="str">
        <f aca="false">IF(A1363="","",'Outro banco'!B1363)</f>
        <v/>
      </c>
      <c r="C1363" s="7" t="str">
        <f aca="false">IF(A1363="","",'Outro banco'!C1363)</f>
        <v/>
      </c>
      <c r="D1363" s="7" t="str">
        <f aca="false">IF(A1363="","",'Outro banco'!D1363)</f>
        <v/>
      </c>
      <c r="E1363" s="9"/>
      <c r="F1363" s="9"/>
      <c r="G1363" s="7" t="str">
        <f aca="false">IF(A1363="","",IF(COUNTIF(Tabelas!$A:$A,IF(E1363="",A1363,E1363))&gt;0,"sim","não"))</f>
        <v/>
      </c>
      <c r="H1363" s="7" t="str">
        <f aca="false">IF(A1363="","",IF(E1363="",A1363,E1363)&amp;"."&amp;IF(F1363="",B1363,F1363))</f>
        <v/>
      </c>
      <c r="I1363" s="7" t="str">
        <f aca="false">IF(A1363="","",IFERROR(INDEX('Campos Growths'!$F:$F,MATCH(H1363,'Campos Growths'!$A:$A,0)),""))</f>
        <v/>
      </c>
      <c r="J1363" s="7" t="str">
        <f aca="false">IF(A1363="","",IFERROR(VLOOKUP(IF(ISNUMBER(SEARCH("(",C1363)),LEFT(C1363,SEARCH("(",C1363)-1),C1363),Tipos!$A:$B,2,FALSE()),"outro"))</f>
        <v/>
      </c>
      <c r="K1363" s="7" t="str">
        <f aca="false">IF(I1363="","",IFERROR(INDEX('Campos Growths'!$L:$L,MATCH(H1363,'Campos Growths'!$A:$A,0)),""))</f>
        <v/>
      </c>
      <c r="L1363" s="7" t="str">
        <f aca="false">IF(A1363="","",IF(G1363="não","Sem tabela no Growths",IF(I1363="","Sem campo no Growths",IF(J1363=K1363,"Importa direto","Ajustar tipo"))))</f>
        <v/>
      </c>
      <c r="M1363" s="9"/>
    </row>
    <row r="1364" customFormat="false" ht="15" hidden="false" customHeight="false" outlineLevel="0" collapsed="false">
      <c r="A1364" s="7" t="str">
        <f aca="false">IF('Outro banco'!A1364="","",IF(LEFT('Outro banco'!A1364,1)="(","",'Outro banco'!A1364))</f>
        <v/>
      </c>
      <c r="B1364" s="7" t="str">
        <f aca="false">IF(A1364="","",'Outro banco'!B1364)</f>
        <v/>
      </c>
      <c r="C1364" s="7" t="str">
        <f aca="false">IF(A1364="","",'Outro banco'!C1364)</f>
        <v/>
      </c>
      <c r="D1364" s="7" t="str">
        <f aca="false">IF(A1364="","",'Outro banco'!D1364)</f>
        <v/>
      </c>
      <c r="E1364" s="9"/>
      <c r="F1364" s="9"/>
      <c r="G1364" s="7" t="str">
        <f aca="false">IF(A1364="","",IF(COUNTIF(Tabelas!$A:$A,IF(E1364="",A1364,E1364))&gt;0,"sim","não"))</f>
        <v/>
      </c>
      <c r="H1364" s="7" t="str">
        <f aca="false">IF(A1364="","",IF(E1364="",A1364,E1364)&amp;"."&amp;IF(F1364="",B1364,F1364))</f>
        <v/>
      </c>
      <c r="I1364" s="7" t="str">
        <f aca="false">IF(A1364="","",IFERROR(INDEX('Campos Growths'!$F:$F,MATCH(H1364,'Campos Growths'!$A:$A,0)),""))</f>
        <v/>
      </c>
      <c r="J1364" s="7" t="str">
        <f aca="false">IF(A1364="","",IFERROR(VLOOKUP(IF(ISNUMBER(SEARCH("(",C1364)),LEFT(C1364,SEARCH("(",C1364)-1),C1364),Tipos!$A:$B,2,FALSE()),"outro"))</f>
        <v/>
      </c>
      <c r="K1364" s="7" t="str">
        <f aca="false">IF(I1364="","",IFERROR(INDEX('Campos Growths'!$L:$L,MATCH(H1364,'Campos Growths'!$A:$A,0)),""))</f>
        <v/>
      </c>
      <c r="L1364" s="7" t="str">
        <f aca="false">IF(A1364="","",IF(G1364="não","Sem tabela no Growths",IF(I1364="","Sem campo no Growths",IF(J1364=K1364,"Importa direto","Ajustar tipo"))))</f>
        <v/>
      </c>
      <c r="M1364" s="9"/>
    </row>
    <row r="1365" customFormat="false" ht="15" hidden="false" customHeight="false" outlineLevel="0" collapsed="false">
      <c r="A1365" s="7" t="str">
        <f aca="false">IF('Outro banco'!A1365="","",IF(LEFT('Outro banco'!A1365,1)="(","",'Outro banco'!A1365))</f>
        <v/>
      </c>
      <c r="B1365" s="7" t="str">
        <f aca="false">IF(A1365="","",'Outro banco'!B1365)</f>
        <v/>
      </c>
      <c r="C1365" s="7" t="str">
        <f aca="false">IF(A1365="","",'Outro banco'!C1365)</f>
        <v/>
      </c>
      <c r="D1365" s="7" t="str">
        <f aca="false">IF(A1365="","",'Outro banco'!D1365)</f>
        <v/>
      </c>
      <c r="E1365" s="9"/>
      <c r="F1365" s="9"/>
      <c r="G1365" s="7" t="str">
        <f aca="false">IF(A1365="","",IF(COUNTIF(Tabelas!$A:$A,IF(E1365="",A1365,E1365))&gt;0,"sim","não"))</f>
        <v/>
      </c>
      <c r="H1365" s="7" t="str">
        <f aca="false">IF(A1365="","",IF(E1365="",A1365,E1365)&amp;"."&amp;IF(F1365="",B1365,F1365))</f>
        <v/>
      </c>
      <c r="I1365" s="7" t="str">
        <f aca="false">IF(A1365="","",IFERROR(INDEX('Campos Growths'!$F:$F,MATCH(H1365,'Campos Growths'!$A:$A,0)),""))</f>
        <v/>
      </c>
      <c r="J1365" s="7" t="str">
        <f aca="false">IF(A1365="","",IFERROR(VLOOKUP(IF(ISNUMBER(SEARCH("(",C1365)),LEFT(C1365,SEARCH("(",C1365)-1),C1365),Tipos!$A:$B,2,FALSE()),"outro"))</f>
        <v/>
      </c>
      <c r="K1365" s="7" t="str">
        <f aca="false">IF(I1365="","",IFERROR(INDEX('Campos Growths'!$L:$L,MATCH(H1365,'Campos Growths'!$A:$A,0)),""))</f>
        <v/>
      </c>
      <c r="L1365" s="7" t="str">
        <f aca="false">IF(A1365="","",IF(G1365="não","Sem tabela no Growths",IF(I1365="","Sem campo no Growths",IF(J1365=K1365,"Importa direto","Ajustar tipo"))))</f>
        <v/>
      </c>
      <c r="M1365" s="9"/>
    </row>
    <row r="1366" customFormat="false" ht="15" hidden="false" customHeight="false" outlineLevel="0" collapsed="false">
      <c r="A1366" s="7" t="str">
        <f aca="false">IF('Outro banco'!A1366="","",IF(LEFT('Outro banco'!A1366,1)="(","",'Outro banco'!A1366))</f>
        <v/>
      </c>
      <c r="B1366" s="7" t="str">
        <f aca="false">IF(A1366="","",'Outro banco'!B1366)</f>
        <v/>
      </c>
      <c r="C1366" s="7" t="str">
        <f aca="false">IF(A1366="","",'Outro banco'!C1366)</f>
        <v/>
      </c>
      <c r="D1366" s="7" t="str">
        <f aca="false">IF(A1366="","",'Outro banco'!D1366)</f>
        <v/>
      </c>
      <c r="E1366" s="9"/>
      <c r="F1366" s="9"/>
      <c r="G1366" s="7" t="str">
        <f aca="false">IF(A1366="","",IF(COUNTIF(Tabelas!$A:$A,IF(E1366="",A1366,E1366))&gt;0,"sim","não"))</f>
        <v/>
      </c>
      <c r="H1366" s="7" t="str">
        <f aca="false">IF(A1366="","",IF(E1366="",A1366,E1366)&amp;"."&amp;IF(F1366="",B1366,F1366))</f>
        <v/>
      </c>
      <c r="I1366" s="7" t="str">
        <f aca="false">IF(A1366="","",IFERROR(INDEX('Campos Growths'!$F:$F,MATCH(H1366,'Campos Growths'!$A:$A,0)),""))</f>
        <v/>
      </c>
      <c r="J1366" s="7" t="str">
        <f aca="false">IF(A1366="","",IFERROR(VLOOKUP(IF(ISNUMBER(SEARCH("(",C1366)),LEFT(C1366,SEARCH("(",C1366)-1),C1366),Tipos!$A:$B,2,FALSE()),"outro"))</f>
        <v/>
      </c>
      <c r="K1366" s="7" t="str">
        <f aca="false">IF(I1366="","",IFERROR(INDEX('Campos Growths'!$L:$L,MATCH(H1366,'Campos Growths'!$A:$A,0)),""))</f>
        <v/>
      </c>
      <c r="L1366" s="7" t="str">
        <f aca="false">IF(A1366="","",IF(G1366="não","Sem tabela no Growths",IF(I1366="","Sem campo no Growths",IF(J1366=K1366,"Importa direto","Ajustar tipo"))))</f>
        <v/>
      </c>
      <c r="M1366" s="9"/>
    </row>
    <row r="1367" customFormat="false" ht="15" hidden="false" customHeight="false" outlineLevel="0" collapsed="false">
      <c r="A1367" s="7" t="str">
        <f aca="false">IF('Outro banco'!A1367="","",IF(LEFT('Outro banco'!A1367,1)="(","",'Outro banco'!A1367))</f>
        <v/>
      </c>
      <c r="B1367" s="7" t="str">
        <f aca="false">IF(A1367="","",'Outro banco'!B1367)</f>
        <v/>
      </c>
      <c r="C1367" s="7" t="str">
        <f aca="false">IF(A1367="","",'Outro banco'!C1367)</f>
        <v/>
      </c>
      <c r="D1367" s="7" t="str">
        <f aca="false">IF(A1367="","",'Outro banco'!D1367)</f>
        <v/>
      </c>
      <c r="E1367" s="9"/>
      <c r="F1367" s="9"/>
      <c r="G1367" s="7" t="str">
        <f aca="false">IF(A1367="","",IF(COUNTIF(Tabelas!$A:$A,IF(E1367="",A1367,E1367))&gt;0,"sim","não"))</f>
        <v/>
      </c>
      <c r="H1367" s="7" t="str">
        <f aca="false">IF(A1367="","",IF(E1367="",A1367,E1367)&amp;"."&amp;IF(F1367="",B1367,F1367))</f>
        <v/>
      </c>
      <c r="I1367" s="7" t="str">
        <f aca="false">IF(A1367="","",IFERROR(INDEX('Campos Growths'!$F:$F,MATCH(H1367,'Campos Growths'!$A:$A,0)),""))</f>
        <v/>
      </c>
      <c r="J1367" s="7" t="str">
        <f aca="false">IF(A1367="","",IFERROR(VLOOKUP(IF(ISNUMBER(SEARCH("(",C1367)),LEFT(C1367,SEARCH("(",C1367)-1),C1367),Tipos!$A:$B,2,FALSE()),"outro"))</f>
        <v/>
      </c>
      <c r="K1367" s="7" t="str">
        <f aca="false">IF(I1367="","",IFERROR(INDEX('Campos Growths'!$L:$L,MATCH(H1367,'Campos Growths'!$A:$A,0)),""))</f>
        <v/>
      </c>
      <c r="L1367" s="7" t="str">
        <f aca="false">IF(A1367="","",IF(G1367="não","Sem tabela no Growths",IF(I1367="","Sem campo no Growths",IF(J1367=K1367,"Importa direto","Ajustar tipo"))))</f>
        <v/>
      </c>
      <c r="M1367" s="9"/>
    </row>
    <row r="1368" customFormat="false" ht="15" hidden="false" customHeight="false" outlineLevel="0" collapsed="false">
      <c r="A1368" s="7" t="str">
        <f aca="false">IF('Outro banco'!A1368="","",IF(LEFT('Outro banco'!A1368,1)="(","",'Outro banco'!A1368))</f>
        <v/>
      </c>
      <c r="B1368" s="7" t="str">
        <f aca="false">IF(A1368="","",'Outro banco'!B1368)</f>
        <v/>
      </c>
      <c r="C1368" s="7" t="str">
        <f aca="false">IF(A1368="","",'Outro banco'!C1368)</f>
        <v/>
      </c>
      <c r="D1368" s="7" t="str">
        <f aca="false">IF(A1368="","",'Outro banco'!D1368)</f>
        <v/>
      </c>
      <c r="E1368" s="9"/>
      <c r="F1368" s="9"/>
      <c r="G1368" s="7" t="str">
        <f aca="false">IF(A1368="","",IF(COUNTIF(Tabelas!$A:$A,IF(E1368="",A1368,E1368))&gt;0,"sim","não"))</f>
        <v/>
      </c>
      <c r="H1368" s="7" t="str">
        <f aca="false">IF(A1368="","",IF(E1368="",A1368,E1368)&amp;"."&amp;IF(F1368="",B1368,F1368))</f>
        <v/>
      </c>
      <c r="I1368" s="7" t="str">
        <f aca="false">IF(A1368="","",IFERROR(INDEX('Campos Growths'!$F:$F,MATCH(H1368,'Campos Growths'!$A:$A,0)),""))</f>
        <v/>
      </c>
      <c r="J1368" s="7" t="str">
        <f aca="false">IF(A1368="","",IFERROR(VLOOKUP(IF(ISNUMBER(SEARCH("(",C1368)),LEFT(C1368,SEARCH("(",C1368)-1),C1368),Tipos!$A:$B,2,FALSE()),"outro"))</f>
        <v/>
      </c>
      <c r="K1368" s="7" t="str">
        <f aca="false">IF(I1368="","",IFERROR(INDEX('Campos Growths'!$L:$L,MATCH(H1368,'Campos Growths'!$A:$A,0)),""))</f>
        <v/>
      </c>
      <c r="L1368" s="7" t="str">
        <f aca="false">IF(A1368="","",IF(G1368="não","Sem tabela no Growths",IF(I1368="","Sem campo no Growths",IF(J1368=K1368,"Importa direto","Ajustar tipo"))))</f>
        <v/>
      </c>
      <c r="M1368" s="9"/>
    </row>
    <row r="1369" customFormat="false" ht="15" hidden="false" customHeight="false" outlineLevel="0" collapsed="false">
      <c r="A1369" s="7" t="str">
        <f aca="false">IF('Outro banco'!A1369="","",IF(LEFT('Outro banco'!A1369,1)="(","",'Outro banco'!A1369))</f>
        <v/>
      </c>
      <c r="B1369" s="7" t="str">
        <f aca="false">IF(A1369="","",'Outro banco'!B1369)</f>
        <v/>
      </c>
      <c r="C1369" s="7" t="str">
        <f aca="false">IF(A1369="","",'Outro banco'!C1369)</f>
        <v/>
      </c>
      <c r="D1369" s="7" t="str">
        <f aca="false">IF(A1369="","",'Outro banco'!D1369)</f>
        <v/>
      </c>
      <c r="E1369" s="9"/>
      <c r="F1369" s="9"/>
      <c r="G1369" s="7" t="str">
        <f aca="false">IF(A1369="","",IF(COUNTIF(Tabelas!$A:$A,IF(E1369="",A1369,E1369))&gt;0,"sim","não"))</f>
        <v/>
      </c>
      <c r="H1369" s="7" t="str">
        <f aca="false">IF(A1369="","",IF(E1369="",A1369,E1369)&amp;"."&amp;IF(F1369="",B1369,F1369))</f>
        <v/>
      </c>
      <c r="I1369" s="7" t="str">
        <f aca="false">IF(A1369="","",IFERROR(INDEX('Campos Growths'!$F:$F,MATCH(H1369,'Campos Growths'!$A:$A,0)),""))</f>
        <v/>
      </c>
      <c r="J1369" s="7" t="str">
        <f aca="false">IF(A1369="","",IFERROR(VLOOKUP(IF(ISNUMBER(SEARCH("(",C1369)),LEFT(C1369,SEARCH("(",C1369)-1),C1369),Tipos!$A:$B,2,FALSE()),"outro"))</f>
        <v/>
      </c>
      <c r="K1369" s="7" t="str">
        <f aca="false">IF(I1369="","",IFERROR(INDEX('Campos Growths'!$L:$L,MATCH(H1369,'Campos Growths'!$A:$A,0)),""))</f>
        <v/>
      </c>
      <c r="L1369" s="7" t="str">
        <f aca="false">IF(A1369="","",IF(G1369="não","Sem tabela no Growths",IF(I1369="","Sem campo no Growths",IF(J1369=K1369,"Importa direto","Ajustar tipo"))))</f>
        <v/>
      </c>
      <c r="M1369" s="9"/>
    </row>
    <row r="1370" customFormat="false" ht="15" hidden="false" customHeight="false" outlineLevel="0" collapsed="false">
      <c r="A1370" s="7" t="str">
        <f aca="false">IF('Outro banco'!A1370="","",IF(LEFT('Outro banco'!A1370,1)="(","",'Outro banco'!A1370))</f>
        <v/>
      </c>
      <c r="B1370" s="7" t="str">
        <f aca="false">IF(A1370="","",'Outro banco'!B1370)</f>
        <v/>
      </c>
      <c r="C1370" s="7" t="str">
        <f aca="false">IF(A1370="","",'Outro banco'!C1370)</f>
        <v/>
      </c>
      <c r="D1370" s="7" t="str">
        <f aca="false">IF(A1370="","",'Outro banco'!D1370)</f>
        <v/>
      </c>
      <c r="E1370" s="9"/>
      <c r="F1370" s="9"/>
      <c r="G1370" s="7" t="str">
        <f aca="false">IF(A1370="","",IF(COUNTIF(Tabelas!$A:$A,IF(E1370="",A1370,E1370))&gt;0,"sim","não"))</f>
        <v/>
      </c>
      <c r="H1370" s="7" t="str">
        <f aca="false">IF(A1370="","",IF(E1370="",A1370,E1370)&amp;"."&amp;IF(F1370="",B1370,F1370))</f>
        <v/>
      </c>
      <c r="I1370" s="7" t="str">
        <f aca="false">IF(A1370="","",IFERROR(INDEX('Campos Growths'!$F:$F,MATCH(H1370,'Campos Growths'!$A:$A,0)),""))</f>
        <v/>
      </c>
      <c r="J1370" s="7" t="str">
        <f aca="false">IF(A1370="","",IFERROR(VLOOKUP(IF(ISNUMBER(SEARCH("(",C1370)),LEFT(C1370,SEARCH("(",C1370)-1),C1370),Tipos!$A:$B,2,FALSE()),"outro"))</f>
        <v/>
      </c>
      <c r="K1370" s="7" t="str">
        <f aca="false">IF(I1370="","",IFERROR(INDEX('Campos Growths'!$L:$L,MATCH(H1370,'Campos Growths'!$A:$A,0)),""))</f>
        <v/>
      </c>
      <c r="L1370" s="7" t="str">
        <f aca="false">IF(A1370="","",IF(G1370="não","Sem tabela no Growths",IF(I1370="","Sem campo no Growths",IF(J1370=K1370,"Importa direto","Ajustar tipo"))))</f>
        <v/>
      </c>
      <c r="M1370" s="9"/>
    </row>
    <row r="1371" customFormat="false" ht="15" hidden="false" customHeight="false" outlineLevel="0" collapsed="false">
      <c r="A1371" s="7" t="str">
        <f aca="false">IF('Outro banco'!A1371="","",IF(LEFT('Outro banco'!A1371,1)="(","",'Outro banco'!A1371))</f>
        <v/>
      </c>
      <c r="B1371" s="7" t="str">
        <f aca="false">IF(A1371="","",'Outro banco'!B1371)</f>
        <v/>
      </c>
      <c r="C1371" s="7" t="str">
        <f aca="false">IF(A1371="","",'Outro banco'!C1371)</f>
        <v/>
      </c>
      <c r="D1371" s="7" t="str">
        <f aca="false">IF(A1371="","",'Outro banco'!D1371)</f>
        <v/>
      </c>
      <c r="E1371" s="9"/>
      <c r="F1371" s="9"/>
      <c r="G1371" s="7" t="str">
        <f aca="false">IF(A1371="","",IF(COUNTIF(Tabelas!$A:$A,IF(E1371="",A1371,E1371))&gt;0,"sim","não"))</f>
        <v/>
      </c>
      <c r="H1371" s="7" t="str">
        <f aca="false">IF(A1371="","",IF(E1371="",A1371,E1371)&amp;"."&amp;IF(F1371="",B1371,F1371))</f>
        <v/>
      </c>
      <c r="I1371" s="7" t="str">
        <f aca="false">IF(A1371="","",IFERROR(INDEX('Campos Growths'!$F:$F,MATCH(H1371,'Campos Growths'!$A:$A,0)),""))</f>
        <v/>
      </c>
      <c r="J1371" s="7" t="str">
        <f aca="false">IF(A1371="","",IFERROR(VLOOKUP(IF(ISNUMBER(SEARCH("(",C1371)),LEFT(C1371,SEARCH("(",C1371)-1),C1371),Tipos!$A:$B,2,FALSE()),"outro"))</f>
        <v/>
      </c>
      <c r="K1371" s="7" t="str">
        <f aca="false">IF(I1371="","",IFERROR(INDEX('Campos Growths'!$L:$L,MATCH(H1371,'Campos Growths'!$A:$A,0)),""))</f>
        <v/>
      </c>
      <c r="L1371" s="7" t="str">
        <f aca="false">IF(A1371="","",IF(G1371="não","Sem tabela no Growths",IF(I1371="","Sem campo no Growths",IF(J1371=K1371,"Importa direto","Ajustar tipo"))))</f>
        <v/>
      </c>
      <c r="M1371" s="9"/>
    </row>
    <row r="1372" customFormat="false" ht="15" hidden="false" customHeight="false" outlineLevel="0" collapsed="false">
      <c r="A1372" s="7" t="str">
        <f aca="false">IF('Outro banco'!A1372="","",IF(LEFT('Outro banco'!A1372,1)="(","",'Outro banco'!A1372))</f>
        <v/>
      </c>
      <c r="B1372" s="7" t="str">
        <f aca="false">IF(A1372="","",'Outro banco'!B1372)</f>
        <v/>
      </c>
      <c r="C1372" s="7" t="str">
        <f aca="false">IF(A1372="","",'Outro banco'!C1372)</f>
        <v/>
      </c>
      <c r="D1372" s="7" t="str">
        <f aca="false">IF(A1372="","",'Outro banco'!D1372)</f>
        <v/>
      </c>
      <c r="E1372" s="9"/>
      <c r="F1372" s="9"/>
      <c r="G1372" s="7" t="str">
        <f aca="false">IF(A1372="","",IF(COUNTIF(Tabelas!$A:$A,IF(E1372="",A1372,E1372))&gt;0,"sim","não"))</f>
        <v/>
      </c>
      <c r="H1372" s="7" t="str">
        <f aca="false">IF(A1372="","",IF(E1372="",A1372,E1372)&amp;"."&amp;IF(F1372="",B1372,F1372))</f>
        <v/>
      </c>
      <c r="I1372" s="7" t="str">
        <f aca="false">IF(A1372="","",IFERROR(INDEX('Campos Growths'!$F:$F,MATCH(H1372,'Campos Growths'!$A:$A,0)),""))</f>
        <v/>
      </c>
      <c r="J1372" s="7" t="str">
        <f aca="false">IF(A1372="","",IFERROR(VLOOKUP(IF(ISNUMBER(SEARCH("(",C1372)),LEFT(C1372,SEARCH("(",C1372)-1),C1372),Tipos!$A:$B,2,FALSE()),"outro"))</f>
        <v/>
      </c>
      <c r="K1372" s="7" t="str">
        <f aca="false">IF(I1372="","",IFERROR(INDEX('Campos Growths'!$L:$L,MATCH(H1372,'Campos Growths'!$A:$A,0)),""))</f>
        <v/>
      </c>
      <c r="L1372" s="7" t="str">
        <f aca="false">IF(A1372="","",IF(G1372="não","Sem tabela no Growths",IF(I1372="","Sem campo no Growths",IF(J1372=K1372,"Importa direto","Ajustar tipo"))))</f>
        <v/>
      </c>
      <c r="M1372" s="9"/>
    </row>
    <row r="1373" customFormat="false" ht="15" hidden="false" customHeight="false" outlineLevel="0" collapsed="false">
      <c r="A1373" s="7" t="str">
        <f aca="false">IF('Outro banco'!A1373="","",IF(LEFT('Outro banco'!A1373,1)="(","",'Outro banco'!A1373))</f>
        <v/>
      </c>
      <c r="B1373" s="7" t="str">
        <f aca="false">IF(A1373="","",'Outro banco'!B1373)</f>
        <v/>
      </c>
      <c r="C1373" s="7" t="str">
        <f aca="false">IF(A1373="","",'Outro banco'!C1373)</f>
        <v/>
      </c>
      <c r="D1373" s="7" t="str">
        <f aca="false">IF(A1373="","",'Outro banco'!D1373)</f>
        <v/>
      </c>
      <c r="E1373" s="9"/>
      <c r="F1373" s="9"/>
      <c r="G1373" s="7" t="str">
        <f aca="false">IF(A1373="","",IF(COUNTIF(Tabelas!$A:$A,IF(E1373="",A1373,E1373))&gt;0,"sim","não"))</f>
        <v/>
      </c>
      <c r="H1373" s="7" t="str">
        <f aca="false">IF(A1373="","",IF(E1373="",A1373,E1373)&amp;"."&amp;IF(F1373="",B1373,F1373))</f>
        <v/>
      </c>
      <c r="I1373" s="7" t="str">
        <f aca="false">IF(A1373="","",IFERROR(INDEX('Campos Growths'!$F:$F,MATCH(H1373,'Campos Growths'!$A:$A,0)),""))</f>
        <v/>
      </c>
      <c r="J1373" s="7" t="str">
        <f aca="false">IF(A1373="","",IFERROR(VLOOKUP(IF(ISNUMBER(SEARCH("(",C1373)),LEFT(C1373,SEARCH("(",C1373)-1),C1373),Tipos!$A:$B,2,FALSE()),"outro"))</f>
        <v/>
      </c>
      <c r="K1373" s="7" t="str">
        <f aca="false">IF(I1373="","",IFERROR(INDEX('Campos Growths'!$L:$L,MATCH(H1373,'Campos Growths'!$A:$A,0)),""))</f>
        <v/>
      </c>
      <c r="L1373" s="7" t="str">
        <f aca="false">IF(A1373="","",IF(G1373="não","Sem tabela no Growths",IF(I1373="","Sem campo no Growths",IF(J1373=K1373,"Importa direto","Ajustar tipo"))))</f>
        <v/>
      </c>
      <c r="M1373" s="9"/>
    </row>
    <row r="1374" customFormat="false" ht="15" hidden="false" customHeight="false" outlineLevel="0" collapsed="false">
      <c r="A1374" s="7" t="str">
        <f aca="false">IF('Outro banco'!A1374="","",IF(LEFT('Outro banco'!A1374,1)="(","",'Outro banco'!A1374))</f>
        <v/>
      </c>
      <c r="B1374" s="7" t="str">
        <f aca="false">IF(A1374="","",'Outro banco'!B1374)</f>
        <v/>
      </c>
      <c r="C1374" s="7" t="str">
        <f aca="false">IF(A1374="","",'Outro banco'!C1374)</f>
        <v/>
      </c>
      <c r="D1374" s="7" t="str">
        <f aca="false">IF(A1374="","",'Outro banco'!D1374)</f>
        <v/>
      </c>
      <c r="E1374" s="9"/>
      <c r="F1374" s="9"/>
      <c r="G1374" s="7" t="str">
        <f aca="false">IF(A1374="","",IF(COUNTIF(Tabelas!$A:$A,IF(E1374="",A1374,E1374))&gt;0,"sim","não"))</f>
        <v/>
      </c>
      <c r="H1374" s="7" t="str">
        <f aca="false">IF(A1374="","",IF(E1374="",A1374,E1374)&amp;"."&amp;IF(F1374="",B1374,F1374))</f>
        <v/>
      </c>
      <c r="I1374" s="7" t="str">
        <f aca="false">IF(A1374="","",IFERROR(INDEX('Campos Growths'!$F:$F,MATCH(H1374,'Campos Growths'!$A:$A,0)),""))</f>
        <v/>
      </c>
      <c r="J1374" s="7" t="str">
        <f aca="false">IF(A1374="","",IFERROR(VLOOKUP(IF(ISNUMBER(SEARCH("(",C1374)),LEFT(C1374,SEARCH("(",C1374)-1),C1374),Tipos!$A:$B,2,FALSE()),"outro"))</f>
        <v/>
      </c>
      <c r="K1374" s="7" t="str">
        <f aca="false">IF(I1374="","",IFERROR(INDEX('Campos Growths'!$L:$L,MATCH(H1374,'Campos Growths'!$A:$A,0)),""))</f>
        <v/>
      </c>
      <c r="L1374" s="7" t="str">
        <f aca="false">IF(A1374="","",IF(G1374="não","Sem tabela no Growths",IF(I1374="","Sem campo no Growths",IF(J1374=K1374,"Importa direto","Ajustar tipo"))))</f>
        <v/>
      </c>
      <c r="M1374" s="9"/>
    </row>
    <row r="1375" customFormat="false" ht="15" hidden="false" customHeight="false" outlineLevel="0" collapsed="false">
      <c r="A1375" s="7" t="str">
        <f aca="false">IF('Outro banco'!A1375="","",IF(LEFT('Outro banco'!A1375,1)="(","",'Outro banco'!A1375))</f>
        <v/>
      </c>
      <c r="B1375" s="7" t="str">
        <f aca="false">IF(A1375="","",'Outro banco'!B1375)</f>
        <v/>
      </c>
      <c r="C1375" s="7" t="str">
        <f aca="false">IF(A1375="","",'Outro banco'!C1375)</f>
        <v/>
      </c>
      <c r="D1375" s="7" t="str">
        <f aca="false">IF(A1375="","",'Outro banco'!D1375)</f>
        <v/>
      </c>
      <c r="E1375" s="9"/>
      <c r="F1375" s="9"/>
      <c r="G1375" s="7" t="str">
        <f aca="false">IF(A1375="","",IF(COUNTIF(Tabelas!$A:$A,IF(E1375="",A1375,E1375))&gt;0,"sim","não"))</f>
        <v/>
      </c>
      <c r="H1375" s="7" t="str">
        <f aca="false">IF(A1375="","",IF(E1375="",A1375,E1375)&amp;"."&amp;IF(F1375="",B1375,F1375))</f>
        <v/>
      </c>
      <c r="I1375" s="7" t="str">
        <f aca="false">IF(A1375="","",IFERROR(INDEX('Campos Growths'!$F:$F,MATCH(H1375,'Campos Growths'!$A:$A,0)),""))</f>
        <v/>
      </c>
      <c r="J1375" s="7" t="str">
        <f aca="false">IF(A1375="","",IFERROR(VLOOKUP(IF(ISNUMBER(SEARCH("(",C1375)),LEFT(C1375,SEARCH("(",C1375)-1),C1375),Tipos!$A:$B,2,FALSE()),"outro"))</f>
        <v/>
      </c>
      <c r="K1375" s="7" t="str">
        <f aca="false">IF(I1375="","",IFERROR(INDEX('Campos Growths'!$L:$L,MATCH(H1375,'Campos Growths'!$A:$A,0)),""))</f>
        <v/>
      </c>
      <c r="L1375" s="7" t="str">
        <f aca="false">IF(A1375="","",IF(G1375="não","Sem tabela no Growths",IF(I1375="","Sem campo no Growths",IF(J1375=K1375,"Importa direto","Ajustar tipo"))))</f>
        <v/>
      </c>
      <c r="M1375" s="9"/>
    </row>
    <row r="1376" customFormat="false" ht="15" hidden="false" customHeight="false" outlineLevel="0" collapsed="false">
      <c r="A1376" s="7" t="str">
        <f aca="false">IF('Outro banco'!A1376="","",IF(LEFT('Outro banco'!A1376,1)="(","",'Outro banco'!A1376))</f>
        <v/>
      </c>
      <c r="B1376" s="7" t="str">
        <f aca="false">IF(A1376="","",'Outro banco'!B1376)</f>
        <v/>
      </c>
      <c r="C1376" s="7" t="str">
        <f aca="false">IF(A1376="","",'Outro banco'!C1376)</f>
        <v/>
      </c>
      <c r="D1376" s="7" t="str">
        <f aca="false">IF(A1376="","",'Outro banco'!D1376)</f>
        <v/>
      </c>
      <c r="E1376" s="9"/>
      <c r="F1376" s="9"/>
      <c r="G1376" s="7" t="str">
        <f aca="false">IF(A1376="","",IF(COUNTIF(Tabelas!$A:$A,IF(E1376="",A1376,E1376))&gt;0,"sim","não"))</f>
        <v/>
      </c>
      <c r="H1376" s="7" t="str">
        <f aca="false">IF(A1376="","",IF(E1376="",A1376,E1376)&amp;"."&amp;IF(F1376="",B1376,F1376))</f>
        <v/>
      </c>
      <c r="I1376" s="7" t="str">
        <f aca="false">IF(A1376="","",IFERROR(INDEX('Campos Growths'!$F:$F,MATCH(H1376,'Campos Growths'!$A:$A,0)),""))</f>
        <v/>
      </c>
      <c r="J1376" s="7" t="str">
        <f aca="false">IF(A1376="","",IFERROR(VLOOKUP(IF(ISNUMBER(SEARCH("(",C1376)),LEFT(C1376,SEARCH("(",C1376)-1),C1376),Tipos!$A:$B,2,FALSE()),"outro"))</f>
        <v/>
      </c>
      <c r="K1376" s="7" t="str">
        <f aca="false">IF(I1376="","",IFERROR(INDEX('Campos Growths'!$L:$L,MATCH(H1376,'Campos Growths'!$A:$A,0)),""))</f>
        <v/>
      </c>
      <c r="L1376" s="7" t="str">
        <f aca="false">IF(A1376="","",IF(G1376="não","Sem tabela no Growths",IF(I1376="","Sem campo no Growths",IF(J1376=K1376,"Importa direto","Ajustar tipo"))))</f>
        <v/>
      </c>
      <c r="M1376" s="9"/>
    </row>
    <row r="1377" customFormat="false" ht="15" hidden="false" customHeight="false" outlineLevel="0" collapsed="false">
      <c r="A1377" s="7" t="str">
        <f aca="false">IF('Outro banco'!A1377="","",IF(LEFT('Outro banco'!A1377,1)="(","",'Outro banco'!A1377))</f>
        <v/>
      </c>
      <c r="B1377" s="7" t="str">
        <f aca="false">IF(A1377="","",'Outro banco'!B1377)</f>
        <v/>
      </c>
      <c r="C1377" s="7" t="str">
        <f aca="false">IF(A1377="","",'Outro banco'!C1377)</f>
        <v/>
      </c>
      <c r="D1377" s="7" t="str">
        <f aca="false">IF(A1377="","",'Outro banco'!D1377)</f>
        <v/>
      </c>
      <c r="E1377" s="9"/>
      <c r="F1377" s="9"/>
      <c r="G1377" s="7" t="str">
        <f aca="false">IF(A1377="","",IF(COUNTIF(Tabelas!$A:$A,IF(E1377="",A1377,E1377))&gt;0,"sim","não"))</f>
        <v/>
      </c>
      <c r="H1377" s="7" t="str">
        <f aca="false">IF(A1377="","",IF(E1377="",A1377,E1377)&amp;"."&amp;IF(F1377="",B1377,F1377))</f>
        <v/>
      </c>
      <c r="I1377" s="7" t="str">
        <f aca="false">IF(A1377="","",IFERROR(INDEX('Campos Growths'!$F:$F,MATCH(H1377,'Campos Growths'!$A:$A,0)),""))</f>
        <v/>
      </c>
      <c r="J1377" s="7" t="str">
        <f aca="false">IF(A1377="","",IFERROR(VLOOKUP(IF(ISNUMBER(SEARCH("(",C1377)),LEFT(C1377,SEARCH("(",C1377)-1),C1377),Tipos!$A:$B,2,FALSE()),"outro"))</f>
        <v/>
      </c>
      <c r="K1377" s="7" t="str">
        <f aca="false">IF(I1377="","",IFERROR(INDEX('Campos Growths'!$L:$L,MATCH(H1377,'Campos Growths'!$A:$A,0)),""))</f>
        <v/>
      </c>
      <c r="L1377" s="7" t="str">
        <f aca="false">IF(A1377="","",IF(G1377="não","Sem tabela no Growths",IF(I1377="","Sem campo no Growths",IF(J1377=K1377,"Importa direto","Ajustar tipo"))))</f>
        <v/>
      </c>
      <c r="M1377" s="9"/>
    </row>
    <row r="1378" customFormat="false" ht="15" hidden="false" customHeight="false" outlineLevel="0" collapsed="false">
      <c r="A1378" s="7" t="str">
        <f aca="false">IF('Outro banco'!A1378="","",IF(LEFT('Outro banco'!A1378,1)="(","",'Outro banco'!A1378))</f>
        <v/>
      </c>
      <c r="B1378" s="7" t="str">
        <f aca="false">IF(A1378="","",'Outro banco'!B1378)</f>
        <v/>
      </c>
      <c r="C1378" s="7" t="str">
        <f aca="false">IF(A1378="","",'Outro banco'!C1378)</f>
        <v/>
      </c>
      <c r="D1378" s="7" t="str">
        <f aca="false">IF(A1378="","",'Outro banco'!D1378)</f>
        <v/>
      </c>
      <c r="E1378" s="9"/>
      <c r="F1378" s="9"/>
      <c r="G1378" s="7" t="str">
        <f aca="false">IF(A1378="","",IF(COUNTIF(Tabelas!$A:$A,IF(E1378="",A1378,E1378))&gt;0,"sim","não"))</f>
        <v/>
      </c>
      <c r="H1378" s="7" t="str">
        <f aca="false">IF(A1378="","",IF(E1378="",A1378,E1378)&amp;"."&amp;IF(F1378="",B1378,F1378))</f>
        <v/>
      </c>
      <c r="I1378" s="7" t="str">
        <f aca="false">IF(A1378="","",IFERROR(INDEX('Campos Growths'!$F:$F,MATCH(H1378,'Campos Growths'!$A:$A,0)),""))</f>
        <v/>
      </c>
      <c r="J1378" s="7" t="str">
        <f aca="false">IF(A1378="","",IFERROR(VLOOKUP(IF(ISNUMBER(SEARCH("(",C1378)),LEFT(C1378,SEARCH("(",C1378)-1),C1378),Tipos!$A:$B,2,FALSE()),"outro"))</f>
        <v/>
      </c>
      <c r="K1378" s="7" t="str">
        <f aca="false">IF(I1378="","",IFERROR(INDEX('Campos Growths'!$L:$L,MATCH(H1378,'Campos Growths'!$A:$A,0)),""))</f>
        <v/>
      </c>
      <c r="L1378" s="7" t="str">
        <f aca="false">IF(A1378="","",IF(G1378="não","Sem tabela no Growths",IF(I1378="","Sem campo no Growths",IF(J1378=K1378,"Importa direto","Ajustar tipo"))))</f>
        <v/>
      </c>
      <c r="M1378" s="9"/>
    </row>
    <row r="1379" customFormat="false" ht="15" hidden="false" customHeight="false" outlineLevel="0" collapsed="false">
      <c r="A1379" s="7" t="str">
        <f aca="false">IF('Outro banco'!A1379="","",IF(LEFT('Outro banco'!A1379,1)="(","",'Outro banco'!A1379))</f>
        <v/>
      </c>
      <c r="B1379" s="7" t="str">
        <f aca="false">IF(A1379="","",'Outro banco'!B1379)</f>
        <v/>
      </c>
      <c r="C1379" s="7" t="str">
        <f aca="false">IF(A1379="","",'Outro banco'!C1379)</f>
        <v/>
      </c>
      <c r="D1379" s="7" t="str">
        <f aca="false">IF(A1379="","",'Outro banco'!D1379)</f>
        <v/>
      </c>
      <c r="E1379" s="9"/>
      <c r="F1379" s="9"/>
      <c r="G1379" s="7" t="str">
        <f aca="false">IF(A1379="","",IF(COUNTIF(Tabelas!$A:$A,IF(E1379="",A1379,E1379))&gt;0,"sim","não"))</f>
        <v/>
      </c>
      <c r="H1379" s="7" t="str">
        <f aca="false">IF(A1379="","",IF(E1379="",A1379,E1379)&amp;"."&amp;IF(F1379="",B1379,F1379))</f>
        <v/>
      </c>
      <c r="I1379" s="7" t="str">
        <f aca="false">IF(A1379="","",IFERROR(INDEX('Campos Growths'!$F:$F,MATCH(H1379,'Campos Growths'!$A:$A,0)),""))</f>
        <v/>
      </c>
      <c r="J1379" s="7" t="str">
        <f aca="false">IF(A1379="","",IFERROR(VLOOKUP(IF(ISNUMBER(SEARCH("(",C1379)),LEFT(C1379,SEARCH("(",C1379)-1),C1379),Tipos!$A:$B,2,FALSE()),"outro"))</f>
        <v/>
      </c>
      <c r="K1379" s="7" t="str">
        <f aca="false">IF(I1379="","",IFERROR(INDEX('Campos Growths'!$L:$L,MATCH(H1379,'Campos Growths'!$A:$A,0)),""))</f>
        <v/>
      </c>
      <c r="L1379" s="7" t="str">
        <f aca="false">IF(A1379="","",IF(G1379="não","Sem tabela no Growths",IF(I1379="","Sem campo no Growths",IF(J1379=K1379,"Importa direto","Ajustar tipo"))))</f>
        <v/>
      </c>
      <c r="M1379" s="9"/>
    </row>
    <row r="1380" customFormat="false" ht="15" hidden="false" customHeight="false" outlineLevel="0" collapsed="false">
      <c r="A1380" s="7" t="str">
        <f aca="false">IF('Outro banco'!A1380="","",IF(LEFT('Outro banco'!A1380,1)="(","",'Outro banco'!A1380))</f>
        <v/>
      </c>
      <c r="B1380" s="7" t="str">
        <f aca="false">IF(A1380="","",'Outro banco'!B1380)</f>
        <v/>
      </c>
      <c r="C1380" s="7" t="str">
        <f aca="false">IF(A1380="","",'Outro banco'!C1380)</f>
        <v/>
      </c>
      <c r="D1380" s="7" t="str">
        <f aca="false">IF(A1380="","",'Outro banco'!D1380)</f>
        <v/>
      </c>
      <c r="E1380" s="9"/>
      <c r="F1380" s="9"/>
      <c r="G1380" s="7" t="str">
        <f aca="false">IF(A1380="","",IF(COUNTIF(Tabelas!$A:$A,IF(E1380="",A1380,E1380))&gt;0,"sim","não"))</f>
        <v/>
      </c>
      <c r="H1380" s="7" t="str">
        <f aca="false">IF(A1380="","",IF(E1380="",A1380,E1380)&amp;"."&amp;IF(F1380="",B1380,F1380))</f>
        <v/>
      </c>
      <c r="I1380" s="7" t="str">
        <f aca="false">IF(A1380="","",IFERROR(INDEX('Campos Growths'!$F:$F,MATCH(H1380,'Campos Growths'!$A:$A,0)),""))</f>
        <v/>
      </c>
      <c r="J1380" s="7" t="str">
        <f aca="false">IF(A1380="","",IFERROR(VLOOKUP(IF(ISNUMBER(SEARCH("(",C1380)),LEFT(C1380,SEARCH("(",C1380)-1),C1380),Tipos!$A:$B,2,FALSE()),"outro"))</f>
        <v/>
      </c>
      <c r="K1380" s="7" t="str">
        <f aca="false">IF(I1380="","",IFERROR(INDEX('Campos Growths'!$L:$L,MATCH(H1380,'Campos Growths'!$A:$A,0)),""))</f>
        <v/>
      </c>
      <c r="L1380" s="7" t="str">
        <f aca="false">IF(A1380="","",IF(G1380="não","Sem tabela no Growths",IF(I1380="","Sem campo no Growths",IF(J1380=K1380,"Importa direto","Ajustar tipo"))))</f>
        <v/>
      </c>
      <c r="M1380" s="9"/>
    </row>
    <row r="1381" customFormat="false" ht="15" hidden="false" customHeight="false" outlineLevel="0" collapsed="false">
      <c r="A1381" s="7" t="str">
        <f aca="false">IF('Outro banco'!A1381="","",IF(LEFT('Outro banco'!A1381,1)="(","",'Outro banco'!A1381))</f>
        <v/>
      </c>
      <c r="B1381" s="7" t="str">
        <f aca="false">IF(A1381="","",'Outro banco'!B1381)</f>
        <v/>
      </c>
      <c r="C1381" s="7" t="str">
        <f aca="false">IF(A1381="","",'Outro banco'!C1381)</f>
        <v/>
      </c>
      <c r="D1381" s="7" t="str">
        <f aca="false">IF(A1381="","",'Outro banco'!D1381)</f>
        <v/>
      </c>
      <c r="E1381" s="9"/>
      <c r="F1381" s="9"/>
      <c r="G1381" s="7" t="str">
        <f aca="false">IF(A1381="","",IF(COUNTIF(Tabelas!$A:$A,IF(E1381="",A1381,E1381))&gt;0,"sim","não"))</f>
        <v/>
      </c>
      <c r="H1381" s="7" t="str">
        <f aca="false">IF(A1381="","",IF(E1381="",A1381,E1381)&amp;"."&amp;IF(F1381="",B1381,F1381))</f>
        <v/>
      </c>
      <c r="I1381" s="7" t="str">
        <f aca="false">IF(A1381="","",IFERROR(INDEX('Campos Growths'!$F:$F,MATCH(H1381,'Campos Growths'!$A:$A,0)),""))</f>
        <v/>
      </c>
      <c r="J1381" s="7" t="str">
        <f aca="false">IF(A1381="","",IFERROR(VLOOKUP(IF(ISNUMBER(SEARCH("(",C1381)),LEFT(C1381,SEARCH("(",C1381)-1),C1381),Tipos!$A:$B,2,FALSE()),"outro"))</f>
        <v/>
      </c>
      <c r="K1381" s="7" t="str">
        <f aca="false">IF(I1381="","",IFERROR(INDEX('Campos Growths'!$L:$L,MATCH(H1381,'Campos Growths'!$A:$A,0)),""))</f>
        <v/>
      </c>
      <c r="L1381" s="7" t="str">
        <f aca="false">IF(A1381="","",IF(G1381="não","Sem tabela no Growths",IF(I1381="","Sem campo no Growths",IF(J1381=K1381,"Importa direto","Ajustar tipo"))))</f>
        <v/>
      </c>
      <c r="M1381" s="9"/>
    </row>
    <row r="1382" customFormat="false" ht="15" hidden="false" customHeight="false" outlineLevel="0" collapsed="false">
      <c r="A1382" s="7" t="str">
        <f aca="false">IF('Outro banco'!A1382="","",IF(LEFT('Outro banco'!A1382,1)="(","",'Outro banco'!A1382))</f>
        <v/>
      </c>
      <c r="B1382" s="7" t="str">
        <f aca="false">IF(A1382="","",'Outro banco'!B1382)</f>
        <v/>
      </c>
      <c r="C1382" s="7" t="str">
        <f aca="false">IF(A1382="","",'Outro banco'!C1382)</f>
        <v/>
      </c>
      <c r="D1382" s="7" t="str">
        <f aca="false">IF(A1382="","",'Outro banco'!D1382)</f>
        <v/>
      </c>
      <c r="E1382" s="9"/>
      <c r="F1382" s="9"/>
      <c r="G1382" s="7" t="str">
        <f aca="false">IF(A1382="","",IF(COUNTIF(Tabelas!$A:$A,IF(E1382="",A1382,E1382))&gt;0,"sim","não"))</f>
        <v/>
      </c>
      <c r="H1382" s="7" t="str">
        <f aca="false">IF(A1382="","",IF(E1382="",A1382,E1382)&amp;"."&amp;IF(F1382="",B1382,F1382))</f>
        <v/>
      </c>
      <c r="I1382" s="7" t="str">
        <f aca="false">IF(A1382="","",IFERROR(INDEX('Campos Growths'!$F:$F,MATCH(H1382,'Campos Growths'!$A:$A,0)),""))</f>
        <v/>
      </c>
      <c r="J1382" s="7" t="str">
        <f aca="false">IF(A1382="","",IFERROR(VLOOKUP(IF(ISNUMBER(SEARCH("(",C1382)),LEFT(C1382,SEARCH("(",C1382)-1),C1382),Tipos!$A:$B,2,FALSE()),"outro"))</f>
        <v/>
      </c>
      <c r="K1382" s="7" t="str">
        <f aca="false">IF(I1382="","",IFERROR(INDEX('Campos Growths'!$L:$L,MATCH(H1382,'Campos Growths'!$A:$A,0)),""))</f>
        <v/>
      </c>
      <c r="L1382" s="7" t="str">
        <f aca="false">IF(A1382="","",IF(G1382="não","Sem tabela no Growths",IF(I1382="","Sem campo no Growths",IF(J1382=K1382,"Importa direto","Ajustar tipo"))))</f>
        <v/>
      </c>
      <c r="M1382" s="9"/>
    </row>
    <row r="1383" customFormat="false" ht="15" hidden="false" customHeight="false" outlineLevel="0" collapsed="false">
      <c r="A1383" s="7" t="str">
        <f aca="false">IF('Outro banco'!A1383="","",IF(LEFT('Outro banco'!A1383,1)="(","",'Outro banco'!A1383))</f>
        <v/>
      </c>
      <c r="B1383" s="7" t="str">
        <f aca="false">IF(A1383="","",'Outro banco'!B1383)</f>
        <v/>
      </c>
      <c r="C1383" s="7" t="str">
        <f aca="false">IF(A1383="","",'Outro banco'!C1383)</f>
        <v/>
      </c>
      <c r="D1383" s="7" t="str">
        <f aca="false">IF(A1383="","",'Outro banco'!D1383)</f>
        <v/>
      </c>
      <c r="E1383" s="9"/>
      <c r="F1383" s="9"/>
      <c r="G1383" s="7" t="str">
        <f aca="false">IF(A1383="","",IF(COUNTIF(Tabelas!$A:$A,IF(E1383="",A1383,E1383))&gt;0,"sim","não"))</f>
        <v/>
      </c>
      <c r="H1383" s="7" t="str">
        <f aca="false">IF(A1383="","",IF(E1383="",A1383,E1383)&amp;"."&amp;IF(F1383="",B1383,F1383))</f>
        <v/>
      </c>
      <c r="I1383" s="7" t="str">
        <f aca="false">IF(A1383="","",IFERROR(INDEX('Campos Growths'!$F:$F,MATCH(H1383,'Campos Growths'!$A:$A,0)),""))</f>
        <v/>
      </c>
      <c r="J1383" s="7" t="str">
        <f aca="false">IF(A1383="","",IFERROR(VLOOKUP(IF(ISNUMBER(SEARCH("(",C1383)),LEFT(C1383,SEARCH("(",C1383)-1),C1383),Tipos!$A:$B,2,FALSE()),"outro"))</f>
        <v/>
      </c>
      <c r="K1383" s="7" t="str">
        <f aca="false">IF(I1383="","",IFERROR(INDEX('Campos Growths'!$L:$L,MATCH(H1383,'Campos Growths'!$A:$A,0)),""))</f>
        <v/>
      </c>
      <c r="L1383" s="7" t="str">
        <f aca="false">IF(A1383="","",IF(G1383="não","Sem tabela no Growths",IF(I1383="","Sem campo no Growths",IF(J1383=K1383,"Importa direto","Ajustar tipo"))))</f>
        <v/>
      </c>
      <c r="M1383" s="9"/>
    </row>
    <row r="1384" customFormat="false" ht="15" hidden="false" customHeight="false" outlineLevel="0" collapsed="false">
      <c r="A1384" s="7" t="str">
        <f aca="false">IF('Outro banco'!A1384="","",IF(LEFT('Outro banco'!A1384,1)="(","",'Outro banco'!A1384))</f>
        <v/>
      </c>
      <c r="B1384" s="7" t="str">
        <f aca="false">IF(A1384="","",'Outro banco'!B1384)</f>
        <v/>
      </c>
      <c r="C1384" s="7" t="str">
        <f aca="false">IF(A1384="","",'Outro banco'!C1384)</f>
        <v/>
      </c>
      <c r="D1384" s="7" t="str">
        <f aca="false">IF(A1384="","",'Outro banco'!D1384)</f>
        <v/>
      </c>
      <c r="E1384" s="9"/>
      <c r="F1384" s="9"/>
      <c r="G1384" s="7" t="str">
        <f aca="false">IF(A1384="","",IF(COUNTIF(Tabelas!$A:$A,IF(E1384="",A1384,E1384))&gt;0,"sim","não"))</f>
        <v/>
      </c>
      <c r="H1384" s="7" t="str">
        <f aca="false">IF(A1384="","",IF(E1384="",A1384,E1384)&amp;"."&amp;IF(F1384="",B1384,F1384))</f>
        <v/>
      </c>
      <c r="I1384" s="7" t="str">
        <f aca="false">IF(A1384="","",IFERROR(INDEX('Campos Growths'!$F:$F,MATCH(H1384,'Campos Growths'!$A:$A,0)),""))</f>
        <v/>
      </c>
      <c r="J1384" s="7" t="str">
        <f aca="false">IF(A1384="","",IFERROR(VLOOKUP(IF(ISNUMBER(SEARCH("(",C1384)),LEFT(C1384,SEARCH("(",C1384)-1),C1384),Tipos!$A:$B,2,FALSE()),"outro"))</f>
        <v/>
      </c>
      <c r="K1384" s="7" t="str">
        <f aca="false">IF(I1384="","",IFERROR(INDEX('Campos Growths'!$L:$L,MATCH(H1384,'Campos Growths'!$A:$A,0)),""))</f>
        <v/>
      </c>
      <c r="L1384" s="7" t="str">
        <f aca="false">IF(A1384="","",IF(G1384="não","Sem tabela no Growths",IF(I1384="","Sem campo no Growths",IF(J1384=K1384,"Importa direto","Ajustar tipo"))))</f>
        <v/>
      </c>
      <c r="M1384" s="9"/>
    </row>
    <row r="1385" customFormat="false" ht="15" hidden="false" customHeight="false" outlineLevel="0" collapsed="false">
      <c r="A1385" s="7" t="str">
        <f aca="false">IF('Outro banco'!A1385="","",IF(LEFT('Outro banco'!A1385,1)="(","",'Outro banco'!A1385))</f>
        <v/>
      </c>
      <c r="B1385" s="7" t="str">
        <f aca="false">IF(A1385="","",'Outro banco'!B1385)</f>
        <v/>
      </c>
      <c r="C1385" s="7" t="str">
        <f aca="false">IF(A1385="","",'Outro banco'!C1385)</f>
        <v/>
      </c>
      <c r="D1385" s="7" t="str">
        <f aca="false">IF(A1385="","",'Outro banco'!D1385)</f>
        <v/>
      </c>
      <c r="E1385" s="9"/>
      <c r="F1385" s="9"/>
      <c r="G1385" s="7" t="str">
        <f aca="false">IF(A1385="","",IF(COUNTIF(Tabelas!$A:$A,IF(E1385="",A1385,E1385))&gt;0,"sim","não"))</f>
        <v/>
      </c>
      <c r="H1385" s="7" t="str">
        <f aca="false">IF(A1385="","",IF(E1385="",A1385,E1385)&amp;"."&amp;IF(F1385="",B1385,F1385))</f>
        <v/>
      </c>
      <c r="I1385" s="7" t="str">
        <f aca="false">IF(A1385="","",IFERROR(INDEX('Campos Growths'!$F:$F,MATCH(H1385,'Campos Growths'!$A:$A,0)),""))</f>
        <v/>
      </c>
      <c r="J1385" s="7" t="str">
        <f aca="false">IF(A1385="","",IFERROR(VLOOKUP(IF(ISNUMBER(SEARCH("(",C1385)),LEFT(C1385,SEARCH("(",C1385)-1),C1385),Tipos!$A:$B,2,FALSE()),"outro"))</f>
        <v/>
      </c>
      <c r="K1385" s="7" t="str">
        <f aca="false">IF(I1385="","",IFERROR(INDEX('Campos Growths'!$L:$L,MATCH(H1385,'Campos Growths'!$A:$A,0)),""))</f>
        <v/>
      </c>
      <c r="L1385" s="7" t="str">
        <f aca="false">IF(A1385="","",IF(G1385="não","Sem tabela no Growths",IF(I1385="","Sem campo no Growths",IF(J1385=K1385,"Importa direto","Ajustar tipo"))))</f>
        <v/>
      </c>
      <c r="M1385" s="9"/>
    </row>
    <row r="1386" customFormat="false" ht="15" hidden="false" customHeight="false" outlineLevel="0" collapsed="false">
      <c r="A1386" s="7" t="str">
        <f aca="false">IF('Outro banco'!A1386="","",IF(LEFT('Outro banco'!A1386,1)="(","",'Outro banco'!A1386))</f>
        <v/>
      </c>
      <c r="B1386" s="7" t="str">
        <f aca="false">IF(A1386="","",'Outro banco'!B1386)</f>
        <v/>
      </c>
      <c r="C1386" s="7" t="str">
        <f aca="false">IF(A1386="","",'Outro banco'!C1386)</f>
        <v/>
      </c>
      <c r="D1386" s="7" t="str">
        <f aca="false">IF(A1386="","",'Outro banco'!D1386)</f>
        <v/>
      </c>
      <c r="E1386" s="9"/>
      <c r="F1386" s="9"/>
      <c r="G1386" s="7" t="str">
        <f aca="false">IF(A1386="","",IF(COUNTIF(Tabelas!$A:$A,IF(E1386="",A1386,E1386))&gt;0,"sim","não"))</f>
        <v/>
      </c>
      <c r="H1386" s="7" t="str">
        <f aca="false">IF(A1386="","",IF(E1386="",A1386,E1386)&amp;"."&amp;IF(F1386="",B1386,F1386))</f>
        <v/>
      </c>
      <c r="I1386" s="7" t="str">
        <f aca="false">IF(A1386="","",IFERROR(INDEX('Campos Growths'!$F:$F,MATCH(H1386,'Campos Growths'!$A:$A,0)),""))</f>
        <v/>
      </c>
      <c r="J1386" s="7" t="str">
        <f aca="false">IF(A1386="","",IFERROR(VLOOKUP(IF(ISNUMBER(SEARCH("(",C1386)),LEFT(C1386,SEARCH("(",C1386)-1),C1386),Tipos!$A:$B,2,FALSE()),"outro"))</f>
        <v/>
      </c>
      <c r="K1386" s="7" t="str">
        <f aca="false">IF(I1386="","",IFERROR(INDEX('Campos Growths'!$L:$L,MATCH(H1386,'Campos Growths'!$A:$A,0)),""))</f>
        <v/>
      </c>
      <c r="L1386" s="7" t="str">
        <f aca="false">IF(A1386="","",IF(G1386="não","Sem tabela no Growths",IF(I1386="","Sem campo no Growths",IF(J1386=K1386,"Importa direto","Ajustar tipo"))))</f>
        <v/>
      </c>
      <c r="M1386" s="9"/>
    </row>
    <row r="1387" customFormat="false" ht="15" hidden="false" customHeight="false" outlineLevel="0" collapsed="false">
      <c r="A1387" s="7" t="str">
        <f aca="false">IF('Outro banco'!A1387="","",IF(LEFT('Outro banco'!A1387,1)="(","",'Outro banco'!A1387))</f>
        <v/>
      </c>
      <c r="B1387" s="7" t="str">
        <f aca="false">IF(A1387="","",'Outro banco'!B1387)</f>
        <v/>
      </c>
      <c r="C1387" s="7" t="str">
        <f aca="false">IF(A1387="","",'Outro banco'!C1387)</f>
        <v/>
      </c>
      <c r="D1387" s="7" t="str">
        <f aca="false">IF(A1387="","",'Outro banco'!D1387)</f>
        <v/>
      </c>
      <c r="E1387" s="9"/>
      <c r="F1387" s="9"/>
      <c r="G1387" s="7" t="str">
        <f aca="false">IF(A1387="","",IF(COUNTIF(Tabelas!$A:$A,IF(E1387="",A1387,E1387))&gt;0,"sim","não"))</f>
        <v/>
      </c>
      <c r="H1387" s="7" t="str">
        <f aca="false">IF(A1387="","",IF(E1387="",A1387,E1387)&amp;"."&amp;IF(F1387="",B1387,F1387))</f>
        <v/>
      </c>
      <c r="I1387" s="7" t="str">
        <f aca="false">IF(A1387="","",IFERROR(INDEX('Campos Growths'!$F:$F,MATCH(H1387,'Campos Growths'!$A:$A,0)),""))</f>
        <v/>
      </c>
      <c r="J1387" s="7" t="str">
        <f aca="false">IF(A1387="","",IFERROR(VLOOKUP(IF(ISNUMBER(SEARCH("(",C1387)),LEFT(C1387,SEARCH("(",C1387)-1),C1387),Tipos!$A:$B,2,FALSE()),"outro"))</f>
        <v/>
      </c>
      <c r="K1387" s="7" t="str">
        <f aca="false">IF(I1387="","",IFERROR(INDEX('Campos Growths'!$L:$L,MATCH(H1387,'Campos Growths'!$A:$A,0)),""))</f>
        <v/>
      </c>
      <c r="L1387" s="7" t="str">
        <f aca="false">IF(A1387="","",IF(G1387="não","Sem tabela no Growths",IF(I1387="","Sem campo no Growths",IF(J1387=K1387,"Importa direto","Ajustar tipo"))))</f>
        <v/>
      </c>
      <c r="M1387" s="9"/>
    </row>
    <row r="1388" customFormat="false" ht="15" hidden="false" customHeight="false" outlineLevel="0" collapsed="false">
      <c r="A1388" s="7" t="str">
        <f aca="false">IF('Outro banco'!A1388="","",IF(LEFT('Outro banco'!A1388,1)="(","",'Outro banco'!A1388))</f>
        <v/>
      </c>
      <c r="B1388" s="7" t="str">
        <f aca="false">IF(A1388="","",'Outro banco'!B1388)</f>
        <v/>
      </c>
      <c r="C1388" s="7" t="str">
        <f aca="false">IF(A1388="","",'Outro banco'!C1388)</f>
        <v/>
      </c>
      <c r="D1388" s="7" t="str">
        <f aca="false">IF(A1388="","",'Outro banco'!D1388)</f>
        <v/>
      </c>
      <c r="E1388" s="9"/>
      <c r="F1388" s="9"/>
      <c r="G1388" s="7" t="str">
        <f aca="false">IF(A1388="","",IF(COUNTIF(Tabelas!$A:$A,IF(E1388="",A1388,E1388))&gt;0,"sim","não"))</f>
        <v/>
      </c>
      <c r="H1388" s="7" t="str">
        <f aca="false">IF(A1388="","",IF(E1388="",A1388,E1388)&amp;"."&amp;IF(F1388="",B1388,F1388))</f>
        <v/>
      </c>
      <c r="I1388" s="7" t="str">
        <f aca="false">IF(A1388="","",IFERROR(INDEX('Campos Growths'!$F:$F,MATCH(H1388,'Campos Growths'!$A:$A,0)),""))</f>
        <v/>
      </c>
      <c r="J1388" s="7" t="str">
        <f aca="false">IF(A1388="","",IFERROR(VLOOKUP(IF(ISNUMBER(SEARCH("(",C1388)),LEFT(C1388,SEARCH("(",C1388)-1),C1388),Tipos!$A:$B,2,FALSE()),"outro"))</f>
        <v/>
      </c>
      <c r="K1388" s="7" t="str">
        <f aca="false">IF(I1388="","",IFERROR(INDEX('Campos Growths'!$L:$L,MATCH(H1388,'Campos Growths'!$A:$A,0)),""))</f>
        <v/>
      </c>
      <c r="L1388" s="7" t="str">
        <f aca="false">IF(A1388="","",IF(G1388="não","Sem tabela no Growths",IF(I1388="","Sem campo no Growths",IF(J1388=K1388,"Importa direto","Ajustar tipo"))))</f>
        <v/>
      </c>
      <c r="M1388" s="9"/>
    </row>
    <row r="1389" customFormat="false" ht="15" hidden="false" customHeight="false" outlineLevel="0" collapsed="false">
      <c r="A1389" s="7" t="str">
        <f aca="false">IF('Outro banco'!A1389="","",IF(LEFT('Outro banco'!A1389,1)="(","",'Outro banco'!A1389))</f>
        <v/>
      </c>
      <c r="B1389" s="7" t="str">
        <f aca="false">IF(A1389="","",'Outro banco'!B1389)</f>
        <v/>
      </c>
      <c r="C1389" s="7" t="str">
        <f aca="false">IF(A1389="","",'Outro banco'!C1389)</f>
        <v/>
      </c>
      <c r="D1389" s="7" t="str">
        <f aca="false">IF(A1389="","",'Outro banco'!D1389)</f>
        <v/>
      </c>
      <c r="E1389" s="9"/>
      <c r="F1389" s="9"/>
      <c r="G1389" s="7" t="str">
        <f aca="false">IF(A1389="","",IF(COUNTIF(Tabelas!$A:$A,IF(E1389="",A1389,E1389))&gt;0,"sim","não"))</f>
        <v/>
      </c>
      <c r="H1389" s="7" t="str">
        <f aca="false">IF(A1389="","",IF(E1389="",A1389,E1389)&amp;"."&amp;IF(F1389="",B1389,F1389))</f>
        <v/>
      </c>
      <c r="I1389" s="7" t="str">
        <f aca="false">IF(A1389="","",IFERROR(INDEX('Campos Growths'!$F:$F,MATCH(H1389,'Campos Growths'!$A:$A,0)),""))</f>
        <v/>
      </c>
      <c r="J1389" s="7" t="str">
        <f aca="false">IF(A1389="","",IFERROR(VLOOKUP(IF(ISNUMBER(SEARCH("(",C1389)),LEFT(C1389,SEARCH("(",C1389)-1),C1389),Tipos!$A:$B,2,FALSE()),"outro"))</f>
        <v/>
      </c>
      <c r="K1389" s="7" t="str">
        <f aca="false">IF(I1389="","",IFERROR(INDEX('Campos Growths'!$L:$L,MATCH(H1389,'Campos Growths'!$A:$A,0)),""))</f>
        <v/>
      </c>
      <c r="L1389" s="7" t="str">
        <f aca="false">IF(A1389="","",IF(G1389="não","Sem tabela no Growths",IF(I1389="","Sem campo no Growths",IF(J1389=K1389,"Importa direto","Ajustar tipo"))))</f>
        <v/>
      </c>
      <c r="M1389" s="9"/>
    </row>
    <row r="1390" customFormat="false" ht="15" hidden="false" customHeight="false" outlineLevel="0" collapsed="false">
      <c r="A1390" s="7" t="str">
        <f aca="false">IF('Outro banco'!A1390="","",IF(LEFT('Outro banco'!A1390,1)="(","",'Outro banco'!A1390))</f>
        <v/>
      </c>
      <c r="B1390" s="7" t="str">
        <f aca="false">IF(A1390="","",'Outro banco'!B1390)</f>
        <v/>
      </c>
      <c r="C1390" s="7" t="str">
        <f aca="false">IF(A1390="","",'Outro banco'!C1390)</f>
        <v/>
      </c>
      <c r="D1390" s="7" t="str">
        <f aca="false">IF(A1390="","",'Outro banco'!D1390)</f>
        <v/>
      </c>
      <c r="E1390" s="9"/>
      <c r="F1390" s="9"/>
      <c r="G1390" s="7" t="str">
        <f aca="false">IF(A1390="","",IF(COUNTIF(Tabelas!$A:$A,IF(E1390="",A1390,E1390))&gt;0,"sim","não"))</f>
        <v/>
      </c>
      <c r="H1390" s="7" t="str">
        <f aca="false">IF(A1390="","",IF(E1390="",A1390,E1390)&amp;"."&amp;IF(F1390="",B1390,F1390))</f>
        <v/>
      </c>
      <c r="I1390" s="7" t="str">
        <f aca="false">IF(A1390="","",IFERROR(INDEX('Campos Growths'!$F:$F,MATCH(H1390,'Campos Growths'!$A:$A,0)),""))</f>
        <v/>
      </c>
      <c r="J1390" s="7" t="str">
        <f aca="false">IF(A1390="","",IFERROR(VLOOKUP(IF(ISNUMBER(SEARCH("(",C1390)),LEFT(C1390,SEARCH("(",C1390)-1),C1390),Tipos!$A:$B,2,FALSE()),"outro"))</f>
        <v/>
      </c>
      <c r="K1390" s="7" t="str">
        <f aca="false">IF(I1390="","",IFERROR(INDEX('Campos Growths'!$L:$L,MATCH(H1390,'Campos Growths'!$A:$A,0)),""))</f>
        <v/>
      </c>
      <c r="L1390" s="7" t="str">
        <f aca="false">IF(A1390="","",IF(G1390="não","Sem tabela no Growths",IF(I1390="","Sem campo no Growths",IF(J1390=K1390,"Importa direto","Ajustar tipo"))))</f>
        <v/>
      </c>
      <c r="M1390" s="9"/>
    </row>
    <row r="1391" customFormat="false" ht="15" hidden="false" customHeight="false" outlineLevel="0" collapsed="false">
      <c r="A1391" s="7" t="str">
        <f aca="false">IF('Outro banco'!A1391="","",IF(LEFT('Outro banco'!A1391,1)="(","",'Outro banco'!A1391))</f>
        <v/>
      </c>
      <c r="B1391" s="7" t="str">
        <f aca="false">IF(A1391="","",'Outro banco'!B1391)</f>
        <v/>
      </c>
      <c r="C1391" s="7" t="str">
        <f aca="false">IF(A1391="","",'Outro banco'!C1391)</f>
        <v/>
      </c>
      <c r="D1391" s="7" t="str">
        <f aca="false">IF(A1391="","",'Outro banco'!D1391)</f>
        <v/>
      </c>
      <c r="E1391" s="9"/>
      <c r="F1391" s="9"/>
      <c r="G1391" s="7" t="str">
        <f aca="false">IF(A1391="","",IF(COUNTIF(Tabelas!$A:$A,IF(E1391="",A1391,E1391))&gt;0,"sim","não"))</f>
        <v/>
      </c>
      <c r="H1391" s="7" t="str">
        <f aca="false">IF(A1391="","",IF(E1391="",A1391,E1391)&amp;"."&amp;IF(F1391="",B1391,F1391))</f>
        <v/>
      </c>
      <c r="I1391" s="7" t="str">
        <f aca="false">IF(A1391="","",IFERROR(INDEX('Campos Growths'!$F:$F,MATCH(H1391,'Campos Growths'!$A:$A,0)),""))</f>
        <v/>
      </c>
      <c r="J1391" s="7" t="str">
        <f aca="false">IF(A1391="","",IFERROR(VLOOKUP(IF(ISNUMBER(SEARCH("(",C1391)),LEFT(C1391,SEARCH("(",C1391)-1),C1391),Tipos!$A:$B,2,FALSE()),"outro"))</f>
        <v/>
      </c>
      <c r="K1391" s="7" t="str">
        <f aca="false">IF(I1391="","",IFERROR(INDEX('Campos Growths'!$L:$L,MATCH(H1391,'Campos Growths'!$A:$A,0)),""))</f>
        <v/>
      </c>
      <c r="L1391" s="7" t="str">
        <f aca="false">IF(A1391="","",IF(G1391="não","Sem tabela no Growths",IF(I1391="","Sem campo no Growths",IF(J1391=K1391,"Importa direto","Ajustar tipo"))))</f>
        <v/>
      </c>
      <c r="M1391" s="9"/>
    </row>
    <row r="1392" customFormat="false" ht="15" hidden="false" customHeight="false" outlineLevel="0" collapsed="false">
      <c r="A1392" s="7" t="str">
        <f aca="false">IF('Outro banco'!A1392="","",IF(LEFT('Outro banco'!A1392,1)="(","",'Outro banco'!A1392))</f>
        <v/>
      </c>
      <c r="B1392" s="7" t="str">
        <f aca="false">IF(A1392="","",'Outro banco'!B1392)</f>
        <v/>
      </c>
      <c r="C1392" s="7" t="str">
        <f aca="false">IF(A1392="","",'Outro banco'!C1392)</f>
        <v/>
      </c>
      <c r="D1392" s="7" t="str">
        <f aca="false">IF(A1392="","",'Outro banco'!D1392)</f>
        <v/>
      </c>
      <c r="E1392" s="9"/>
      <c r="F1392" s="9"/>
      <c r="G1392" s="7" t="str">
        <f aca="false">IF(A1392="","",IF(COUNTIF(Tabelas!$A:$A,IF(E1392="",A1392,E1392))&gt;0,"sim","não"))</f>
        <v/>
      </c>
      <c r="H1392" s="7" t="str">
        <f aca="false">IF(A1392="","",IF(E1392="",A1392,E1392)&amp;"."&amp;IF(F1392="",B1392,F1392))</f>
        <v/>
      </c>
      <c r="I1392" s="7" t="str">
        <f aca="false">IF(A1392="","",IFERROR(INDEX('Campos Growths'!$F:$F,MATCH(H1392,'Campos Growths'!$A:$A,0)),""))</f>
        <v/>
      </c>
      <c r="J1392" s="7" t="str">
        <f aca="false">IF(A1392="","",IFERROR(VLOOKUP(IF(ISNUMBER(SEARCH("(",C1392)),LEFT(C1392,SEARCH("(",C1392)-1),C1392),Tipos!$A:$B,2,FALSE()),"outro"))</f>
        <v/>
      </c>
      <c r="K1392" s="7" t="str">
        <f aca="false">IF(I1392="","",IFERROR(INDEX('Campos Growths'!$L:$L,MATCH(H1392,'Campos Growths'!$A:$A,0)),""))</f>
        <v/>
      </c>
      <c r="L1392" s="7" t="str">
        <f aca="false">IF(A1392="","",IF(G1392="não","Sem tabela no Growths",IF(I1392="","Sem campo no Growths",IF(J1392=K1392,"Importa direto","Ajustar tipo"))))</f>
        <v/>
      </c>
      <c r="M1392" s="9"/>
    </row>
    <row r="1393" customFormat="false" ht="15" hidden="false" customHeight="false" outlineLevel="0" collapsed="false">
      <c r="A1393" s="7" t="str">
        <f aca="false">IF('Outro banco'!A1393="","",IF(LEFT('Outro banco'!A1393,1)="(","",'Outro banco'!A1393))</f>
        <v/>
      </c>
      <c r="B1393" s="7" t="str">
        <f aca="false">IF(A1393="","",'Outro banco'!B1393)</f>
        <v/>
      </c>
      <c r="C1393" s="7" t="str">
        <f aca="false">IF(A1393="","",'Outro banco'!C1393)</f>
        <v/>
      </c>
      <c r="D1393" s="7" t="str">
        <f aca="false">IF(A1393="","",'Outro banco'!D1393)</f>
        <v/>
      </c>
      <c r="E1393" s="9"/>
      <c r="F1393" s="9"/>
      <c r="G1393" s="7" t="str">
        <f aca="false">IF(A1393="","",IF(COUNTIF(Tabelas!$A:$A,IF(E1393="",A1393,E1393))&gt;0,"sim","não"))</f>
        <v/>
      </c>
      <c r="H1393" s="7" t="str">
        <f aca="false">IF(A1393="","",IF(E1393="",A1393,E1393)&amp;"."&amp;IF(F1393="",B1393,F1393))</f>
        <v/>
      </c>
      <c r="I1393" s="7" t="str">
        <f aca="false">IF(A1393="","",IFERROR(INDEX('Campos Growths'!$F:$F,MATCH(H1393,'Campos Growths'!$A:$A,0)),""))</f>
        <v/>
      </c>
      <c r="J1393" s="7" t="str">
        <f aca="false">IF(A1393="","",IFERROR(VLOOKUP(IF(ISNUMBER(SEARCH("(",C1393)),LEFT(C1393,SEARCH("(",C1393)-1),C1393),Tipos!$A:$B,2,FALSE()),"outro"))</f>
        <v/>
      </c>
      <c r="K1393" s="7" t="str">
        <f aca="false">IF(I1393="","",IFERROR(INDEX('Campos Growths'!$L:$L,MATCH(H1393,'Campos Growths'!$A:$A,0)),""))</f>
        <v/>
      </c>
      <c r="L1393" s="7" t="str">
        <f aca="false">IF(A1393="","",IF(G1393="não","Sem tabela no Growths",IF(I1393="","Sem campo no Growths",IF(J1393=K1393,"Importa direto","Ajustar tipo"))))</f>
        <v/>
      </c>
      <c r="M1393" s="9"/>
    </row>
    <row r="1394" customFormat="false" ht="15" hidden="false" customHeight="false" outlineLevel="0" collapsed="false">
      <c r="A1394" s="7" t="str">
        <f aca="false">IF('Outro banco'!A1394="","",IF(LEFT('Outro banco'!A1394,1)="(","",'Outro banco'!A1394))</f>
        <v/>
      </c>
      <c r="B1394" s="7" t="str">
        <f aca="false">IF(A1394="","",'Outro banco'!B1394)</f>
        <v/>
      </c>
      <c r="C1394" s="7" t="str">
        <f aca="false">IF(A1394="","",'Outro banco'!C1394)</f>
        <v/>
      </c>
      <c r="D1394" s="7" t="str">
        <f aca="false">IF(A1394="","",'Outro banco'!D1394)</f>
        <v/>
      </c>
      <c r="E1394" s="9"/>
      <c r="F1394" s="9"/>
      <c r="G1394" s="7" t="str">
        <f aca="false">IF(A1394="","",IF(COUNTIF(Tabelas!$A:$A,IF(E1394="",A1394,E1394))&gt;0,"sim","não"))</f>
        <v/>
      </c>
      <c r="H1394" s="7" t="str">
        <f aca="false">IF(A1394="","",IF(E1394="",A1394,E1394)&amp;"."&amp;IF(F1394="",B1394,F1394))</f>
        <v/>
      </c>
      <c r="I1394" s="7" t="str">
        <f aca="false">IF(A1394="","",IFERROR(INDEX('Campos Growths'!$F:$F,MATCH(H1394,'Campos Growths'!$A:$A,0)),""))</f>
        <v/>
      </c>
      <c r="J1394" s="7" t="str">
        <f aca="false">IF(A1394="","",IFERROR(VLOOKUP(IF(ISNUMBER(SEARCH("(",C1394)),LEFT(C1394,SEARCH("(",C1394)-1),C1394),Tipos!$A:$B,2,FALSE()),"outro"))</f>
        <v/>
      </c>
      <c r="K1394" s="7" t="str">
        <f aca="false">IF(I1394="","",IFERROR(INDEX('Campos Growths'!$L:$L,MATCH(H1394,'Campos Growths'!$A:$A,0)),""))</f>
        <v/>
      </c>
      <c r="L1394" s="7" t="str">
        <f aca="false">IF(A1394="","",IF(G1394="não","Sem tabela no Growths",IF(I1394="","Sem campo no Growths",IF(J1394=K1394,"Importa direto","Ajustar tipo"))))</f>
        <v/>
      </c>
      <c r="M1394" s="9"/>
    </row>
    <row r="1395" customFormat="false" ht="15" hidden="false" customHeight="false" outlineLevel="0" collapsed="false">
      <c r="A1395" s="7" t="str">
        <f aca="false">IF('Outro banco'!A1395="","",IF(LEFT('Outro banco'!A1395,1)="(","",'Outro banco'!A1395))</f>
        <v/>
      </c>
      <c r="B1395" s="7" t="str">
        <f aca="false">IF(A1395="","",'Outro banco'!B1395)</f>
        <v/>
      </c>
      <c r="C1395" s="7" t="str">
        <f aca="false">IF(A1395="","",'Outro banco'!C1395)</f>
        <v/>
      </c>
      <c r="D1395" s="7" t="str">
        <f aca="false">IF(A1395="","",'Outro banco'!D1395)</f>
        <v/>
      </c>
      <c r="E1395" s="9"/>
      <c r="F1395" s="9"/>
      <c r="G1395" s="7" t="str">
        <f aca="false">IF(A1395="","",IF(COUNTIF(Tabelas!$A:$A,IF(E1395="",A1395,E1395))&gt;0,"sim","não"))</f>
        <v/>
      </c>
      <c r="H1395" s="7" t="str">
        <f aca="false">IF(A1395="","",IF(E1395="",A1395,E1395)&amp;"."&amp;IF(F1395="",B1395,F1395))</f>
        <v/>
      </c>
      <c r="I1395" s="7" t="str">
        <f aca="false">IF(A1395="","",IFERROR(INDEX('Campos Growths'!$F:$F,MATCH(H1395,'Campos Growths'!$A:$A,0)),""))</f>
        <v/>
      </c>
      <c r="J1395" s="7" t="str">
        <f aca="false">IF(A1395="","",IFERROR(VLOOKUP(IF(ISNUMBER(SEARCH("(",C1395)),LEFT(C1395,SEARCH("(",C1395)-1),C1395),Tipos!$A:$B,2,FALSE()),"outro"))</f>
        <v/>
      </c>
      <c r="K1395" s="7" t="str">
        <f aca="false">IF(I1395="","",IFERROR(INDEX('Campos Growths'!$L:$L,MATCH(H1395,'Campos Growths'!$A:$A,0)),""))</f>
        <v/>
      </c>
      <c r="L1395" s="7" t="str">
        <f aca="false">IF(A1395="","",IF(G1395="não","Sem tabela no Growths",IF(I1395="","Sem campo no Growths",IF(J1395=K1395,"Importa direto","Ajustar tipo"))))</f>
        <v/>
      </c>
      <c r="M1395" s="9"/>
    </row>
    <row r="1396" customFormat="false" ht="15" hidden="false" customHeight="false" outlineLevel="0" collapsed="false">
      <c r="A1396" s="7" t="str">
        <f aca="false">IF('Outro banco'!A1396="","",IF(LEFT('Outro banco'!A1396,1)="(","",'Outro banco'!A1396))</f>
        <v/>
      </c>
      <c r="B1396" s="7" t="str">
        <f aca="false">IF(A1396="","",'Outro banco'!B1396)</f>
        <v/>
      </c>
      <c r="C1396" s="7" t="str">
        <f aca="false">IF(A1396="","",'Outro banco'!C1396)</f>
        <v/>
      </c>
      <c r="D1396" s="7" t="str">
        <f aca="false">IF(A1396="","",'Outro banco'!D1396)</f>
        <v/>
      </c>
      <c r="E1396" s="9"/>
      <c r="F1396" s="9"/>
      <c r="G1396" s="7" t="str">
        <f aca="false">IF(A1396="","",IF(COUNTIF(Tabelas!$A:$A,IF(E1396="",A1396,E1396))&gt;0,"sim","não"))</f>
        <v/>
      </c>
      <c r="H1396" s="7" t="str">
        <f aca="false">IF(A1396="","",IF(E1396="",A1396,E1396)&amp;"."&amp;IF(F1396="",B1396,F1396))</f>
        <v/>
      </c>
      <c r="I1396" s="7" t="str">
        <f aca="false">IF(A1396="","",IFERROR(INDEX('Campos Growths'!$F:$F,MATCH(H1396,'Campos Growths'!$A:$A,0)),""))</f>
        <v/>
      </c>
      <c r="J1396" s="7" t="str">
        <f aca="false">IF(A1396="","",IFERROR(VLOOKUP(IF(ISNUMBER(SEARCH("(",C1396)),LEFT(C1396,SEARCH("(",C1396)-1),C1396),Tipos!$A:$B,2,FALSE()),"outro"))</f>
        <v/>
      </c>
      <c r="K1396" s="7" t="str">
        <f aca="false">IF(I1396="","",IFERROR(INDEX('Campos Growths'!$L:$L,MATCH(H1396,'Campos Growths'!$A:$A,0)),""))</f>
        <v/>
      </c>
      <c r="L1396" s="7" t="str">
        <f aca="false">IF(A1396="","",IF(G1396="não","Sem tabela no Growths",IF(I1396="","Sem campo no Growths",IF(J1396=K1396,"Importa direto","Ajustar tipo"))))</f>
        <v/>
      </c>
      <c r="M1396" s="9"/>
    </row>
    <row r="1397" customFormat="false" ht="15" hidden="false" customHeight="false" outlineLevel="0" collapsed="false">
      <c r="A1397" s="7" t="str">
        <f aca="false">IF('Outro banco'!A1397="","",IF(LEFT('Outro banco'!A1397,1)="(","",'Outro banco'!A1397))</f>
        <v/>
      </c>
      <c r="B1397" s="7" t="str">
        <f aca="false">IF(A1397="","",'Outro banco'!B1397)</f>
        <v/>
      </c>
      <c r="C1397" s="7" t="str">
        <f aca="false">IF(A1397="","",'Outro banco'!C1397)</f>
        <v/>
      </c>
      <c r="D1397" s="7" t="str">
        <f aca="false">IF(A1397="","",'Outro banco'!D1397)</f>
        <v/>
      </c>
      <c r="E1397" s="9"/>
      <c r="F1397" s="9"/>
      <c r="G1397" s="7" t="str">
        <f aca="false">IF(A1397="","",IF(COUNTIF(Tabelas!$A:$A,IF(E1397="",A1397,E1397))&gt;0,"sim","não"))</f>
        <v/>
      </c>
      <c r="H1397" s="7" t="str">
        <f aca="false">IF(A1397="","",IF(E1397="",A1397,E1397)&amp;"."&amp;IF(F1397="",B1397,F1397))</f>
        <v/>
      </c>
      <c r="I1397" s="7" t="str">
        <f aca="false">IF(A1397="","",IFERROR(INDEX('Campos Growths'!$F:$F,MATCH(H1397,'Campos Growths'!$A:$A,0)),""))</f>
        <v/>
      </c>
      <c r="J1397" s="7" t="str">
        <f aca="false">IF(A1397="","",IFERROR(VLOOKUP(IF(ISNUMBER(SEARCH("(",C1397)),LEFT(C1397,SEARCH("(",C1397)-1),C1397),Tipos!$A:$B,2,FALSE()),"outro"))</f>
        <v/>
      </c>
      <c r="K1397" s="7" t="str">
        <f aca="false">IF(I1397="","",IFERROR(INDEX('Campos Growths'!$L:$L,MATCH(H1397,'Campos Growths'!$A:$A,0)),""))</f>
        <v/>
      </c>
      <c r="L1397" s="7" t="str">
        <f aca="false">IF(A1397="","",IF(G1397="não","Sem tabela no Growths",IF(I1397="","Sem campo no Growths",IF(J1397=K1397,"Importa direto","Ajustar tipo"))))</f>
        <v/>
      </c>
      <c r="M1397" s="9"/>
    </row>
    <row r="1398" customFormat="false" ht="15" hidden="false" customHeight="false" outlineLevel="0" collapsed="false">
      <c r="A1398" s="7" t="str">
        <f aca="false">IF('Outro banco'!A1398="","",IF(LEFT('Outro banco'!A1398,1)="(","",'Outro banco'!A1398))</f>
        <v/>
      </c>
      <c r="B1398" s="7" t="str">
        <f aca="false">IF(A1398="","",'Outro banco'!B1398)</f>
        <v/>
      </c>
      <c r="C1398" s="7" t="str">
        <f aca="false">IF(A1398="","",'Outro banco'!C1398)</f>
        <v/>
      </c>
      <c r="D1398" s="7" t="str">
        <f aca="false">IF(A1398="","",'Outro banco'!D1398)</f>
        <v/>
      </c>
      <c r="E1398" s="9"/>
      <c r="F1398" s="9"/>
      <c r="G1398" s="7" t="str">
        <f aca="false">IF(A1398="","",IF(COUNTIF(Tabelas!$A:$A,IF(E1398="",A1398,E1398))&gt;0,"sim","não"))</f>
        <v/>
      </c>
      <c r="H1398" s="7" t="str">
        <f aca="false">IF(A1398="","",IF(E1398="",A1398,E1398)&amp;"."&amp;IF(F1398="",B1398,F1398))</f>
        <v/>
      </c>
      <c r="I1398" s="7" t="str">
        <f aca="false">IF(A1398="","",IFERROR(INDEX('Campos Growths'!$F:$F,MATCH(H1398,'Campos Growths'!$A:$A,0)),""))</f>
        <v/>
      </c>
      <c r="J1398" s="7" t="str">
        <f aca="false">IF(A1398="","",IFERROR(VLOOKUP(IF(ISNUMBER(SEARCH("(",C1398)),LEFT(C1398,SEARCH("(",C1398)-1),C1398),Tipos!$A:$B,2,FALSE()),"outro"))</f>
        <v/>
      </c>
      <c r="K1398" s="7" t="str">
        <f aca="false">IF(I1398="","",IFERROR(INDEX('Campos Growths'!$L:$L,MATCH(H1398,'Campos Growths'!$A:$A,0)),""))</f>
        <v/>
      </c>
      <c r="L1398" s="7" t="str">
        <f aca="false">IF(A1398="","",IF(G1398="não","Sem tabela no Growths",IF(I1398="","Sem campo no Growths",IF(J1398=K1398,"Importa direto","Ajustar tipo"))))</f>
        <v/>
      </c>
      <c r="M1398" s="9"/>
    </row>
    <row r="1399" customFormat="false" ht="15" hidden="false" customHeight="false" outlineLevel="0" collapsed="false">
      <c r="A1399" s="7" t="str">
        <f aca="false">IF('Outro banco'!A1399="","",IF(LEFT('Outro banco'!A1399,1)="(","",'Outro banco'!A1399))</f>
        <v/>
      </c>
      <c r="B1399" s="7" t="str">
        <f aca="false">IF(A1399="","",'Outro banco'!B1399)</f>
        <v/>
      </c>
      <c r="C1399" s="7" t="str">
        <f aca="false">IF(A1399="","",'Outro banco'!C1399)</f>
        <v/>
      </c>
      <c r="D1399" s="7" t="str">
        <f aca="false">IF(A1399="","",'Outro banco'!D1399)</f>
        <v/>
      </c>
      <c r="E1399" s="9"/>
      <c r="F1399" s="9"/>
      <c r="G1399" s="7" t="str">
        <f aca="false">IF(A1399="","",IF(COUNTIF(Tabelas!$A:$A,IF(E1399="",A1399,E1399))&gt;0,"sim","não"))</f>
        <v/>
      </c>
      <c r="H1399" s="7" t="str">
        <f aca="false">IF(A1399="","",IF(E1399="",A1399,E1399)&amp;"."&amp;IF(F1399="",B1399,F1399))</f>
        <v/>
      </c>
      <c r="I1399" s="7" t="str">
        <f aca="false">IF(A1399="","",IFERROR(INDEX('Campos Growths'!$F:$F,MATCH(H1399,'Campos Growths'!$A:$A,0)),""))</f>
        <v/>
      </c>
      <c r="J1399" s="7" t="str">
        <f aca="false">IF(A1399="","",IFERROR(VLOOKUP(IF(ISNUMBER(SEARCH("(",C1399)),LEFT(C1399,SEARCH("(",C1399)-1),C1399),Tipos!$A:$B,2,FALSE()),"outro"))</f>
        <v/>
      </c>
      <c r="K1399" s="7" t="str">
        <f aca="false">IF(I1399="","",IFERROR(INDEX('Campos Growths'!$L:$L,MATCH(H1399,'Campos Growths'!$A:$A,0)),""))</f>
        <v/>
      </c>
      <c r="L1399" s="7" t="str">
        <f aca="false">IF(A1399="","",IF(G1399="não","Sem tabela no Growths",IF(I1399="","Sem campo no Growths",IF(J1399=K1399,"Importa direto","Ajustar tipo"))))</f>
        <v/>
      </c>
      <c r="M1399" s="9"/>
    </row>
    <row r="1400" customFormat="false" ht="15" hidden="false" customHeight="false" outlineLevel="0" collapsed="false">
      <c r="A1400" s="7" t="str">
        <f aca="false">IF('Outro banco'!A1400="","",IF(LEFT('Outro banco'!A1400,1)="(","",'Outro banco'!A1400))</f>
        <v/>
      </c>
      <c r="B1400" s="7" t="str">
        <f aca="false">IF(A1400="","",'Outro banco'!B1400)</f>
        <v/>
      </c>
      <c r="C1400" s="7" t="str">
        <f aca="false">IF(A1400="","",'Outro banco'!C1400)</f>
        <v/>
      </c>
      <c r="D1400" s="7" t="str">
        <f aca="false">IF(A1400="","",'Outro banco'!D1400)</f>
        <v/>
      </c>
      <c r="E1400" s="9"/>
      <c r="F1400" s="9"/>
      <c r="G1400" s="7" t="str">
        <f aca="false">IF(A1400="","",IF(COUNTIF(Tabelas!$A:$A,IF(E1400="",A1400,E1400))&gt;0,"sim","não"))</f>
        <v/>
      </c>
      <c r="H1400" s="7" t="str">
        <f aca="false">IF(A1400="","",IF(E1400="",A1400,E1400)&amp;"."&amp;IF(F1400="",B1400,F1400))</f>
        <v/>
      </c>
      <c r="I1400" s="7" t="str">
        <f aca="false">IF(A1400="","",IFERROR(INDEX('Campos Growths'!$F:$F,MATCH(H1400,'Campos Growths'!$A:$A,0)),""))</f>
        <v/>
      </c>
      <c r="J1400" s="7" t="str">
        <f aca="false">IF(A1400="","",IFERROR(VLOOKUP(IF(ISNUMBER(SEARCH("(",C1400)),LEFT(C1400,SEARCH("(",C1400)-1),C1400),Tipos!$A:$B,2,FALSE()),"outro"))</f>
        <v/>
      </c>
      <c r="K1400" s="7" t="str">
        <f aca="false">IF(I1400="","",IFERROR(INDEX('Campos Growths'!$L:$L,MATCH(H1400,'Campos Growths'!$A:$A,0)),""))</f>
        <v/>
      </c>
      <c r="L1400" s="7" t="str">
        <f aca="false">IF(A1400="","",IF(G1400="não","Sem tabela no Growths",IF(I1400="","Sem campo no Growths",IF(J1400=K1400,"Importa direto","Ajustar tipo"))))</f>
        <v/>
      </c>
      <c r="M1400" s="9"/>
    </row>
    <row r="1401" customFormat="false" ht="15" hidden="false" customHeight="false" outlineLevel="0" collapsed="false">
      <c r="A1401" s="7" t="str">
        <f aca="false">IF('Outro banco'!A1401="","",IF(LEFT('Outro banco'!A1401,1)="(","",'Outro banco'!A1401))</f>
        <v/>
      </c>
      <c r="B1401" s="7" t="str">
        <f aca="false">IF(A1401="","",'Outro banco'!B1401)</f>
        <v/>
      </c>
      <c r="C1401" s="7" t="str">
        <f aca="false">IF(A1401="","",'Outro banco'!C1401)</f>
        <v/>
      </c>
      <c r="D1401" s="7" t="str">
        <f aca="false">IF(A1401="","",'Outro banco'!D1401)</f>
        <v/>
      </c>
      <c r="E1401" s="9"/>
      <c r="F1401" s="9"/>
      <c r="G1401" s="7" t="str">
        <f aca="false">IF(A1401="","",IF(COUNTIF(Tabelas!$A:$A,IF(E1401="",A1401,E1401))&gt;0,"sim","não"))</f>
        <v/>
      </c>
      <c r="H1401" s="7" t="str">
        <f aca="false">IF(A1401="","",IF(E1401="",A1401,E1401)&amp;"."&amp;IF(F1401="",B1401,F1401))</f>
        <v/>
      </c>
      <c r="I1401" s="7" t="str">
        <f aca="false">IF(A1401="","",IFERROR(INDEX('Campos Growths'!$F:$F,MATCH(H1401,'Campos Growths'!$A:$A,0)),""))</f>
        <v/>
      </c>
      <c r="J1401" s="7" t="str">
        <f aca="false">IF(A1401="","",IFERROR(VLOOKUP(IF(ISNUMBER(SEARCH("(",C1401)),LEFT(C1401,SEARCH("(",C1401)-1),C1401),Tipos!$A:$B,2,FALSE()),"outro"))</f>
        <v/>
      </c>
      <c r="K1401" s="7" t="str">
        <f aca="false">IF(I1401="","",IFERROR(INDEX('Campos Growths'!$L:$L,MATCH(H1401,'Campos Growths'!$A:$A,0)),""))</f>
        <v/>
      </c>
      <c r="L1401" s="7" t="str">
        <f aca="false">IF(A1401="","",IF(G1401="não","Sem tabela no Growths",IF(I1401="","Sem campo no Growths",IF(J1401=K1401,"Importa direto","Ajustar tipo"))))</f>
        <v/>
      </c>
      <c r="M1401" s="9"/>
    </row>
    <row r="1402" customFormat="false" ht="15" hidden="false" customHeight="false" outlineLevel="0" collapsed="false">
      <c r="A1402" s="7" t="str">
        <f aca="false">IF('Outro banco'!A1402="","",IF(LEFT('Outro banco'!A1402,1)="(","",'Outro banco'!A1402))</f>
        <v/>
      </c>
      <c r="B1402" s="7" t="str">
        <f aca="false">IF(A1402="","",'Outro banco'!B1402)</f>
        <v/>
      </c>
      <c r="C1402" s="7" t="str">
        <f aca="false">IF(A1402="","",'Outro banco'!C1402)</f>
        <v/>
      </c>
      <c r="D1402" s="7" t="str">
        <f aca="false">IF(A1402="","",'Outro banco'!D1402)</f>
        <v/>
      </c>
      <c r="E1402" s="9"/>
      <c r="F1402" s="9"/>
      <c r="G1402" s="7" t="str">
        <f aca="false">IF(A1402="","",IF(COUNTIF(Tabelas!$A:$A,IF(E1402="",A1402,E1402))&gt;0,"sim","não"))</f>
        <v/>
      </c>
      <c r="H1402" s="7" t="str">
        <f aca="false">IF(A1402="","",IF(E1402="",A1402,E1402)&amp;"."&amp;IF(F1402="",B1402,F1402))</f>
        <v/>
      </c>
      <c r="I1402" s="7" t="str">
        <f aca="false">IF(A1402="","",IFERROR(INDEX('Campos Growths'!$F:$F,MATCH(H1402,'Campos Growths'!$A:$A,0)),""))</f>
        <v/>
      </c>
      <c r="J1402" s="7" t="str">
        <f aca="false">IF(A1402="","",IFERROR(VLOOKUP(IF(ISNUMBER(SEARCH("(",C1402)),LEFT(C1402,SEARCH("(",C1402)-1),C1402),Tipos!$A:$B,2,FALSE()),"outro"))</f>
        <v/>
      </c>
      <c r="K1402" s="7" t="str">
        <f aca="false">IF(I1402="","",IFERROR(INDEX('Campos Growths'!$L:$L,MATCH(H1402,'Campos Growths'!$A:$A,0)),""))</f>
        <v/>
      </c>
      <c r="L1402" s="7" t="str">
        <f aca="false">IF(A1402="","",IF(G1402="não","Sem tabela no Growths",IF(I1402="","Sem campo no Growths",IF(J1402=K1402,"Importa direto","Ajustar tipo"))))</f>
        <v/>
      </c>
      <c r="M1402" s="9"/>
    </row>
    <row r="1403" customFormat="false" ht="15" hidden="false" customHeight="false" outlineLevel="0" collapsed="false">
      <c r="A1403" s="7" t="str">
        <f aca="false">IF('Outro banco'!A1403="","",IF(LEFT('Outro banco'!A1403,1)="(","",'Outro banco'!A1403))</f>
        <v/>
      </c>
      <c r="B1403" s="7" t="str">
        <f aca="false">IF(A1403="","",'Outro banco'!B1403)</f>
        <v/>
      </c>
      <c r="C1403" s="7" t="str">
        <f aca="false">IF(A1403="","",'Outro banco'!C1403)</f>
        <v/>
      </c>
      <c r="D1403" s="7" t="str">
        <f aca="false">IF(A1403="","",'Outro banco'!D1403)</f>
        <v/>
      </c>
      <c r="E1403" s="9"/>
      <c r="F1403" s="9"/>
      <c r="G1403" s="7" t="str">
        <f aca="false">IF(A1403="","",IF(COUNTIF(Tabelas!$A:$A,IF(E1403="",A1403,E1403))&gt;0,"sim","não"))</f>
        <v/>
      </c>
      <c r="H1403" s="7" t="str">
        <f aca="false">IF(A1403="","",IF(E1403="",A1403,E1403)&amp;"."&amp;IF(F1403="",B1403,F1403))</f>
        <v/>
      </c>
      <c r="I1403" s="7" t="str">
        <f aca="false">IF(A1403="","",IFERROR(INDEX('Campos Growths'!$F:$F,MATCH(H1403,'Campos Growths'!$A:$A,0)),""))</f>
        <v/>
      </c>
      <c r="J1403" s="7" t="str">
        <f aca="false">IF(A1403="","",IFERROR(VLOOKUP(IF(ISNUMBER(SEARCH("(",C1403)),LEFT(C1403,SEARCH("(",C1403)-1),C1403),Tipos!$A:$B,2,FALSE()),"outro"))</f>
        <v/>
      </c>
      <c r="K1403" s="7" t="str">
        <f aca="false">IF(I1403="","",IFERROR(INDEX('Campos Growths'!$L:$L,MATCH(H1403,'Campos Growths'!$A:$A,0)),""))</f>
        <v/>
      </c>
      <c r="L1403" s="7" t="str">
        <f aca="false">IF(A1403="","",IF(G1403="não","Sem tabela no Growths",IF(I1403="","Sem campo no Growths",IF(J1403=K1403,"Importa direto","Ajustar tipo"))))</f>
        <v/>
      </c>
      <c r="M1403" s="9"/>
    </row>
    <row r="1404" customFormat="false" ht="15" hidden="false" customHeight="false" outlineLevel="0" collapsed="false">
      <c r="A1404" s="7" t="str">
        <f aca="false">IF('Outro banco'!A1404="","",IF(LEFT('Outro banco'!A1404,1)="(","",'Outro banco'!A1404))</f>
        <v/>
      </c>
      <c r="B1404" s="7" t="str">
        <f aca="false">IF(A1404="","",'Outro banco'!B1404)</f>
        <v/>
      </c>
      <c r="C1404" s="7" t="str">
        <f aca="false">IF(A1404="","",'Outro banco'!C1404)</f>
        <v/>
      </c>
      <c r="D1404" s="7" t="str">
        <f aca="false">IF(A1404="","",'Outro banco'!D1404)</f>
        <v/>
      </c>
      <c r="E1404" s="9"/>
      <c r="F1404" s="9"/>
      <c r="G1404" s="7" t="str">
        <f aca="false">IF(A1404="","",IF(COUNTIF(Tabelas!$A:$A,IF(E1404="",A1404,E1404))&gt;0,"sim","não"))</f>
        <v/>
      </c>
      <c r="H1404" s="7" t="str">
        <f aca="false">IF(A1404="","",IF(E1404="",A1404,E1404)&amp;"."&amp;IF(F1404="",B1404,F1404))</f>
        <v/>
      </c>
      <c r="I1404" s="7" t="str">
        <f aca="false">IF(A1404="","",IFERROR(INDEX('Campos Growths'!$F:$F,MATCH(H1404,'Campos Growths'!$A:$A,0)),""))</f>
        <v/>
      </c>
      <c r="J1404" s="7" t="str">
        <f aca="false">IF(A1404="","",IFERROR(VLOOKUP(IF(ISNUMBER(SEARCH("(",C1404)),LEFT(C1404,SEARCH("(",C1404)-1),C1404),Tipos!$A:$B,2,FALSE()),"outro"))</f>
        <v/>
      </c>
      <c r="K1404" s="7" t="str">
        <f aca="false">IF(I1404="","",IFERROR(INDEX('Campos Growths'!$L:$L,MATCH(H1404,'Campos Growths'!$A:$A,0)),""))</f>
        <v/>
      </c>
      <c r="L1404" s="7" t="str">
        <f aca="false">IF(A1404="","",IF(G1404="não","Sem tabela no Growths",IF(I1404="","Sem campo no Growths",IF(J1404=K1404,"Importa direto","Ajustar tipo"))))</f>
        <v/>
      </c>
      <c r="M1404" s="9"/>
    </row>
    <row r="1405" customFormat="false" ht="15" hidden="false" customHeight="false" outlineLevel="0" collapsed="false">
      <c r="A1405" s="7" t="str">
        <f aca="false">IF('Outro banco'!A1405="","",IF(LEFT('Outro banco'!A1405,1)="(","",'Outro banco'!A1405))</f>
        <v/>
      </c>
      <c r="B1405" s="7" t="str">
        <f aca="false">IF(A1405="","",'Outro banco'!B1405)</f>
        <v/>
      </c>
      <c r="C1405" s="7" t="str">
        <f aca="false">IF(A1405="","",'Outro banco'!C1405)</f>
        <v/>
      </c>
      <c r="D1405" s="7" t="str">
        <f aca="false">IF(A1405="","",'Outro banco'!D1405)</f>
        <v/>
      </c>
      <c r="E1405" s="9"/>
      <c r="F1405" s="9"/>
      <c r="G1405" s="7" t="str">
        <f aca="false">IF(A1405="","",IF(COUNTIF(Tabelas!$A:$A,IF(E1405="",A1405,E1405))&gt;0,"sim","não"))</f>
        <v/>
      </c>
      <c r="H1405" s="7" t="str">
        <f aca="false">IF(A1405="","",IF(E1405="",A1405,E1405)&amp;"."&amp;IF(F1405="",B1405,F1405))</f>
        <v/>
      </c>
      <c r="I1405" s="7" t="str">
        <f aca="false">IF(A1405="","",IFERROR(INDEX('Campos Growths'!$F:$F,MATCH(H1405,'Campos Growths'!$A:$A,0)),""))</f>
        <v/>
      </c>
      <c r="J1405" s="7" t="str">
        <f aca="false">IF(A1405="","",IFERROR(VLOOKUP(IF(ISNUMBER(SEARCH("(",C1405)),LEFT(C1405,SEARCH("(",C1405)-1),C1405),Tipos!$A:$B,2,FALSE()),"outro"))</f>
        <v/>
      </c>
      <c r="K1405" s="7" t="str">
        <f aca="false">IF(I1405="","",IFERROR(INDEX('Campos Growths'!$L:$L,MATCH(H1405,'Campos Growths'!$A:$A,0)),""))</f>
        <v/>
      </c>
      <c r="L1405" s="7" t="str">
        <f aca="false">IF(A1405="","",IF(G1405="não","Sem tabela no Growths",IF(I1405="","Sem campo no Growths",IF(J1405=K1405,"Importa direto","Ajustar tipo"))))</f>
        <v/>
      </c>
      <c r="M1405" s="9"/>
    </row>
    <row r="1406" customFormat="false" ht="15" hidden="false" customHeight="false" outlineLevel="0" collapsed="false">
      <c r="A1406" s="7" t="str">
        <f aca="false">IF('Outro banco'!A1406="","",IF(LEFT('Outro banco'!A1406,1)="(","",'Outro banco'!A1406))</f>
        <v/>
      </c>
      <c r="B1406" s="7" t="str">
        <f aca="false">IF(A1406="","",'Outro banco'!B1406)</f>
        <v/>
      </c>
      <c r="C1406" s="7" t="str">
        <f aca="false">IF(A1406="","",'Outro banco'!C1406)</f>
        <v/>
      </c>
      <c r="D1406" s="7" t="str">
        <f aca="false">IF(A1406="","",'Outro banco'!D1406)</f>
        <v/>
      </c>
      <c r="E1406" s="9"/>
      <c r="F1406" s="9"/>
      <c r="G1406" s="7" t="str">
        <f aca="false">IF(A1406="","",IF(COUNTIF(Tabelas!$A:$A,IF(E1406="",A1406,E1406))&gt;0,"sim","não"))</f>
        <v/>
      </c>
      <c r="H1406" s="7" t="str">
        <f aca="false">IF(A1406="","",IF(E1406="",A1406,E1406)&amp;"."&amp;IF(F1406="",B1406,F1406))</f>
        <v/>
      </c>
      <c r="I1406" s="7" t="str">
        <f aca="false">IF(A1406="","",IFERROR(INDEX('Campos Growths'!$F:$F,MATCH(H1406,'Campos Growths'!$A:$A,0)),""))</f>
        <v/>
      </c>
      <c r="J1406" s="7" t="str">
        <f aca="false">IF(A1406="","",IFERROR(VLOOKUP(IF(ISNUMBER(SEARCH("(",C1406)),LEFT(C1406,SEARCH("(",C1406)-1),C1406),Tipos!$A:$B,2,FALSE()),"outro"))</f>
        <v/>
      </c>
      <c r="K1406" s="7" t="str">
        <f aca="false">IF(I1406="","",IFERROR(INDEX('Campos Growths'!$L:$L,MATCH(H1406,'Campos Growths'!$A:$A,0)),""))</f>
        <v/>
      </c>
      <c r="L1406" s="7" t="str">
        <f aca="false">IF(A1406="","",IF(G1406="não","Sem tabela no Growths",IF(I1406="","Sem campo no Growths",IF(J1406=K1406,"Importa direto","Ajustar tipo"))))</f>
        <v/>
      </c>
      <c r="M1406" s="9"/>
    </row>
    <row r="1407" customFormat="false" ht="15" hidden="false" customHeight="false" outlineLevel="0" collapsed="false">
      <c r="A1407" s="7" t="str">
        <f aca="false">IF('Outro banco'!A1407="","",IF(LEFT('Outro banco'!A1407,1)="(","",'Outro banco'!A1407))</f>
        <v/>
      </c>
      <c r="B1407" s="7" t="str">
        <f aca="false">IF(A1407="","",'Outro banco'!B1407)</f>
        <v/>
      </c>
      <c r="C1407" s="7" t="str">
        <f aca="false">IF(A1407="","",'Outro banco'!C1407)</f>
        <v/>
      </c>
      <c r="D1407" s="7" t="str">
        <f aca="false">IF(A1407="","",'Outro banco'!D1407)</f>
        <v/>
      </c>
      <c r="E1407" s="9"/>
      <c r="F1407" s="9"/>
      <c r="G1407" s="7" t="str">
        <f aca="false">IF(A1407="","",IF(COUNTIF(Tabelas!$A:$A,IF(E1407="",A1407,E1407))&gt;0,"sim","não"))</f>
        <v/>
      </c>
      <c r="H1407" s="7" t="str">
        <f aca="false">IF(A1407="","",IF(E1407="",A1407,E1407)&amp;"."&amp;IF(F1407="",B1407,F1407))</f>
        <v/>
      </c>
      <c r="I1407" s="7" t="str">
        <f aca="false">IF(A1407="","",IFERROR(INDEX('Campos Growths'!$F:$F,MATCH(H1407,'Campos Growths'!$A:$A,0)),""))</f>
        <v/>
      </c>
      <c r="J1407" s="7" t="str">
        <f aca="false">IF(A1407="","",IFERROR(VLOOKUP(IF(ISNUMBER(SEARCH("(",C1407)),LEFT(C1407,SEARCH("(",C1407)-1),C1407),Tipos!$A:$B,2,FALSE()),"outro"))</f>
        <v/>
      </c>
      <c r="K1407" s="7" t="str">
        <f aca="false">IF(I1407="","",IFERROR(INDEX('Campos Growths'!$L:$L,MATCH(H1407,'Campos Growths'!$A:$A,0)),""))</f>
        <v/>
      </c>
      <c r="L1407" s="7" t="str">
        <f aca="false">IF(A1407="","",IF(G1407="não","Sem tabela no Growths",IF(I1407="","Sem campo no Growths",IF(J1407=K1407,"Importa direto","Ajustar tipo"))))</f>
        <v/>
      </c>
      <c r="M1407" s="9"/>
    </row>
    <row r="1408" customFormat="false" ht="15" hidden="false" customHeight="false" outlineLevel="0" collapsed="false">
      <c r="A1408" s="7" t="str">
        <f aca="false">IF('Outro banco'!A1408="","",IF(LEFT('Outro banco'!A1408,1)="(","",'Outro banco'!A1408))</f>
        <v/>
      </c>
      <c r="B1408" s="7" t="str">
        <f aca="false">IF(A1408="","",'Outro banco'!B1408)</f>
        <v/>
      </c>
      <c r="C1408" s="7" t="str">
        <f aca="false">IF(A1408="","",'Outro banco'!C1408)</f>
        <v/>
      </c>
      <c r="D1408" s="7" t="str">
        <f aca="false">IF(A1408="","",'Outro banco'!D1408)</f>
        <v/>
      </c>
      <c r="E1408" s="9"/>
      <c r="F1408" s="9"/>
      <c r="G1408" s="7" t="str">
        <f aca="false">IF(A1408="","",IF(COUNTIF(Tabelas!$A:$A,IF(E1408="",A1408,E1408))&gt;0,"sim","não"))</f>
        <v/>
      </c>
      <c r="H1408" s="7" t="str">
        <f aca="false">IF(A1408="","",IF(E1408="",A1408,E1408)&amp;"."&amp;IF(F1408="",B1408,F1408))</f>
        <v/>
      </c>
      <c r="I1408" s="7" t="str">
        <f aca="false">IF(A1408="","",IFERROR(INDEX('Campos Growths'!$F:$F,MATCH(H1408,'Campos Growths'!$A:$A,0)),""))</f>
        <v/>
      </c>
      <c r="J1408" s="7" t="str">
        <f aca="false">IF(A1408="","",IFERROR(VLOOKUP(IF(ISNUMBER(SEARCH("(",C1408)),LEFT(C1408,SEARCH("(",C1408)-1),C1408),Tipos!$A:$B,2,FALSE()),"outro"))</f>
        <v/>
      </c>
      <c r="K1408" s="7" t="str">
        <f aca="false">IF(I1408="","",IFERROR(INDEX('Campos Growths'!$L:$L,MATCH(H1408,'Campos Growths'!$A:$A,0)),""))</f>
        <v/>
      </c>
      <c r="L1408" s="7" t="str">
        <f aca="false">IF(A1408="","",IF(G1408="não","Sem tabela no Growths",IF(I1408="","Sem campo no Growths",IF(J1408=K1408,"Importa direto","Ajustar tipo"))))</f>
        <v/>
      </c>
      <c r="M1408" s="9"/>
    </row>
    <row r="1409" customFormat="false" ht="15" hidden="false" customHeight="false" outlineLevel="0" collapsed="false">
      <c r="A1409" s="7" t="str">
        <f aca="false">IF('Outro banco'!A1409="","",IF(LEFT('Outro banco'!A1409,1)="(","",'Outro banco'!A1409))</f>
        <v/>
      </c>
      <c r="B1409" s="7" t="str">
        <f aca="false">IF(A1409="","",'Outro banco'!B1409)</f>
        <v/>
      </c>
      <c r="C1409" s="7" t="str">
        <f aca="false">IF(A1409="","",'Outro banco'!C1409)</f>
        <v/>
      </c>
      <c r="D1409" s="7" t="str">
        <f aca="false">IF(A1409="","",'Outro banco'!D1409)</f>
        <v/>
      </c>
      <c r="E1409" s="9"/>
      <c r="F1409" s="9"/>
      <c r="G1409" s="7" t="str">
        <f aca="false">IF(A1409="","",IF(COUNTIF(Tabelas!$A:$A,IF(E1409="",A1409,E1409))&gt;0,"sim","não"))</f>
        <v/>
      </c>
      <c r="H1409" s="7" t="str">
        <f aca="false">IF(A1409="","",IF(E1409="",A1409,E1409)&amp;"."&amp;IF(F1409="",B1409,F1409))</f>
        <v/>
      </c>
      <c r="I1409" s="7" t="str">
        <f aca="false">IF(A1409="","",IFERROR(INDEX('Campos Growths'!$F:$F,MATCH(H1409,'Campos Growths'!$A:$A,0)),""))</f>
        <v/>
      </c>
      <c r="J1409" s="7" t="str">
        <f aca="false">IF(A1409="","",IFERROR(VLOOKUP(IF(ISNUMBER(SEARCH("(",C1409)),LEFT(C1409,SEARCH("(",C1409)-1),C1409),Tipos!$A:$B,2,FALSE()),"outro"))</f>
        <v/>
      </c>
      <c r="K1409" s="7" t="str">
        <f aca="false">IF(I1409="","",IFERROR(INDEX('Campos Growths'!$L:$L,MATCH(H1409,'Campos Growths'!$A:$A,0)),""))</f>
        <v/>
      </c>
      <c r="L1409" s="7" t="str">
        <f aca="false">IF(A1409="","",IF(G1409="não","Sem tabela no Growths",IF(I1409="","Sem campo no Growths",IF(J1409=K1409,"Importa direto","Ajustar tipo"))))</f>
        <v/>
      </c>
      <c r="M1409" s="9"/>
    </row>
    <row r="1410" customFormat="false" ht="15" hidden="false" customHeight="false" outlineLevel="0" collapsed="false">
      <c r="A1410" s="7" t="str">
        <f aca="false">IF('Outro banco'!A1410="","",IF(LEFT('Outro banco'!A1410,1)="(","",'Outro banco'!A1410))</f>
        <v/>
      </c>
      <c r="B1410" s="7" t="str">
        <f aca="false">IF(A1410="","",'Outro banco'!B1410)</f>
        <v/>
      </c>
      <c r="C1410" s="7" t="str">
        <f aca="false">IF(A1410="","",'Outro banco'!C1410)</f>
        <v/>
      </c>
      <c r="D1410" s="7" t="str">
        <f aca="false">IF(A1410="","",'Outro banco'!D1410)</f>
        <v/>
      </c>
      <c r="E1410" s="9"/>
      <c r="F1410" s="9"/>
      <c r="G1410" s="7" t="str">
        <f aca="false">IF(A1410="","",IF(COUNTIF(Tabelas!$A:$A,IF(E1410="",A1410,E1410))&gt;0,"sim","não"))</f>
        <v/>
      </c>
      <c r="H1410" s="7" t="str">
        <f aca="false">IF(A1410="","",IF(E1410="",A1410,E1410)&amp;"."&amp;IF(F1410="",B1410,F1410))</f>
        <v/>
      </c>
      <c r="I1410" s="7" t="str">
        <f aca="false">IF(A1410="","",IFERROR(INDEX('Campos Growths'!$F:$F,MATCH(H1410,'Campos Growths'!$A:$A,0)),""))</f>
        <v/>
      </c>
      <c r="J1410" s="7" t="str">
        <f aca="false">IF(A1410="","",IFERROR(VLOOKUP(IF(ISNUMBER(SEARCH("(",C1410)),LEFT(C1410,SEARCH("(",C1410)-1),C1410),Tipos!$A:$B,2,FALSE()),"outro"))</f>
        <v/>
      </c>
      <c r="K1410" s="7" t="str">
        <f aca="false">IF(I1410="","",IFERROR(INDEX('Campos Growths'!$L:$L,MATCH(H1410,'Campos Growths'!$A:$A,0)),""))</f>
        <v/>
      </c>
      <c r="L1410" s="7" t="str">
        <f aca="false">IF(A1410="","",IF(G1410="não","Sem tabela no Growths",IF(I1410="","Sem campo no Growths",IF(J1410=K1410,"Importa direto","Ajustar tipo"))))</f>
        <v/>
      </c>
      <c r="M1410" s="9"/>
    </row>
    <row r="1411" customFormat="false" ht="15" hidden="false" customHeight="false" outlineLevel="0" collapsed="false">
      <c r="A1411" s="7" t="str">
        <f aca="false">IF('Outro banco'!A1411="","",IF(LEFT('Outro banco'!A1411,1)="(","",'Outro banco'!A1411))</f>
        <v/>
      </c>
      <c r="B1411" s="7" t="str">
        <f aca="false">IF(A1411="","",'Outro banco'!B1411)</f>
        <v/>
      </c>
      <c r="C1411" s="7" t="str">
        <f aca="false">IF(A1411="","",'Outro banco'!C1411)</f>
        <v/>
      </c>
      <c r="D1411" s="7" t="str">
        <f aca="false">IF(A1411="","",'Outro banco'!D1411)</f>
        <v/>
      </c>
      <c r="E1411" s="9"/>
      <c r="F1411" s="9"/>
      <c r="G1411" s="7" t="str">
        <f aca="false">IF(A1411="","",IF(COUNTIF(Tabelas!$A:$A,IF(E1411="",A1411,E1411))&gt;0,"sim","não"))</f>
        <v/>
      </c>
      <c r="H1411" s="7" t="str">
        <f aca="false">IF(A1411="","",IF(E1411="",A1411,E1411)&amp;"."&amp;IF(F1411="",B1411,F1411))</f>
        <v/>
      </c>
      <c r="I1411" s="7" t="str">
        <f aca="false">IF(A1411="","",IFERROR(INDEX('Campos Growths'!$F:$F,MATCH(H1411,'Campos Growths'!$A:$A,0)),""))</f>
        <v/>
      </c>
      <c r="J1411" s="7" t="str">
        <f aca="false">IF(A1411="","",IFERROR(VLOOKUP(IF(ISNUMBER(SEARCH("(",C1411)),LEFT(C1411,SEARCH("(",C1411)-1),C1411),Tipos!$A:$B,2,FALSE()),"outro"))</f>
        <v/>
      </c>
      <c r="K1411" s="7" t="str">
        <f aca="false">IF(I1411="","",IFERROR(INDEX('Campos Growths'!$L:$L,MATCH(H1411,'Campos Growths'!$A:$A,0)),""))</f>
        <v/>
      </c>
      <c r="L1411" s="7" t="str">
        <f aca="false">IF(A1411="","",IF(G1411="não","Sem tabela no Growths",IF(I1411="","Sem campo no Growths",IF(J1411=K1411,"Importa direto","Ajustar tipo"))))</f>
        <v/>
      </c>
      <c r="M1411" s="9"/>
    </row>
    <row r="1412" customFormat="false" ht="15" hidden="false" customHeight="false" outlineLevel="0" collapsed="false">
      <c r="A1412" s="7" t="str">
        <f aca="false">IF('Outro banco'!A1412="","",IF(LEFT('Outro banco'!A1412,1)="(","",'Outro banco'!A1412))</f>
        <v/>
      </c>
      <c r="B1412" s="7" t="str">
        <f aca="false">IF(A1412="","",'Outro banco'!B1412)</f>
        <v/>
      </c>
      <c r="C1412" s="7" t="str">
        <f aca="false">IF(A1412="","",'Outro banco'!C1412)</f>
        <v/>
      </c>
      <c r="D1412" s="7" t="str">
        <f aca="false">IF(A1412="","",'Outro banco'!D1412)</f>
        <v/>
      </c>
      <c r="E1412" s="9"/>
      <c r="F1412" s="9"/>
      <c r="G1412" s="7" t="str">
        <f aca="false">IF(A1412="","",IF(COUNTIF(Tabelas!$A:$A,IF(E1412="",A1412,E1412))&gt;0,"sim","não"))</f>
        <v/>
      </c>
      <c r="H1412" s="7" t="str">
        <f aca="false">IF(A1412="","",IF(E1412="",A1412,E1412)&amp;"."&amp;IF(F1412="",B1412,F1412))</f>
        <v/>
      </c>
      <c r="I1412" s="7" t="str">
        <f aca="false">IF(A1412="","",IFERROR(INDEX('Campos Growths'!$F:$F,MATCH(H1412,'Campos Growths'!$A:$A,0)),""))</f>
        <v/>
      </c>
      <c r="J1412" s="7" t="str">
        <f aca="false">IF(A1412="","",IFERROR(VLOOKUP(IF(ISNUMBER(SEARCH("(",C1412)),LEFT(C1412,SEARCH("(",C1412)-1),C1412),Tipos!$A:$B,2,FALSE()),"outro"))</f>
        <v/>
      </c>
      <c r="K1412" s="7" t="str">
        <f aca="false">IF(I1412="","",IFERROR(INDEX('Campos Growths'!$L:$L,MATCH(H1412,'Campos Growths'!$A:$A,0)),""))</f>
        <v/>
      </c>
      <c r="L1412" s="7" t="str">
        <f aca="false">IF(A1412="","",IF(G1412="não","Sem tabela no Growths",IF(I1412="","Sem campo no Growths",IF(J1412=K1412,"Importa direto","Ajustar tipo"))))</f>
        <v/>
      </c>
      <c r="M1412" s="9"/>
    </row>
    <row r="1413" customFormat="false" ht="15" hidden="false" customHeight="false" outlineLevel="0" collapsed="false">
      <c r="A1413" s="7" t="str">
        <f aca="false">IF('Outro banco'!A1413="","",IF(LEFT('Outro banco'!A1413,1)="(","",'Outro banco'!A1413))</f>
        <v/>
      </c>
      <c r="B1413" s="7" t="str">
        <f aca="false">IF(A1413="","",'Outro banco'!B1413)</f>
        <v/>
      </c>
      <c r="C1413" s="7" t="str">
        <f aca="false">IF(A1413="","",'Outro banco'!C1413)</f>
        <v/>
      </c>
      <c r="D1413" s="7" t="str">
        <f aca="false">IF(A1413="","",'Outro banco'!D1413)</f>
        <v/>
      </c>
      <c r="E1413" s="9"/>
      <c r="F1413" s="9"/>
      <c r="G1413" s="7" t="str">
        <f aca="false">IF(A1413="","",IF(COUNTIF(Tabelas!$A:$A,IF(E1413="",A1413,E1413))&gt;0,"sim","não"))</f>
        <v/>
      </c>
      <c r="H1413" s="7" t="str">
        <f aca="false">IF(A1413="","",IF(E1413="",A1413,E1413)&amp;"."&amp;IF(F1413="",B1413,F1413))</f>
        <v/>
      </c>
      <c r="I1413" s="7" t="str">
        <f aca="false">IF(A1413="","",IFERROR(INDEX('Campos Growths'!$F:$F,MATCH(H1413,'Campos Growths'!$A:$A,0)),""))</f>
        <v/>
      </c>
      <c r="J1413" s="7" t="str">
        <f aca="false">IF(A1413="","",IFERROR(VLOOKUP(IF(ISNUMBER(SEARCH("(",C1413)),LEFT(C1413,SEARCH("(",C1413)-1),C1413),Tipos!$A:$B,2,FALSE()),"outro"))</f>
        <v/>
      </c>
      <c r="K1413" s="7" t="str">
        <f aca="false">IF(I1413="","",IFERROR(INDEX('Campos Growths'!$L:$L,MATCH(H1413,'Campos Growths'!$A:$A,0)),""))</f>
        <v/>
      </c>
      <c r="L1413" s="7" t="str">
        <f aca="false">IF(A1413="","",IF(G1413="não","Sem tabela no Growths",IF(I1413="","Sem campo no Growths",IF(J1413=K1413,"Importa direto","Ajustar tipo"))))</f>
        <v/>
      </c>
      <c r="M1413" s="9"/>
    </row>
    <row r="1414" customFormat="false" ht="15" hidden="false" customHeight="false" outlineLevel="0" collapsed="false">
      <c r="A1414" s="7" t="str">
        <f aca="false">IF('Outro banco'!A1414="","",IF(LEFT('Outro banco'!A1414,1)="(","",'Outro banco'!A1414))</f>
        <v/>
      </c>
      <c r="B1414" s="7" t="str">
        <f aca="false">IF(A1414="","",'Outro banco'!B1414)</f>
        <v/>
      </c>
      <c r="C1414" s="7" t="str">
        <f aca="false">IF(A1414="","",'Outro banco'!C1414)</f>
        <v/>
      </c>
      <c r="D1414" s="7" t="str">
        <f aca="false">IF(A1414="","",'Outro banco'!D1414)</f>
        <v/>
      </c>
      <c r="E1414" s="9"/>
      <c r="F1414" s="9"/>
      <c r="G1414" s="7" t="str">
        <f aca="false">IF(A1414="","",IF(COUNTIF(Tabelas!$A:$A,IF(E1414="",A1414,E1414))&gt;0,"sim","não"))</f>
        <v/>
      </c>
      <c r="H1414" s="7" t="str">
        <f aca="false">IF(A1414="","",IF(E1414="",A1414,E1414)&amp;"."&amp;IF(F1414="",B1414,F1414))</f>
        <v/>
      </c>
      <c r="I1414" s="7" t="str">
        <f aca="false">IF(A1414="","",IFERROR(INDEX('Campos Growths'!$F:$F,MATCH(H1414,'Campos Growths'!$A:$A,0)),""))</f>
        <v/>
      </c>
      <c r="J1414" s="7" t="str">
        <f aca="false">IF(A1414="","",IFERROR(VLOOKUP(IF(ISNUMBER(SEARCH("(",C1414)),LEFT(C1414,SEARCH("(",C1414)-1),C1414),Tipos!$A:$B,2,FALSE()),"outro"))</f>
        <v/>
      </c>
      <c r="K1414" s="7" t="str">
        <f aca="false">IF(I1414="","",IFERROR(INDEX('Campos Growths'!$L:$L,MATCH(H1414,'Campos Growths'!$A:$A,0)),""))</f>
        <v/>
      </c>
      <c r="L1414" s="7" t="str">
        <f aca="false">IF(A1414="","",IF(G1414="não","Sem tabela no Growths",IF(I1414="","Sem campo no Growths",IF(J1414=K1414,"Importa direto","Ajustar tipo"))))</f>
        <v/>
      </c>
      <c r="M1414" s="9"/>
    </row>
    <row r="1415" customFormat="false" ht="15" hidden="false" customHeight="false" outlineLevel="0" collapsed="false">
      <c r="A1415" s="7" t="str">
        <f aca="false">IF('Outro banco'!A1415="","",IF(LEFT('Outro banco'!A1415,1)="(","",'Outro banco'!A1415))</f>
        <v/>
      </c>
      <c r="B1415" s="7" t="str">
        <f aca="false">IF(A1415="","",'Outro banco'!B1415)</f>
        <v/>
      </c>
      <c r="C1415" s="7" t="str">
        <f aca="false">IF(A1415="","",'Outro banco'!C1415)</f>
        <v/>
      </c>
      <c r="D1415" s="7" t="str">
        <f aca="false">IF(A1415="","",'Outro banco'!D1415)</f>
        <v/>
      </c>
      <c r="E1415" s="9"/>
      <c r="F1415" s="9"/>
      <c r="G1415" s="7" t="str">
        <f aca="false">IF(A1415="","",IF(COUNTIF(Tabelas!$A:$A,IF(E1415="",A1415,E1415))&gt;0,"sim","não"))</f>
        <v/>
      </c>
      <c r="H1415" s="7" t="str">
        <f aca="false">IF(A1415="","",IF(E1415="",A1415,E1415)&amp;"."&amp;IF(F1415="",B1415,F1415))</f>
        <v/>
      </c>
      <c r="I1415" s="7" t="str">
        <f aca="false">IF(A1415="","",IFERROR(INDEX('Campos Growths'!$F:$F,MATCH(H1415,'Campos Growths'!$A:$A,0)),""))</f>
        <v/>
      </c>
      <c r="J1415" s="7" t="str">
        <f aca="false">IF(A1415="","",IFERROR(VLOOKUP(IF(ISNUMBER(SEARCH("(",C1415)),LEFT(C1415,SEARCH("(",C1415)-1),C1415),Tipos!$A:$B,2,FALSE()),"outro"))</f>
        <v/>
      </c>
      <c r="K1415" s="7" t="str">
        <f aca="false">IF(I1415="","",IFERROR(INDEX('Campos Growths'!$L:$L,MATCH(H1415,'Campos Growths'!$A:$A,0)),""))</f>
        <v/>
      </c>
      <c r="L1415" s="7" t="str">
        <f aca="false">IF(A1415="","",IF(G1415="não","Sem tabela no Growths",IF(I1415="","Sem campo no Growths",IF(J1415=K1415,"Importa direto","Ajustar tipo"))))</f>
        <v/>
      </c>
      <c r="M1415" s="9"/>
    </row>
    <row r="1416" customFormat="false" ht="15" hidden="false" customHeight="false" outlineLevel="0" collapsed="false">
      <c r="A1416" s="7" t="str">
        <f aca="false">IF('Outro banco'!A1416="","",IF(LEFT('Outro banco'!A1416,1)="(","",'Outro banco'!A1416))</f>
        <v/>
      </c>
      <c r="B1416" s="7" t="str">
        <f aca="false">IF(A1416="","",'Outro banco'!B1416)</f>
        <v/>
      </c>
      <c r="C1416" s="7" t="str">
        <f aca="false">IF(A1416="","",'Outro banco'!C1416)</f>
        <v/>
      </c>
      <c r="D1416" s="7" t="str">
        <f aca="false">IF(A1416="","",'Outro banco'!D1416)</f>
        <v/>
      </c>
      <c r="E1416" s="9"/>
      <c r="F1416" s="9"/>
      <c r="G1416" s="7" t="str">
        <f aca="false">IF(A1416="","",IF(COUNTIF(Tabelas!$A:$A,IF(E1416="",A1416,E1416))&gt;0,"sim","não"))</f>
        <v/>
      </c>
      <c r="H1416" s="7" t="str">
        <f aca="false">IF(A1416="","",IF(E1416="",A1416,E1416)&amp;"."&amp;IF(F1416="",B1416,F1416))</f>
        <v/>
      </c>
      <c r="I1416" s="7" t="str">
        <f aca="false">IF(A1416="","",IFERROR(INDEX('Campos Growths'!$F:$F,MATCH(H1416,'Campos Growths'!$A:$A,0)),""))</f>
        <v/>
      </c>
      <c r="J1416" s="7" t="str">
        <f aca="false">IF(A1416="","",IFERROR(VLOOKUP(IF(ISNUMBER(SEARCH("(",C1416)),LEFT(C1416,SEARCH("(",C1416)-1),C1416),Tipos!$A:$B,2,FALSE()),"outro"))</f>
        <v/>
      </c>
      <c r="K1416" s="7" t="str">
        <f aca="false">IF(I1416="","",IFERROR(INDEX('Campos Growths'!$L:$L,MATCH(H1416,'Campos Growths'!$A:$A,0)),""))</f>
        <v/>
      </c>
      <c r="L1416" s="7" t="str">
        <f aca="false">IF(A1416="","",IF(G1416="não","Sem tabela no Growths",IF(I1416="","Sem campo no Growths",IF(J1416=K1416,"Importa direto","Ajustar tipo"))))</f>
        <v/>
      </c>
      <c r="M1416" s="9"/>
    </row>
    <row r="1417" customFormat="false" ht="15" hidden="false" customHeight="false" outlineLevel="0" collapsed="false">
      <c r="A1417" s="7" t="str">
        <f aca="false">IF('Outro banco'!A1417="","",IF(LEFT('Outro banco'!A1417,1)="(","",'Outro banco'!A1417))</f>
        <v/>
      </c>
      <c r="B1417" s="7" t="str">
        <f aca="false">IF(A1417="","",'Outro banco'!B1417)</f>
        <v/>
      </c>
      <c r="C1417" s="7" t="str">
        <f aca="false">IF(A1417="","",'Outro banco'!C1417)</f>
        <v/>
      </c>
      <c r="D1417" s="7" t="str">
        <f aca="false">IF(A1417="","",'Outro banco'!D1417)</f>
        <v/>
      </c>
      <c r="E1417" s="9"/>
      <c r="F1417" s="9"/>
      <c r="G1417" s="7" t="str">
        <f aca="false">IF(A1417="","",IF(COUNTIF(Tabelas!$A:$A,IF(E1417="",A1417,E1417))&gt;0,"sim","não"))</f>
        <v/>
      </c>
      <c r="H1417" s="7" t="str">
        <f aca="false">IF(A1417="","",IF(E1417="",A1417,E1417)&amp;"."&amp;IF(F1417="",B1417,F1417))</f>
        <v/>
      </c>
      <c r="I1417" s="7" t="str">
        <f aca="false">IF(A1417="","",IFERROR(INDEX('Campos Growths'!$F:$F,MATCH(H1417,'Campos Growths'!$A:$A,0)),""))</f>
        <v/>
      </c>
      <c r="J1417" s="7" t="str">
        <f aca="false">IF(A1417="","",IFERROR(VLOOKUP(IF(ISNUMBER(SEARCH("(",C1417)),LEFT(C1417,SEARCH("(",C1417)-1),C1417),Tipos!$A:$B,2,FALSE()),"outro"))</f>
        <v/>
      </c>
      <c r="K1417" s="7" t="str">
        <f aca="false">IF(I1417="","",IFERROR(INDEX('Campos Growths'!$L:$L,MATCH(H1417,'Campos Growths'!$A:$A,0)),""))</f>
        <v/>
      </c>
      <c r="L1417" s="7" t="str">
        <f aca="false">IF(A1417="","",IF(G1417="não","Sem tabela no Growths",IF(I1417="","Sem campo no Growths",IF(J1417=K1417,"Importa direto","Ajustar tipo"))))</f>
        <v/>
      </c>
      <c r="M1417" s="9"/>
    </row>
    <row r="1418" customFormat="false" ht="15" hidden="false" customHeight="false" outlineLevel="0" collapsed="false">
      <c r="A1418" s="7" t="str">
        <f aca="false">IF('Outro banco'!A1418="","",IF(LEFT('Outro banco'!A1418,1)="(","",'Outro banco'!A1418))</f>
        <v/>
      </c>
      <c r="B1418" s="7" t="str">
        <f aca="false">IF(A1418="","",'Outro banco'!B1418)</f>
        <v/>
      </c>
      <c r="C1418" s="7" t="str">
        <f aca="false">IF(A1418="","",'Outro banco'!C1418)</f>
        <v/>
      </c>
      <c r="D1418" s="7" t="str">
        <f aca="false">IF(A1418="","",'Outro banco'!D1418)</f>
        <v/>
      </c>
      <c r="E1418" s="9"/>
      <c r="F1418" s="9"/>
      <c r="G1418" s="7" t="str">
        <f aca="false">IF(A1418="","",IF(COUNTIF(Tabelas!$A:$A,IF(E1418="",A1418,E1418))&gt;0,"sim","não"))</f>
        <v/>
      </c>
      <c r="H1418" s="7" t="str">
        <f aca="false">IF(A1418="","",IF(E1418="",A1418,E1418)&amp;"."&amp;IF(F1418="",B1418,F1418))</f>
        <v/>
      </c>
      <c r="I1418" s="7" t="str">
        <f aca="false">IF(A1418="","",IFERROR(INDEX('Campos Growths'!$F:$F,MATCH(H1418,'Campos Growths'!$A:$A,0)),""))</f>
        <v/>
      </c>
      <c r="J1418" s="7" t="str">
        <f aca="false">IF(A1418="","",IFERROR(VLOOKUP(IF(ISNUMBER(SEARCH("(",C1418)),LEFT(C1418,SEARCH("(",C1418)-1),C1418),Tipos!$A:$B,2,FALSE()),"outro"))</f>
        <v/>
      </c>
      <c r="K1418" s="7" t="str">
        <f aca="false">IF(I1418="","",IFERROR(INDEX('Campos Growths'!$L:$L,MATCH(H1418,'Campos Growths'!$A:$A,0)),""))</f>
        <v/>
      </c>
      <c r="L1418" s="7" t="str">
        <f aca="false">IF(A1418="","",IF(G1418="não","Sem tabela no Growths",IF(I1418="","Sem campo no Growths",IF(J1418=K1418,"Importa direto","Ajustar tipo"))))</f>
        <v/>
      </c>
      <c r="M1418" s="9"/>
    </row>
    <row r="1419" customFormat="false" ht="15" hidden="false" customHeight="false" outlineLevel="0" collapsed="false">
      <c r="A1419" s="7" t="str">
        <f aca="false">IF('Outro banco'!A1419="","",IF(LEFT('Outro banco'!A1419,1)="(","",'Outro banco'!A1419))</f>
        <v/>
      </c>
      <c r="B1419" s="7" t="str">
        <f aca="false">IF(A1419="","",'Outro banco'!B1419)</f>
        <v/>
      </c>
      <c r="C1419" s="7" t="str">
        <f aca="false">IF(A1419="","",'Outro banco'!C1419)</f>
        <v/>
      </c>
      <c r="D1419" s="7" t="str">
        <f aca="false">IF(A1419="","",'Outro banco'!D1419)</f>
        <v/>
      </c>
      <c r="E1419" s="9"/>
      <c r="F1419" s="9"/>
      <c r="G1419" s="7" t="str">
        <f aca="false">IF(A1419="","",IF(COUNTIF(Tabelas!$A:$A,IF(E1419="",A1419,E1419))&gt;0,"sim","não"))</f>
        <v/>
      </c>
      <c r="H1419" s="7" t="str">
        <f aca="false">IF(A1419="","",IF(E1419="",A1419,E1419)&amp;"."&amp;IF(F1419="",B1419,F1419))</f>
        <v/>
      </c>
      <c r="I1419" s="7" t="str">
        <f aca="false">IF(A1419="","",IFERROR(INDEX('Campos Growths'!$F:$F,MATCH(H1419,'Campos Growths'!$A:$A,0)),""))</f>
        <v/>
      </c>
      <c r="J1419" s="7" t="str">
        <f aca="false">IF(A1419="","",IFERROR(VLOOKUP(IF(ISNUMBER(SEARCH("(",C1419)),LEFT(C1419,SEARCH("(",C1419)-1),C1419),Tipos!$A:$B,2,FALSE()),"outro"))</f>
        <v/>
      </c>
      <c r="K1419" s="7" t="str">
        <f aca="false">IF(I1419="","",IFERROR(INDEX('Campos Growths'!$L:$L,MATCH(H1419,'Campos Growths'!$A:$A,0)),""))</f>
        <v/>
      </c>
      <c r="L1419" s="7" t="str">
        <f aca="false">IF(A1419="","",IF(G1419="não","Sem tabela no Growths",IF(I1419="","Sem campo no Growths",IF(J1419=K1419,"Importa direto","Ajustar tipo"))))</f>
        <v/>
      </c>
      <c r="M1419" s="9"/>
    </row>
    <row r="1420" customFormat="false" ht="15" hidden="false" customHeight="false" outlineLevel="0" collapsed="false">
      <c r="A1420" s="7" t="str">
        <f aca="false">IF('Outro banco'!A1420="","",IF(LEFT('Outro banco'!A1420,1)="(","",'Outro banco'!A1420))</f>
        <v/>
      </c>
      <c r="B1420" s="7" t="str">
        <f aca="false">IF(A1420="","",'Outro banco'!B1420)</f>
        <v/>
      </c>
      <c r="C1420" s="7" t="str">
        <f aca="false">IF(A1420="","",'Outro banco'!C1420)</f>
        <v/>
      </c>
      <c r="D1420" s="7" t="str">
        <f aca="false">IF(A1420="","",'Outro banco'!D1420)</f>
        <v/>
      </c>
      <c r="E1420" s="9"/>
      <c r="F1420" s="9"/>
      <c r="G1420" s="7" t="str">
        <f aca="false">IF(A1420="","",IF(COUNTIF(Tabelas!$A:$A,IF(E1420="",A1420,E1420))&gt;0,"sim","não"))</f>
        <v/>
      </c>
      <c r="H1420" s="7" t="str">
        <f aca="false">IF(A1420="","",IF(E1420="",A1420,E1420)&amp;"."&amp;IF(F1420="",B1420,F1420))</f>
        <v/>
      </c>
      <c r="I1420" s="7" t="str">
        <f aca="false">IF(A1420="","",IFERROR(INDEX('Campos Growths'!$F:$F,MATCH(H1420,'Campos Growths'!$A:$A,0)),""))</f>
        <v/>
      </c>
      <c r="J1420" s="7" t="str">
        <f aca="false">IF(A1420="","",IFERROR(VLOOKUP(IF(ISNUMBER(SEARCH("(",C1420)),LEFT(C1420,SEARCH("(",C1420)-1),C1420),Tipos!$A:$B,2,FALSE()),"outro"))</f>
        <v/>
      </c>
      <c r="K1420" s="7" t="str">
        <f aca="false">IF(I1420="","",IFERROR(INDEX('Campos Growths'!$L:$L,MATCH(H1420,'Campos Growths'!$A:$A,0)),""))</f>
        <v/>
      </c>
      <c r="L1420" s="7" t="str">
        <f aca="false">IF(A1420="","",IF(G1420="não","Sem tabela no Growths",IF(I1420="","Sem campo no Growths",IF(J1420=K1420,"Importa direto","Ajustar tipo"))))</f>
        <v/>
      </c>
      <c r="M1420" s="9"/>
    </row>
    <row r="1421" customFormat="false" ht="15" hidden="false" customHeight="false" outlineLevel="0" collapsed="false">
      <c r="A1421" s="7" t="str">
        <f aca="false">IF('Outro banco'!A1421="","",IF(LEFT('Outro banco'!A1421,1)="(","",'Outro banco'!A1421))</f>
        <v/>
      </c>
      <c r="B1421" s="7" t="str">
        <f aca="false">IF(A1421="","",'Outro banco'!B1421)</f>
        <v/>
      </c>
      <c r="C1421" s="7" t="str">
        <f aca="false">IF(A1421="","",'Outro banco'!C1421)</f>
        <v/>
      </c>
      <c r="D1421" s="7" t="str">
        <f aca="false">IF(A1421="","",'Outro banco'!D1421)</f>
        <v/>
      </c>
      <c r="E1421" s="9"/>
      <c r="F1421" s="9"/>
      <c r="G1421" s="7" t="str">
        <f aca="false">IF(A1421="","",IF(COUNTIF(Tabelas!$A:$A,IF(E1421="",A1421,E1421))&gt;0,"sim","não"))</f>
        <v/>
      </c>
      <c r="H1421" s="7" t="str">
        <f aca="false">IF(A1421="","",IF(E1421="",A1421,E1421)&amp;"."&amp;IF(F1421="",B1421,F1421))</f>
        <v/>
      </c>
      <c r="I1421" s="7" t="str">
        <f aca="false">IF(A1421="","",IFERROR(INDEX('Campos Growths'!$F:$F,MATCH(H1421,'Campos Growths'!$A:$A,0)),""))</f>
        <v/>
      </c>
      <c r="J1421" s="7" t="str">
        <f aca="false">IF(A1421="","",IFERROR(VLOOKUP(IF(ISNUMBER(SEARCH("(",C1421)),LEFT(C1421,SEARCH("(",C1421)-1),C1421),Tipos!$A:$B,2,FALSE()),"outro"))</f>
        <v/>
      </c>
      <c r="K1421" s="7" t="str">
        <f aca="false">IF(I1421="","",IFERROR(INDEX('Campos Growths'!$L:$L,MATCH(H1421,'Campos Growths'!$A:$A,0)),""))</f>
        <v/>
      </c>
      <c r="L1421" s="7" t="str">
        <f aca="false">IF(A1421="","",IF(G1421="não","Sem tabela no Growths",IF(I1421="","Sem campo no Growths",IF(J1421=K1421,"Importa direto","Ajustar tipo"))))</f>
        <v/>
      </c>
      <c r="M1421" s="9"/>
    </row>
    <row r="1422" customFormat="false" ht="15" hidden="false" customHeight="false" outlineLevel="0" collapsed="false">
      <c r="A1422" s="7" t="str">
        <f aca="false">IF('Outro banco'!A1422="","",IF(LEFT('Outro banco'!A1422,1)="(","",'Outro banco'!A1422))</f>
        <v/>
      </c>
      <c r="B1422" s="7" t="str">
        <f aca="false">IF(A1422="","",'Outro banco'!B1422)</f>
        <v/>
      </c>
      <c r="C1422" s="7" t="str">
        <f aca="false">IF(A1422="","",'Outro banco'!C1422)</f>
        <v/>
      </c>
      <c r="D1422" s="7" t="str">
        <f aca="false">IF(A1422="","",'Outro banco'!D1422)</f>
        <v/>
      </c>
      <c r="E1422" s="9"/>
      <c r="F1422" s="9"/>
      <c r="G1422" s="7" t="str">
        <f aca="false">IF(A1422="","",IF(COUNTIF(Tabelas!$A:$A,IF(E1422="",A1422,E1422))&gt;0,"sim","não"))</f>
        <v/>
      </c>
      <c r="H1422" s="7" t="str">
        <f aca="false">IF(A1422="","",IF(E1422="",A1422,E1422)&amp;"."&amp;IF(F1422="",B1422,F1422))</f>
        <v/>
      </c>
      <c r="I1422" s="7" t="str">
        <f aca="false">IF(A1422="","",IFERROR(INDEX('Campos Growths'!$F:$F,MATCH(H1422,'Campos Growths'!$A:$A,0)),""))</f>
        <v/>
      </c>
      <c r="J1422" s="7" t="str">
        <f aca="false">IF(A1422="","",IFERROR(VLOOKUP(IF(ISNUMBER(SEARCH("(",C1422)),LEFT(C1422,SEARCH("(",C1422)-1),C1422),Tipos!$A:$B,2,FALSE()),"outro"))</f>
        <v/>
      </c>
      <c r="K1422" s="7" t="str">
        <f aca="false">IF(I1422="","",IFERROR(INDEX('Campos Growths'!$L:$L,MATCH(H1422,'Campos Growths'!$A:$A,0)),""))</f>
        <v/>
      </c>
      <c r="L1422" s="7" t="str">
        <f aca="false">IF(A1422="","",IF(G1422="não","Sem tabela no Growths",IF(I1422="","Sem campo no Growths",IF(J1422=K1422,"Importa direto","Ajustar tipo"))))</f>
        <v/>
      </c>
      <c r="M1422" s="9"/>
    </row>
    <row r="1423" customFormat="false" ht="15" hidden="false" customHeight="false" outlineLevel="0" collapsed="false">
      <c r="A1423" s="7" t="str">
        <f aca="false">IF('Outro banco'!A1423="","",IF(LEFT('Outro banco'!A1423,1)="(","",'Outro banco'!A1423))</f>
        <v/>
      </c>
      <c r="B1423" s="7" t="str">
        <f aca="false">IF(A1423="","",'Outro banco'!B1423)</f>
        <v/>
      </c>
      <c r="C1423" s="7" t="str">
        <f aca="false">IF(A1423="","",'Outro banco'!C1423)</f>
        <v/>
      </c>
      <c r="D1423" s="7" t="str">
        <f aca="false">IF(A1423="","",'Outro banco'!D1423)</f>
        <v/>
      </c>
      <c r="E1423" s="9"/>
      <c r="F1423" s="9"/>
      <c r="G1423" s="7" t="str">
        <f aca="false">IF(A1423="","",IF(COUNTIF(Tabelas!$A:$A,IF(E1423="",A1423,E1423))&gt;0,"sim","não"))</f>
        <v/>
      </c>
      <c r="H1423" s="7" t="str">
        <f aca="false">IF(A1423="","",IF(E1423="",A1423,E1423)&amp;"."&amp;IF(F1423="",B1423,F1423))</f>
        <v/>
      </c>
      <c r="I1423" s="7" t="str">
        <f aca="false">IF(A1423="","",IFERROR(INDEX('Campos Growths'!$F:$F,MATCH(H1423,'Campos Growths'!$A:$A,0)),""))</f>
        <v/>
      </c>
      <c r="J1423" s="7" t="str">
        <f aca="false">IF(A1423="","",IFERROR(VLOOKUP(IF(ISNUMBER(SEARCH("(",C1423)),LEFT(C1423,SEARCH("(",C1423)-1),C1423),Tipos!$A:$B,2,FALSE()),"outro"))</f>
        <v/>
      </c>
      <c r="K1423" s="7" t="str">
        <f aca="false">IF(I1423="","",IFERROR(INDEX('Campos Growths'!$L:$L,MATCH(H1423,'Campos Growths'!$A:$A,0)),""))</f>
        <v/>
      </c>
      <c r="L1423" s="7" t="str">
        <f aca="false">IF(A1423="","",IF(G1423="não","Sem tabela no Growths",IF(I1423="","Sem campo no Growths",IF(J1423=K1423,"Importa direto","Ajustar tipo"))))</f>
        <v/>
      </c>
      <c r="M1423" s="9"/>
    </row>
    <row r="1424" customFormat="false" ht="15" hidden="false" customHeight="false" outlineLevel="0" collapsed="false">
      <c r="A1424" s="7" t="str">
        <f aca="false">IF('Outro banco'!A1424="","",IF(LEFT('Outro banco'!A1424,1)="(","",'Outro banco'!A1424))</f>
        <v/>
      </c>
      <c r="B1424" s="7" t="str">
        <f aca="false">IF(A1424="","",'Outro banco'!B1424)</f>
        <v/>
      </c>
      <c r="C1424" s="7" t="str">
        <f aca="false">IF(A1424="","",'Outro banco'!C1424)</f>
        <v/>
      </c>
      <c r="D1424" s="7" t="str">
        <f aca="false">IF(A1424="","",'Outro banco'!D1424)</f>
        <v/>
      </c>
      <c r="E1424" s="9"/>
      <c r="F1424" s="9"/>
      <c r="G1424" s="7" t="str">
        <f aca="false">IF(A1424="","",IF(COUNTIF(Tabelas!$A:$A,IF(E1424="",A1424,E1424))&gt;0,"sim","não"))</f>
        <v/>
      </c>
      <c r="H1424" s="7" t="str">
        <f aca="false">IF(A1424="","",IF(E1424="",A1424,E1424)&amp;"."&amp;IF(F1424="",B1424,F1424))</f>
        <v/>
      </c>
      <c r="I1424" s="7" t="str">
        <f aca="false">IF(A1424="","",IFERROR(INDEX('Campos Growths'!$F:$F,MATCH(H1424,'Campos Growths'!$A:$A,0)),""))</f>
        <v/>
      </c>
      <c r="J1424" s="7" t="str">
        <f aca="false">IF(A1424="","",IFERROR(VLOOKUP(IF(ISNUMBER(SEARCH("(",C1424)),LEFT(C1424,SEARCH("(",C1424)-1),C1424),Tipos!$A:$B,2,FALSE()),"outro"))</f>
        <v/>
      </c>
      <c r="K1424" s="7" t="str">
        <f aca="false">IF(I1424="","",IFERROR(INDEX('Campos Growths'!$L:$L,MATCH(H1424,'Campos Growths'!$A:$A,0)),""))</f>
        <v/>
      </c>
      <c r="L1424" s="7" t="str">
        <f aca="false">IF(A1424="","",IF(G1424="não","Sem tabela no Growths",IF(I1424="","Sem campo no Growths",IF(J1424=K1424,"Importa direto","Ajustar tipo"))))</f>
        <v/>
      </c>
      <c r="M1424" s="9"/>
    </row>
    <row r="1425" customFormat="false" ht="15" hidden="false" customHeight="false" outlineLevel="0" collapsed="false">
      <c r="A1425" s="7" t="str">
        <f aca="false">IF('Outro banco'!A1425="","",IF(LEFT('Outro banco'!A1425,1)="(","",'Outro banco'!A1425))</f>
        <v/>
      </c>
      <c r="B1425" s="7" t="str">
        <f aca="false">IF(A1425="","",'Outro banco'!B1425)</f>
        <v/>
      </c>
      <c r="C1425" s="7" t="str">
        <f aca="false">IF(A1425="","",'Outro banco'!C1425)</f>
        <v/>
      </c>
      <c r="D1425" s="7" t="str">
        <f aca="false">IF(A1425="","",'Outro banco'!D1425)</f>
        <v/>
      </c>
      <c r="E1425" s="9"/>
      <c r="F1425" s="9"/>
      <c r="G1425" s="7" t="str">
        <f aca="false">IF(A1425="","",IF(COUNTIF(Tabelas!$A:$A,IF(E1425="",A1425,E1425))&gt;0,"sim","não"))</f>
        <v/>
      </c>
      <c r="H1425" s="7" t="str">
        <f aca="false">IF(A1425="","",IF(E1425="",A1425,E1425)&amp;"."&amp;IF(F1425="",B1425,F1425))</f>
        <v/>
      </c>
      <c r="I1425" s="7" t="str">
        <f aca="false">IF(A1425="","",IFERROR(INDEX('Campos Growths'!$F:$F,MATCH(H1425,'Campos Growths'!$A:$A,0)),""))</f>
        <v/>
      </c>
      <c r="J1425" s="7" t="str">
        <f aca="false">IF(A1425="","",IFERROR(VLOOKUP(IF(ISNUMBER(SEARCH("(",C1425)),LEFT(C1425,SEARCH("(",C1425)-1),C1425),Tipos!$A:$B,2,FALSE()),"outro"))</f>
        <v/>
      </c>
      <c r="K1425" s="7" t="str">
        <f aca="false">IF(I1425="","",IFERROR(INDEX('Campos Growths'!$L:$L,MATCH(H1425,'Campos Growths'!$A:$A,0)),""))</f>
        <v/>
      </c>
      <c r="L1425" s="7" t="str">
        <f aca="false">IF(A1425="","",IF(G1425="não","Sem tabela no Growths",IF(I1425="","Sem campo no Growths",IF(J1425=K1425,"Importa direto","Ajustar tipo"))))</f>
        <v/>
      </c>
      <c r="M1425" s="9"/>
    </row>
    <row r="1426" customFormat="false" ht="15" hidden="false" customHeight="false" outlineLevel="0" collapsed="false">
      <c r="A1426" s="7" t="str">
        <f aca="false">IF('Outro banco'!A1426="","",IF(LEFT('Outro banco'!A1426,1)="(","",'Outro banco'!A1426))</f>
        <v/>
      </c>
      <c r="B1426" s="7" t="str">
        <f aca="false">IF(A1426="","",'Outro banco'!B1426)</f>
        <v/>
      </c>
      <c r="C1426" s="7" t="str">
        <f aca="false">IF(A1426="","",'Outro banco'!C1426)</f>
        <v/>
      </c>
      <c r="D1426" s="7" t="str">
        <f aca="false">IF(A1426="","",'Outro banco'!D1426)</f>
        <v/>
      </c>
      <c r="E1426" s="9"/>
      <c r="F1426" s="9"/>
      <c r="G1426" s="7" t="str">
        <f aca="false">IF(A1426="","",IF(COUNTIF(Tabelas!$A:$A,IF(E1426="",A1426,E1426))&gt;0,"sim","não"))</f>
        <v/>
      </c>
      <c r="H1426" s="7" t="str">
        <f aca="false">IF(A1426="","",IF(E1426="",A1426,E1426)&amp;"."&amp;IF(F1426="",B1426,F1426))</f>
        <v/>
      </c>
      <c r="I1426" s="7" t="str">
        <f aca="false">IF(A1426="","",IFERROR(INDEX('Campos Growths'!$F:$F,MATCH(H1426,'Campos Growths'!$A:$A,0)),""))</f>
        <v/>
      </c>
      <c r="J1426" s="7" t="str">
        <f aca="false">IF(A1426="","",IFERROR(VLOOKUP(IF(ISNUMBER(SEARCH("(",C1426)),LEFT(C1426,SEARCH("(",C1426)-1),C1426),Tipos!$A:$B,2,FALSE()),"outro"))</f>
        <v/>
      </c>
      <c r="K1426" s="7" t="str">
        <f aca="false">IF(I1426="","",IFERROR(INDEX('Campos Growths'!$L:$L,MATCH(H1426,'Campos Growths'!$A:$A,0)),""))</f>
        <v/>
      </c>
      <c r="L1426" s="7" t="str">
        <f aca="false">IF(A1426="","",IF(G1426="não","Sem tabela no Growths",IF(I1426="","Sem campo no Growths",IF(J1426=K1426,"Importa direto","Ajustar tipo"))))</f>
        <v/>
      </c>
      <c r="M1426" s="9"/>
    </row>
    <row r="1427" customFormat="false" ht="15" hidden="false" customHeight="false" outlineLevel="0" collapsed="false">
      <c r="A1427" s="7" t="str">
        <f aca="false">IF('Outro banco'!A1427="","",IF(LEFT('Outro banco'!A1427,1)="(","",'Outro banco'!A1427))</f>
        <v/>
      </c>
      <c r="B1427" s="7" t="str">
        <f aca="false">IF(A1427="","",'Outro banco'!B1427)</f>
        <v/>
      </c>
      <c r="C1427" s="7" t="str">
        <f aca="false">IF(A1427="","",'Outro banco'!C1427)</f>
        <v/>
      </c>
      <c r="D1427" s="7" t="str">
        <f aca="false">IF(A1427="","",'Outro banco'!D1427)</f>
        <v/>
      </c>
      <c r="E1427" s="9"/>
      <c r="F1427" s="9"/>
      <c r="G1427" s="7" t="str">
        <f aca="false">IF(A1427="","",IF(COUNTIF(Tabelas!$A:$A,IF(E1427="",A1427,E1427))&gt;0,"sim","não"))</f>
        <v/>
      </c>
      <c r="H1427" s="7" t="str">
        <f aca="false">IF(A1427="","",IF(E1427="",A1427,E1427)&amp;"."&amp;IF(F1427="",B1427,F1427))</f>
        <v/>
      </c>
      <c r="I1427" s="7" t="str">
        <f aca="false">IF(A1427="","",IFERROR(INDEX('Campos Growths'!$F:$F,MATCH(H1427,'Campos Growths'!$A:$A,0)),""))</f>
        <v/>
      </c>
      <c r="J1427" s="7" t="str">
        <f aca="false">IF(A1427="","",IFERROR(VLOOKUP(IF(ISNUMBER(SEARCH("(",C1427)),LEFT(C1427,SEARCH("(",C1427)-1),C1427),Tipos!$A:$B,2,FALSE()),"outro"))</f>
        <v/>
      </c>
      <c r="K1427" s="7" t="str">
        <f aca="false">IF(I1427="","",IFERROR(INDEX('Campos Growths'!$L:$L,MATCH(H1427,'Campos Growths'!$A:$A,0)),""))</f>
        <v/>
      </c>
      <c r="L1427" s="7" t="str">
        <f aca="false">IF(A1427="","",IF(G1427="não","Sem tabela no Growths",IF(I1427="","Sem campo no Growths",IF(J1427=K1427,"Importa direto","Ajustar tipo"))))</f>
        <v/>
      </c>
      <c r="M1427" s="9"/>
    </row>
    <row r="1428" customFormat="false" ht="15" hidden="false" customHeight="false" outlineLevel="0" collapsed="false">
      <c r="A1428" s="7" t="str">
        <f aca="false">IF('Outro banco'!A1428="","",IF(LEFT('Outro banco'!A1428,1)="(","",'Outro banco'!A1428))</f>
        <v/>
      </c>
      <c r="B1428" s="7" t="str">
        <f aca="false">IF(A1428="","",'Outro banco'!B1428)</f>
        <v/>
      </c>
      <c r="C1428" s="7" t="str">
        <f aca="false">IF(A1428="","",'Outro banco'!C1428)</f>
        <v/>
      </c>
      <c r="D1428" s="7" t="str">
        <f aca="false">IF(A1428="","",'Outro banco'!D1428)</f>
        <v/>
      </c>
      <c r="E1428" s="9"/>
      <c r="F1428" s="9"/>
      <c r="G1428" s="7" t="str">
        <f aca="false">IF(A1428="","",IF(COUNTIF(Tabelas!$A:$A,IF(E1428="",A1428,E1428))&gt;0,"sim","não"))</f>
        <v/>
      </c>
      <c r="H1428" s="7" t="str">
        <f aca="false">IF(A1428="","",IF(E1428="",A1428,E1428)&amp;"."&amp;IF(F1428="",B1428,F1428))</f>
        <v/>
      </c>
      <c r="I1428" s="7" t="str">
        <f aca="false">IF(A1428="","",IFERROR(INDEX('Campos Growths'!$F:$F,MATCH(H1428,'Campos Growths'!$A:$A,0)),""))</f>
        <v/>
      </c>
      <c r="J1428" s="7" t="str">
        <f aca="false">IF(A1428="","",IFERROR(VLOOKUP(IF(ISNUMBER(SEARCH("(",C1428)),LEFT(C1428,SEARCH("(",C1428)-1),C1428),Tipos!$A:$B,2,FALSE()),"outro"))</f>
        <v/>
      </c>
      <c r="K1428" s="7" t="str">
        <f aca="false">IF(I1428="","",IFERROR(INDEX('Campos Growths'!$L:$L,MATCH(H1428,'Campos Growths'!$A:$A,0)),""))</f>
        <v/>
      </c>
      <c r="L1428" s="7" t="str">
        <f aca="false">IF(A1428="","",IF(G1428="não","Sem tabela no Growths",IF(I1428="","Sem campo no Growths",IF(J1428=K1428,"Importa direto","Ajustar tipo"))))</f>
        <v/>
      </c>
      <c r="M1428" s="9"/>
    </row>
    <row r="1429" customFormat="false" ht="15" hidden="false" customHeight="false" outlineLevel="0" collapsed="false">
      <c r="A1429" s="7" t="str">
        <f aca="false">IF('Outro banco'!A1429="","",IF(LEFT('Outro banco'!A1429,1)="(","",'Outro banco'!A1429))</f>
        <v/>
      </c>
      <c r="B1429" s="7" t="str">
        <f aca="false">IF(A1429="","",'Outro banco'!B1429)</f>
        <v/>
      </c>
      <c r="C1429" s="7" t="str">
        <f aca="false">IF(A1429="","",'Outro banco'!C1429)</f>
        <v/>
      </c>
      <c r="D1429" s="7" t="str">
        <f aca="false">IF(A1429="","",'Outro banco'!D1429)</f>
        <v/>
      </c>
      <c r="E1429" s="9"/>
      <c r="F1429" s="9"/>
      <c r="G1429" s="7" t="str">
        <f aca="false">IF(A1429="","",IF(COUNTIF(Tabelas!$A:$A,IF(E1429="",A1429,E1429))&gt;0,"sim","não"))</f>
        <v/>
      </c>
      <c r="H1429" s="7" t="str">
        <f aca="false">IF(A1429="","",IF(E1429="",A1429,E1429)&amp;"."&amp;IF(F1429="",B1429,F1429))</f>
        <v/>
      </c>
      <c r="I1429" s="7" t="str">
        <f aca="false">IF(A1429="","",IFERROR(INDEX('Campos Growths'!$F:$F,MATCH(H1429,'Campos Growths'!$A:$A,0)),""))</f>
        <v/>
      </c>
      <c r="J1429" s="7" t="str">
        <f aca="false">IF(A1429="","",IFERROR(VLOOKUP(IF(ISNUMBER(SEARCH("(",C1429)),LEFT(C1429,SEARCH("(",C1429)-1),C1429),Tipos!$A:$B,2,FALSE()),"outro"))</f>
        <v/>
      </c>
      <c r="K1429" s="7" t="str">
        <f aca="false">IF(I1429="","",IFERROR(INDEX('Campos Growths'!$L:$L,MATCH(H1429,'Campos Growths'!$A:$A,0)),""))</f>
        <v/>
      </c>
      <c r="L1429" s="7" t="str">
        <f aca="false">IF(A1429="","",IF(G1429="não","Sem tabela no Growths",IF(I1429="","Sem campo no Growths",IF(J1429=K1429,"Importa direto","Ajustar tipo"))))</f>
        <v/>
      </c>
      <c r="M1429" s="9"/>
    </row>
    <row r="1430" customFormat="false" ht="15" hidden="false" customHeight="false" outlineLevel="0" collapsed="false">
      <c r="A1430" s="7" t="str">
        <f aca="false">IF('Outro banco'!A1430="","",IF(LEFT('Outro banco'!A1430,1)="(","",'Outro banco'!A1430))</f>
        <v/>
      </c>
      <c r="B1430" s="7" t="str">
        <f aca="false">IF(A1430="","",'Outro banco'!B1430)</f>
        <v/>
      </c>
      <c r="C1430" s="7" t="str">
        <f aca="false">IF(A1430="","",'Outro banco'!C1430)</f>
        <v/>
      </c>
      <c r="D1430" s="7" t="str">
        <f aca="false">IF(A1430="","",'Outro banco'!D1430)</f>
        <v/>
      </c>
      <c r="E1430" s="9"/>
      <c r="F1430" s="9"/>
      <c r="G1430" s="7" t="str">
        <f aca="false">IF(A1430="","",IF(COUNTIF(Tabelas!$A:$A,IF(E1430="",A1430,E1430))&gt;0,"sim","não"))</f>
        <v/>
      </c>
      <c r="H1430" s="7" t="str">
        <f aca="false">IF(A1430="","",IF(E1430="",A1430,E1430)&amp;"."&amp;IF(F1430="",B1430,F1430))</f>
        <v/>
      </c>
      <c r="I1430" s="7" t="str">
        <f aca="false">IF(A1430="","",IFERROR(INDEX('Campos Growths'!$F:$F,MATCH(H1430,'Campos Growths'!$A:$A,0)),""))</f>
        <v/>
      </c>
      <c r="J1430" s="7" t="str">
        <f aca="false">IF(A1430="","",IFERROR(VLOOKUP(IF(ISNUMBER(SEARCH("(",C1430)),LEFT(C1430,SEARCH("(",C1430)-1),C1430),Tipos!$A:$B,2,FALSE()),"outro"))</f>
        <v/>
      </c>
      <c r="K1430" s="7" t="str">
        <f aca="false">IF(I1430="","",IFERROR(INDEX('Campos Growths'!$L:$L,MATCH(H1430,'Campos Growths'!$A:$A,0)),""))</f>
        <v/>
      </c>
      <c r="L1430" s="7" t="str">
        <f aca="false">IF(A1430="","",IF(G1430="não","Sem tabela no Growths",IF(I1430="","Sem campo no Growths",IF(J1430=K1430,"Importa direto","Ajustar tipo"))))</f>
        <v/>
      </c>
      <c r="M1430" s="9"/>
    </row>
    <row r="1431" customFormat="false" ht="15" hidden="false" customHeight="false" outlineLevel="0" collapsed="false">
      <c r="A1431" s="7" t="str">
        <f aca="false">IF('Outro banco'!A1431="","",IF(LEFT('Outro banco'!A1431,1)="(","",'Outro banco'!A1431))</f>
        <v/>
      </c>
      <c r="B1431" s="7" t="str">
        <f aca="false">IF(A1431="","",'Outro banco'!B1431)</f>
        <v/>
      </c>
      <c r="C1431" s="7" t="str">
        <f aca="false">IF(A1431="","",'Outro banco'!C1431)</f>
        <v/>
      </c>
      <c r="D1431" s="7" t="str">
        <f aca="false">IF(A1431="","",'Outro banco'!D1431)</f>
        <v/>
      </c>
      <c r="E1431" s="9"/>
      <c r="F1431" s="9"/>
      <c r="G1431" s="7" t="str">
        <f aca="false">IF(A1431="","",IF(COUNTIF(Tabelas!$A:$A,IF(E1431="",A1431,E1431))&gt;0,"sim","não"))</f>
        <v/>
      </c>
      <c r="H1431" s="7" t="str">
        <f aca="false">IF(A1431="","",IF(E1431="",A1431,E1431)&amp;"."&amp;IF(F1431="",B1431,F1431))</f>
        <v/>
      </c>
      <c r="I1431" s="7" t="str">
        <f aca="false">IF(A1431="","",IFERROR(INDEX('Campos Growths'!$F:$F,MATCH(H1431,'Campos Growths'!$A:$A,0)),""))</f>
        <v/>
      </c>
      <c r="J1431" s="7" t="str">
        <f aca="false">IF(A1431="","",IFERROR(VLOOKUP(IF(ISNUMBER(SEARCH("(",C1431)),LEFT(C1431,SEARCH("(",C1431)-1),C1431),Tipos!$A:$B,2,FALSE()),"outro"))</f>
        <v/>
      </c>
      <c r="K1431" s="7" t="str">
        <f aca="false">IF(I1431="","",IFERROR(INDEX('Campos Growths'!$L:$L,MATCH(H1431,'Campos Growths'!$A:$A,0)),""))</f>
        <v/>
      </c>
      <c r="L1431" s="7" t="str">
        <f aca="false">IF(A1431="","",IF(G1431="não","Sem tabela no Growths",IF(I1431="","Sem campo no Growths",IF(J1431=K1431,"Importa direto","Ajustar tipo"))))</f>
        <v/>
      </c>
      <c r="M1431" s="9"/>
    </row>
    <row r="1432" customFormat="false" ht="15" hidden="false" customHeight="false" outlineLevel="0" collapsed="false">
      <c r="A1432" s="7" t="str">
        <f aca="false">IF('Outro banco'!A1432="","",IF(LEFT('Outro banco'!A1432,1)="(","",'Outro banco'!A1432))</f>
        <v/>
      </c>
      <c r="B1432" s="7" t="str">
        <f aca="false">IF(A1432="","",'Outro banco'!B1432)</f>
        <v/>
      </c>
      <c r="C1432" s="7" t="str">
        <f aca="false">IF(A1432="","",'Outro banco'!C1432)</f>
        <v/>
      </c>
      <c r="D1432" s="7" t="str">
        <f aca="false">IF(A1432="","",'Outro banco'!D1432)</f>
        <v/>
      </c>
      <c r="E1432" s="9"/>
      <c r="F1432" s="9"/>
      <c r="G1432" s="7" t="str">
        <f aca="false">IF(A1432="","",IF(COUNTIF(Tabelas!$A:$A,IF(E1432="",A1432,E1432))&gt;0,"sim","não"))</f>
        <v/>
      </c>
      <c r="H1432" s="7" t="str">
        <f aca="false">IF(A1432="","",IF(E1432="",A1432,E1432)&amp;"."&amp;IF(F1432="",B1432,F1432))</f>
        <v/>
      </c>
      <c r="I1432" s="7" t="str">
        <f aca="false">IF(A1432="","",IFERROR(INDEX('Campos Growths'!$F:$F,MATCH(H1432,'Campos Growths'!$A:$A,0)),""))</f>
        <v/>
      </c>
      <c r="J1432" s="7" t="str">
        <f aca="false">IF(A1432="","",IFERROR(VLOOKUP(IF(ISNUMBER(SEARCH("(",C1432)),LEFT(C1432,SEARCH("(",C1432)-1),C1432),Tipos!$A:$B,2,FALSE()),"outro"))</f>
        <v/>
      </c>
      <c r="K1432" s="7" t="str">
        <f aca="false">IF(I1432="","",IFERROR(INDEX('Campos Growths'!$L:$L,MATCH(H1432,'Campos Growths'!$A:$A,0)),""))</f>
        <v/>
      </c>
      <c r="L1432" s="7" t="str">
        <f aca="false">IF(A1432="","",IF(G1432="não","Sem tabela no Growths",IF(I1432="","Sem campo no Growths",IF(J1432=K1432,"Importa direto","Ajustar tipo"))))</f>
        <v/>
      </c>
      <c r="M1432" s="9"/>
    </row>
    <row r="1433" customFormat="false" ht="15" hidden="false" customHeight="false" outlineLevel="0" collapsed="false">
      <c r="A1433" s="7" t="str">
        <f aca="false">IF('Outro banco'!A1433="","",IF(LEFT('Outro banco'!A1433,1)="(","",'Outro banco'!A1433))</f>
        <v/>
      </c>
      <c r="B1433" s="7" t="str">
        <f aca="false">IF(A1433="","",'Outro banco'!B1433)</f>
        <v/>
      </c>
      <c r="C1433" s="7" t="str">
        <f aca="false">IF(A1433="","",'Outro banco'!C1433)</f>
        <v/>
      </c>
      <c r="D1433" s="7" t="str">
        <f aca="false">IF(A1433="","",'Outro banco'!D1433)</f>
        <v/>
      </c>
      <c r="E1433" s="9"/>
      <c r="F1433" s="9"/>
      <c r="G1433" s="7" t="str">
        <f aca="false">IF(A1433="","",IF(COUNTIF(Tabelas!$A:$A,IF(E1433="",A1433,E1433))&gt;0,"sim","não"))</f>
        <v/>
      </c>
      <c r="H1433" s="7" t="str">
        <f aca="false">IF(A1433="","",IF(E1433="",A1433,E1433)&amp;"."&amp;IF(F1433="",B1433,F1433))</f>
        <v/>
      </c>
      <c r="I1433" s="7" t="str">
        <f aca="false">IF(A1433="","",IFERROR(INDEX('Campos Growths'!$F:$F,MATCH(H1433,'Campos Growths'!$A:$A,0)),""))</f>
        <v/>
      </c>
      <c r="J1433" s="7" t="str">
        <f aca="false">IF(A1433="","",IFERROR(VLOOKUP(IF(ISNUMBER(SEARCH("(",C1433)),LEFT(C1433,SEARCH("(",C1433)-1),C1433),Tipos!$A:$B,2,FALSE()),"outro"))</f>
        <v/>
      </c>
      <c r="K1433" s="7" t="str">
        <f aca="false">IF(I1433="","",IFERROR(INDEX('Campos Growths'!$L:$L,MATCH(H1433,'Campos Growths'!$A:$A,0)),""))</f>
        <v/>
      </c>
      <c r="L1433" s="7" t="str">
        <f aca="false">IF(A1433="","",IF(G1433="não","Sem tabela no Growths",IF(I1433="","Sem campo no Growths",IF(J1433=K1433,"Importa direto","Ajustar tipo"))))</f>
        <v/>
      </c>
      <c r="M1433" s="9"/>
    </row>
    <row r="1434" customFormat="false" ht="15" hidden="false" customHeight="false" outlineLevel="0" collapsed="false">
      <c r="A1434" s="7" t="str">
        <f aca="false">IF('Outro banco'!A1434="","",IF(LEFT('Outro banco'!A1434,1)="(","",'Outro banco'!A1434))</f>
        <v/>
      </c>
      <c r="B1434" s="7" t="str">
        <f aca="false">IF(A1434="","",'Outro banco'!B1434)</f>
        <v/>
      </c>
      <c r="C1434" s="7" t="str">
        <f aca="false">IF(A1434="","",'Outro banco'!C1434)</f>
        <v/>
      </c>
      <c r="D1434" s="7" t="str">
        <f aca="false">IF(A1434="","",'Outro banco'!D1434)</f>
        <v/>
      </c>
      <c r="E1434" s="9"/>
      <c r="F1434" s="9"/>
      <c r="G1434" s="7" t="str">
        <f aca="false">IF(A1434="","",IF(COUNTIF(Tabelas!$A:$A,IF(E1434="",A1434,E1434))&gt;0,"sim","não"))</f>
        <v/>
      </c>
      <c r="H1434" s="7" t="str">
        <f aca="false">IF(A1434="","",IF(E1434="",A1434,E1434)&amp;"."&amp;IF(F1434="",B1434,F1434))</f>
        <v/>
      </c>
      <c r="I1434" s="7" t="str">
        <f aca="false">IF(A1434="","",IFERROR(INDEX('Campos Growths'!$F:$F,MATCH(H1434,'Campos Growths'!$A:$A,0)),""))</f>
        <v/>
      </c>
      <c r="J1434" s="7" t="str">
        <f aca="false">IF(A1434="","",IFERROR(VLOOKUP(IF(ISNUMBER(SEARCH("(",C1434)),LEFT(C1434,SEARCH("(",C1434)-1),C1434),Tipos!$A:$B,2,FALSE()),"outro"))</f>
        <v/>
      </c>
      <c r="K1434" s="7" t="str">
        <f aca="false">IF(I1434="","",IFERROR(INDEX('Campos Growths'!$L:$L,MATCH(H1434,'Campos Growths'!$A:$A,0)),""))</f>
        <v/>
      </c>
      <c r="L1434" s="7" t="str">
        <f aca="false">IF(A1434="","",IF(G1434="não","Sem tabela no Growths",IF(I1434="","Sem campo no Growths",IF(J1434=K1434,"Importa direto","Ajustar tipo"))))</f>
        <v/>
      </c>
      <c r="M1434" s="9"/>
    </row>
    <row r="1435" customFormat="false" ht="15" hidden="false" customHeight="false" outlineLevel="0" collapsed="false">
      <c r="A1435" s="7" t="str">
        <f aca="false">IF('Outro banco'!A1435="","",IF(LEFT('Outro banco'!A1435,1)="(","",'Outro banco'!A1435))</f>
        <v/>
      </c>
      <c r="B1435" s="7" t="str">
        <f aca="false">IF(A1435="","",'Outro banco'!B1435)</f>
        <v/>
      </c>
      <c r="C1435" s="7" t="str">
        <f aca="false">IF(A1435="","",'Outro banco'!C1435)</f>
        <v/>
      </c>
      <c r="D1435" s="7" t="str">
        <f aca="false">IF(A1435="","",'Outro banco'!D1435)</f>
        <v/>
      </c>
      <c r="E1435" s="9"/>
      <c r="F1435" s="9"/>
      <c r="G1435" s="7" t="str">
        <f aca="false">IF(A1435="","",IF(COUNTIF(Tabelas!$A:$A,IF(E1435="",A1435,E1435))&gt;0,"sim","não"))</f>
        <v/>
      </c>
      <c r="H1435" s="7" t="str">
        <f aca="false">IF(A1435="","",IF(E1435="",A1435,E1435)&amp;"."&amp;IF(F1435="",B1435,F1435))</f>
        <v/>
      </c>
      <c r="I1435" s="7" t="str">
        <f aca="false">IF(A1435="","",IFERROR(INDEX('Campos Growths'!$F:$F,MATCH(H1435,'Campos Growths'!$A:$A,0)),""))</f>
        <v/>
      </c>
      <c r="J1435" s="7" t="str">
        <f aca="false">IF(A1435="","",IFERROR(VLOOKUP(IF(ISNUMBER(SEARCH("(",C1435)),LEFT(C1435,SEARCH("(",C1435)-1),C1435),Tipos!$A:$B,2,FALSE()),"outro"))</f>
        <v/>
      </c>
      <c r="K1435" s="7" t="str">
        <f aca="false">IF(I1435="","",IFERROR(INDEX('Campos Growths'!$L:$L,MATCH(H1435,'Campos Growths'!$A:$A,0)),""))</f>
        <v/>
      </c>
      <c r="L1435" s="7" t="str">
        <f aca="false">IF(A1435="","",IF(G1435="não","Sem tabela no Growths",IF(I1435="","Sem campo no Growths",IF(J1435=K1435,"Importa direto","Ajustar tipo"))))</f>
        <v/>
      </c>
      <c r="M1435" s="9"/>
    </row>
    <row r="1436" customFormat="false" ht="15" hidden="false" customHeight="false" outlineLevel="0" collapsed="false">
      <c r="A1436" s="7" t="str">
        <f aca="false">IF('Outro banco'!A1436="","",IF(LEFT('Outro banco'!A1436,1)="(","",'Outro banco'!A1436))</f>
        <v/>
      </c>
      <c r="B1436" s="7" t="str">
        <f aca="false">IF(A1436="","",'Outro banco'!B1436)</f>
        <v/>
      </c>
      <c r="C1436" s="7" t="str">
        <f aca="false">IF(A1436="","",'Outro banco'!C1436)</f>
        <v/>
      </c>
      <c r="D1436" s="7" t="str">
        <f aca="false">IF(A1436="","",'Outro banco'!D1436)</f>
        <v/>
      </c>
      <c r="E1436" s="9"/>
      <c r="F1436" s="9"/>
      <c r="G1436" s="7" t="str">
        <f aca="false">IF(A1436="","",IF(COUNTIF(Tabelas!$A:$A,IF(E1436="",A1436,E1436))&gt;0,"sim","não"))</f>
        <v/>
      </c>
      <c r="H1436" s="7" t="str">
        <f aca="false">IF(A1436="","",IF(E1436="",A1436,E1436)&amp;"."&amp;IF(F1436="",B1436,F1436))</f>
        <v/>
      </c>
      <c r="I1436" s="7" t="str">
        <f aca="false">IF(A1436="","",IFERROR(INDEX('Campos Growths'!$F:$F,MATCH(H1436,'Campos Growths'!$A:$A,0)),""))</f>
        <v/>
      </c>
      <c r="J1436" s="7" t="str">
        <f aca="false">IF(A1436="","",IFERROR(VLOOKUP(IF(ISNUMBER(SEARCH("(",C1436)),LEFT(C1436,SEARCH("(",C1436)-1),C1436),Tipos!$A:$B,2,FALSE()),"outro"))</f>
        <v/>
      </c>
      <c r="K1436" s="7" t="str">
        <f aca="false">IF(I1436="","",IFERROR(INDEX('Campos Growths'!$L:$L,MATCH(H1436,'Campos Growths'!$A:$A,0)),""))</f>
        <v/>
      </c>
      <c r="L1436" s="7" t="str">
        <f aca="false">IF(A1436="","",IF(G1436="não","Sem tabela no Growths",IF(I1436="","Sem campo no Growths",IF(J1436=K1436,"Importa direto","Ajustar tipo"))))</f>
        <v/>
      </c>
      <c r="M1436" s="9"/>
    </row>
    <row r="1437" customFormat="false" ht="15" hidden="false" customHeight="false" outlineLevel="0" collapsed="false">
      <c r="A1437" s="7" t="str">
        <f aca="false">IF('Outro banco'!A1437="","",IF(LEFT('Outro banco'!A1437,1)="(","",'Outro banco'!A1437))</f>
        <v/>
      </c>
      <c r="B1437" s="7" t="str">
        <f aca="false">IF(A1437="","",'Outro banco'!B1437)</f>
        <v/>
      </c>
      <c r="C1437" s="7" t="str">
        <f aca="false">IF(A1437="","",'Outro banco'!C1437)</f>
        <v/>
      </c>
      <c r="D1437" s="7" t="str">
        <f aca="false">IF(A1437="","",'Outro banco'!D1437)</f>
        <v/>
      </c>
      <c r="E1437" s="9"/>
      <c r="F1437" s="9"/>
      <c r="G1437" s="7" t="str">
        <f aca="false">IF(A1437="","",IF(COUNTIF(Tabelas!$A:$A,IF(E1437="",A1437,E1437))&gt;0,"sim","não"))</f>
        <v/>
      </c>
      <c r="H1437" s="7" t="str">
        <f aca="false">IF(A1437="","",IF(E1437="",A1437,E1437)&amp;"."&amp;IF(F1437="",B1437,F1437))</f>
        <v/>
      </c>
      <c r="I1437" s="7" t="str">
        <f aca="false">IF(A1437="","",IFERROR(INDEX('Campos Growths'!$F:$F,MATCH(H1437,'Campos Growths'!$A:$A,0)),""))</f>
        <v/>
      </c>
      <c r="J1437" s="7" t="str">
        <f aca="false">IF(A1437="","",IFERROR(VLOOKUP(IF(ISNUMBER(SEARCH("(",C1437)),LEFT(C1437,SEARCH("(",C1437)-1),C1437),Tipos!$A:$B,2,FALSE()),"outro"))</f>
        <v/>
      </c>
      <c r="K1437" s="7" t="str">
        <f aca="false">IF(I1437="","",IFERROR(INDEX('Campos Growths'!$L:$L,MATCH(H1437,'Campos Growths'!$A:$A,0)),""))</f>
        <v/>
      </c>
      <c r="L1437" s="7" t="str">
        <f aca="false">IF(A1437="","",IF(G1437="não","Sem tabela no Growths",IF(I1437="","Sem campo no Growths",IF(J1437=K1437,"Importa direto","Ajustar tipo"))))</f>
        <v/>
      </c>
      <c r="M1437" s="9"/>
    </row>
    <row r="1438" customFormat="false" ht="15" hidden="false" customHeight="false" outlineLevel="0" collapsed="false">
      <c r="A1438" s="7" t="str">
        <f aca="false">IF('Outro banco'!A1438="","",IF(LEFT('Outro banco'!A1438,1)="(","",'Outro banco'!A1438))</f>
        <v/>
      </c>
      <c r="B1438" s="7" t="str">
        <f aca="false">IF(A1438="","",'Outro banco'!B1438)</f>
        <v/>
      </c>
      <c r="C1438" s="7" t="str">
        <f aca="false">IF(A1438="","",'Outro banco'!C1438)</f>
        <v/>
      </c>
      <c r="D1438" s="7" t="str">
        <f aca="false">IF(A1438="","",'Outro banco'!D1438)</f>
        <v/>
      </c>
      <c r="E1438" s="9"/>
      <c r="F1438" s="9"/>
      <c r="G1438" s="7" t="str">
        <f aca="false">IF(A1438="","",IF(COUNTIF(Tabelas!$A:$A,IF(E1438="",A1438,E1438))&gt;0,"sim","não"))</f>
        <v/>
      </c>
      <c r="H1438" s="7" t="str">
        <f aca="false">IF(A1438="","",IF(E1438="",A1438,E1438)&amp;"."&amp;IF(F1438="",B1438,F1438))</f>
        <v/>
      </c>
      <c r="I1438" s="7" t="str">
        <f aca="false">IF(A1438="","",IFERROR(INDEX('Campos Growths'!$F:$F,MATCH(H1438,'Campos Growths'!$A:$A,0)),""))</f>
        <v/>
      </c>
      <c r="J1438" s="7" t="str">
        <f aca="false">IF(A1438="","",IFERROR(VLOOKUP(IF(ISNUMBER(SEARCH("(",C1438)),LEFT(C1438,SEARCH("(",C1438)-1),C1438),Tipos!$A:$B,2,FALSE()),"outro"))</f>
        <v/>
      </c>
      <c r="K1438" s="7" t="str">
        <f aca="false">IF(I1438="","",IFERROR(INDEX('Campos Growths'!$L:$L,MATCH(H1438,'Campos Growths'!$A:$A,0)),""))</f>
        <v/>
      </c>
      <c r="L1438" s="7" t="str">
        <f aca="false">IF(A1438="","",IF(G1438="não","Sem tabela no Growths",IF(I1438="","Sem campo no Growths",IF(J1438=K1438,"Importa direto","Ajustar tipo"))))</f>
        <v/>
      </c>
      <c r="M1438" s="9"/>
    </row>
    <row r="1439" customFormat="false" ht="15" hidden="false" customHeight="false" outlineLevel="0" collapsed="false">
      <c r="A1439" s="7" t="str">
        <f aca="false">IF('Outro banco'!A1439="","",IF(LEFT('Outro banco'!A1439,1)="(","",'Outro banco'!A1439))</f>
        <v/>
      </c>
      <c r="B1439" s="7" t="str">
        <f aca="false">IF(A1439="","",'Outro banco'!B1439)</f>
        <v/>
      </c>
      <c r="C1439" s="7" t="str">
        <f aca="false">IF(A1439="","",'Outro banco'!C1439)</f>
        <v/>
      </c>
      <c r="D1439" s="7" t="str">
        <f aca="false">IF(A1439="","",'Outro banco'!D1439)</f>
        <v/>
      </c>
      <c r="E1439" s="9"/>
      <c r="F1439" s="9"/>
      <c r="G1439" s="7" t="str">
        <f aca="false">IF(A1439="","",IF(COUNTIF(Tabelas!$A:$A,IF(E1439="",A1439,E1439))&gt;0,"sim","não"))</f>
        <v/>
      </c>
      <c r="H1439" s="7" t="str">
        <f aca="false">IF(A1439="","",IF(E1439="",A1439,E1439)&amp;"."&amp;IF(F1439="",B1439,F1439))</f>
        <v/>
      </c>
      <c r="I1439" s="7" t="str">
        <f aca="false">IF(A1439="","",IFERROR(INDEX('Campos Growths'!$F:$F,MATCH(H1439,'Campos Growths'!$A:$A,0)),""))</f>
        <v/>
      </c>
      <c r="J1439" s="7" t="str">
        <f aca="false">IF(A1439="","",IFERROR(VLOOKUP(IF(ISNUMBER(SEARCH("(",C1439)),LEFT(C1439,SEARCH("(",C1439)-1),C1439),Tipos!$A:$B,2,FALSE()),"outro"))</f>
        <v/>
      </c>
      <c r="K1439" s="7" t="str">
        <f aca="false">IF(I1439="","",IFERROR(INDEX('Campos Growths'!$L:$L,MATCH(H1439,'Campos Growths'!$A:$A,0)),""))</f>
        <v/>
      </c>
      <c r="L1439" s="7" t="str">
        <f aca="false">IF(A1439="","",IF(G1439="não","Sem tabela no Growths",IF(I1439="","Sem campo no Growths",IF(J1439=K1439,"Importa direto","Ajustar tipo"))))</f>
        <v/>
      </c>
      <c r="M1439" s="9"/>
    </row>
    <row r="1440" customFormat="false" ht="15" hidden="false" customHeight="false" outlineLevel="0" collapsed="false">
      <c r="A1440" s="7" t="str">
        <f aca="false">IF('Outro banco'!A1440="","",IF(LEFT('Outro banco'!A1440,1)="(","",'Outro banco'!A1440))</f>
        <v/>
      </c>
      <c r="B1440" s="7" t="str">
        <f aca="false">IF(A1440="","",'Outro banco'!B1440)</f>
        <v/>
      </c>
      <c r="C1440" s="7" t="str">
        <f aca="false">IF(A1440="","",'Outro banco'!C1440)</f>
        <v/>
      </c>
      <c r="D1440" s="7" t="str">
        <f aca="false">IF(A1440="","",'Outro banco'!D1440)</f>
        <v/>
      </c>
      <c r="E1440" s="9"/>
      <c r="F1440" s="9"/>
      <c r="G1440" s="7" t="str">
        <f aca="false">IF(A1440="","",IF(COUNTIF(Tabelas!$A:$A,IF(E1440="",A1440,E1440))&gt;0,"sim","não"))</f>
        <v/>
      </c>
      <c r="H1440" s="7" t="str">
        <f aca="false">IF(A1440="","",IF(E1440="",A1440,E1440)&amp;"."&amp;IF(F1440="",B1440,F1440))</f>
        <v/>
      </c>
      <c r="I1440" s="7" t="str">
        <f aca="false">IF(A1440="","",IFERROR(INDEX('Campos Growths'!$F:$F,MATCH(H1440,'Campos Growths'!$A:$A,0)),""))</f>
        <v/>
      </c>
      <c r="J1440" s="7" t="str">
        <f aca="false">IF(A1440="","",IFERROR(VLOOKUP(IF(ISNUMBER(SEARCH("(",C1440)),LEFT(C1440,SEARCH("(",C1440)-1),C1440),Tipos!$A:$B,2,FALSE()),"outro"))</f>
        <v/>
      </c>
      <c r="K1440" s="7" t="str">
        <f aca="false">IF(I1440="","",IFERROR(INDEX('Campos Growths'!$L:$L,MATCH(H1440,'Campos Growths'!$A:$A,0)),""))</f>
        <v/>
      </c>
      <c r="L1440" s="7" t="str">
        <f aca="false">IF(A1440="","",IF(G1440="não","Sem tabela no Growths",IF(I1440="","Sem campo no Growths",IF(J1440=K1440,"Importa direto","Ajustar tipo"))))</f>
        <v/>
      </c>
      <c r="M1440" s="9"/>
    </row>
    <row r="1441" customFormat="false" ht="15" hidden="false" customHeight="false" outlineLevel="0" collapsed="false">
      <c r="A1441" s="7" t="str">
        <f aca="false">IF('Outro banco'!A1441="","",IF(LEFT('Outro banco'!A1441,1)="(","",'Outro banco'!A1441))</f>
        <v/>
      </c>
      <c r="B1441" s="7" t="str">
        <f aca="false">IF(A1441="","",'Outro banco'!B1441)</f>
        <v/>
      </c>
      <c r="C1441" s="7" t="str">
        <f aca="false">IF(A1441="","",'Outro banco'!C1441)</f>
        <v/>
      </c>
      <c r="D1441" s="7" t="str">
        <f aca="false">IF(A1441="","",'Outro banco'!D1441)</f>
        <v/>
      </c>
      <c r="E1441" s="9"/>
      <c r="F1441" s="9"/>
      <c r="G1441" s="7" t="str">
        <f aca="false">IF(A1441="","",IF(COUNTIF(Tabelas!$A:$A,IF(E1441="",A1441,E1441))&gt;0,"sim","não"))</f>
        <v/>
      </c>
      <c r="H1441" s="7" t="str">
        <f aca="false">IF(A1441="","",IF(E1441="",A1441,E1441)&amp;"."&amp;IF(F1441="",B1441,F1441))</f>
        <v/>
      </c>
      <c r="I1441" s="7" t="str">
        <f aca="false">IF(A1441="","",IFERROR(INDEX('Campos Growths'!$F:$F,MATCH(H1441,'Campos Growths'!$A:$A,0)),""))</f>
        <v/>
      </c>
      <c r="J1441" s="7" t="str">
        <f aca="false">IF(A1441="","",IFERROR(VLOOKUP(IF(ISNUMBER(SEARCH("(",C1441)),LEFT(C1441,SEARCH("(",C1441)-1),C1441),Tipos!$A:$B,2,FALSE()),"outro"))</f>
        <v/>
      </c>
      <c r="K1441" s="7" t="str">
        <f aca="false">IF(I1441="","",IFERROR(INDEX('Campos Growths'!$L:$L,MATCH(H1441,'Campos Growths'!$A:$A,0)),""))</f>
        <v/>
      </c>
      <c r="L1441" s="7" t="str">
        <f aca="false">IF(A1441="","",IF(G1441="não","Sem tabela no Growths",IF(I1441="","Sem campo no Growths",IF(J1441=K1441,"Importa direto","Ajustar tipo"))))</f>
        <v/>
      </c>
      <c r="M1441" s="9"/>
    </row>
    <row r="1442" customFormat="false" ht="15" hidden="false" customHeight="false" outlineLevel="0" collapsed="false">
      <c r="A1442" s="7" t="str">
        <f aca="false">IF('Outro banco'!A1442="","",IF(LEFT('Outro banco'!A1442,1)="(","",'Outro banco'!A1442))</f>
        <v/>
      </c>
      <c r="B1442" s="7" t="str">
        <f aca="false">IF(A1442="","",'Outro banco'!B1442)</f>
        <v/>
      </c>
      <c r="C1442" s="7" t="str">
        <f aca="false">IF(A1442="","",'Outro banco'!C1442)</f>
        <v/>
      </c>
      <c r="D1442" s="7" t="str">
        <f aca="false">IF(A1442="","",'Outro banco'!D1442)</f>
        <v/>
      </c>
      <c r="E1442" s="9"/>
      <c r="F1442" s="9"/>
      <c r="G1442" s="7" t="str">
        <f aca="false">IF(A1442="","",IF(COUNTIF(Tabelas!$A:$A,IF(E1442="",A1442,E1442))&gt;0,"sim","não"))</f>
        <v/>
      </c>
      <c r="H1442" s="7" t="str">
        <f aca="false">IF(A1442="","",IF(E1442="",A1442,E1442)&amp;"."&amp;IF(F1442="",B1442,F1442))</f>
        <v/>
      </c>
      <c r="I1442" s="7" t="str">
        <f aca="false">IF(A1442="","",IFERROR(INDEX('Campos Growths'!$F:$F,MATCH(H1442,'Campos Growths'!$A:$A,0)),""))</f>
        <v/>
      </c>
      <c r="J1442" s="7" t="str">
        <f aca="false">IF(A1442="","",IFERROR(VLOOKUP(IF(ISNUMBER(SEARCH("(",C1442)),LEFT(C1442,SEARCH("(",C1442)-1),C1442),Tipos!$A:$B,2,FALSE()),"outro"))</f>
        <v/>
      </c>
      <c r="K1442" s="7" t="str">
        <f aca="false">IF(I1442="","",IFERROR(INDEX('Campos Growths'!$L:$L,MATCH(H1442,'Campos Growths'!$A:$A,0)),""))</f>
        <v/>
      </c>
      <c r="L1442" s="7" t="str">
        <f aca="false">IF(A1442="","",IF(G1442="não","Sem tabela no Growths",IF(I1442="","Sem campo no Growths",IF(J1442=K1442,"Importa direto","Ajustar tipo"))))</f>
        <v/>
      </c>
      <c r="M1442" s="9"/>
    </row>
    <row r="1443" customFormat="false" ht="15" hidden="false" customHeight="false" outlineLevel="0" collapsed="false">
      <c r="A1443" s="7" t="str">
        <f aca="false">IF('Outro banco'!A1443="","",IF(LEFT('Outro banco'!A1443,1)="(","",'Outro banco'!A1443))</f>
        <v/>
      </c>
      <c r="B1443" s="7" t="str">
        <f aca="false">IF(A1443="","",'Outro banco'!B1443)</f>
        <v/>
      </c>
      <c r="C1443" s="7" t="str">
        <f aca="false">IF(A1443="","",'Outro banco'!C1443)</f>
        <v/>
      </c>
      <c r="D1443" s="7" t="str">
        <f aca="false">IF(A1443="","",'Outro banco'!D1443)</f>
        <v/>
      </c>
      <c r="E1443" s="9"/>
      <c r="F1443" s="9"/>
      <c r="G1443" s="7" t="str">
        <f aca="false">IF(A1443="","",IF(COUNTIF(Tabelas!$A:$A,IF(E1443="",A1443,E1443))&gt;0,"sim","não"))</f>
        <v/>
      </c>
      <c r="H1443" s="7" t="str">
        <f aca="false">IF(A1443="","",IF(E1443="",A1443,E1443)&amp;"."&amp;IF(F1443="",B1443,F1443))</f>
        <v/>
      </c>
      <c r="I1443" s="7" t="str">
        <f aca="false">IF(A1443="","",IFERROR(INDEX('Campos Growths'!$F:$F,MATCH(H1443,'Campos Growths'!$A:$A,0)),""))</f>
        <v/>
      </c>
      <c r="J1443" s="7" t="str">
        <f aca="false">IF(A1443="","",IFERROR(VLOOKUP(IF(ISNUMBER(SEARCH("(",C1443)),LEFT(C1443,SEARCH("(",C1443)-1),C1443),Tipos!$A:$B,2,FALSE()),"outro"))</f>
        <v/>
      </c>
      <c r="K1443" s="7" t="str">
        <f aca="false">IF(I1443="","",IFERROR(INDEX('Campos Growths'!$L:$L,MATCH(H1443,'Campos Growths'!$A:$A,0)),""))</f>
        <v/>
      </c>
      <c r="L1443" s="7" t="str">
        <f aca="false">IF(A1443="","",IF(G1443="não","Sem tabela no Growths",IF(I1443="","Sem campo no Growths",IF(J1443=K1443,"Importa direto","Ajustar tipo"))))</f>
        <v/>
      </c>
      <c r="M1443" s="9"/>
    </row>
    <row r="1444" customFormat="false" ht="15" hidden="false" customHeight="false" outlineLevel="0" collapsed="false">
      <c r="A1444" s="7" t="str">
        <f aca="false">IF('Outro banco'!A1444="","",IF(LEFT('Outro banco'!A1444,1)="(","",'Outro banco'!A1444))</f>
        <v/>
      </c>
      <c r="B1444" s="7" t="str">
        <f aca="false">IF(A1444="","",'Outro banco'!B1444)</f>
        <v/>
      </c>
      <c r="C1444" s="7" t="str">
        <f aca="false">IF(A1444="","",'Outro banco'!C1444)</f>
        <v/>
      </c>
      <c r="D1444" s="7" t="str">
        <f aca="false">IF(A1444="","",'Outro banco'!D1444)</f>
        <v/>
      </c>
      <c r="E1444" s="9"/>
      <c r="F1444" s="9"/>
      <c r="G1444" s="7" t="str">
        <f aca="false">IF(A1444="","",IF(COUNTIF(Tabelas!$A:$A,IF(E1444="",A1444,E1444))&gt;0,"sim","não"))</f>
        <v/>
      </c>
      <c r="H1444" s="7" t="str">
        <f aca="false">IF(A1444="","",IF(E1444="",A1444,E1444)&amp;"."&amp;IF(F1444="",B1444,F1444))</f>
        <v/>
      </c>
      <c r="I1444" s="7" t="str">
        <f aca="false">IF(A1444="","",IFERROR(INDEX('Campos Growths'!$F:$F,MATCH(H1444,'Campos Growths'!$A:$A,0)),""))</f>
        <v/>
      </c>
      <c r="J1444" s="7" t="str">
        <f aca="false">IF(A1444="","",IFERROR(VLOOKUP(IF(ISNUMBER(SEARCH("(",C1444)),LEFT(C1444,SEARCH("(",C1444)-1),C1444),Tipos!$A:$B,2,FALSE()),"outro"))</f>
        <v/>
      </c>
      <c r="K1444" s="7" t="str">
        <f aca="false">IF(I1444="","",IFERROR(INDEX('Campos Growths'!$L:$L,MATCH(H1444,'Campos Growths'!$A:$A,0)),""))</f>
        <v/>
      </c>
      <c r="L1444" s="7" t="str">
        <f aca="false">IF(A1444="","",IF(G1444="não","Sem tabela no Growths",IF(I1444="","Sem campo no Growths",IF(J1444=K1444,"Importa direto","Ajustar tipo"))))</f>
        <v/>
      </c>
      <c r="M1444" s="9"/>
    </row>
    <row r="1445" customFormat="false" ht="15" hidden="false" customHeight="false" outlineLevel="0" collapsed="false">
      <c r="A1445" s="7" t="str">
        <f aca="false">IF('Outro banco'!A1445="","",IF(LEFT('Outro banco'!A1445,1)="(","",'Outro banco'!A1445))</f>
        <v/>
      </c>
      <c r="B1445" s="7" t="str">
        <f aca="false">IF(A1445="","",'Outro banco'!B1445)</f>
        <v/>
      </c>
      <c r="C1445" s="7" t="str">
        <f aca="false">IF(A1445="","",'Outro banco'!C1445)</f>
        <v/>
      </c>
      <c r="D1445" s="7" t="str">
        <f aca="false">IF(A1445="","",'Outro banco'!D1445)</f>
        <v/>
      </c>
      <c r="E1445" s="9"/>
      <c r="F1445" s="9"/>
      <c r="G1445" s="7" t="str">
        <f aca="false">IF(A1445="","",IF(COUNTIF(Tabelas!$A:$A,IF(E1445="",A1445,E1445))&gt;0,"sim","não"))</f>
        <v/>
      </c>
      <c r="H1445" s="7" t="str">
        <f aca="false">IF(A1445="","",IF(E1445="",A1445,E1445)&amp;"."&amp;IF(F1445="",B1445,F1445))</f>
        <v/>
      </c>
      <c r="I1445" s="7" t="str">
        <f aca="false">IF(A1445="","",IFERROR(INDEX('Campos Growths'!$F:$F,MATCH(H1445,'Campos Growths'!$A:$A,0)),""))</f>
        <v/>
      </c>
      <c r="J1445" s="7" t="str">
        <f aca="false">IF(A1445="","",IFERROR(VLOOKUP(IF(ISNUMBER(SEARCH("(",C1445)),LEFT(C1445,SEARCH("(",C1445)-1),C1445),Tipos!$A:$B,2,FALSE()),"outro"))</f>
        <v/>
      </c>
      <c r="K1445" s="7" t="str">
        <f aca="false">IF(I1445="","",IFERROR(INDEX('Campos Growths'!$L:$L,MATCH(H1445,'Campos Growths'!$A:$A,0)),""))</f>
        <v/>
      </c>
      <c r="L1445" s="7" t="str">
        <f aca="false">IF(A1445="","",IF(G1445="não","Sem tabela no Growths",IF(I1445="","Sem campo no Growths",IF(J1445=K1445,"Importa direto","Ajustar tipo"))))</f>
        <v/>
      </c>
      <c r="M1445" s="9"/>
    </row>
    <row r="1446" customFormat="false" ht="15" hidden="false" customHeight="false" outlineLevel="0" collapsed="false">
      <c r="A1446" s="7" t="str">
        <f aca="false">IF('Outro banco'!A1446="","",IF(LEFT('Outro banco'!A1446,1)="(","",'Outro banco'!A1446))</f>
        <v/>
      </c>
      <c r="B1446" s="7" t="str">
        <f aca="false">IF(A1446="","",'Outro banco'!B1446)</f>
        <v/>
      </c>
      <c r="C1446" s="7" t="str">
        <f aca="false">IF(A1446="","",'Outro banco'!C1446)</f>
        <v/>
      </c>
      <c r="D1446" s="7" t="str">
        <f aca="false">IF(A1446="","",'Outro banco'!D1446)</f>
        <v/>
      </c>
      <c r="E1446" s="9"/>
      <c r="F1446" s="9"/>
      <c r="G1446" s="7" t="str">
        <f aca="false">IF(A1446="","",IF(COUNTIF(Tabelas!$A:$A,IF(E1446="",A1446,E1446))&gt;0,"sim","não"))</f>
        <v/>
      </c>
      <c r="H1446" s="7" t="str">
        <f aca="false">IF(A1446="","",IF(E1446="",A1446,E1446)&amp;"."&amp;IF(F1446="",B1446,F1446))</f>
        <v/>
      </c>
      <c r="I1446" s="7" t="str">
        <f aca="false">IF(A1446="","",IFERROR(INDEX('Campos Growths'!$F:$F,MATCH(H1446,'Campos Growths'!$A:$A,0)),""))</f>
        <v/>
      </c>
      <c r="J1446" s="7" t="str">
        <f aca="false">IF(A1446="","",IFERROR(VLOOKUP(IF(ISNUMBER(SEARCH("(",C1446)),LEFT(C1446,SEARCH("(",C1446)-1),C1446),Tipos!$A:$B,2,FALSE()),"outro"))</f>
        <v/>
      </c>
      <c r="K1446" s="7" t="str">
        <f aca="false">IF(I1446="","",IFERROR(INDEX('Campos Growths'!$L:$L,MATCH(H1446,'Campos Growths'!$A:$A,0)),""))</f>
        <v/>
      </c>
      <c r="L1446" s="7" t="str">
        <f aca="false">IF(A1446="","",IF(G1446="não","Sem tabela no Growths",IF(I1446="","Sem campo no Growths",IF(J1446=K1446,"Importa direto","Ajustar tipo"))))</f>
        <v/>
      </c>
      <c r="M1446" s="9"/>
    </row>
    <row r="1447" customFormat="false" ht="15" hidden="false" customHeight="false" outlineLevel="0" collapsed="false">
      <c r="A1447" s="7" t="str">
        <f aca="false">IF('Outro banco'!A1447="","",IF(LEFT('Outro banco'!A1447,1)="(","",'Outro banco'!A1447))</f>
        <v/>
      </c>
      <c r="B1447" s="7" t="str">
        <f aca="false">IF(A1447="","",'Outro banco'!B1447)</f>
        <v/>
      </c>
      <c r="C1447" s="7" t="str">
        <f aca="false">IF(A1447="","",'Outro banco'!C1447)</f>
        <v/>
      </c>
      <c r="D1447" s="7" t="str">
        <f aca="false">IF(A1447="","",'Outro banco'!D1447)</f>
        <v/>
      </c>
      <c r="E1447" s="9"/>
      <c r="F1447" s="9"/>
      <c r="G1447" s="7" t="str">
        <f aca="false">IF(A1447="","",IF(COUNTIF(Tabelas!$A:$A,IF(E1447="",A1447,E1447))&gt;0,"sim","não"))</f>
        <v/>
      </c>
      <c r="H1447" s="7" t="str">
        <f aca="false">IF(A1447="","",IF(E1447="",A1447,E1447)&amp;"."&amp;IF(F1447="",B1447,F1447))</f>
        <v/>
      </c>
      <c r="I1447" s="7" t="str">
        <f aca="false">IF(A1447="","",IFERROR(INDEX('Campos Growths'!$F:$F,MATCH(H1447,'Campos Growths'!$A:$A,0)),""))</f>
        <v/>
      </c>
      <c r="J1447" s="7" t="str">
        <f aca="false">IF(A1447="","",IFERROR(VLOOKUP(IF(ISNUMBER(SEARCH("(",C1447)),LEFT(C1447,SEARCH("(",C1447)-1),C1447),Tipos!$A:$B,2,FALSE()),"outro"))</f>
        <v/>
      </c>
      <c r="K1447" s="7" t="str">
        <f aca="false">IF(I1447="","",IFERROR(INDEX('Campos Growths'!$L:$L,MATCH(H1447,'Campos Growths'!$A:$A,0)),""))</f>
        <v/>
      </c>
      <c r="L1447" s="7" t="str">
        <f aca="false">IF(A1447="","",IF(G1447="não","Sem tabela no Growths",IF(I1447="","Sem campo no Growths",IF(J1447=K1447,"Importa direto","Ajustar tipo"))))</f>
        <v/>
      </c>
      <c r="M1447" s="9"/>
    </row>
    <row r="1448" customFormat="false" ht="15" hidden="false" customHeight="false" outlineLevel="0" collapsed="false">
      <c r="A1448" s="7" t="str">
        <f aca="false">IF('Outro banco'!A1448="","",IF(LEFT('Outro banco'!A1448,1)="(","",'Outro banco'!A1448))</f>
        <v/>
      </c>
      <c r="B1448" s="7" t="str">
        <f aca="false">IF(A1448="","",'Outro banco'!B1448)</f>
        <v/>
      </c>
      <c r="C1448" s="7" t="str">
        <f aca="false">IF(A1448="","",'Outro banco'!C1448)</f>
        <v/>
      </c>
      <c r="D1448" s="7" t="str">
        <f aca="false">IF(A1448="","",'Outro banco'!D1448)</f>
        <v/>
      </c>
      <c r="E1448" s="9"/>
      <c r="F1448" s="9"/>
      <c r="G1448" s="7" t="str">
        <f aca="false">IF(A1448="","",IF(COUNTIF(Tabelas!$A:$A,IF(E1448="",A1448,E1448))&gt;0,"sim","não"))</f>
        <v/>
      </c>
      <c r="H1448" s="7" t="str">
        <f aca="false">IF(A1448="","",IF(E1448="",A1448,E1448)&amp;"."&amp;IF(F1448="",B1448,F1448))</f>
        <v/>
      </c>
      <c r="I1448" s="7" t="str">
        <f aca="false">IF(A1448="","",IFERROR(INDEX('Campos Growths'!$F:$F,MATCH(H1448,'Campos Growths'!$A:$A,0)),""))</f>
        <v/>
      </c>
      <c r="J1448" s="7" t="str">
        <f aca="false">IF(A1448="","",IFERROR(VLOOKUP(IF(ISNUMBER(SEARCH("(",C1448)),LEFT(C1448,SEARCH("(",C1448)-1),C1448),Tipos!$A:$B,2,FALSE()),"outro"))</f>
        <v/>
      </c>
      <c r="K1448" s="7" t="str">
        <f aca="false">IF(I1448="","",IFERROR(INDEX('Campos Growths'!$L:$L,MATCH(H1448,'Campos Growths'!$A:$A,0)),""))</f>
        <v/>
      </c>
      <c r="L1448" s="7" t="str">
        <f aca="false">IF(A1448="","",IF(G1448="não","Sem tabela no Growths",IF(I1448="","Sem campo no Growths",IF(J1448=K1448,"Importa direto","Ajustar tipo"))))</f>
        <v/>
      </c>
      <c r="M1448" s="9"/>
    </row>
    <row r="1449" customFormat="false" ht="15" hidden="false" customHeight="false" outlineLevel="0" collapsed="false">
      <c r="A1449" s="7" t="str">
        <f aca="false">IF('Outro banco'!A1449="","",IF(LEFT('Outro banco'!A1449,1)="(","",'Outro banco'!A1449))</f>
        <v/>
      </c>
      <c r="B1449" s="7" t="str">
        <f aca="false">IF(A1449="","",'Outro banco'!B1449)</f>
        <v/>
      </c>
      <c r="C1449" s="7" t="str">
        <f aca="false">IF(A1449="","",'Outro banco'!C1449)</f>
        <v/>
      </c>
      <c r="D1449" s="7" t="str">
        <f aca="false">IF(A1449="","",'Outro banco'!D1449)</f>
        <v/>
      </c>
      <c r="E1449" s="9"/>
      <c r="F1449" s="9"/>
      <c r="G1449" s="7" t="str">
        <f aca="false">IF(A1449="","",IF(COUNTIF(Tabelas!$A:$A,IF(E1449="",A1449,E1449))&gt;0,"sim","não"))</f>
        <v/>
      </c>
      <c r="H1449" s="7" t="str">
        <f aca="false">IF(A1449="","",IF(E1449="",A1449,E1449)&amp;"."&amp;IF(F1449="",B1449,F1449))</f>
        <v/>
      </c>
      <c r="I1449" s="7" t="str">
        <f aca="false">IF(A1449="","",IFERROR(INDEX('Campos Growths'!$F:$F,MATCH(H1449,'Campos Growths'!$A:$A,0)),""))</f>
        <v/>
      </c>
      <c r="J1449" s="7" t="str">
        <f aca="false">IF(A1449="","",IFERROR(VLOOKUP(IF(ISNUMBER(SEARCH("(",C1449)),LEFT(C1449,SEARCH("(",C1449)-1),C1449),Tipos!$A:$B,2,FALSE()),"outro"))</f>
        <v/>
      </c>
      <c r="K1449" s="7" t="str">
        <f aca="false">IF(I1449="","",IFERROR(INDEX('Campos Growths'!$L:$L,MATCH(H1449,'Campos Growths'!$A:$A,0)),""))</f>
        <v/>
      </c>
      <c r="L1449" s="7" t="str">
        <f aca="false">IF(A1449="","",IF(G1449="não","Sem tabela no Growths",IF(I1449="","Sem campo no Growths",IF(J1449=K1449,"Importa direto","Ajustar tipo"))))</f>
        <v/>
      </c>
      <c r="M1449" s="9"/>
    </row>
    <row r="1450" customFormat="false" ht="15" hidden="false" customHeight="false" outlineLevel="0" collapsed="false">
      <c r="A1450" s="7" t="str">
        <f aca="false">IF('Outro banco'!A1450="","",IF(LEFT('Outro banco'!A1450,1)="(","",'Outro banco'!A1450))</f>
        <v/>
      </c>
      <c r="B1450" s="7" t="str">
        <f aca="false">IF(A1450="","",'Outro banco'!B1450)</f>
        <v/>
      </c>
      <c r="C1450" s="7" t="str">
        <f aca="false">IF(A1450="","",'Outro banco'!C1450)</f>
        <v/>
      </c>
      <c r="D1450" s="7" t="str">
        <f aca="false">IF(A1450="","",'Outro banco'!D1450)</f>
        <v/>
      </c>
      <c r="E1450" s="9"/>
      <c r="F1450" s="9"/>
      <c r="G1450" s="7" t="str">
        <f aca="false">IF(A1450="","",IF(COUNTIF(Tabelas!$A:$A,IF(E1450="",A1450,E1450))&gt;0,"sim","não"))</f>
        <v/>
      </c>
      <c r="H1450" s="7" t="str">
        <f aca="false">IF(A1450="","",IF(E1450="",A1450,E1450)&amp;"."&amp;IF(F1450="",B1450,F1450))</f>
        <v/>
      </c>
      <c r="I1450" s="7" t="str">
        <f aca="false">IF(A1450="","",IFERROR(INDEX('Campos Growths'!$F:$F,MATCH(H1450,'Campos Growths'!$A:$A,0)),""))</f>
        <v/>
      </c>
      <c r="J1450" s="7" t="str">
        <f aca="false">IF(A1450="","",IFERROR(VLOOKUP(IF(ISNUMBER(SEARCH("(",C1450)),LEFT(C1450,SEARCH("(",C1450)-1),C1450),Tipos!$A:$B,2,FALSE()),"outro"))</f>
        <v/>
      </c>
      <c r="K1450" s="7" t="str">
        <f aca="false">IF(I1450="","",IFERROR(INDEX('Campos Growths'!$L:$L,MATCH(H1450,'Campos Growths'!$A:$A,0)),""))</f>
        <v/>
      </c>
      <c r="L1450" s="7" t="str">
        <f aca="false">IF(A1450="","",IF(G1450="não","Sem tabela no Growths",IF(I1450="","Sem campo no Growths",IF(J1450=K1450,"Importa direto","Ajustar tipo"))))</f>
        <v/>
      </c>
      <c r="M1450" s="9"/>
    </row>
    <row r="1451" customFormat="false" ht="15" hidden="false" customHeight="false" outlineLevel="0" collapsed="false">
      <c r="A1451" s="7" t="str">
        <f aca="false">IF('Outro banco'!A1451="","",IF(LEFT('Outro banco'!A1451,1)="(","",'Outro banco'!A1451))</f>
        <v/>
      </c>
      <c r="B1451" s="7" t="str">
        <f aca="false">IF(A1451="","",'Outro banco'!B1451)</f>
        <v/>
      </c>
      <c r="C1451" s="7" t="str">
        <f aca="false">IF(A1451="","",'Outro banco'!C1451)</f>
        <v/>
      </c>
      <c r="D1451" s="7" t="str">
        <f aca="false">IF(A1451="","",'Outro banco'!D1451)</f>
        <v/>
      </c>
      <c r="E1451" s="9"/>
      <c r="F1451" s="9"/>
      <c r="G1451" s="7" t="str">
        <f aca="false">IF(A1451="","",IF(COUNTIF(Tabelas!$A:$A,IF(E1451="",A1451,E1451))&gt;0,"sim","não"))</f>
        <v/>
      </c>
      <c r="H1451" s="7" t="str">
        <f aca="false">IF(A1451="","",IF(E1451="",A1451,E1451)&amp;"."&amp;IF(F1451="",B1451,F1451))</f>
        <v/>
      </c>
      <c r="I1451" s="7" t="str">
        <f aca="false">IF(A1451="","",IFERROR(INDEX('Campos Growths'!$F:$F,MATCH(H1451,'Campos Growths'!$A:$A,0)),""))</f>
        <v/>
      </c>
      <c r="J1451" s="7" t="str">
        <f aca="false">IF(A1451="","",IFERROR(VLOOKUP(IF(ISNUMBER(SEARCH("(",C1451)),LEFT(C1451,SEARCH("(",C1451)-1),C1451),Tipos!$A:$B,2,FALSE()),"outro"))</f>
        <v/>
      </c>
      <c r="K1451" s="7" t="str">
        <f aca="false">IF(I1451="","",IFERROR(INDEX('Campos Growths'!$L:$L,MATCH(H1451,'Campos Growths'!$A:$A,0)),""))</f>
        <v/>
      </c>
      <c r="L1451" s="7" t="str">
        <f aca="false">IF(A1451="","",IF(G1451="não","Sem tabela no Growths",IF(I1451="","Sem campo no Growths",IF(J1451=K1451,"Importa direto","Ajustar tipo"))))</f>
        <v/>
      </c>
      <c r="M1451" s="9"/>
    </row>
    <row r="1452" customFormat="false" ht="15" hidden="false" customHeight="false" outlineLevel="0" collapsed="false">
      <c r="A1452" s="7" t="str">
        <f aca="false">IF('Outro banco'!A1452="","",IF(LEFT('Outro banco'!A1452,1)="(","",'Outro banco'!A1452))</f>
        <v/>
      </c>
      <c r="B1452" s="7" t="str">
        <f aca="false">IF(A1452="","",'Outro banco'!B1452)</f>
        <v/>
      </c>
      <c r="C1452" s="7" t="str">
        <f aca="false">IF(A1452="","",'Outro banco'!C1452)</f>
        <v/>
      </c>
      <c r="D1452" s="7" t="str">
        <f aca="false">IF(A1452="","",'Outro banco'!D1452)</f>
        <v/>
      </c>
      <c r="E1452" s="9"/>
      <c r="F1452" s="9"/>
      <c r="G1452" s="7" t="str">
        <f aca="false">IF(A1452="","",IF(COUNTIF(Tabelas!$A:$A,IF(E1452="",A1452,E1452))&gt;0,"sim","não"))</f>
        <v/>
      </c>
      <c r="H1452" s="7" t="str">
        <f aca="false">IF(A1452="","",IF(E1452="",A1452,E1452)&amp;"."&amp;IF(F1452="",B1452,F1452))</f>
        <v/>
      </c>
      <c r="I1452" s="7" t="str">
        <f aca="false">IF(A1452="","",IFERROR(INDEX('Campos Growths'!$F:$F,MATCH(H1452,'Campos Growths'!$A:$A,0)),""))</f>
        <v/>
      </c>
      <c r="J1452" s="7" t="str">
        <f aca="false">IF(A1452="","",IFERROR(VLOOKUP(IF(ISNUMBER(SEARCH("(",C1452)),LEFT(C1452,SEARCH("(",C1452)-1),C1452),Tipos!$A:$B,2,FALSE()),"outro"))</f>
        <v/>
      </c>
      <c r="K1452" s="7" t="str">
        <f aca="false">IF(I1452="","",IFERROR(INDEX('Campos Growths'!$L:$L,MATCH(H1452,'Campos Growths'!$A:$A,0)),""))</f>
        <v/>
      </c>
      <c r="L1452" s="7" t="str">
        <f aca="false">IF(A1452="","",IF(G1452="não","Sem tabela no Growths",IF(I1452="","Sem campo no Growths",IF(J1452=K1452,"Importa direto","Ajustar tipo"))))</f>
        <v/>
      </c>
      <c r="M1452" s="9"/>
    </row>
    <row r="1453" customFormat="false" ht="15" hidden="false" customHeight="false" outlineLevel="0" collapsed="false">
      <c r="A1453" s="7" t="str">
        <f aca="false">IF('Outro banco'!A1453="","",IF(LEFT('Outro banco'!A1453,1)="(","",'Outro banco'!A1453))</f>
        <v/>
      </c>
      <c r="B1453" s="7" t="str">
        <f aca="false">IF(A1453="","",'Outro banco'!B1453)</f>
        <v/>
      </c>
      <c r="C1453" s="7" t="str">
        <f aca="false">IF(A1453="","",'Outro banco'!C1453)</f>
        <v/>
      </c>
      <c r="D1453" s="7" t="str">
        <f aca="false">IF(A1453="","",'Outro banco'!D1453)</f>
        <v/>
      </c>
      <c r="E1453" s="9"/>
      <c r="F1453" s="9"/>
      <c r="G1453" s="7" t="str">
        <f aca="false">IF(A1453="","",IF(COUNTIF(Tabelas!$A:$A,IF(E1453="",A1453,E1453))&gt;0,"sim","não"))</f>
        <v/>
      </c>
      <c r="H1453" s="7" t="str">
        <f aca="false">IF(A1453="","",IF(E1453="",A1453,E1453)&amp;"."&amp;IF(F1453="",B1453,F1453))</f>
        <v/>
      </c>
      <c r="I1453" s="7" t="str">
        <f aca="false">IF(A1453="","",IFERROR(INDEX('Campos Growths'!$F:$F,MATCH(H1453,'Campos Growths'!$A:$A,0)),""))</f>
        <v/>
      </c>
      <c r="J1453" s="7" t="str">
        <f aca="false">IF(A1453="","",IFERROR(VLOOKUP(IF(ISNUMBER(SEARCH("(",C1453)),LEFT(C1453,SEARCH("(",C1453)-1),C1453),Tipos!$A:$B,2,FALSE()),"outro"))</f>
        <v/>
      </c>
      <c r="K1453" s="7" t="str">
        <f aca="false">IF(I1453="","",IFERROR(INDEX('Campos Growths'!$L:$L,MATCH(H1453,'Campos Growths'!$A:$A,0)),""))</f>
        <v/>
      </c>
      <c r="L1453" s="7" t="str">
        <f aca="false">IF(A1453="","",IF(G1453="não","Sem tabela no Growths",IF(I1453="","Sem campo no Growths",IF(J1453=K1453,"Importa direto","Ajustar tipo"))))</f>
        <v/>
      </c>
      <c r="M1453" s="9"/>
    </row>
    <row r="1454" customFormat="false" ht="15" hidden="false" customHeight="false" outlineLevel="0" collapsed="false">
      <c r="A1454" s="7" t="str">
        <f aca="false">IF('Outro banco'!A1454="","",IF(LEFT('Outro banco'!A1454,1)="(","",'Outro banco'!A1454))</f>
        <v/>
      </c>
      <c r="B1454" s="7" t="str">
        <f aca="false">IF(A1454="","",'Outro banco'!B1454)</f>
        <v/>
      </c>
      <c r="C1454" s="7" t="str">
        <f aca="false">IF(A1454="","",'Outro banco'!C1454)</f>
        <v/>
      </c>
      <c r="D1454" s="7" t="str">
        <f aca="false">IF(A1454="","",'Outro banco'!D1454)</f>
        <v/>
      </c>
      <c r="E1454" s="9"/>
      <c r="F1454" s="9"/>
      <c r="G1454" s="7" t="str">
        <f aca="false">IF(A1454="","",IF(COUNTIF(Tabelas!$A:$A,IF(E1454="",A1454,E1454))&gt;0,"sim","não"))</f>
        <v/>
      </c>
      <c r="H1454" s="7" t="str">
        <f aca="false">IF(A1454="","",IF(E1454="",A1454,E1454)&amp;"."&amp;IF(F1454="",B1454,F1454))</f>
        <v/>
      </c>
      <c r="I1454" s="7" t="str">
        <f aca="false">IF(A1454="","",IFERROR(INDEX('Campos Growths'!$F:$F,MATCH(H1454,'Campos Growths'!$A:$A,0)),""))</f>
        <v/>
      </c>
      <c r="J1454" s="7" t="str">
        <f aca="false">IF(A1454="","",IFERROR(VLOOKUP(IF(ISNUMBER(SEARCH("(",C1454)),LEFT(C1454,SEARCH("(",C1454)-1),C1454),Tipos!$A:$B,2,FALSE()),"outro"))</f>
        <v/>
      </c>
      <c r="K1454" s="7" t="str">
        <f aca="false">IF(I1454="","",IFERROR(INDEX('Campos Growths'!$L:$L,MATCH(H1454,'Campos Growths'!$A:$A,0)),""))</f>
        <v/>
      </c>
      <c r="L1454" s="7" t="str">
        <f aca="false">IF(A1454="","",IF(G1454="não","Sem tabela no Growths",IF(I1454="","Sem campo no Growths",IF(J1454=K1454,"Importa direto","Ajustar tipo"))))</f>
        <v/>
      </c>
      <c r="M1454" s="9"/>
    </row>
    <row r="1455" customFormat="false" ht="15" hidden="false" customHeight="false" outlineLevel="0" collapsed="false">
      <c r="A1455" s="7" t="str">
        <f aca="false">IF('Outro banco'!A1455="","",IF(LEFT('Outro banco'!A1455,1)="(","",'Outro banco'!A1455))</f>
        <v/>
      </c>
      <c r="B1455" s="7" t="str">
        <f aca="false">IF(A1455="","",'Outro banco'!B1455)</f>
        <v/>
      </c>
      <c r="C1455" s="7" t="str">
        <f aca="false">IF(A1455="","",'Outro banco'!C1455)</f>
        <v/>
      </c>
      <c r="D1455" s="7" t="str">
        <f aca="false">IF(A1455="","",'Outro banco'!D1455)</f>
        <v/>
      </c>
      <c r="E1455" s="9"/>
      <c r="F1455" s="9"/>
      <c r="G1455" s="7" t="str">
        <f aca="false">IF(A1455="","",IF(COUNTIF(Tabelas!$A:$A,IF(E1455="",A1455,E1455))&gt;0,"sim","não"))</f>
        <v/>
      </c>
      <c r="H1455" s="7" t="str">
        <f aca="false">IF(A1455="","",IF(E1455="",A1455,E1455)&amp;"."&amp;IF(F1455="",B1455,F1455))</f>
        <v/>
      </c>
      <c r="I1455" s="7" t="str">
        <f aca="false">IF(A1455="","",IFERROR(INDEX('Campos Growths'!$F:$F,MATCH(H1455,'Campos Growths'!$A:$A,0)),""))</f>
        <v/>
      </c>
      <c r="J1455" s="7" t="str">
        <f aca="false">IF(A1455="","",IFERROR(VLOOKUP(IF(ISNUMBER(SEARCH("(",C1455)),LEFT(C1455,SEARCH("(",C1455)-1),C1455),Tipos!$A:$B,2,FALSE()),"outro"))</f>
        <v/>
      </c>
      <c r="K1455" s="7" t="str">
        <f aca="false">IF(I1455="","",IFERROR(INDEX('Campos Growths'!$L:$L,MATCH(H1455,'Campos Growths'!$A:$A,0)),""))</f>
        <v/>
      </c>
      <c r="L1455" s="7" t="str">
        <f aca="false">IF(A1455="","",IF(G1455="não","Sem tabela no Growths",IF(I1455="","Sem campo no Growths",IF(J1455=K1455,"Importa direto","Ajustar tipo"))))</f>
        <v/>
      </c>
      <c r="M1455" s="9"/>
    </row>
    <row r="1456" customFormat="false" ht="15" hidden="false" customHeight="false" outlineLevel="0" collapsed="false">
      <c r="A1456" s="7" t="str">
        <f aca="false">IF('Outro banco'!A1456="","",IF(LEFT('Outro banco'!A1456,1)="(","",'Outro banco'!A1456))</f>
        <v/>
      </c>
      <c r="B1456" s="7" t="str">
        <f aca="false">IF(A1456="","",'Outro banco'!B1456)</f>
        <v/>
      </c>
      <c r="C1456" s="7" t="str">
        <f aca="false">IF(A1456="","",'Outro banco'!C1456)</f>
        <v/>
      </c>
      <c r="D1456" s="7" t="str">
        <f aca="false">IF(A1456="","",'Outro banco'!D1456)</f>
        <v/>
      </c>
      <c r="E1456" s="9"/>
      <c r="F1456" s="9"/>
      <c r="G1456" s="7" t="str">
        <f aca="false">IF(A1456="","",IF(COUNTIF(Tabelas!$A:$A,IF(E1456="",A1456,E1456))&gt;0,"sim","não"))</f>
        <v/>
      </c>
      <c r="H1456" s="7" t="str">
        <f aca="false">IF(A1456="","",IF(E1456="",A1456,E1456)&amp;"."&amp;IF(F1456="",B1456,F1456))</f>
        <v/>
      </c>
      <c r="I1456" s="7" t="str">
        <f aca="false">IF(A1456="","",IFERROR(INDEX('Campos Growths'!$F:$F,MATCH(H1456,'Campos Growths'!$A:$A,0)),""))</f>
        <v/>
      </c>
      <c r="J1456" s="7" t="str">
        <f aca="false">IF(A1456="","",IFERROR(VLOOKUP(IF(ISNUMBER(SEARCH("(",C1456)),LEFT(C1456,SEARCH("(",C1456)-1),C1456),Tipos!$A:$B,2,FALSE()),"outro"))</f>
        <v/>
      </c>
      <c r="K1456" s="7" t="str">
        <f aca="false">IF(I1456="","",IFERROR(INDEX('Campos Growths'!$L:$L,MATCH(H1456,'Campos Growths'!$A:$A,0)),""))</f>
        <v/>
      </c>
      <c r="L1456" s="7" t="str">
        <f aca="false">IF(A1456="","",IF(G1456="não","Sem tabela no Growths",IF(I1456="","Sem campo no Growths",IF(J1456=K1456,"Importa direto","Ajustar tipo"))))</f>
        <v/>
      </c>
      <c r="M1456" s="9"/>
    </row>
    <row r="1457" customFormat="false" ht="15" hidden="false" customHeight="false" outlineLevel="0" collapsed="false">
      <c r="A1457" s="7" t="str">
        <f aca="false">IF('Outro banco'!A1457="","",IF(LEFT('Outro banco'!A1457,1)="(","",'Outro banco'!A1457))</f>
        <v/>
      </c>
      <c r="B1457" s="7" t="str">
        <f aca="false">IF(A1457="","",'Outro banco'!B1457)</f>
        <v/>
      </c>
      <c r="C1457" s="7" t="str">
        <f aca="false">IF(A1457="","",'Outro banco'!C1457)</f>
        <v/>
      </c>
      <c r="D1457" s="7" t="str">
        <f aca="false">IF(A1457="","",'Outro banco'!D1457)</f>
        <v/>
      </c>
      <c r="E1457" s="9"/>
      <c r="F1457" s="9"/>
      <c r="G1457" s="7" t="str">
        <f aca="false">IF(A1457="","",IF(COUNTIF(Tabelas!$A:$A,IF(E1457="",A1457,E1457))&gt;0,"sim","não"))</f>
        <v/>
      </c>
      <c r="H1457" s="7" t="str">
        <f aca="false">IF(A1457="","",IF(E1457="",A1457,E1457)&amp;"."&amp;IF(F1457="",B1457,F1457))</f>
        <v/>
      </c>
      <c r="I1457" s="7" t="str">
        <f aca="false">IF(A1457="","",IFERROR(INDEX('Campos Growths'!$F:$F,MATCH(H1457,'Campos Growths'!$A:$A,0)),""))</f>
        <v/>
      </c>
      <c r="J1457" s="7" t="str">
        <f aca="false">IF(A1457="","",IFERROR(VLOOKUP(IF(ISNUMBER(SEARCH("(",C1457)),LEFT(C1457,SEARCH("(",C1457)-1),C1457),Tipos!$A:$B,2,FALSE()),"outro"))</f>
        <v/>
      </c>
      <c r="K1457" s="7" t="str">
        <f aca="false">IF(I1457="","",IFERROR(INDEX('Campos Growths'!$L:$L,MATCH(H1457,'Campos Growths'!$A:$A,0)),""))</f>
        <v/>
      </c>
      <c r="L1457" s="7" t="str">
        <f aca="false">IF(A1457="","",IF(G1457="não","Sem tabela no Growths",IF(I1457="","Sem campo no Growths",IF(J1457=K1457,"Importa direto","Ajustar tipo"))))</f>
        <v/>
      </c>
      <c r="M1457" s="9"/>
    </row>
    <row r="1458" customFormat="false" ht="15" hidden="false" customHeight="false" outlineLevel="0" collapsed="false">
      <c r="A1458" s="7" t="str">
        <f aca="false">IF('Outro banco'!A1458="","",IF(LEFT('Outro banco'!A1458,1)="(","",'Outro banco'!A1458))</f>
        <v/>
      </c>
      <c r="B1458" s="7" t="str">
        <f aca="false">IF(A1458="","",'Outro banco'!B1458)</f>
        <v/>
      </c>
      <c r="C1458" s="7" t="str">
        <f aca="false">IF(A1458="","",'Outro banco'!C1458)</f>
        <v/>
      </c>
      <c r="D1458" s="7" t="str">
        <f aca="false">IF(A1458="","",'Outro banco'!D1458)</f>
        <v/>
      </c>
      <c r="E1458" s="9"/>
      <c r="F1458" s="9"/>
      <c r="G1458" s="7" t="str">
        <f aca="false">IF(A1458="","",IF(COUNTIF(Tabelas!$A:$A,IF(E1458="",A1458,E1458))&gt;0,"sim","não"))</f>
        <v/>
      </c>
      <c r="H1458" s="7" t="str">
        <f aca="false">IF(A1458="","",IF(E1458="",A1458,E1458)&amp;"."&amp;IF(F1458="",B1458,F1458))</f>
        <v/>
      </c>
      <c r="I1458" s="7" t="str">
        <f aca="false">IF(A1458="","",IFERROR(INDEX('Campos Growths'!$F:$F,MATCH(H1458,'Campos Growths'!$A:$A,0)),""))</f>
        <v/>
      </c>
      <c r="J1458" s="7" t="str">
        <f aca="false">IF(A1458="","",IFERROR(VLOOKUP(IF(ISNUMBER(SEARCH("(",C1458)),LEFT(C1458,SEARCH("(",C1458)-1),C1458),Tipos!$A:$B,2,FALSE()),"outro"))</f>
        <v/>
      </c>
      <c r="K1458" s="7" t="str">
        <f aca="false">IF(I1458="","",IFERROR(INDEX('Campos Growths'!$L:$L,MATCH(H1458,'Campos Growths'!$A:$A,0)),""))</f>
        <v/>
      </c>
      <c r="L1458" s="7" t="str">
        <f aca="false">IF(A1458="","",IF(G1458="não","Sem tabela no Growths",IF(I1458="","Sem campo no Growths",IF(J1458=K1458,"Importa direto","Ajustar tipo"))))</f>
        <v/>
      </c>
      <c r="M1458" s="9"/>
    </row>
    <row r="1459" customFormat="false" ht="15" hidden="false" customHeight="false" outlineLevel="0" collapsed="false">
      <c r="A1459" s="7" t="str">
        <f aca="false">IF('Outro banco'!A1459="","",IF(LEFT('Outro banco'!A1459,1)="(","",'Outro banco'!A1459))</f>
        <v/>
      </c>
      <c r="B1459" s="7" t="str">
        <f aca="false">IF(A1459="","",'Outro banco'!B1459)</f>
        <v/>
      </c>
      <c r="C1459" s="7" t="str">
        <f aca="false">IF(A1459="","",'Outro banco'!C1459)</f>
        <v/>
      </c>
      <c r="D1459" s="7" t="str">
        <f aca="false">IF(A1459="","",'Outro banco'!D1459)</f>
        <v/>
      </c>
      <c r="E1459" s="9"/>
      <c r="F1459" s="9"/>
      <c r="G1459" s="7" t="str">
        <f aca="false">IF(A1459="","",IF(COUNTIF(Tabelas!$A:$A,IF(E1459="",A1459,E1459))&gt;0,"sim","não"))</f>
        <v/>
      </c>
      <c r="H1459" s="7" t="str">
        <f aca="false">IF(A1459="","",IF(E1459="",A1459,E1459)&amp;"."&amp;IF(F1459="",B1459,F1459))</f>
        <v/>
      </c>
      <c r="I1459" s="7" t="str">
        <f aca="false">IF(A1459="","",IFERROR(INDEX('Campos Growths'!$F:$F,MATCH(H1459,'Campos Growths'!$A:$A,0)),""))</f>
        <v/>
      </c>
      <c r="J1459" s="7" t="str">
        <f aca="false">IF(A1459="","",IFERROR(VLOOKUP(IF(ISNUMBER(SEARCH("(",C1459)),LEFT(C1459,SEARCH("(",C1459)-1),C1459),Tipos!$A:$B,2,FALSE()),"outro"))</f>
        <v/>
      </c>
      <c r="K1459" s="7" t="str">
        <f aca="false">IF(I1459="","",IFERROR(INDEX('Campos Growths'!$L:$L,MATCH(H1459,'Campos Growths'!$A:$A,0)),""))</f>
        <v/>
      </c>
      <c r="L1459" s="7" t="str">
        <f aca="false">IF(A1459="","",IF(G1459="não","Sem tabela no Growths",IF(I1459="","Sem campo no Growths",IF(J1459=K1459,"Importa direto","Ajustar tipo"))))</f>
        <v/>
      </c>
      <c r="M1459" s="9"/>
    </row>
    <row r="1460" customFormat="false" ht="15" hidden="false" customHeight="false" outlineLevel="0" collapsed="false">
      <c r="A1460" s="7" t="str">
        <f aca="false">IF('Outro banco'!A1460="","",IF(LEFT('Outro banco'!A1460,1)="(","",'Outro banco'!A1460))</f>
        <v/>
      </c>
      <c r="B1460" s="7" t="str">
        <f aca="false">IF(A1460="","",'Outro banco'!B1460)</f>
        <v/>
      </c>
      <c r="C1460" s="7" t="str">
        <f aca="false">IF(A1460="","",'Outro banco'!C1460)</f>
        <v/>
      </c>
      <c r="D1460" s="7" t="str">
        <f aca="false">IF(A1460="","",'Outro banco'!D1460)</f>
        <v/>
      </c>
      <c r="E1460" s="9"/>
      <c r="F1460" s="9"/>
      <c r="G1460" s="7" t="str">
        <f aca="false">IF(A1460="","",IF(COUNTIF(Tabelas!$A:$A,IF(E1460="",A1460,E1460))&gt;0,"sim","não"))</f>
        <v/>
      </c>
      <c r="H1460" s="7" t="str">
        <f aca="false">IF(A1460="","",IF(E1460="",A1460,E1460)&amp;"."&amp;IF(F1460="",B1460,F1460))</f>
        <v/>
      </c>
      <c r="I1460" s="7" t="str">
        <f aca="false">IF(A1460="","",IFERROR(INDEX('Campos Growths'!$F:$F,MATCH(H1460,'Campos Growths'!$A:$A,0)),""))</f>
        <v/>
      </c>
      <c r="J1460" s="7" t="str">
        <f aca="false">IF(A1460="","",IFERROR(VLOOKUP(IF(ISNUMBER(SEARCH("(",C1460)),LEFT(C1460,SEARCH("(",C1460)-1),C1460),Tipos!$A:$B,2,FALSE()),"outro"))</f>
        <v/>
      </c>
      <c r="K1460" s="7" t="str">
        <f aca="false">IF(I1460="","",IFERROR(INDEX('Campos Growths'!$L:$L,MATCH(H1460,'Campos Growths'!$A:$A,0)),""))</f>
        <v/>
      </c>
      <c r="L1460" s="7" t="str">
        <f aca="false">IF(A1460="","",IF(G1460="não","Sem tabela no Growths",IF(I1460="","Sem campo no Growths",IF(J1460=K1460,"Importa direto","Ajustar tipo"))))</f>
        <v/>
      </c>
      <c r="M1460" s="9"/>
    </row>
    <row r="1461" customFormat="false" ht="15" hidden="false" customHeight="false" outlineLevel="0" collapsed="false">
      <c r="A1461" s="7" t="str">
        <f aca="false">IF('Outro banco'!A1461="","",IF(LEFT('Outro banco'!A1461,1)="(","",'Outro banco'!A1461))</f>
        <v/>
      </c>
      <c r="B1461" s="7" t="str">
        <f aca="false">IF(A1461="","",'Outro banco'!B1461)</f>
        <v/>
      </c>
      <c r="C1461" s="7" t="str">
        <f aca="false">IF(A1461="","",'Outro banco'!C1461)</f>
        <v/>
      </c>
      <c r="D1461" s="7" t="str">
        <f aca="false">IF(A1461="","",'Outro banco'!D1461)</f>
        <v/>
      </c>
      <c r="E1461" s="9"/>
      <c r="F1461" s="9"/>
      <c r="G1461" s="7" t="str">
        <f aca="false">IF(A1461="","",IF(COUNTIF(Tabelas!$A:$A,IF(E1461="",A1461,E1461))&gt;0,"sim","não"))</f>
        <v/>
      </c>
      <c r="H1461" s="7" t="str">
        <f aca="false">IF(A1461="","",IF(E1461="",A1461,E1461)&amp;"."&amp;IF(F1461="",B1461,F1461))</f>
        <v/>
      </c>
      <c r="I1461" s="7" t="str">
        <f aca="false">IF(A1461="","",IFERROR(INDEX('Campos Growths'!$F:$F,MATCH(H1461,'Campos Growths'!$A:$A,0)),""))</f>
        <v/>
      </c>
      <c r="J1461" s="7" t="str">
        <f aca="false">IF(A1461="","",IFERROR(VLOOKUP(IF(ISNUMBER(SEARCH("(",C1461)),LEFT(C1461,SEARCH("(",C1461)-1),C1461),Tipos!$A:$B,2,FALSE()),"outro"))</f>
        <v/>
      </c>
      <c r="K1461" s="7" t="str">
        <f aca="false">IF(I1461="","",IFERROR(INDEX('Campos Growths'!$L:$L,MATCH(H1461,'Campos Growths'!$A:$A,0)),""))</f>
        <v/>
      </c>
      <c r="L1461" s="7" t="str">
        <f aca="false">IF(A1461="","",IF(G1461="não","Sem tabela no Growths",IF(I1461="","Sem campo no Growths",IF(J1461=K1461,"Importa direto","Ajustar tipo"))))</f>
        <v/>
      </c>
      <c r="M1461" s="9"/>
    </row>
    <row r="1462" customFormat="false" ht="15" hidden="false" customHeight="false" outlineLevel="0" collapsed="false">
      <c r="A1462" s="7" t="str">
        <f aca="false">IF('Outro banco'!A1462="","",IF(LEFT('Outro banco'!A1462,1)="(","",'Outro banco'!A1462))</f>
        <v/>
      </c>
      <c r="B1462" s="7" t="str">
        <f aca="false">IF(A1462="","",'Outro banco'!B1462)</f>
        <v/>
      </c>
      <c r="C1462" s="7" t="str">
        <f aca="false">IF(A1462="","",'Outro banco'!C1462)</f>
        <v/>
      </c>
      <c r="D1462" s="7" t="str">
        <f aca="false">IF(A1462="","",'Outro banco'!D1462)</f>
        <v/>
      </c>
      <c r="E1462" s="9"/>
      <c r="F1462" s="9"/>
      <c r="G1462" s="7" t="str">
        <f aca="false">IF(A1462="","",IF(COUNTIF(Tabelas!$A:$A,IF(E1462="",A1462,E1462))&gt;0,"sim","não"))</f>
        <v/>
      </c>
      <c r="H1462" s="7" t="str">
        <f aca="false">IF(A1462="","",IF(E1462="",A1462,E1462)&amp;"."&amp;IF(F1462="",B1462,F1462))</f>
        <v/>
      </c>
      <c r="I1462" s="7" t="str">
        <f aca="false">IF(A1462="","",IFERROR(INDEX('Campos Growths'!$F:$F,MATCH(H1462,'Campos Growths'!$A:$A,0)),""))</f>
        <v/>
      </c>
      <c r="J1462" s="7" t="str">
        <f aca="false">IF(A1462="","",IFERROR(VLOOKUP(IF(ISNUMBER(SEARCH("(",C1462)),LEFT(C1462,SEARCH("(",C1462)-1),C1462),Tipos!$A:$B,2,FALSE()),"outro"))</f>
        <v/>
      </c>
      <c r="K1462" s="7" t="str">
        <f aca="false">IF(I1462="","",IFERROR(INDEX('Campos Growths'!$L:$L,MATCH(H1462,'Campos Growths'!$A:$A,0)),""))</f>
        <v/>
      </c>
      <c r="L1462" s="7" t="str">
        <f aca="false">IF(A1462="","",IF(G1462="não","Sem tabela no Growths",IF(I1462="","Sem campo no Growths",IF(J1462=K1462,"Importa direto","Ajustar tipo"))))</f>
        <v/>
      </c>
      <c r="M1462" s="9"/>
    </row>
    <row r="1463" customFormat="false" ht="15" hidden="false" customHeight="false" outlineLevel="0" collapsed="false">
      <c r="A1463" s="7" t="str">
        <f aca="false">IF('Outro banco'!A1463="","",IF(LEFT('Outro banco'!A1463,1)="(","",'Outro banco'!A1463))</f>
        <v/>
      </c>
      <c r="B1463" s="7" t="str">
        <f aca="false">IF(A1463="","",'Outro banco'!B1463)</f>
        <v/>
      </c>
      <c r="C1463" s="7" t="str">
        <f aca="false">IF(A1463="","",'Outro banco'!C1463)</f>
        <v/>
      </c>
      <c r="D1463" s="7" t="str">
        <f aca="false">IF(A1463="","",'Outro banco'!D1463)</f>
        <v/>
      </c>
      <c r="E1463" s="9"/>
      <c r="F1463" s="9"/>
      <c r="G1463" s="7" t="str">
        <f aca="false">IF(A1463="","",IF(COUNTIF(Tabelas!$A:$A,IF(E1463="",A1463,E1463))&gt;0,"sim","não"))</f>
        <v/>
      </c>
      <c r="H1463" s="7" t="str">
        <f aca="false">IF(A1463="","",IF(E1463="",A1463,E1463)&amp;"."&amp;IF(F1463="",B1463,F1463))</f>
        <v/>
      </c>
      <c r="I1463" s="7" t="str">
        <f aca="false">IF(A1463="","",IFERROR(INDEX('Campos Growths'!$F:$F,MATCH(H1463,'Campos Growths'!$A:$A,0)),""))</f>
        <v/>
      </c>
      <c r="J1463" s="7" t="str">
        <f aca="false">IF(A1463="","",IFERROR(VLOOKUP(IF(ISNUMBER(SEARCH("(",C1463)),LEFT(C1463,SEARCH("(",C1463)-1),C1463),Tipos!$A:$B,2,FALSE()),"outro"))</f>
        <v/>
      </c>
      <c r="K1463" s="7" t="str">
        <f aca="false">IF(I1463="","",IFERROR(INDEX('Campos Growths'!$L:$L,MATCH(H1463,'Campos Growths'!$A:$A,0)),""))</f>
        <v/>
      </c>
      <c r="L1463" s="7" t="str">
        <f aca="false">IF(A1463="","",IF(G1463="não","Sem tabela no Growths",IF(I1463="","Sem campo no Growths",IF(J1463=K1463,"Importa direto","Ajustar tipo"))))</f>
        <v/>
      </c>
      <c r="M1463" s="9"/>
    </row>
    <row r="1464" customFormat="false" ht="15" hidden="false" customHeight="false" outlineLevel="0" collapsed="false">
      <c r="A1464" s="7" t="str">
        <f aca="false">IF('Outro banco'!A1464="","",IF(LEFT('Outro banco'!A1464,1)="(","",'Outro banco'!A1464))</f>
        <v/>
      </c>
      <c r="B1464" s="7" t="str">
        <f aca="false">IF(A1464="","",'Outro banco'!B1464)</f>
        <v/>
      </c>
      <c r="C1464" s="7" t="str">
        <f aca="false">IF(A1464="","",'Outro banco'!C1464)</f>
        <v/>
      </c>
      <c r="D1464" s="7" t="str">
        <f aca="false">IF(A1464="","",'Outro banco'!D1464)</f>
        <v/>
      </c>
      <c r="E1464" s="9"/>
      <c r="F1464" s="9"/>
      <c r="G1464" s="7" t="str">
        <f aca="false">IF(A1464="","",IF(COUNTIF(Tabelas!$A:$A,IF(E1464="",A1464,E1464))&gt;0,"sim","não"))</f>
        <v/>
      </c>
      <c r="H1464" s="7" t="str">
        <f aca="false">IF(A1464="","",IF(E1464="",A1464,E1464)&amp;"."&amp;IF(F1464="",B1464,F1464))</f>
        <v/>
      </c>
      <c r="I1464" s="7" t="str">
        <f aca="false">IF(A1464="","",IFERROR(INDEX('Campos Growths'!$F:$F,MATCH(H1464,'Campos Growths'!$A:$A,0)),""))</f>
        <v/>
      </c>
      <c r="J1464" s="7" t="str">
        <f aca="false">IF(A1464="","",IFERROR(VLOOKUP(IF(ISNUMBER(SEARCH("(",C1464)),LEFT(C1464,SEARCH("(",C1464)-1),C1464),Tipos!$A:$B,2,FALSE()),"outro"))</f>
        <v/>
      </c>
      <c r="K1464" s="7" t="str">
        <f aca="false">IF(I1464="","",IFERROR(INDEX('Campos Growths'!$L:$L,MATCH(H1464,'Campos Growths'!$A:$A,0)),""))</f>
        <v/>
      </c>
      <c r="L1464" s="7" t="str">
        <f aca="false">IF(A1464="","",IF(G1464="não","Sem tabela no Growths",IF(I1464="","Sem campo no Growths",IF(J1464=K1464,"Importa direto","Ajustar tipo"))))</f>
        <v/>
      </c>
      <c r="M1464" s="9"/>
    </row>
    <row r="1465" customFormat="false" ht="15" hidden="false" customHeight="false" outlineLevel="0" collapsed="false">
      <c r="A1465" s="7" t="str">
        <f aca="false">IF('Outro banco'!A1465="","",IF(LEFT('Outro banco'!A1465,1)="(","",'Outro banco'!A1465))</f>
        <v/>
      </c>
      <c r="B1465" s="7" t="str">
        <f aca="false">IF(A1465="","",'Outro banco'!B1465)</f>
        <v/>
      </c>
      <c r="C1465" s="7" t="str">
        <f aca="false">IF(A1465="","",'Outro banco'!C1465)</f>
        <v/>
      </c>
      <c r="D1465" s="7" t="str">
        <f aca="false">IF(A1465="","",'Outro banco'!D1465)</f>
        <v/>
      </c>
      <c r="E1465" s="9"/>
      <c r="F1465" s="9"/>
      <c r="G1465" s="7" t="str">
        <f aca="false">IF(A1465="","",IF(COUNTIF(Tabelas!$A:$A,IF(E1465="",A1465,E1465))&gt;0,"sim","não"))</f>
        <v/>
      </c>
      <c r="H1465" s="7" t="str">
        <f aca="false">IF(A1465="","",IF(E1465="",A1465,E1465)&amp;"."&amp;IF(F1465="",B1465,F1465))</f>
        <v/>
      </c>
      <c r="I1465" s="7" t="str">
        <f aca="false">IF(A1465="","",IFERROR(INDEX('Campos Growths'!$F:$F,MATCH(H1465,'Campos Growths'!$A:$A,0)),""))</f>
        <v/>
      </c>
      <c r="J1465" s="7" t="str">
        <f aca="false">IF(A1465="","",IFERROR(VLOOKUP(IF(ISNUMBER(SEARCH("(",C1465)),LEFT(C1465,SEARCH("(",C1465)-1),C1465),Tipos!$A:$B,2,FALSE()),"outro"))</f>
        <v/>
      </c>
      <c r="K1465" s="7" t="str">
        <f aca="false">IF(I1465="","",IFERROR(INDEX('Campos Growths'!$L:$L,MATCH(H1465,'Campos Growths'!$A:$A,0)),""))</f>
        <v/>
      </c>
      <c r="L1465" s="7" t="str">
        <f aca="false">IF(A1465="","",IF(G1465="não","Sem tabela no Growths",IF(I1465="","Sem campo no Growths",IF(J1465=K1465,"Importa direto","Ajustar tipo"))))</f>
        <v/>
      </c>
      <c r="M1465" s="9"/>
    </row>
    <row r="1466" customFormat="false" ht="15" hidden="false" customHeight="false" outlineLevel="0" collapsed="false">
      <c r="A1466" s="7" t="str">
        <f aca="false">IF('Outro banco'!A1466="","",IF(LEFT('Outro banco'!A1466,1)="(","",'Outro banco'!A1466))</f>
        <v/>
      </c>
      <c r="B1466" s="7" t="str">
        <f aca="false">IF(A1466="","",'Outro banco'!B1466)</f>
        <v/>
      </c>
      <c r="C1466" s="7" t="str">
        <f aca="false">IF(A1466="","",'Outro banco'!C1466)</f>
        <v/>
      </c>
      <c r="D1466" s="7" t="str">
        <f aca="false">IF(A1466="","",'Outro banco'!D1466)</f>
        <v/>
      </c>
      <c r="E1466" s="9"/>
      <c r="F1466" s="9"/>
      <c r="G1466" s="7" t="str">
        <f aca="false">IF(A1466="","",IF(COUNTIF(Tabelas!$A:$A,IF(E1466="",A1466,E1466))&gt;0,"sim","não"))</f>
        <v/>
      </c>
      <c r="H1466" s="7" t="str">
        <f aca="false">IF(A1466="","",IF(E1466="",A1466,E1466)&amp;"."&amp;IF(F1466="",B1466,F1466))</f>
        <v/>
      </c>
      <c r="I1466" s="7" t="str">
        <f aca="false">IF(A1466="","",IFERROR(INDEX('Campos Growths'!$F:$F,MATCH(H1466,'Campos Growths'!$A:$A,0)),""))</f>
        <v/>
      </c>
      <c r="J1466" s="7" t="str">
        <f aca="false">IF(A1466="","",IFERROR(VLOOKUP(IF(ISNUMBER(SEARCH("(",C1466)),LEFT(C1466,SEARCH("(",C1466)-1),C1466),Tipos!$A:$B,2,FALSE()),"outro"))</f>
        <v/>
      </c>
      <c r="K1466" s="7" t="str">
        <f aca="false">IF(I1466="","",IFERROR(INDEX('Campos Growths'!$L:$L,MATCH(H1466,'Campos Growths'!$A:$A,0)),""))</f>
        <v/>
      </c>
      <c r="L1466" s="7" t="str">
        <f aca="false">IF(A1466="","",IF(G1466="não","Sem tabela no Growths",IF(I1466="","Sem campo no Growths",IF(J1466=K1466,"Importa direto","Ajustar tipo"))))</f>
        <v/>
      </c>
      <c r="M1466" s="9"/>
    </row>
    <row r="1467" customFormat="false" ht="15" hidden="false" customHeight="false" outlineLevel="0" collapsed="false">
      <c r="A1467" s="7" t="str">
        <f aca="false">IF('Outro banco'!A1467="","",IF(LEFT('Outro banco'!A1467,1)="(","",'Outro banco'!A1467))</f>
        <v/>
      </c>
      <c r="B1467" s="7" t="str">
        <f aca="false">IF(A1467="","",'Outro banco'!B1467)</f>
        <v/>
      </c>
      <c r="C1467" s="7" t="str">
        <f aca="false">IF(A1467="","",'Outro banco'!C1467)</f>
        <v/>
      </c>
      <c r="D1467" s="7" t="str">
        <f aca="false">IF(A1467="","",'Outro banco'!D1467)</f>
        <v/>
      </c>
      <c r="E1467" s="9"/>
      <c r="F1467" s="9"/>
      <c r="G1467" s="7" t="str">
        <f aca="false">IF(A1467="","",IF(COUNTIF(Tabelas!$A:$A,IF(E1467="",A1467,E1467))&gt;0,"sim","não"))</f>
        <v/>
      </c>
      <c r="H1467" s="7" t="str">
        <f aca="false">IF(A1467="","",IF(E1467="",A1467,E1467)&amp;"."&amp;IF(F1467="",B1467,F1467))</f>
        <v/>
      </c>
      <c r="I1467" s="7" t="str">
        <f aca="false">IF(A1467="","",IFERROR(INDEX('Campos Growths'!$F:$F,MATCH(H1467,'Campos Growths'!$A:$A,0)),""))</f>
        <v/>
      </c>
      <c r="J1467" s="7" t="str">
        <f aca="false">IF(A1467="","",IFERROR(VLOOKUP(IF(ISNUMBER(SEARCH("(",C1467)),LEFT(C1467,SEARCH("(",C1467)-1),C1467),Tipos!$A:$B,2,FALSE()),"outro"))</f>
        <v/>
      </c>
      <c r="K1467" s="7" t="str">
        <f aca="false">IF(I1467="","",IFERROR(INDEX('Campos Growths'!$L:$L,MATCH(H1467,'Campos Growths'!$A:$A,0)),""))</f>
        <v/>
      </c>
      <c r="L1467" s="7" t="str">
        <f aca="false">IF(A1467="","",IF(G1467="não","Sem tabela no Growths",IF(I1467="","Sem campo no Growths",IF(J1467=K1467,"Importa direto","Ajustar tipo"))))</f>
        <v/>
      </c>
      <c r="M1467" s="9"/>
    </row>
    <row r="1468" customFormat="false" ht="15" hidden="false" customHeight="false" outlineLevel="0" collapsed="false">
      <c r="A1468" s="7" t="str">
        <f aca="false">IF('Outro banco'!A1468="","",IF(LEFT('Outro banco'!A1468,1)="(","",'Outro banco'!A1468))</f>
        <v/>
      </c>
      <c r="B1468" s="7" t="str">
        <f aca="false">IF(A1468="","",'Outro banco'!B1468)</f>
        <v/>
      </c>
      <c r="C1468" s="7" t="str">
        <f aca="false">IF(A1468="","",'Outro banco'!C1468)</f>
        <v/>
      </c>
      <c r="D1468" s="7" t="str">
        <f aca="false">IF(A1468="","",'Outro banco'!D1468)</f>
        <v/>
      </c>
      <c r="E1468" s="9"/>
      <c r="F1468" s="9"/>
      <c r="G1468" s="7" t="str">
        <f aca="false">IF(A1468="","",IF(COUNTIF(Tabelas!$A:$A,IF(E1468="",A1468,E1468))&gt;0,"sim","não"))</f>
        <v/>
      </c>
      <c r="H1468" s="7" t="str">
        <f aca="false">IF(A1468="","",IF(E1468="",A1468,E1468)&amp;"."&amp;IF(F1468="",B1468,F1468))</f>
        <v/>
      </c>
      <c r="I1468" s="7" t="str">
        <f aca="false">IF(A1468="","",IFERROR(INDEX('Campos Growths'!$F:$F,MATCH(H1468,'Campos Growths'!$A:$A,0)),""))</f>
        <v/>
      </c>
      <c r="J1468" s="7" t="str">
        <f aca="false">IF(A1468="","",IFERROR(VLOOKUP(IF(ISNUMBER(SEARCH("(",C1468)),LEFT(C1468,SEARCH("(",C1468)-1),C1468),Tipos!$A:$B,2,FALSE()),"outro"))</f>
        <v/>
      </c>
      <c r="K1468" s="7" t="str">
        <f aca="false">IF(I1468="","",IFERROR(INDEX('Campos Growths'!$L:$L,MATCH(H1468,'Campos Growths'!$A:$A,0)),""))</f>
        <v/>
      </c>
      <c r="L1468" s="7" t="str">
        <f aca="false">IF(A1468="","",IF(G1468="não","Sem tabela no Growths",IF(I1468="","Sem campo no Growths",IF(J1468=K1468,"Importa direto","Ajustar tipo"))))</f>
        <v/>
      </c>
      <c r="M1468" s="9"/>
    </row>
    <row r="1469" customFormat="false" ht="15" hidden="false" customHeight="false" outlineLevel="0" collapsed="false">
      <c r="A1469" s="7" t="str">
        <f aca="false">IF('Outro banco'!A1469="","",IF(LEFT('Outro banco'!A1469,1)="(","",'Outro banco'!A1469))</f>
        <v/>
      </c>
      <c r="B1469" s="7" t="str">
        <f aca="false">IF(A1469="","",'Outro banco'!B1469)</f>
        <v/>
      </c>
      <c r="C1469" s="7" t="str">
        <f aca="false">IF(A1469="","",'Outro banco'!C1469)</f>
        <v/>
      </c>
      <c r="D1469" s="7" t="str">
        <f aca="false">IF(A1469="","",'Outro banco'!D1469)</f>
        <v/>
      </c>
      <c r="E1469" s="9"/>
      <c r="F1469" s="9"/>
      <c r="G1469" s="7" t="str">
        <f aca="false">IF(A1469="","",IF(COUNTIF(Tabelas!$A:$A,IF(E1469="",A1469,E1469))&gt;0,"sim","não"))</f>
        <v/>
      </c>
      <c r="H1469" s="7" t="str">
        <f aca="false">IF(A1469="","",IF(E1469="",A1469,E1469)&amp;"."&amp;IF(F1469="",B1469,F1469))</f>
        <v/>
      </c>
      <c r="I1469" s="7" t="str">
        <f aca="false">IF(A1469="","",IFERROR(INDEX('Campos Growths'!$F:$F,MATCH(H1469,'Campos Growths'!$A:$A,0)),""))</f>
        <v/>
      </c>
      <c r="J1469" s="7" t="str">
        <f aca="false">IF(A1469="","",IFERROR(VLOOKUP(IF(ISNUMBER(SEARCH("(",C1469)),LEFT(C1469,SEARCH("(",C1469)-1),C1469),Tipos!$A:$B,2,FALSE()),"outro"))</f>
        <v/>
      </c>
      <c r="K1469" s="7" t="str">
        <f aca="false">IF(I1469="","",IFERROR(INDEX('Campos Growths'!$L:$L,MATCH(H1469,'Campos Growths'!$A:$A,0)),""))</f>
        <v/>
      </c>
      <c r="L1469" s="7" t="str">
        <f aca="false">IF(A1469="","",IF(G1469="não","Sem tabela no Growths",IF(I1469="","Sem campo no Growths",IF(J1469=K1469,"Importa direto","Ajustar tipo"))))</f>
        <v/>
      </c>
      <c r="M1469" s="9"/>
    </row>
    <row r="1470" customFormat="false" ht="15" hidden="false" customHeight="false" outlineLevel="0" collapsed="false">
      <c r="A1470" s="7" t="str">
        <f aca="false">IF('Outro banco'!A1470="","",IF(LEFT('Outro banco'!A1470,1)="(","",'Outro banco'!A1470))</f>
        <v/>
      </c>
      <c r="B1470" s="7" t="str">
        <f aca="false">IF(A1470="","",'Outro banco'!B1470)</f>
        <v/>
      </c>
      <c r="C1470" s="7" t="str">
        <f aca="false">IF(A1470="","",'Outro banco'!C1470)</f>
        <v/>
      </c>
      <c r="D1470" s="7" t="str">
        <f aca="false">IF(A1470="","",'Outro banco'!D1470)</f>
        <v/>
      </c>
      <c r="E1470" s="9"/>
      <c r="F1470" s="9"/>
      <c r="G1470" s="7" t="str">
        <f aca="false">IF(A1470="","",IF(COUNTIF(Tabelas!$A:$A,IF(E1470="",A1470,E1470))&gt;0,"sim","não"))</f>
        <v/>
      </c>
      <c r="H1470" s="7" t="str">
        <f aca="false">IF(A1470="","",IF(E1470="",A1470,E1470)&amp;"."&amp;IF(F1470="",B1470,F1470))</f>
        <v/>
      </c>
      <c r="I1470" s="7" t="str">
        <f aca="false">IF(A1470="","",IFERROR(INDEX('Campos Growths'!$F:$F,MATCH(H1470,'Campos Growths'!$A:$A,0)),""))</f>
        <v/>
      </c>
      <c r="J1470" s="7" t="str">
        <f aca="false">IF(A1470="","",IFERROR(VLOOKUP(IF(ISNUMBER(SEARCH("(",C1470)),LEFT(C1470,SEARCH("(",C1470)-1),C1470),Tipos!$A:$B,2,FALSE()),"outro"))</f>
        <v/>
      </c>
      <c r="K1470" s="7" t="str">
        <f aca="false">IF(I1470="","",IFERROR(INDEX('Campos Growths'!$L:$L,MATCH(H1470,'Campos Growths'!$A:$A,0)),""))</f>
        <v/>
      </c>
      <c r="L1470" s="7" t="str">
        <f aca="false">IF(A1470="","",IF(G1470="não","Sem tabela no Growths",IF(I1470="","Sem campo no Growths",IF(J1470=K1470,"Importa direto","Ajustar tipo"))))</f>
        <v/>
      </c>
      <c r="M1470" s="9"/>
    </row>
    <row r="1471" customFormat="false" ht="15" hidden="false" customHeight="false" outlineLevel="0" collapsed="false">
      <c r="A1471" s="7" t="str">
        <f aca="false">IF('Outro banco'!A1471="","",IF(LEFT('Outro banco'!A1471,1)="(","",'Outro banco'!A1471))</f>
        <v/>
      </c>
      <c r="B1471" s="7" t="str">
        <f aca="false">IF(A1471="","",'Outro banco'!B1471)</f>
        <v/>
      </c>
      <c r="C1471" s="7" t="str">
        <f aca="false">IF(A1471="","",'Outro banco'!C1471)</f>
        <v/>
      </c>
      <c r="D1471" s="7" t="str">
        <f aca="false">IF(A1471="","",'Outro banco'!D1471)</f>
        <v/>
      </c>
      <c r="E1471" s="9"/>
      <c r="F1471" s="9"/>
      <c r="G1471" s="7" t="str">
        <f aca="false">IF(A1471="","",IF(COUNTIF(Tabelas!$A:$A,IF(E1471="",A1471,E1471))&gt;0,"sim","não"))</f>
        <v/>
      </c>
      <c r="H1471" s="7" t="str">
        <f aca="false">IF(A1471="","",IF(E1471="",A1471,E1471)&amp;"."&amp;IF(F1471="",B1471,F1471))</f>
        <v/>
      </c>
      <c r="I1471" s="7" t="str">
        <f aca="false">IF(A1471="","",IFERROR(INDEX('Campos Growths'!$F:$F,MATCH(H1471,'Campos Growths'!$A:$A,0)),""))</f>
        <v/>
      </c>
      <c r="J1471" s="7" t="str">
        <f aca="false">IF(A1471="","",IFERROR(VLOOKUP(IF(ISNUMBER(SEARCH("(",C1471)),LEFT(C1471,SEARCH("(",C1471)-1),C1471),Tipos!$A:$B,2,FALSE()),"outro"))</f>
        <v/>
      </c>
      <c r="K1471" s="7" t="str">
        <f aca="false">IF(I1471="","",IFERROR(INDEX('Campos Growths'!$L:$L,MATCH(H1471,'Campos Growths'!$A:$A,0)),""))</f>
        <v/>
      </c>
      <c r="L1471" s="7" t="str">
        <f aca="false">IF(A1471="","",IF(G1471="não","Sem tabela no Growths",IF(I1471="","Sem campo no Growths",IF(J1471=K1471,"Importa direto","Ajustar tipo"))))</f>
        <v/>
      </c>
      <c r="M1471" s="9"/>
    </row>
    <row r="1472" customFormat="false" ht="15" hidden="false" customHeight="false" outlineLevel="0" collapsed="false">
      <c r="A1472" s="7" t="str">
        <f aca="false">IF('Outro banco'!A1472="","",IF(LEFT('Outro banco'!A1472,1)="(","",'Outro banco'!A1472))</f>
        <v/>
      </c>
      <c r="B1472" s="7" t="str">
        <f aca="false">IF(A1472="","",'Outro banco'!B1472)</f>
        <v/>
      </c>
      <c r="C1472" s="7" t="str">
        <f aca="false">IF(A1472="","",'Outro banco'!C1472)</f>
        <v/>
      </c>
      <c r="D1472" s="7" t="str">
        <f aca="false">IF(A1472="","",'Outro banco'!D1472)</f>
        <v/>
      </c>
      <c r="E1472" s="9"/>
      <c r="F1472" s="9"/>
      <c r="G1472" s="7" t="str">
        <f aca="false">IF(A1472="","",IF(COUNTIF(Tabelas!$A:$A,IF(E1472="",A1472,E1472))&gt;0,"sim","não"))</f>
        <v/>
      </c>
      <c r="H1472" s="7" t="str">
        <f aca="false">IF(A1472="","",IF(E1472="",A1472,E1472)&amp;"."&amp;IF(F1472="",B1472,F1472))</f>
        <v/>
      </c>
      <c r="I1472" s="7" t="str">
        <f aca="false">IF(A1472="","",IFERROR(INDEX('Campos Growths'!$F:$F,MATCH(H1472,'Campos Growths'!$A:$A,0)),""))</f>
        <v/>
      </c>
      <c r="J1472" s="7" t="str">
        <f aca="false">IF(A1472="","",IFERROR(VLOOKUP(IF(ISNUMBER(SEARCH("(",C1472)),LEFT(C1472,SEARCH("(",C1472)-1),C1472),Tipos!$A:$B,2,FALSE()),"outro"))</f>
        <v/>
      </c>
      <c r="K1472" s="7" t="str">
        <f aca="false">IF(I1472="","",IFERROR(INDEX('Campos Growths'!$L:$L,MATCH(H1472,'Campos Growths'!$A:$A,0)),""))</f>
        <v/>
      </c>
      <c r="L1472" s="7" t="str">
        <f aca="false">IF(A1472="","",IF(G1472="não","Sem tabela no Growths",IF(I1472="","Sem campo no Growths",IF(J1472=K1472,"Importa direto","Ajustar tipo"))))</f>
        <v/>
      </c>
      <c r="M1472" s="9"/>
    </row>
    <row r="1473" customFormat="false" ht="15" hidden="false" customHeight="false" outlineLevel="0" collapsed="false">
      <c r="A1473" s="7" t="str">
        <f aca="false">IF('Outro banco'!A1473="","",IF(LEFT('Outro banco'!A1473,1)="(","",'Outro banco'!A1473))</f>
        <v/>
      </c>
      <c r="B1473" s="7" t="str">
        <f aca="false">IF(A1473="","",'Outro banco'!B1473)</f>
        <v/>
      </c>
      <c r="C1473" s="7" t="str">
        <f aca="false">IF(A1473="","",'Outro banco'!C1473)</f>
        <v/>
      </c>
      <c r="D1473" s="7" t="str">
        <f aca="false">IF(A1473="","",'Outro banco'!D1473)</f>
        <v/>
      </c>
      <c r="E1473" s="9"/>
      <c r="F1473" s="9"/>
      <c r="G1473" s="7" t="str">
        <f aca="false">IF(A1473="","",IF(COUNTIF(Tabelas!$A:$A,IF(E1473="",A1473,E1473))&gt;0,"sim","não"))</f>
        <v/>
      </c>
      <c r="H1473" s="7" t="str">
        <f aca="false">IF(A1473="","",IF(E1473="",A1473,E1473)&amp;"."&amp;IF(F1473="",B1473,F1473))</f>
        <v/>
      </c>
      <c r="I1473" s="7" t="str">
        <f aca="false">IF(A1473="","",IFERROR(INDEX('Campos Growths'!$F:$F,MATCH(H1473,'Campos Growths'!$A:$A,0)),""))</f>
        <v/>
      </c>
      <c r="J1473" s="7" t="str">
        <f aca="false">IF(A1473="","",IFERROR(VLOOKUP(IF(ISNUMBER(SEARCH("(",C1473)),LEFT(C1473,SEARCH("(",C1473)-1),C1473),Tipos!$A:$B,2,FALSE()),"outro"))</f>
        <v/>
      </c>
      <c r="K1473" s="7" t="str">
        <f aca="false">IF(I1473="","",IFERROR(INDEX('Campos Growths'!$L:$L,MATCH(H1473,'Campos Growths'!$A:$A,0)),""))</f>
        <v/>
      </c>
      <c r="L1473" s="7" t="str">
        <f aca="false">IF(A1473="","",IF(G1473="não","Sem tabela no Growths",IF(I1473="","Sem campo no Growths",IF(J1473=K1473,"Importa direto","Ajustar tipo"))))</f>
        <v/>
      </c>
      <c r="M1473" s="9"/>
    </row>
    <row r="1474" customFormat="false" ht="15" hidden="false" customHeight="false" outlineLevel="0" collapsed="false">
      <c r="A1474" s="7" t="str">
        <f aca="false">IF('Outro banco'!A1474="","",IF(LEFT('Outro banco'!A1474,1)="(","",'Outro banco'!A1474))</f>
        <v/>
      </c>
      <c r="B1474" s="7" t="str">
        <f aca="false">IF(A1474="","",'Outro banco'!B1474)</f>
        <v/>
      </c>
      <c r="C1474" s="7" t="str">
        <f aca="false">IF(A1474="","",'Outro banco'!C1474)</f>
        <v/>
      </c>
      <c r="D1474" s="7" t="str">
        <f aca="false">IF(A1474="","",'Outro banco'!D1474)</f>
        <v/>
      </c>
      <c r="E1474" s="9"/>
      <c r="F1474" s="9"/>
      <c r="G1474" s="7" t="str">
        <f aca="false">IF(A1474="","",IF(COUNTIF(Tabelas!$A:$A,IF(E1474="",A1474,E1474))&gt;0,"sim","não"))</f>
        <v/>
      </c>
      <c r="H1474" s="7" t="str">
        <f aca="false">IF(A1474="","",IF(E1474="",A1474,E1474)&amp;"."&amp;IF(F1474="",B1474,F1474))</f>
        <v/>
      </c>
      <c r="I1474" s="7" t="str">
        <f aca="false">IF(A1474="","",IFERROR(INDEX('Campos Growths'!$F:$F,MATCH(H1474,'Campos Growths'!$A:$A,0)),""))</f>
        <v/>
      </c>
      <c r="J1474" s="7" t="str">
        <f aca="false">IF(A1474="","",IFERROR(VLOOKUP(IF(ISNUMBER(SEARCH("(",C1474)),LEFT(C1474,SEARCH("(",C1474)-1),C1474),Tipos!$A:$B,2,FALSE()),"outro"))</f>
        <v/>
      </c>
      <c r="K1474" s="7" t="str">
        <f aca="false">IF(I1474="","",IFERROR(INDEX('Campos Growths'!$L:$L,MATCH(H1474,'Campos Growths'!$A:$A,0)),""))</f>
        <v/>
      </c>
      <c r="L1474" s="7" t="str">
        <f aca="false">IF(A1474="","",IF(G1474="não","Sem tabela no Growths",IF(I1474="","Sem campo no Growths",IF(J1474=K1474,"Importa direto","Ajustar tipo"))))</f>
        <v/>
      </c>
      <c r="M1474" s="9"/>
    </row>
    <row r="1475" customFormat="false" ht="15" hidden="false" customHeight="false" outlineLevel="0" collapsed="false">
      <c r="A1475" s="7" t="str">
        <f aca="false">IF('Outro banco'!A1475="","",IF(LEFT('Outro banco'!A1475,1)="(","",'Outro banco'!A1475))</f>
        <v/>
      </c>
      <c r="B1475" s="7" t="str">
        <f aca="false">IF(A1475="","",'Outro banco'!B1475)</f>
        <v/>
      </c>
      <c r="C1475" s="7" t="str">
        <f aca="false">IF(A1475="","",'Outro banco'!C1475)</f>
        <v/>
      </c>
      <c r="D1475" s="7" t="str">
        <f aca="false">IF(A1475="","",'Outro banco'!D1475)</f>
        <v/>
      </c>
      <c r="E1475" s="9"/>
      <c r="F1475" s="9"/>
      <c r="G1475" s="7" t="str">
        <f aca="false">IF(A1475="","",IF(COUNTIF(Tabelas!$A:$A,IF(E1475="",A1475,E1475))&gt;0,"sim","não"))</f>
        <v/>
      </c>
      <c r="H1475" s="7" t="str">
        <f aca="false">IF(A1475="","",IF(E1475="",A1475,E1475)&amp;"."&amp;IF(F1475="",B1475,F1475))</f>
        <v/>
      </c>
      <c r="I1475" s="7" t="str">
        <f aca="false">IF(A1475="","",IFERROR(INDEX('Campos Growths'!$F:$F,MATCH(H1475,'Campos Growths'!$A:$A,0)),""))</f>
        <v/>
      </c>
      <c r="J1475" s="7" t="str">
        <f aca="false">IF(A1475="","",IFERROR(VLOOKUP(IF(ISNUMBER(SEARCH("(",C1475)),LEFT(C1475,SEARCH("(",C1475)-1),C1475),Tipos!$A:$B,2,FALSE()),"outro"))</f>
        <v/>
      </c>
      <c r="K1475" s="7" t="str">
        <f aca="false">IF(I1475="","",IFERROR(INDEX('Campos Growths'!$L:$L,MATCH(H1475,'Campos Growths'!$A:$A,0)),""))</f>
        <v/>
      </c>
      <c r="L1475" s="7" t="str">
        <f aca="false">IF(A1475="","",IF(G1475="não","Sem tabela no Growths",IF(I1475="","Sem campo no Growths",IF(J1475=K1475,"Importa direto","Ajustar tipo"))))</f>
        <v/>
      </c>
      <c r="M1475" s="9"/>
    </row>
    <row r="1476" customFormat="false" ht="15" hidden="false" customHeight="false" outlineLevel="0" collapsed="false">
      <c r="A1476" s="7" t="str">
        <f aca="false">IF('Outro banco'!A1476="","",IF(LEFT('Outro banco'!A1476,1)="(","",'Outro banco'!A1476))</f>
        <v/>
      </c>
      <c r="B1476" s="7" t="str">
        <f aca="false">IF(A1476="","",'Outro banco'!B1476)</f>
        <v/>
      </c>
      <c r="C1476" s="7" t="str">
        <f aca="false">IF(A1476="","",'Outro banco'!C1476)</f>
        <v/>
      </c>
      <c r="D1476" s="7" t="str">
        <f aca="false">IF(A1476="","",'Outro banco'!D1476)</f>
        <v/>
      </c>
      <c r="E1476" s="9"/>
      <c r="F1476" s="9"/>
      <c r="G1476" s="7" t="str">
        <f aca="false">IF(A1476="","",IF(COUNTIF(Tabelas!$A:$A,IF(E1476="",A1476,E1476))&gt;0,"sim","não"))</f>
        <v/>
      </c>
      <c r="H1476" s="7" t="str">
        <f aca="false">IF(A1476="","",IF(E1476="",A1476,E1476)&amp;"."&amp;IF(F1476="",B1476,F1476))</f>
        <v/>
      </c>
      <c r="I1476" s="7" t="str">
        <f aca="false">IF(A1476="","",IFERROR(INDEX('Campos Growths'!$F:$F,MATCH(H1476,'Campos Growths'!$A:$A,0)),""))</f>
        <v/>
      </c>
      <c r="J1476" s="7" t="str">
        <f aca="false">IF(A1476="","",IFERROR(VLOOKUP(IF(ISNUMBER(SEARCH("(",C1476)),LEFT(C1476,SEARCH("(",C1476)-1),C1476),Tipos!$A:$B,2,FALSE()),"outro"))</f>
        <v/>
      </c>
      <c r="K1476" s="7" t="str">
        <f aca="false">IF(I1476="","",IFERROR(INDEX('Campos Growths'!$L:$L,MATCH(H1476,'Campos Growths'!$A:$A,0)),""))</f>
        <v/>
      </c>
      <c r="L1476" s="7" t="str">
        <f aca="false">IF(A1476="","",IF(G1476="não","Sem tabela no Growths",IF(I1476="","Sem campo no Growths",IF(J1476=K1476,"Importa direto","Ajustar tipo"))))</f>
        <v/>
      </c>
      <c r="M1476" s="9"/>
    </row>
    <row r="1477" customFormat="false" ht="15" hidden="false" customHeight="false" outlineLevel="0" collapsed="false">
      <c r="A1477" s="7" t="str">
        <f aca="false">IF('Outro banco'!A1477="","",IF(LEFT('Outro banco'!A1477,1)="(","",'Outro banco'!A1477))</f>
        <v/>
      </c>
      <c r="B1477" s="7" t="str">
        <f aca="false">IF(A1477="","",'Outro banco'!B1477)</f>
        <v/>
      </c>
      <c r="C1477" s="7" t="str">
        <f aca="false">IF(A1477="","",'Outro banco'!C1477)</f>
        <v/>
      </c>
      <c r="D1477" s="7" t="str">
        <f aca="false">IF(A1477="","",'Outro banco'!D1477)</f>
        <v/>
      </c>
      <c r="E1477" s="9"/>
      <c r="F1477" s="9"/>
      <c r="G1477" s="7" t="str">
        <f aca="false">IF(A1477="","",IF(COUNTIF(Tabelas!$A:$A,IF(E1477="",A1477,E1477))&gt;0,"sim","não"))</f>
        <v/>
      </c>
      <c r="H1477" s="7" t="str">
        <f aca="false">IF(A1477="","",IF(E1477="",A1477,E1477)&amp;"."&amp;IF(F1477="",B1477,F1477))</f>
        <v/>
      </c>
      <c r="I1477" s="7" t="str">
        <f aca="false">IF(A1477="","",IFERROR(INDEX('Campos Growths'!$F:$F,MATCH(H1477,'Campos Growths'!$A:$A,0)),""))</f>
        <v/>
      </c>
      <c r="J1477" s="7" t="str">
        <f aca="false">IF(A1477="","",IFERROR(VLOOKUP(IF(ISNUMBER(SEARCH("(",C1477)),LEFT(C1477,SEARCH("(",C1477)-1),C1477),Tipos!$A:$B,2,FALSE()),"outro"))</f>
        <v/>
      </c>
      <c r="K1477" s="7" t="str">
        <f aca="false">IF(I1477="","",IFERROR(INDEX('Campos Growths'!$L:$L,MATCH(H1477,'Campos Growths'!$A:$A,0)),""))</f>
        <v/>
      </c>
      <c r="L1477" s="7" t="str">
        <f aca="false">IF(A1477="","",IF(G1477="não","Sem tabela no Growths",IF(I1477="","Sem campo no Growths",IF(J1477=K1477,"Importa direto","Ajustar tipo"))))</f>
        <v/>
      </c>
      <c r="M1477" s="9"/>
    </row>
    <row r="1478" customFormat="false" ht="15" hidden="false" customHeight="false" outlineLevel="0" collapsed="false">
      <c r="A1478" s="7" t="str">
        <f aca="false">IF('Outro banco'!A1478="","",IF(LEFT('Outro banco'!A1478,1)="(","",'Outro banco'!A1478))</f>
        <v/>
      </c>
      <c r="B1478" s="7" t="str">
        <f aca="false">IF(A1478="","",'Outro banco'!B1478)</f>
        <v/>
      </c>
      <c r="C1478" s="7" t="str">
        <f aca="false">IF(A1478="","",'Outro banco'!C1478)</f>
        <v/>
      </c>
      <c r="D1478" s="7" t="str">
        <f aca="false">IF(A1478="","",'Outro banco'!D1478)</f>
        <v/>
      </c>
      <c r="E1478" s="9"/>
      <c r="F1478" s="9"/>
      <c r="G1478" s="7" t="str">
        <f aca="false">IF(A1478="","",IF(COUNTIF(Tabelas!$A:$A,IF(E1478="",A1478,E1478))&gt;0,"sim","não"))</f>
        <v/>
      </c>
      <c r="H1478" s="7" t="str">
        <f aca="false">IF(A1478="","",IF(E1478="",A1478,E1478)&amp;"."&amp;IF(F1478="",B1478,F1478))</f>
        <v/>
      </c>
      <c r="I1478" s="7" t="str">
        <f aca="false">IF(A1478="","",IFERROR(INDEX('Campos Growths'!$F:$F,MATCH(H1478,'Campos Growths'!$A:$A,0)),""))</f>
        <v/>
      </c>
      <c r="J1478" s="7" t="str">
        <f aca="false">IF(A1478="","",IFERROR(VLOOKUP(IF(ISNUMBER(SEARCH("(",C1478)),LEFT(C1478,SEARCH("(",C1478)-1),C1478),Tipos!$A:$B,2,FALSE()),"outro"))</f>
        <v/>
      </c>
      <c r="K1478" s="7" t="str">
        <f aca="false">IF(I1478="","",IFERROR(INDEX('Campos Growths'!$L:$L,MATCH(H1478,'Campos Growths'!$A:$A,0)),""))</f>
        <v/>
      </c>
      <c r="L1478" s="7" t="str">
        <f aca="false">IF(A1478="","",IF(G1478="não","Sem tabela no Growths",IF(I1478="","Sem campo no Growths",IF(J1478=K1478,"Importa direto","Ajustar tipo"))))</f>
        <v/>
      </c>
      <c r="M1478" s="9"/>
    </row>
    <row r="1479" customFormat="false" ht="15" hidden="false" customHeight="false" outlineLevel="0" collapsed="false">
      <c r="A1479" s="7" t="str">
        <f aca="false">IF('Outro banco'!A1479="","",IF(LEFT('Outro banco'!A1479,1)="(","",'Outro banco'!A1479))</f>
        <v/>
      </c>
      <c r="B1479" s="7" t="str">
        <f aca="false">IF(A1479="","",'Outro banco'!B1479)</f>
        <v/>
      </c>
      <c r="C1479" s="7" t="str">
        <f aca="false">IF(A1479="","",'Outro banco'!C1479)</f>
        <v/>
      </c>
      <c r="D1479" s="7" t="str">
        <f aca="false">IF(A1479="","",'Outro banco'!D1479)</f>
        <v/>
      </c>
      <c r="E1479" s="9"/>
      <c r="F1479" s="9"/>
      <c r="G1479" s="7" t="str">
        <f aca="false">IF(A1479="","",IF(COUNTIF(Tabelas!$A:$A,IF(E1479="",A1479,E1479))&gt;0,"sim","não"))</f>
        <v/>
      </c>
      <c r="H1479" s="7" t="str">
        <f aca="false">IF(A1479="","",IF(E1479="",A1479,E1479)&amp;"."&amp;IF(F1479="",B1479,F1479))</f>
        <v/>
      </c>
      <c r="I1479" s="7" t="str">
        <f aca="false">IF(A1479="","",IFERROR(INDEX('Campos Growths'!$F:$F,MATCH(H1479,'Campos Growths'!$A:$A,0)),""))</f>
        <v/>
      </c>
      <c r="J1479" s="7" t="str">
        <f aca="false">IF(A1479="","",IFERROR(VLOOKUP(IF(ISNUMBER(SEARCH("(",C1479)),LEFT(C1479,SEARCH("(",C1479)-1),C1479),Tipos!$A:$B,2,FALSE()),"outro"))</f>
        <v/>
      </c>
      <c r="K1479" s="7" t="str">
        <f aca="false">IF(I1479="","",IFERROR(INDEX('Campos Growths'!$L:$L,MATCH(H1479,'Campos Growths'!$A:$A,0)),""))</f>
        <v/>
      </c>
      <c r="L1479" s="7" t="str">
        <f aca="false">IF(A1479="","",IF(G1479="não","Sem tabela no Growths",IF(I1479="","Sem campo no Growths",IF(J1479=K1479,"Importa direto","Ajustar tipo"))))</f>
        <v/>
      </c>
      <c r="M1479" s="9"/>
    </row>
    <row r="1480" customFormat="false" ht="15" hidden="false" customHeight="false" outlineLevel="0" collapsed="false">
      <c r="A1480" s="7" t="str">
        <f aca="false">IF('Outro banco'!A1480="","",IF(LEFT('Outro banco'!A1480,1)="(","",'Outro banco'!A1480))</f>
        <v/>
      </c>
      <c r="B1480" s="7" t="str">
        <f aca="false">IF(A1480="","",'Outro banco'!B1480)</f>
        <v/>
      </c>
      <c r="C1480" s="7" t="str">
        <f aca="false">IF(A1480="","",'Outro banco'!C1480)</f>
        <v/>
      </c>
      <c r="D1480" s="7" t="str">
        <f aca="false">IF(A1480="","",'Outro banco'!D1480)</f>
        <v/>
      </c>
      <c r="E1480" s="9"/>
      <c r="F1480" s="9"/>
      <c r="G1480" s="7" t="str">
        <f aca="false">IF(A1480="","",IF(COUNTIF(Tabelas!$A:$A,IF(E1480="",A1480,E1480))&gt;0,"sim","não"))</f>
        <v/>
      </c>
      <c r="H1480" s="7" t="str">
        <f aca="false">IF(A1480="","",IF(E1480="",A1480,E1480)&amp;"."&amp;IF(F1480="",B1480,F1480))</f>
        <v/>
      </c>
      <c r="I1480" s="7" t="str">
        <f aca="false">IF(A1480="","",IFERROR(INDEX('Campos Growths'!$F:$F,MATCH(H1480,'Campos Growths'!$A:$A,0)),""))</f>
        <v/>
      </c>
      <c r="J1480" s="7" t="str">
        <f aca="false">IF(A1480="","",IFERROR(VLOOKUP(IF(ISNUMBER(SEARCH("(",C1480)),LEFT(C1480,SEARCH("(",C1480)-1),C1480),Tipos!$A:$B,2,FALSE()),"outro"))</f>
        <v/>
      </c>
      <c r="K1480" s="7" t="str">
        <f aca="false">IF(I1480="","",IFERROR(INDEX('Campos Growths'!$L:$L,MATCH(H1480,'Campos Growths'!$A:$A,0)),""))</f>
        <v/>
      </c>
      <c r="L1480" s="7" t="str">
        <f aca="false">IF(A1480="","",IF(G1480="não","Sem tabela no Growths",IF(I1480="","Sem campo no Growths",IF(J1480=K1480,"Importa direto","Ajustar tipo"))))</f>
        <v/>
      </c>
      <c r="M1480" s="9"/>
    </row>
    <row r="1481" customFormat="false" ht="15" hidden="false" customHeight="false" outlineLevel="0" collapsed="false">
      <c r="A1481" s="7" t="str">
        <f aca="false">IF('Outro banco'!A1481="","",IF(LEFT('Outro banco'!A1481,1)="(","",'Outro banco'!A1481))</f>
        <v/>
      </c>
      <c r="B1481" s="7" t="str">
        <f aca="false">IF(A1481="","",'Outro banco'!B1481)</f>
        <v/>
      </c>
      <c r="C1481" s="7" t="str">
        <f aca="false">IF(A1481="","",'Outro banco'!C1481)</f>
        <v/>
      </c>
      <c r="D1481" s="7" t="str">
        <f aca="false">IF(A1481="","",'Outro banco'!D1481)</f>
        <v/>
      </c>
      <c r="E1481" s="9"/>
      <c r="F1481" s="9"/>
      <c r="G1481" s="7" t="str">
        <f aca="false">IF(A1481="","",IF(COUNTIF(Tabelas!$A:$A,IF(E1481="",A1481,E1481))&gt;0,"sim","não"))</f>
        <v/>
      </c>
      <c r="H1481" s="7" t="str">
        <f aca="false">IF(A1481="","",IF(E1481="",A1481,E1481)&amp;"."&amp;IF(F1481="",B1481,F1481))</f>
        <v/>
      </c>
      <c r="I1481" s="7" t="str">
        <f aca="false">IF(A1481="","",IFERROR(INDEX('Campos Growths'!$F:$F,MATCH(H1481,'Campos Growths'!$A:$A,0)),""))</f>
        <v/>
      </c>
      <c r="J1481" s="7" t="str">
        <f aca="false">IF(A1481="","",IFERROR(VLOOKUP(IF(ISNUMBER(SEARCH("(",C1481)),LEFT(C1481,SEARCH("(",C1481)-1),C1481),Tipos!$A:$B,2,FALSE()),"outro"))</f>
        <v/>
      </c>
      <c r="K1481" s="7" t="str">
        <f aca="false">IF(I1481="","",IFERROR(INDEX('Campos Growths'!$L:$L,MATCH(H1481,'Campos Growths'!$A:$A,0)),""))</f>
        <v/>
      </c>
      <c r="L1481" s="7" t="str">
        <f aca="false">IF(A1481="","",IF(G1481="não","Sem tabela no Growths",IF(I1481="","Sem campo no Growths",IF(J1481=K1481,"Importa direto","Ajustar tipo"))))</f>
        <v/>
      </c>
      <c r="M1481" s="9"/>
    </row>
    <row r="1482" customFormat="false" ht="15" hidden="false" customHeight="false" outlineLevel="0" collapsed="false">
      <c r="A1482" s="7" t="str">
        <f aca="false">IF('Outro banco'!A1482="","",IF(LEFT('Outro banco'!A1482,1)="(","",'Outro banco'!A1482))</f>
        <v/>
      </c>
      <c r="B1482" s="7" t="str">
        <f aca="false">IF(A1482="","",'Outro banco'!B1482)</f>
        <v/>
      </c>
      <c r="C1482" s="7" t="str">
        <f aca="false">IF(A1482="","",'Outro banco'!C1482)</f>
        <v/>
      </c>
      <c r="D1482" s="7" t="str">
        <f aca="false">IF(A1482="","",'Outro banco'!D1482)</f>
        <v/>
      </c>
      <c r="E1482" s="9"/>
      <c r="F1482" s="9"/>
      <c r="G1482" s="7" t="str">
        <f aca="false">IF(A1482="","",IF(COUNTIF(Tabelas!$A:$A,IF(E1482="",A1482,E1482))&gt;0,"sim","não"))</f>
        <v/>
      </c>
      <c r="H1482" s="7" t="str">
        <f aca="false">IF(A1482="","",IF(E1482="",A1482,E1482)&amp;"."&amp;IF(F1482="",B1482,F1482))</f>
        <v/>
      </c>
      <c r="I1482" s="7" t="str">
        <f aca="false">IF(A1482="","",IFERROR(INDEX('Campos Growths'!$F:$F,MATCH(H1482,'Campos Growths'!$A:$A,0)),""))</f>
        <v/>
      </c>
      <c r="J1482" s="7" t="str">
        <f aca="false">IF(A1482="","",IFERROR(VLOOKUP(IF(ISNUMBER(SEARCH("(",C1482)),LEFT(C1482,SEARCH("(",C1482)-1),C1482),Tipos!$A:$B,2,FALSE()),"outro"))</f>
        <v/>
      </c>
      <c r="K1482" s="7" t="str">
        <f aca="false">IF(I1482="","",IFERROR(INDEX('Campos Growths'!$L:$L,MATCH(H1482,'Campos Growths'!$A:$A,0)),""))</f>
        <v/>
      </c>
      <c r="L1482" s="7" t="str">
        <f aca="false">IF(A1482="","",IF(G1482="não","Sem tabela no Growths",IF(I1482="","Sem campo no Growths",IF(J1482=K1482,"Importa direto","Ajustar tipo"))))</f>
        <v/>
      </c>
      <c r="M1482" s="9"/>
    </row>
    <row r="1483" customFormat="false" ht="15" hidden="false" customHeight="false" outlineLevel="0" collapsed="false">
      <c r="A1483" s="7" t="str">
        <f aca="false">IF('Outro banco'!A1483="","",IF(LEFT('Outro banco'!A1483,1)="(","",'Outro banco'!A1483))</f>
        <v/>
      </c>
      <c r="B1483" s="7" t="str">
        <f aca="false">IF(A1483="","",'Outro banco'!B1483)</f>
        <v/>
      </c>
      <c r="C1483" s="7" t="str">
        <f aca="false">IF(A1483="","",'Outro banco'!C1483)</f>
        <v/>
      </c>
      <c r="D1483" s="7" t="str">
        <f aca="false">IF(A1483="","",'Outro banco'!D1483)</f>
        <v/>
      </c>
      <c r="E1483" s="9"/>
      <c r="F1483" s="9"/>
      <c r="G1483" s="7" t="str">
        <f aca="false">IF(A1483="","",IF(COUNTIF(Tabelas!$A:$A,IF(E1483="",A1483,E1483))&gt;0,"sim","não"))</f>
        <v/>
      </c>
      <c r="H1483" s="7" t="str">
        <f aca="false">IF(A1483="","",IF(E1483="",A1483,E1483)&amp;"."&amp;IF(F1483="",B1483,F1483))</f>
        <v/>
      </c>
      <c r="I1483" s="7" t="str">
        <f aca="false">IF(A1483="","",IFERROR(INDEX('Campos Growths'!$F:$F,MATCH(H1483,'Campos Growths'!$A:$A,0)),""))</f>
        <v/>
      </c>
      <c r="J1483" s="7" t="str">
        <f aca="false">IF(A1483="","",IFERROR(VLOOKUP(IF(ISNUMBER(SEARCH("(",C1483)),LEFT(C1483,SEARCH("(",C1483)-1),C1483),Tipos!$A:$B,2,FALSE()),"outro"))</f>
        <v/>
      </c>
      <c r="K1483" s="7" t="str">
        <f aca="false">IF(I1483="","",IFERROR(INDEX('Campos Growths'!$L:$L,MATCH(H1483,'Campos Growths'!$A:$A,0)),""))</f>
        <v/>
      </c>
      <c r="L1483" s="7" t="str">
        <f aca="false">IF(A1483="","",IF(G1483="não","Sem tabela no Growths",IF(I1483="","Sem campo no Growths",IF(J1483=K1483,"Importa direto","Ajustar tipo"))))</f>
        <v/>
      </c>
      <c r="M1483" s="9"/>
    </row>
    <row r="1484" customFormat="false" ht="15" hidden="false" customHeight="false" outlineLevel="0" collapsed="false">
      <c r="A1484" s="7" t="str">
        <f aca="false">IF('Outro banco'!A1484="","",IF(LEFT('Outro banco'!A1484,1)="(","",'Outro banco'!A1484))</f>
        <v/>
      </c>
      <c r="B1484" s="7" t="str">
        <f aca="false">IF(A1484="","",'Outro banco'!B1484)</f>
        <v/>
      </c>
      <c r="C1484" s="7" t="str">
        <f aca="false">IF(A1484="","",'Outro banco'!C1484)</f>
        <v/>
      </c>
      <c r="D1484" s="7" t="str">
        <f aca="false">IF(A1484="","",'Outro banco'!D1484)</f>
        <v/>
      </c>
      <c r="E1484" s="9"/>
      <c r="F1484" s="9"/>
      <c r="G1484" s="7" t="str">
        <f aca="false">IF(A1484="","",IF(COUNTIF(Tabelas!$A:$A,IF(E1484="",A1484,E1484))&gt;0,"sim","não"))</f>
        <v/>
      </c>
      <c r="H1484" s="7" t="str">
        <f aca="false">IF(A1484="","",IF(E1484="",A1484,E1484)&amp;"."&amp;IF(F1484="",B1484,F1484))</f>
        <v/>
      </c>
      <c r="I1484" s="7" t="str">
        <f aca="false">IF(A1484="","",IFERROR(INDEX('Campos Growths'!$F:$F,MATCH(H1484,'Campos Growths'!$A:$A,0)),""))</f>
        <v/>
      </c>
      <c r="J1484" s="7" t="str">
        <f aca="false">IF(A1484="","",IFERROR(VLOOKUP(IF(ISNUMBER(SEARCH("(",C1484)),LEFT(C1484,SEARCH("(",C1484)-1),C1484),Tipos!$A:$B,2,FALSE()),"outro"))</f>
        <v/>
      </c>
      <c r="K1484" s="7" t="str">
        <f aca="false">IF(I1484="","",IFERROR(INDEX('Campos Growths'!$L:$L,MATCH(H1484,'Campos Growths'!$A:$A,0)),""))</f>
        <v/>
      </c>
      <c r="L1484" s="7" t="str">
        <f aca="false">IF(A1484="","",IF(G1484="não","Sem tabela no Growths",IF(I1484="","Sem campo no Growths",IF(J1484=K1484,"Importa direto","Ajustar tipo"))))</f>
        <v/>
      </c>
      <c r="M1484" s="9"/>
    </row>
    <row r="1485" customFormat="false" ht="15" hidden="false" customHeight="false" outlineLevel="0" collapsed="false">
      <c r="A1485" s="7" t="str">
        <f aca="false">IF('Outro banco'!A1485="","",IF(LEFT('Outro banco'!A1485,1)="(","",'Outro banco'!A1485))</f>
        <v/>
      </c>
      <c r="B1485" s="7" t="str">
        <f aca="false">IF(A1485="","",'Outro banco'!B1485)</f>
        <v/>
      </c>
      <c r="C1485" s="7" t="str">
        <f aca="false">IF(A1485="","",'Outro banco'!C1485)</f>
        <v/>
      </c>
      <c r="D1485" s="7" t="str">
        <f aca="false">IF(A1485="","",'Outro banco'!D1485)</f>
        <v/>
      </c>
      <c r="E1485" s="9"/>
      <c r="F1485" s="9"/>
      <c r="G1485" s="7" t="str">
        <f aca="false">IF(A1485="","",IF(COUNTIF(Tabelas!$A:$A,IF(E1485="",A1485,E1485))&gt;0,"sim","não"))</f>
        <v/>
      </c>
      <c r="H1485" s="7" t="str">
        <f aca="false">IF(A1485="","",IF(E1485="",A1485,E1485)&amp;"."&amp;IF(F1485="",B1485,F1485))</f>
        <v/>
      </c>
      <c r="I1485" s="7" t="str">
        <f aca="false">IF(A1485="","",IFERROR(INDEX('Campos Growths'!$F:$F,MATCH(H1485,'Campos Growths'!$A:$A,0)),""))</f>
        <v/>
      </c>
      <c r="J1485" s="7" t="str">
        <f aca="false">IF(A1485="","",IFERROR(VLOOKUP(IF(ISNUMBER(SEARCH("(",C1485)),LEFT(C1485,SEARCH("(",C1485)-1),C1485),Tipos!$A:$B,2,FALSE()),"outro"))</f>
        <v/>
      </c>
      <c r="K1485" s="7" t="str">
        <f aca="false">IF(I1485="","",IFERROR(INDEX('Campos Growths'!$L:$L,MATCH(H1485,'Campos Growths'!$A:$A,0)),""))</f>
        <v/>
      </c>
      <c r="L1485" s="7" t="str">
        <f aca="false">IF(A1485="","",IF(G1485="não","Sem tabela no Growths",IF(I1485="","Sem campo no Growths",IF(J1485=K1485,"Importa direto","Ajustar tipo"))))</f>
        <v/>
      </c>
      <c r="M1485" s="9"/>
    </row>
    <row r="1486" customFormat="false" ht="15" hidden="false" customHeight="false" outlineLevel="0" collapsed="false">
      <c r="A1486" s="7" t="str">
        <f aca="false">IF('Outro banco'!A1486="","",IF(LEFT('Outro banco'!A1486,1)="(","",'Outro banco'!A1486))</f>
        <v/>
      </c>
      <c r="B1486" s="7" t="str">
        <f aca="false">IF(A1486="","",'Outro banco'!B1486)</f>
        <v/>
      </c>
      <c r="C1486" s="7" t="str">
        <f aca="false">IF(A1486="","",'Outro banco'!C1486)</f>
        <v/>
      </c>
      <c r="D1486" s="7" t="str">
        <f aca="false">IF(A1486="","",'Outro banco'!D1486)</f>
        <v/>
      </c>
      <c r="E1486" s="9"/>
      <c r="F1486" s="9"/>
      <c r="G1486" s="7" t="str">
        <f aca="false">IF(A1486="","",IF(COUNTIF(Tabelas!$A:$A,IF(E1486="",A1486,E1486))&gt;0,"sim","não"))</f>
        <v/>
      </c>
      <c r="H1486" s="7" t="str">
        <f aca="false">IF(A1486="","",IF(E1486="",A1486,E1486)&amp;"."&amp;IF(F1486="",B1486,F1486))</f>
        <v/>
      </c>
      <c r="I1486" s="7" t="str">
        <f aca="false">IF(A1486="","",IFERROR(INDEX('Campos Growths'!$F:$F,MATCH(H1486,'Campos Growths'!$A:$A,0)),""))</f>
        <v/>
      </c>
      <c r="J1486" s="7" t="str">
        <f aca="false">IF(A1486="","",IFERROR(VLOOKUP(IF(ISNUMBER(SEARCH("(",C1486)),LEFT(C1486,SEARCH("(",C1486)-1),C1486),Tipos!$A:$B,2,FALSE()),"outro"))</f>
        <v/>
      </c>
      <c r="K1486" s="7" t="str">
        <f aca="false">IF(I1486="","",IFERROR(INDEX('Campos Growths'!$L:$L,MATCH(H1486,'Campos Growths'!$A:$A,0)),""))</f>
        <v/>
      </c>
      <c r="L1486" s="7" t="str">
        <f aca="false">IF(A1486="","",IF(G1486="não","Sem tabela no Growths",IF(I1486="","Sem campo no Growths",IF(J1486=K1486,"Importa direto","Ajustar tipo"))))</f>
        <v/>
      </c>
      <c r="M1486" s="9"/>
    </row>
    <row r="1487" customFormat="false" ht="15" hidden="false" customHeight="false" outlineLevel="0" collapsed="false">
      <c r="A1487" s="7" t="str">
        <f aca="false">IF('Outro banco'!A1487="","",IF(LEFT('Outro banco'!A1487,1)="(","",'Outro banco'!A1487))</f>
        <v/>
      </c>
      <c r="B1487" s="7" t="str">
        <f aca="false">IF(A1487="","",'Outro banco'!B1487)</f>
        <v/>
      </c>
      <c r="C1487" s="7" t="str">
        <f aca="false">IF(A1487="","",'Outro banco'!C1487)</f>
        <v/>
      </c>
      <c r="D1487" s="7" t="str">
        <f aca="false">IF(A1487="","",'Outro banco'!D1487)</f>
        <v/>
      </c>
      <c r="E1487" s="9"/>
      <c r="F1487" s="9"/>
      <c r="G1487" s="7" t="str">
        <f aca="false">IF(A1487="","",IF(COUNTIF(Tabelas!$A:$A,IF(E1487="",A1487,E1487))&gt;0,"sim","não"))</f>
        <v/>
      </c>
      <c r="H1487" s="7" t="str">
        <f aca="false">IF(A1487="","",IF(E1487="",A1487,E1487)&amp;"."&amp;IF(F1487="",B1487,F1487))</f>
        <v/>
      </c>
      <c r="I1487" s="7" t="str">
        <f aca="false">IF(A1487="","",IFERROR(INDEX('Campos Growths'!$F:$F,MATCH(H1487,'Campos Growths'!$A:$A,0)),""))</f>
        <v/>
      </c>
      <c r="J1487" s="7" t="str">
        <f aca="false">IF(A1487="","",IFERROR(VLOOKUP(IF(ISNUMBER(SEARCH("(",C1487)),LEFT(C1487,SEARCH("(",C1487)-1),C1487),Tipos!$A:$B,2,FALSE()),"outro"))</f>
        <v/>
      </c>
      <c r="K1487" s="7" t="str">
        <f aca="false">IF(I1487="","",IFERROR(INDEX('Campos Growths'!$L:$L,MATCH(H1487,'Campos Growths'!$A:$A,0)),""))</f>
        <v/>
      </c>
      <c r="L1487" s="7" t="str">
        <f aca="false">IF(A1487="","",IF(G1487="não","Sem tabela no Growths",IF(I1487="","Sem campo no Growths",IF(J1487=K1487,"Importa direto","Ajustar tipo"))))</f>
        <v/>
      </c>
      <c r="M1487" s="9"/>
    </row>
    <row r="1488" customFormat="false" ht="15" hidden="false" customHeight="false" outlineLevel="0" collapsed="false">
      <c r="A1488" s="7" t="str">
        <f aca="false">IF('Outro banco'!A1488="","",IF(LEFT('Outro banco'!A1488,1)="(","",'Outro banco'!A1488))</f>
        <v/>
      </c>
      <c r="B1488" s="7" t="str">
        <f aca="false">IF(A1488="","",'Outro banco'!B1488)</f>
        <v/>
      </c>
      <c r="C1488" s="7" t="str">
        <f aca="false">IF(A1488="","",'Outro banco'!C1488)</f>
        <v/>
      </c>
      <c r="D1488" s="7" t="str">
        <f aca="false">IF(A1488="","",'Outro banco'!D1488)</f>
        <v/>
      </c>
      <c r="E1488" s="9"/>
      <c r="F1488" s="9"/>
      <c r="G1488" s="7" t="str">
        <f aca="false">IF(A1488="","",IF(COUNTIF(Tabelas!$A:$A,IF(E1488="",A1488,E1488))&gt;0,"sim","não"))</f>
        <v/>
      </c>
      <c r="H1488" s="7" t="str">
        <f aca="false">IF(A1488="","",IF(E1488="",A1488,E1488)&amp;"."&amp;IF(F1488="",B1488,F1488))</f>
        <v/>
      </c>
      <c r="I1488" s="7" t="str">
        <f aca="false">IF(A1488="","",IFERROR(INDEX('Campos Growths'!$F:$F,MATCH(H1488,'Campos Growths'!$A:$A,0)),""))</f>
        <v/>
      </c>
      <c r="J1488" s="7" t="str">
        <f aca="false">IF(A1488="","",IFERROR(VLOOKUP(IF(ISNUMBER(SEARCH("(",C1488)),LEFT(C1488,SEARCH("(",C1488)-1),C1488),Tipos!$A:$B,2,FALSE()),"outro"))</f>
        <v/>
      </c>
      <c r="K1488" s="7" t="str">
        <f aca="false">IF(I1488="","",IFERROR(INDEX('Campos Growths'!$L:$L,MATCH(H1488,'Campos Growths'!$A:$A,0)),""))</f>
        <v/>
      </c>
      <c r="L1488" s="7" t="str">
        <f aca="false">IF(A1488="","",IF(G1488="não","Sem tabela no Growths",IF(I1488="","Sem campo no Growths",IF(J1488=K1488,"Importa direto","Ajustar tipo"))))</f>
        <v/>
      </c>
      <c r="M1488" s="9"/>
    </row>
    <row r="1489" customFormat="false" ht="15" hidden="false" customHeight="false" outlineLevel="0" collapsed="false">
      <c r="A1489" s="7" t="str">
        <f aca="false">IF('Outro banco'!A1489="","",IF(LEFT('Outro banco'!A1489,1)="(","",'Outro banco'!A1489))</f>
        <v/>
      </c>
      <c r="B1489" s="7" t="str">
        <f aca="false">IF(A1489="","",'Outro banco'!B1489)</f>
        <v/>
      </c>
      <c r="C1489" s="7" t="str">
        <f aca="false">IF(A1489="","",'Outro banco'!C1489)</f>
        <v/>
      </c>
      <c r="D1489" s="7" t="str">
        <f aca="false">IF(A1489="","",'Outro banco'!D1489)</f>
        <v/>
      </c>
      <c r="E1489" s="9"/>
      <c r="F1489" s="9"/>
      <c r="G1489" s="7" t="str">
        <f aca="false">IF(A1489="","",IF(COUNTIF(Tabelas!$A:$A,IF(E1489="",A1489,E1489))&gt;0,"sim","não"))</f>
        <v/>
      </c>
      <c r="H1489" s="7" t="str">
        <f aca="false">IF(A1489="","",IF(E1489="",A1489,E1489)&amp;"."&amp;IF(F1489="",B1489,F1489))</f>
        <v/>
      </c>
      <c r="I1489" s="7" t="str">
        <f aca="false">IF(A1489="","",IFERROR(INDEX('Campos Growths'!$F:$F,MATCH(H1489,'Campos Growths'!$A:$A,0)),""))</f>
        <v/>
      </c>
      <c r="J1489" s="7" t="str">
        <f aca="false">IF(A1489="","",IFERROR(VLOOKUP(IF(ISNUMBER(SEARCH("(",C1489)),LEFT(C1489,SEARCH("(",C1489)-1),C1489),Tipos!$A:$B,2,FALSE()),"outro"))</f>
        <v/>
      </c>
      <c r="K1489" s="7" t="str">
        <f aca="false">IF(I1489="","",IFERROR(INDEX('Campos Growths'!$L:$L,MATCH(H1489,'Campos Growths'!$A:$A,0)),""))</f>
        <v/>
      </c>
      <c r="L1489" s="7" t="str">
        <f aca="false">IF(A1489="","",IF(G1489="não","Sem tabela no Growths",IF(I1489="","Sem campo no Growths",IF(J1489=K1489,"Importa direto","Ajustar tipo"))))</f>
        <v/>
      </c>
      <c r="M1489" s="9"/>
    </row>
    <row r="1490" customFormat="false" ht="15" hidden="false" customHeight="false" outlineLevel="0" collapsed="false">
      <c r="A1490" s="7" t="str">
        <f aca="false">IF('Outro banco'!A1490="","",IF(LEFT('Outro banco'!A1490,1)="(","",'Outro banco'!A1490))</f>
        <v/>
      </c>
      <c r="B1490" s="7" t="str">
        <f aca="false">IF(A1490="","",'Outro banco'!B1490)</f>
        <v/>
      </c>
      <c r="C1490" s="7" t="str">
        <f aca="false">IF(A1490="","",'Outro banco'!C1490)</f>
        <v/>
      </c>
      <c r="D1490" s="7" t="str">
        <f aca="false">IF(A1490="","",'Outro banco'!D1490)</f>
        <v/>
      </c>
      <c r="E1490" s="9"/>
      <c r="F1490" s="9"/>
      <c r="G1490" s="7" t="str">
        <f aca="false">IF(A1490="","",IF(COUNTIF(Tabelas!$A:$A,IF(E1490="",A1490,E1490))&gt;0,"sim","não"))</f>
        <v/>
      </c>
      <c r="H1490" s="7" t="str">
        <f aca="false">IF(A1490="","",IF(E1490="",A1490,E1490)&amp;"."&amp;IF(F1490="",B1490,F1490))</f>
        <v/>
      </c>
      <c r="I1490" s="7" t="str">
        <f aca="false">IF(A1490="","",IFERROR(INDEX('Campos Growths'!$F:$F,MATCH(H1490,'Campos Growths'!$A:$A,0)),""))</f>
        <v/>
      </c>
      <c r="J1490" s="7" t="str">
        <f aca="false">IF(A1490="","",IFERROR(VLOOKUP(IF(ISNUMBER(SEARCH("(",C1490)),LEFT(C1490,SEARCH("(",C1490)-1),C1490),Tipos!$A:$B,2,FALSE()),"outro"))</f>
        <v/>
      </c>
      <c r="K1490" s="7" t="str">
        <f aca="false">IF(I1490="","",IFERROR(INDEX('Campos Growths'!$L:$L,MATCH(H1490,'Campos Growths'!$A:$A,0)),""))</f>
        <v/>
      </c>
      <c r="L1490" s="7" t="str">
        <f aca="false">IF(A1490="","",IF(G1490="não","Sem tabela no Growths",IF(I1490="","Sem campo no Growths",IF(J1490=K1490,"Importa direto","Ajustar tipo"))))</f>
        <v/>
      </c>
      <c r="M1490" s="9"/>
    </row>
    <row r="1491" customFormat="false" ht="15" hidden="false" customHeight="false" outlineLevel="0" collapsed="false">
      <c r="A1491" s="7" t="str">
        <f aca="false">IF('Outro banco'!A1491="","",IF(LEFT('Outro banco'!A1491,1)="(","",'Outro banco'!A1491))</f>
        <v/>
      </c>
      <c r="B1491" s="7" t="str">
        <f aca="false">IF(A1491="","",'Outro banco'!B1491)</f>
        <v/>
      </c>
      <c r="C1491" s="7" t="str">
        <f aca="false">IF(A1491="","",'Outro banco'!C1491)</f>
        <v/>
      </c>
      <c r="D1491" s="7" t="str">
        <f aca="false">IF(A1491="","",'Outro banco'!D1491)</f>
        <v/>
      </c>
      <c r="E1491" s="9"/>
      <c r="F1491" s="9"/>
      <c r="G1491" s="7" t="str">
        <f aca="false">IF(A1491="","",IF(COUNTIF(Tabelas!$A:$A,IF(E1491="",A1491,E1491))&gt;0,"sim","não"))</f>
        <v/>
      </c>
      <c r="H1491" s="7" t="str">
        <f aca="false">IF(A1491="","",IF(E1491="",A1491,E1491)&amp;"."&amp;IF(F1491="",B1491,F1491))</f>
        <v/>
      </c>
      <c r="I1491" s="7" t="str">
        <f aca="false">IF(A1491="","",IFERROR(INDEX('Campos Growths'!$F:$F,MATCH(H1491,'Campos Growths'!$A:$A,0)),""))</f>
        <v/>
      </c>
      <c r="J1491" s="7" t="str">
        <f aca="false">IF(A1491="","",IFERROR(VLOOKUP(IF(ISNUMBER(SEARCH("(",C1491)),LEFT(C1491,SEARCH("(",C1491)-1),C1491),Tipos!$A:$B,2,FALSE()),"outro"))</f>
        <v/>
      </c>
      <c r="K1491" s="7" t="str">
        <f aca="false">IF(I1491="","",IFERROR(INDEX('Campos Growths'!$L:$L,MATCH(H1491,'Campos Growths'!$A:$A,0)),""))</f>
        <v/>
      </c>
      <c r="L1491" s="7" t="str">
        <f aca="false">IF(A1491="","",IF(G1491="não","Sem tabela no Growths",IF(I1491="","Sem campo no Growths",IF(J1491=K1491,"Importa direto","Ajustar tipo"))))</f>
        <v/>
      </c>
      <c r="M1491" s="9"/>
    </row>
    <row r="1492" customFormat="false" ht="15" hidden="false" customHeight="false" outlineLevel="0" collapsed="false">
      <c r="A1492" s="7" t="str">
        <f aca="false">IF('Outro banco'!A1492="","",IF(LEFT('Outro banco'!A1492,1)="(","",'Outro banco'!A1492))</f>
        <v/>
      </c>
      <c r="B1492" s="7" t="str">
        <f aca="false">IF(A1492="","",'Outro banco'!B1492)</f>
        <v/>
      </c>
      <c r="C1492" s="7" t="str">
        <f aca="false">IF(A1492="","",'Outro banco'!C1492)</f>
        <v/>
      </c>
      <c r="D1492" s="7" t="str">
        <f aca="false">IF(A1492="","",'Outro banco'!D1492)</f>
        <v/>
      </c>
      <c r="E1492" s="9"/>
      <c r="F1492" s="9"/>
      <c r="G1492" s="7" t="str">
        <f aca="false">IF(A1492="","",IF(COUNTIF(Tabelas!$A:$A,IF(E1492="",A1492,E1492))&gt;0,"sim","não"))</f>
        <v/>
      </c>
      <c r="H1492" s="7" t="str">
        <f aca="false">IF(A1492="","",IF(E1492="",A1492,E1492)&amp;"."&amp;IF(F1492="",B1492,F1492))</f>
        <v/>
      </c>
      <c r="I1492" s="7" t="str">
        <f aca="false">IF(A1492="","",IFERROR(INDEX('Campos Growths'!$F:$F,MATCH(H1492,'Campos Growths'!$A:$A,0)),""))</f>
        <v/>
      </c>
      <c r="J1492" s="7" t="str">
        <f aca="false">IF(A1492="","",IFERROR(VLOOKUP(IF(ISNUMBER(SEARCH("(",C1492)),LEFT(C1492,SEARCH("(",C1492)-1),C1492),Tipos!$A:$B,2,FALSE()),"outro"))</f>
        <v/>
      </c>
      <c r="K1492" s="7" t="str">
        <f aca="false">IF(I1492="","",IFERROR(INDEX('Campos Growths'!$L:$L,MATCH(H1492,'Campos Growths'!$A:$A,0)),""))</f>
        <v/>
      </c>
      <c r="L1492" s="7" t="str">
        <f aca="false">IF(A1492="","",IF(G1492="não","Sem tabela no Growths",IF(I1492="","Sem campo no Growths",IF(J1492=K1492,"Importa direto","Ajustar tipo"))))</f>
        <v/>
      </c>
      <c r="M1492" s="9"/>
    </row>
    <row r="1493" customFormat="false" ht="15" hidden="false" customHeight="false" outlineLevel="0" collapsed="false">
      <c r="A1493" s="7" t="str">
        <f aca="false">IF('Outro banco'!A1493="","",IF(LEFT('Outro banco'!A1493,1)="(","",'Outro banco'!A1493))</f>
        <v/>
      </c>
      <c r="B1493" s="7" t="str">
        <f aca="false">IF(A1493="","",'Outro banco'!B1493)</f>
        <v/>
      </c>
      <c r="C1493" s="7" t="str">
        <f aca="false">IF(A1493="","",'Outro banco'!C1493)</f>
        <v/>
      </c>
      <c r="D1493" s="7" t="str">
        <f aca="false">IF(A1493="","",'Outro banco'!D1493)</f>
        <v/>
      </c>
      <c r="E1493" s="9"/>
      <c r="F1493" s="9"/>
      <c r="G1493" s="7" t="str">
        <f aca="false">IF(A1493="","",IF(COUNTIF(Tabelas!$A:$A,IF(E1493="",A1493,E1493))&gt;0,"sim","não"))</f>
        <v/>
      </c>
      <c r="H1493" s="7" t="str">
        <f aca="false">IF(A1493="","",IF(E1493="",A1493,E1493)&amp;"."&amp;IF(F1493="",B1493,F1493))</f>
        <v/>
      </c>
      <c r="I1493" s="7" t="str">
        <f aca="false">IF(A1493="","",IFERROR(INDEX('Campos Growths'!$F:$F,MATCH(H1493,'Campos Growths'!$A:$A,0)),""))</f>
        <v/>
      </c>
      <c r="J1493" s="7" t="str">
        <f aca="false">IF(A1493="","",IFERROR(VLOOKUP(IF(ISNUMBER(SEARCH("(",C1493)),LEFT(C1493,SEARCH("(",C1493)-1),C1493),Tipos!$A:$B,2,FALSE()),"outro"))</f>
        <v/>
      </c>
      <c r="K1493" s="7" t="str">
        <f aca="false">IF(I1493="","",IFERROR(INDEX('Campos Growths'!$L:$L,MATCH(H1493,'Campos Growths'!$A:$A,0)),""))</f>
        <v/>
      </c>
      <c r="L1493" s="7" t="str">
        <f aca="false">IF(A1493="","",IF(G1493="não","Sem tabela no Growths",IF(I1493="","Sem campo no Growths",IF(J1493=K1493,"Importa direto","Ajustar tipo"))))</f>
        <v/>
      </c>
      <c r="M1493" s="9"/>
    </row>
    <row r="1494" customFormat="false" ht="15" hidden="false" customHeight="false" outlineLevel="0" collapsed="false">
      <c r="A1494" s="7" t="str">
        <f aca="false">IF('Outro banco'!A1494="","",IF(LEFT('Outro banco'!A1494,1)="(","",'Outro banco'!A1494))</f>
        <v/>
      </c>
      <c r="B1494" s="7" t="str">
        <f aca="false">IF(A1494="","",'Outro banco'!B1494)</f>
        <v/>
      </c>
      <c r="C1494" s="7" t="str">
        <f aca="false">IF(A1494="","",'Outro banco'!C1494)</f>
        <v/>
      </c>
      <c r="D1494" s="7" t="str">
        <f aca="false">IF(A1494="","",'Outro banco'!D1494)</f>
        <v/>
      </c>
      <c r="E1494" s="9"/>
      <c r="F1494" s="9"/>
      <c r="G1494" s="7" t="str">
        <f aca="false">IF(A1494="","",IF(COUNTIF(Tabelas!$A:$A,IF(E1494="",A1494,E1494))&gt;0,"sim","não"))</f>
        <v/>
      </c>
      <c r="H1494" s="7" t="str">
        <f aca="false">IF(A1494="","",IF(E1494="",A1494,E1494)&amp;"."&amp;IF(F1494="",B1494,F1494))</f>
        <v/>
      </c>
      <c r="I1494" s="7" t="str">
        <f aca="false">IF(A1494="","",IFERROR(INDEX('Campos Growths'!$F:$F,MATCH(H1494,'Campos Growths'!$A:$A,0)),""))</f>
        <v/>
      </c>
      <c r="J1494" s="7" t="str">
        <f aca="false">IF(A1494="","",IFERROR(VLOOKUP(IF(ISNUMBER(SEARCH("(",C1494)),LEFT(C1494,SEARCH("(",C1494)-1),C1494),Tipos!$A:$B,2,FALSE()),"outro"))</f>
        <v/>
      </c>
      <c r="K1494" s="7" t="str">
        <f aca="false">IF(I1494="","",IFERROR(INDEX('Campos Growths'!$L:$L,MATCH(H1494,'Campos Growths'!$A:$A,0)),""))</f>
        <v/>
      </c>
      <c r="L1494" s="7" t="str">
        <f aca="false">IF(A1494="","",IF(G1494="não","Sem tabela no Growths",IF(I1494="","Sem campo no Growths",IF(J1494=K1494,"Importa direto","Ajustar tipo"))))</f>
        <v/>
      </c>
      <c r="M1494" s="9"/>
    </row>
    <row r="1495" customFormat="false" ht="15" hidden="false" customHeight="false" outlineLevel="0" collapsed="false">
      <c r="A1495" s="7" t="str">
        <f aca="false">IF('Outro banco'!A1495="","",IF(LEFT('Outro banco'!A1495,1)="(","",'Outro banco'!A1495))</f>
        <v/>
      </c>
      <c r="B1495" s="7" t="str">
        <f aca="false">IF(A1495="","",'Outro banco'!B1495)</f>
        <v/>
      </c>
      <c r="C1495" s="7" t="str">
        <f aca="false">IF(A1495="","",'Outro banco'!C1495)</f>
        <v/>
      </c>
      <c r="D1495" s="7" t="str">
        <f aca="false">IF(A1495="","",'Outro banco'!D1495)</f>
        <v/>
      </c>
      <c r="E1495" s="9"/>
      <c r="F1495" s="9"/>
      <c r="G1495" s="7" t="str">
        <f aca="false">IF(A1495="","",IF(COUNTIF(Tabelas!$A:$A,IF(E1495="",A1495,E1495))&gt;0,"sim","não"))</f>
        <v/>
      </c>
      <c r="H1495" s="7" t="str">
        <f aca="false">IF(A1495="","",IF(E1495="",A1495,E1495)&amp;"."&amp;IF(F1495="",B1495,F1495))</f>
        <v/>
      </c>
      <c r="I1495" s="7" t="str">
        <f aca="false">IF(A1495="","",IFERROR(INDEX('Campos Growths'!$F:$F,MATCH(H1495,'Campos Growths'!$A:$A,0)),""))</f>
        <v/>
      </c>
      <c r="J1495" s="7" t="str">
        <f aca="false">IF(A1495="","",IFERROR(VLOOKUP(IF(ISNUMBER(SEARCH("(",C1495)),LEFT(C1495,SEARCH("(",C1495)-1),C1495),Tipos!$A:$B,2,FALSE()),"outro"))</f>
        <v/>
      </c>
      <c r="K1495" s="7" t="str">
        <f aca="false">IF(I1495="","",IFERROR(INDEX('Campos Growths'!$L:$L,MATCH(H1495,'Campos Growths'!$A:$A,0)),""))</f>
        <v/>
      </c>
      <c r="L1495" s="7" t="str">
        <f aca="false">IF(A1495="","",IF(G1495="não","Sem tabela no Growths",IF(I1495="","Sem campo no Growths",IF(J1495=K1495,"Importa direto","Ajustar tipo"))))</f>
        <v/>
      </c>
      <c r="M1495" s="9"/>
    </row>
    <row r="1496" customFormat="false" ht="15" hidden="false" customHeight="false" outlineLevel="0" collapsed="false">
      <c r="A1496" s="7" t="str">
        <f aca="false">IF('Outro banco'!A1496="","",IF(LEFT('Outro banco'!A1496,1)="(","",'Outro banco'!A1496))</f>
        <v/>
      </c>
      <c r="B1496" s="7" t="str">
        <f aca="false">IF(A1496="","",'Outro banco'!B1496)</f>
        <v/>
      </c>
      <c r="C1496" s="7" t="str">
        <f aca="false">IF(A1496="","",'Outro banco'!C1496)</f>
        <v/>
      </c>
      <c r="D1496" s="7" t="str">
        <f aca="false">IF(A1496="","",'Outro banco'!D1496)</f>
        <v/>
      </c>
      <c r="E1496" s="9"/>
      <c r="F1496" s="9"/>
      <c r="G1496" s="7" t="str">
        <f aca="false">IF(A1496="","",IF(COUNTIF(Tabelas!$A:$A,IF(E1496="",A1496,E1496))&gt;0,"sim","não"))</f>
        <v/>
      </c>
      <c r="H1496" s="7" t="str">
        <f aca="false">IF(A1496="","",IF(E1496="",A1496,E1496)&amp;"."&amp;IF(F1496="",B1496,F1496))</f>
        <v/>
      </c>
      <c r="I1496" s="7" t="str">
        <f aca="false">IF(A1496="","",IFERROR(INDEX('Campos Growths'!$F:$F,MATCH(H1496,'Campos Growths'!$A:$A,0)),""))</f>
        <v/>
      </c>
      <c r="J1496" s="7" t="str">
        <f aca="false">IF(A1496="","",IFERROR(VLOOKUP(IF(ISNUMBER(SEARCH("(",C1496)),LEFT(C1496,SEARCH("(",C1496)-1),C1496),Tipos!$A:$B,2,FALSE()),"outro"))</f>
        <v/>
      </c>
      <c r="K1496" s="7" t="str">
        <f aca="false">IF(I1496="","",IFERROR(INDEX('Campos Growths'!$L:$L,MATCH(H1496,'Campos Growths'!$A:$A,0)),""))</f>
        <v/>
      </c>
      <c r="L1496" s="7" t="str">
        <f aca="false">IF(A1496="","",IF(G1496="não","Sem tabela no Growths",IF(I1496="","Sem campo no Growths",IF(J1496=K1496,"Importa direto","Ajustar tipo"))))</f>
        <v/>
      </c>
      <c r="M1496" s="9"/>
    </row>
    <row r="1497" customFormat="false" ht="15" hidden="false" customHeight="false" outlineLevel="0" collapsed="false">
      <c r="A1497" s="7" t="str">
        <f aca="false">IF('Outro banco'!A1497="","",IF(LEFT('Outro banco'!A1497,1)="(","",'Outro banco'!A1497))</f>
        <v/>
      </c>
      <c r="B1497" s="7" t="str">
        <f aca="false">IF(A1497="","",'Outro banco'!B1497)</f>
        <v/>
      </c>
      <c r="C1497" s="7" t="str">
        <f aca="false">IF(A1497="","",'Outro banco'!C1497)</f>
        <v/>
      </c>
      <c r="D1497" s="7" t="str">
        <f aca="false">IF(A1497="","",'Outro banco'!D1497)</f>
        <v/>
      </c>
      <c r="E1497" s="9"/>
      <c r="F1497" s="9"/>
      <c r="G1497" s="7" t="str">
        <f aca="false">IF(A1497="","",IF(COUNTIF(Tabelas!$A:$A,IF(E1497="",A1497,E1497))&gt;0,"sim","não"))</f>
        <v/>
      </c>
      <c r="H1497" s="7" t="str">
        <f aca="false">IF(A1497="","",IF(E1497="",A1497,E1497)&amp;"."&amp;IF(F1497="",B1497,F1497))</f>
        <v/>
      </c>
      <c r="I1497" s="7" t="str">
        <f aca="false">IF(A1497="","",IFERROR(INDEX('Campos Growths'!$F:$F,MATCH(H1497,'Campos Growths'!$A:$A,0)),""))</f>
        <v/>
      </c>
      <c r="J1497" s="7" t="str">
        <f aca="false">IF(A1497="","",IFERROR(VLOOKUP(IF(ISNUMBER(SEARCH("(",C1497)),LEFT(C1497,SEARCH("(",C1497)-1),C1497),Tipos!$A:$B,2,FALSE()),"outro"))</f>
        <v/>
      </c>
      <c r="K1497" s="7" t="str">
        <f aca="false">IF(I1497="","",IFERROR(INDEX('Campos Growths'!$L:$L,MATCH(H1497,'Campos Growths'!$A:$A,0)),""))</f>
        <v/>
      </c>
      <c r="L1497" s="7" t="str">
        <f aca="false">IF(A1497="","",IF(G1497="não","Sem tabela no Growths",IF(I1497="","Sem campo no Growths",IF(J1497=K1497,"Importa direto","Ajustar tipo"))))</f>
        <v/>
      </c>
      <c r="M1497" s="9"/>
    </row>
    <row r="1498" customFormat="false" ht="15" hidden="false" customHeight="false" outlineLevel="0" collapsed="false">
      <c r="A1498" s="7" t="str">
        <f aca="false">IF('Outro banco'!A1498="","",IF(LEFT('Outro banco'!A1498,1)="(","",'Outro banco'!A1498))</f>
        <v/>
      </c>
      <c r="B1498" s="7" t="str">
        <f aca="false">IF(A1498="","",'Outro banco'!B1498)</f>
        <v/>
      </c>
      <c r="C1498" s="7" t="str">
        <f aca="false">IF(A1498="","",'Outro banco'!C1498)</f>
        <v/>
      </c>
      <c r="D1498" s="7" t="str">
        <f aca="false">IF(A1498="","",'Outro banco'!D1498)</f>
        <v/>
      </c>
      <c r="E1498" s="9"/>
      <c r="F1498" s="9"/>
      <c r="G1498" s="7" t="str">
        <f aca="false">IF(A1498="","",IF(COUNTIF(Tabelas!$A:$A,IF(E1498="",A1498,E1498))&gt;0,"sim","não"))</f>
        <v/>
      </c>
      <c r="H1498" s="7" t="str">
        <f aca="false">IF(A1498="","",IF(E1498="",A1498,E1498)&amp;"."&amp;IF(F1498="",B1498,F1498))</f>
        <v/>
      </c>
      <c r="I1498" s="7" t="str">
        <f aca="false">IF(A1498="","",IFERROR(INDEX('Campos Growths'!$F:$F,MATCH(H1498,'Campos Growths'!$A:$A,0)),""))</f>
        <v/>
      </c>
      <c r="J1498" s="7" t="str">
        <f aca="false">IF(A1498="","",IFERROR(VLOOKUP(IF(ISNUMBER(SEARCH("(",C1498)),LEFT(C1498,SEARCH("(",C1498)-1),C1498),Tipos!$A:$B,2,FALSE()),"outro"))</f>
        <v/>
      </c>
      <c r="K1498" s="7" t="str">
        <f aca="false">IF(I1498="","",IFERROR(INDEX('Campos Growths'!$L:$L,MATCH(H1498,'Campos Growths'!$A:$A,0)),""))</f>
        <v/>
      </c>
      <c r="L1498" s="7" t="str">
        <f aca="false">IF(A1498="","",IF(G1498="não","Sem tabela no Growths",IF(I1498="","Sem campo no Growths",IF(J1498=K1498,"Importa direto","Ajustar tipo"))))</f>
        <v/>
      </c>
      <c r="M1498" s="9"/>
    </row>
    <row r="1499" customFormat="false" ht="15" hidden="false" customHeight="false" outlineLevel="0" collapsed="false">
      <c r="A1499" s="7" t="str">
        <f aca="false">IF('Outro banco'!A1499="","",IF(LEFT('Outro banco'!A1499,1)="(","",'Outro banco'!A1499))</f>
        <v/>
      </c>
      <c r="B1499" s="7" t="str">
        <f aca="false">IF(A1499="","",'Outro banco'!B1499)</f>
        <v/>
      </c>
      <c r="C1499" s="7" t="str">
        <f aca="false">IF(A1499="","",'Outro banco'!C1499)</f>
        <v/>
      </c>
      <c r="D1499" s="7" t="str">
        <f aca="false">IF(A1499="","",'Outro banco'!D1499)</f>
        <v/>
      </c>
      <c r="E1499" s="9"/>
      <c r="F1499" s="9"/>
      <c r="G1499" s="7" t="str">
        <f aca="false">IF(A1499="","",IF(COUNTIF(Tabelas!$A:$A,IF(E1499="",A1499,E1499))&gt;0,"sim","não"))</f>
        <v/>
      </c>
      <c r="H1499" s="7" t="str">
        <f aca="false">IF(A1499="","",IF(E1499="",A1499,E1499)&amp;"."&amp;IF(F1499="",B1499,F1499))</f>
        <v/>
      </c>
      <c r="I1499" s="7" t="str">
        <f aca="false">IF(A1499="","",IFERROR(INDEX('Campos Growths'!$F:$F,MATCH(H1499,'Campos Growths'!$A:$A,0)),""))</f>
        <v/>
      </c>
      <c r="J1499" s="7" t="str">
        <f aca="false">IF(A1499="","",IFERROR(VLOOKUP(IF(ISNUMBER(SEARCH("(",C1499)),LEFT(C1499,SEARCH("(",C1499)-1),C1499),Tipos!$A:$B,2,FALSE()),"outro"))</f>
        <v/>
      </c>
      <c r="K1499" s="7" t="str">
        <f aca="false">IF(I1499="","",IFERROR(INDEX('Campos Growths'!$L:$L,MATCH(H1499,'Campos Growths'!$A:$A,0)),""))</f>
        <v/>
      </c>
      <c r="L1499" s="7" t="str">
        <f aca="false">IF(A1499="","",IF(G1499="não","Sem tabela no Growths",IF(I1499="","Sem campo no Growths",IF(J1499=K1499,"Importa direto","Ajustar tipo"))))</f>
        <v/>
      </c>
      <c r="M1499" s="9"/>
    </row>
    <row r="1500" customFormat="false" ht="15" hidden="false" customHeight="false" outlineLevel="0" collapsed="false">
      <c r="A1500" s="7" t="str">
        <f aca="false">IF('Outro banco'!A1500="","",IF(LEFT('Outro banco'!A1500,1)="(","",'Outro banco'!A1500))</f>
        <v/>
      </c>
      <c r="B1500" s="7" t="str">
        <f aca="false">IF(A1500="","",'Outro banco'!B1500)</f>
        <v/>
      </c>
      <c r="C1500" s="7" t="str">
        <f aca="false">IF(A1500="","",'Outro banco'!C1500)</f>
        <v/>
      </c>
      <c r="D1500" s="7" t="str">
        <f aca="false">IF(A1500="","",'Outro banco'!D1500)</f>
        <v/>
      </c>
      <c r="E1500" s="9"/>
      <c r="F1500" s="9"/>
      <c r="G1500" s="7" t="str">
        <f aca="false">IF(A1500="","",IF(COUNTIF(Tabelas!$A:$A,IF(E1500="",A1500,E1500))&gt;0,"sim","não"))</f>
        <v/>
      </c>
      <c r="H1500" s="7" t="str">
        <f aca="false">IF(A1500="","",IF(E1500="",A1500,E1500)&amp;"."&amp;IF(F1500="",B1500,F1500))</f>
        <v/>
      </c>
      <c r="I1500" s="7" t="str">
        <f aca="false">IF(A1500="","",IFERROR(INDEX('Campos Growths'!$F:$F,MATCH(H1500,'Campos Growths'!$A:$A,0)),""))</f>
        <v/>
      </c>
      <c r="J1500" s="7" t="str">
        <f aca="false">IF(A1500="","",IFERROR(VLOOKUP(IF(ISNUMBER(SEARCH("(",C1500)),LEFT(C1500,SEARCH("(",C1500)-1),C1500),Tipos!$A:$B,2,FALSE()),"outro"))</f>
        <v/>
      </c>
      <c r="K1500" s="7" t="str">
        <f aca="false">IF(I1500="","",IFERROR(INDEX('Campos Growths'!$L:$L,MATCH(H1500,'Campos Growths'!$A:$A,0)),""))</f>
        <v/>
      </c>
      <c r="L1500" s="7" t="str">
        <f aca="false">IF(A1500="","",IF(G1500="não","Sem tabela no Growths",IF(I1500="","Sem campo no Growths",IF(J1500=K1500,"Importa direto","Ajustar tipo"))))</f>
        <v/>
      </c>
      <c r="M1500" s="9"/>
    </row>
    <row r="1501" customFormat="false" ht="15" hidden="false" customHeight="false" outlineLevel="0" collapsed="false">
      <c r="A1501" s="7" t="str">
        <f aca="false">IF('Outro banco'!A1501="","",IF(LEFT('Outro banco'!A1501,1)="(","",'Outro banco'!A1501))</f>
        <v/>
      </c>
      <c r="B1501" s="7" t="str">
        <f aca="false">IF(A1501="","",'Outro banco'!B1501)</f>
        <v/>
      </c>
      <c r="C1501" s="7" t="str">
        <f aca="false">IF(A1501="","",'Outro banco'!C1501)</f>
        <v/>
      </c>
      <c r="D1501" s="7" t="str">
        <f aca="false">IF(A1501="","",'Outro banco'!D1501)</f>
        <v/>
      </c>
      <c r="E1501" s="9"/>
      <c r="F1501" s="9"/>
      <c r="G1501" s="7" t="str">
        <f aca="false">IF(A1501="","",IF(COUNTIF(Tabelas!$A:$A,IF(E1501="",A1501,E1501))&gt;0,"sim","não"))</f>
        <v/>
      </c>
      <c r="H1501" s="7" t="str">
        <f aca="false">IF(A1501="","",IF(E1501="",A1501,E1501)&amp;"."&amp;IF(F1501="",B1501,F1501))</f>
        <v/>
      </c>
      <c r="I1501" s="7" t="str">
        <f aca="false">IF(A1501="","",IFERROR(INDEX('Campos Growths'!$F:$F,MATCH(H1501,'Campos Growths'!$A:$A,0)),""))</f>
        <v/>
      </c>
      <c r="J1501" s="7" t="str">
        <f aca="false">IF(A1501="","",IFERROR(VLOOKUP(IF(ISNUMBER(SEARCH("(",C1501)),LEFT(C1501,SEARCH("(",C1501)-1),C1501),Tipos!$A:$B,2,FALSE()),"outro"))</f>
        <v/>
      </c>
      <c r="K1501" s="7" t="str">
        <f aca="false">IF(I1501="","",IFERROR(INDEX('Campos Growths'!$L:$L,MATCH(H1501,'Campos Growths'!$A:$A,0)),""))</f>
        <v/>
      </c>
      <c r="L1501" s="7" t="str">
        <f aca="false">IF(A1501="","",IF(G1501="não","Sem tabela no Growths",IF(I1501="","Sem campo no Growths",IF(J1501=K1501,"Importa direto","Ajustar tipo"))))</f>
        <v/>
      </c>
      <c r="M1501" s="9"/>
    </row>
    <row r="1502" customFormat="false" ht="15" hidden="false" customHeight="false" outlineLevel="0" collapsed="false">
      <c r="A1502" s="7" t="str">
        <f aca="false">IF('Outro banco'!A1502="","",IF(LEFT('Outro banco'!A1502,1)="(","",'Outro banco'!A1502))</f>
        <v/>
      </c>
      <c r="B1502" s="7" t="str">
        <f aca="false">IF(A1502="","",'Outro banco'!B1502)</f>
        <v/>
      </c>
      <c r="C1502" s="7" t="str">
        <f aca="false">IF(A1502="","",'Outro banco'!C1502)</f>
        <v/>
      </c>
      <c r="D1502" s="7" t="str">
        <f aca="false">IF(A1502="","",'Outro banco'!D1502)</f>
        <v/>
      </c>
      <c r="E1502" s="9"/>
      <c r="F1502" s="9"/>
      <c r="G1502" s="7" t="str">
        <f aca="false">IF(A1502="","",IF(COUNTIF(Tabelas!$A:$A,IF(E1502="",A1502,E1502))&gt;0,"sim","não"))</f>
        <v/>
      </c>
      <c r="H1502" s="7" t="str">
        <f aca="false">IF(A1502="","",IF(E1502="",A1502,E1502)&amp;"."&amp;IF(F1502="",B1502,F1502))</f>
        <v/>
      </c>
      <c r="I1502" s="7" t="str">
        <f aca="false">IF(A1502="","",IFERROR(INDEX('Campos Growths'!$F:$F,MATCH(H1502,'Campos Growths'!$A:$A,0)),""))</f>
        <v/>
      </c>
      <c r="J1502" s="7" t="str">
        <f aca="false">IF(A1502="","",IFERROR(VLOOKUP(IF(ISNUMBER(SEARCH("(",C1502)),LEFT(C1502,SEARCH("(",C1502)-1),C1502),Tipos!$A:$B,2,FALSE()),"outro"))</f>
        <v/>
      </c>
      <c r="K1502" s="7" t="str">
        <f aca="false">IF(I1502="","",IFERROR(INDEX('Campos Growths'!$L:$L,MATCH(H1502,'Campos Growths'!$A:$A,0)),""))</f>
        <v/>
      </c>
      <c r="L1502" s="7" t="str">
        <f aca="false">IF(A1502="","",IF(G1502="não","Sem tabela no Growths",IF(I1502="","Sem campo no Growths",IF(J1502=K1502,"Importa direto","Ajustar tipo"))))</f>
        <v/>
      </c>
      <c r="M1502" s="9"/>
    </row>
    <row r="1503" customFormat="false" ht="15" hidden="false" customHeight="false" outlineLevel="0" collapsed="false">
      <c r="A1503" s="7" t="str">
        <f aca="false">IF('Outro banco'!A1503="","",IF(LEFT('Outro banco'!A1503,1)="(","",'Outro banco'!A1503))</f>
        <v/>
      </c>
      <c r="B1503" s="7" t="str">
        <f aca="false">IF(A1503="","",'Outro banco'!B1503)</f>
        <v/>
      </c>
      <c r="C1503" s="7" t="str">
        <f aca="false">IF(A1503="","",'Outro banco'!C1503)</f>
        <v/>
      </c>
      <c r="D1503" s="7" t="str">
        <f aca="false">IF(A1503="","",'Outro banco'!D1503)</f>
        <v/>
      </c>
      <c r="E1503" s="9"/>
      <c r="F1503" s="9"/>
      <c r="G1503" s="7" t="str">
        <f aca="false">IF(A1503="","",IF(COUNTIF(Tabelas!$A:$A,IF(E1503="",A1503,E1503))&gt;0,"sim","não"))</f>
        <v/>
      </c>
      <c r="H1503" s="7" t="str">
        <f aca="false">IF(A1503="","",IF(E1503="",A1503,E1503)&amp;"."&amp;IF(F1503="",B1503,F1503))</f>
        <v/>
      </c>
      <c r="I1503" s="7" t="str">
        <f aca="false">IF(A1503="","",IFERROR(INDEX('Campos Growths'!$F:$F,MATCH(H1503,'Campos Growths'!$A:$A,0)),""))</f>
        <v/>
      </c>
      <c r="J1503" s="7" t="str">
        <f aca="false">IF(A1503="","",IFERROR(VLOOKUP(IF(ISNUMBER(SEARCH("(",C1503)),LEFT(C1503,SEARCH("(",C1503)-1),C1503),Tipos!$A:$B,2,FALSE()),"outro"))</f>
        <v/>
      </c>
      <c r="K1503" s="7" t="str">
        <f aca="false">IF(I1503="","",IFERROR(INDEX('Campos Growths'!$L:$L,MATCH(H1503,'Campos Growths'!$A:$A,0)),""))</f>
        <v/>
      </c>
      <c r="L1503" s="7" t="str">
        <f aca="false">IF(A1503="","",IF(G1503="não","Sem tabela no Growths",IF(I1503="","Sem campo no Growths",IF(J1503=K1503,"Importa direto","Ajustar tipo"))))</f>
        <v/>
      </c>
      <c r="M1503" s="9"/>
    </row>
    <row r="1504" customFormat="false" ht="15" hidden="false" customHeight="false" outlineLevel="0" collapsed="false">
      <c r="A1504" s="7" t="str">
        <f aca="false">IF('Outro banco'!A1504="","",IF(LEFT('Outro banco'!A1504,1)="(","",'Outro banco'!A1504))</f>
        <v/>
      </c>
      <c r="B1504" s="7" t="str">
        <f aca="false">IF(A1504="","",'Outro banco'!B1504)</f>
        <v/>
      </c>
      <c r="C1504" s="7" t="str">
        <f aca="false">IF(A1504="","",'Outro banco'!C1504)</f>
        <v/>
      </c>
      <c r="D1504" s="7" t="str">
        <f aca="false">IF(A1504="","",'Outro banco'!D1504)</f>
        <v/>
      </c>
      <c r="E1504" s="9"/>
      <c r="F1504" s="9"/>
      <c r="G1504" s="7" t="str">
        <f aca="false">IF(A1504="","",IF(COUNTIF(Tabelas!$A:$A,IF(E1504="",A1504,E1504))&gt;0,"sim","não"))</f>
        <v/>
      </c>
      <c r="H1504" s="7" t="str">
        <f aca="false">IF(A1504="","",IF(E1504="",A1504,E1504)&amp;"."&amp;IF(F1504="",B1504,F1504))</f>
        <v/>
      </c>
      <c r="I1504" s="7" t="str">
        <f aca="false">IF(A1504="","",IFERROR(INDEX('Campos Growths'!$F:$F,MATCH(H1504,'Campos Growths'!$A:$A,0)),""))</f>
        <v/>
      </c>
      <c r="J1504" s="7" t="str">
        <f aca="false">IF(A1504="","",IFERROR(VLOOKUP(IF(ISNUMBER(SEARCH("(",C1504)),LEFT(C1504,SEARCH("(",C1504)-1),C1504),Tipos!$A:$B,2,FALSE()),"outro"))</f>
        <v/>
      </c>
      <c r="K1504" s="7" t="str">
        <f aca="false">IF(I1504="","",IFERROR(INDEX('Campos Growths'!$L:$L,MATCH(H1504,'Campos Growths'!$A:$A,0)),""))</f>
        <v/>
      </c>
      <c r="L1504" s="7" t="str">
        <f aca="false">IF(A1504="","",IF(G1504="não","Sem tabela no Growths",IF(I1504="","Sem campo no Growths",IF(J1504=K1504,"Importa direto","Ajustar tipo"))))</f>
        <v/>
      </c>
      <c r="M1504" s="9"/>
    </row>
    <row r="1505" customFormat="false" ht="15" hidden="false" customHeight="false" outlineLevel="0" collapsed="false">
      <c r="A1505" s="7" t="str">
        <f aca="false">IF('Outro banco'!A1505="","",IF(LEFT('Outro banco'!A1505,1)="(","",'Outro banco'!A1505))</f>
        <v/>
      </c>
      <c r="B1505" s="7" t="str">
        <f aca="false">IF(A1505="","",'Outro banco'!B1505)</f>
        <v/>
      </c>
      <c r="C1505" s="7" t="str">
        <f aca="false">IF(A1505="","",'Outro banco'!C1505)</f>
        <v/>
      </c>
      <c r="D1505" s="7" t="str">
        <f aca="false">IF(A1505="","",'Outro banco'!D1505)</f>
        <v/>
      </c>
      <c r="E1505" s="9"/>
      <c r="F1505" s="9"/>
      <c r="G1505" s="7" t="str">
        <f aca="false">IF(A1505="","",IF(COUNTIF(Tabelas!$A:$A,IF(E1505="",A1505,E1505))&gt;0,"sim","não"))</f>
        <v/>
      </c>
      <c r="H1505" s="7" t="str">
        <f aca="false">IF(A1505="","",IF(E1505="",A1505,E1505)&amp;"."&amp;IF(F1505="",B1505,F1505))</f>
        <v/>
      </c>
      <c r="I1505" s="7" t="str">
        <f aca="false">IF(A1505="","",IFERROR(INDEX('Campos Growths'!$F:$F,MATCH(H1505,'Campos Growths'!$A:$A,0)),""))</f>
        <v/>
      </c>
      <c r="J1505" s="7" t="str">
        <f aca="false">IF(A1505="","",IFERROR(VLOOKUP(IF(ISNUMBER(SEARCH("(",C1505)),LEFT(C1505,SEARCH("(",C1505)-1),C1505),Tipos!$A:$B,2,FALSE()),"outro"))</f>
        <v/>
      </c>
      <c r="K1505" s="7" t="str">
        <f aca="false">IF(I1505="","",IFERROR(INDEX('Campos Growths'!$L:$L,MATCH(H1505,'Campos Growths'!$A:$A,0)),""))</f>
        <v/>
      </c>
      <c r="L1505" s="7" t="str">
        <f aca="false">IF(A1505="","",IF(G1505="não","Sem tabela no Growths",IF(I1505="","Sem campo no Growths",IF(J1505=K1505,"Importa direto","Ajustar tipo"))))</f>
        <v/>
      </c>
      <c r="M1505" s="9"/>
    </row>
    <row r="1506" customFormat="false" ht="15" hidden="false" customHeight="false" outlineLevel="0" collapsed="false">
      <c r="A1506" s="7" t="str">
        <f aca="false">IF('Outro banco'!A1506="","",IF(LEFT('Outro banco'!A1506,1)="(","",'Outro banco'!A1506))</f>
        <v/>
      </c>
      <c r="B1506" s="7" t="str">
        <f aca="false">IF(A1506="","",'Outro banco'!B1506)</f>
        <v/>
      </c>
      <c r="C1506" s="7" t="str">
        <f aca="false">IF(A1506="","",'Outro banco'!C1506)</f>
        <v/>
      </c>
      <c r="D1506" s="7" t="str">
        <f aca="false">IF(A1506="","",'Outro banco'!D1506)</f>
        <v/>
      </c>
      <c r="E1506" s="9"/>
      <c r="F1506" s="9"/>
      <c r="G1506" s="7" t="str">
        <f aca="false">IF(A1506="","",IF(COUNTIF(Tabelas!$A:$A,IF(E1506="",A1506,E1506))&gt;0,"sim","não"))</f>
        <v/>
      </c>
      <c r="H1506" s="7" t="str">
        <f aca="false">IF(A1506="","",IF(E1506="",A1506,E1506)&amp;"."&amp;IF(F1506="",B1506,F1506))</f>
        <v/>
      </c>
      <c r="I1506" s="7" t="str">
        <f aca="false">IF(A1506="","",IFERROR(INDEX('Campos Growths'!$F:$F,MATCH(H1506,'Campos Growths'!$A:$A,0)),""))</f>
        <v/>
      </c>
      <c r="J1506" s="7" t="str">
        <f aca="false">IF(A1506="","",IFERROR(VLOOKUP(IF(ISNUMBER(SEARCH("(",C1506)),LEFT(C1506,SEARCH("(",C1506)-1),C1506),Tipos!$A:$B,2,FALSE()),"outro"))</f>
        <v/>
      </c>
      <c r="K1506" s="7" t="str">
        <f aca="false">IF(I1506="","",IFERROR(INDEX('Campos Growths'!$L:$L,MATCH(H1506,'Campos Growths'!$A:$A,0)),""))</f>
        <v/>
      </c>
      <c r="L1506" s="7" t="str">
        <f aca="false">IF(A1506="","",IF(G1506="não","Sem tabela no Growths",IF(I1506="","Sem campo no Growths",IF(J1506=K1506,"Importa direto","Ajustar tipo"))))</f>
        <v/>
      </c>
      <c r="M1506" s="9"/>
    </row>
    <row r="1507" customFormat="false" ht="15" hidden="false" customHeight="false" outlineLevel="0" collapsed="false">
      <c r="A1507" s="7" t="str">
        <f aca="false">IF('Outro banco'!A1507="","",IF(LEFT('Outro banco'!A1507,1)="(","",'Outro banco'!A1507))</f>
        <v/>
      </c>
      <c r="B1507" s="7" t="str">
        <f aca="false">IF(A1507="","",'Outro banco'!B1507)</f>
        <v/>
      </c>
      <c r="C1507" s="7" t="str">
        <f aca="false">IF(A1507="","",'Outro banco'!C1507)</f>
        <v/>
      </c>
      <c r="D1507" s="7" t="str">
        <f aca="false">IF(A1507="","",'Outro banco'!D1507)</f>
        <v/>
      </c>
      <c r="E1507" s="9"/>
      <c r="F1507" s="9"/>
      <c r="G1507" s="7" t="str">
        <f aca="false">IF(A1507="","",IF(COUNTIF(Tabelas!$A:$A,IF(E1507="",A1507,E1507))&gt;0,"sim","não"))</f>
        <v/>
      </c>
      <c r="H1507" s="7" t="str">
        <f aca="false">IF(A1507="","",IF(E1507="",A1507,E1507)&amp;"."&amp;IF(F1507="",B1507,F1507))</f>
        <v/>
      </c>
      <c r="I1507" s="7" t="str">
        <f aca="false">IF(A1507="","",IFERROR(INDEX('Campos Growths'!$F:$F,MATCH(H1507,'Campos Growths'!$A:$A,0)),""))</f>
        <v/>
      </c>
      <c r="J1507" s="7" t="str">
        <f aca="false">IF(A1507="","",IFERROR(VLOOKUP(IF(ISNUMBER(SEARCH("(",C1507)),LEFT(C1507,SEARCH("(",C1507)-1),C1507),Tipos!$A:$B,2,FALSE()),"outro"))</f>
        <v/>
      </c>
      <c r="K1507" s="7" t="str">
        <f aca="false">IF(I1507="","",IFERROR(INDEX('Campos Growths'!$L:$L,MATCH(H1507,'Campos Growths'!$A:$A,0)),""))</f>
        <v/>
      </c>
      <c r="L1507" s="7" t="str">
        <f aca="false">IF(A1507="","",IF(G1507="não","Sem tabela no Growths",IF(I1507="","Sem campo no Growths",IF(J1507=K1507,"Importa direto","Ajustar tipo"))))</f>
        <v/>
      </c>
      <c r="M1507" s="9"/>
    </row>
    <row r="1508" customFormat="false" ht="15" hidden="false" customHeight="false" outlineLevel="0" collapsed="false">
      <c r="A1508" s="7" t="str">
        <f aca="false">IF('Outro banco'!A1508="","",IF(LEFT('Outro banco'!A1508,1)="(","",'Outro banco'!A1508))</f>
        <v/>
      </c>
      <c r="B1508" s="7" t="str">
        <f aca="false">IF(A1508="","",'Outro banco'!B1508)</f>
        <v/>
      </c>
      <c r="C1508" s="7" t="str">
        <f aca="false">IF(A1508="","",'Outro banco'!C1508)</f>
        <v/>
      </c>
      <c r="D1508" s="7" t="str">
        <f aca="false">IF(A1508="","",'Outro banco'!D1508)</f>
        <v/>
      </c>
      <c r="E1508" s="9"/>
      <c r="F1508" s="9"/>
      <c r="G1508" s="7" t="str">
        <f aca="false">IF(A1508="","",IF(COUNTIF(Tabelas!$A:$A,IF(E1508="",A1508,E1508))&gt;0,"sim","não"))</f>
        <v/>
      </c>
      <c r="H1508" s="7" t="str">
        <f aca="false">IF(A1508="","",IF(E1508="",A1508,E1508)&amp;"."&amp;IF(F1508="",B1508,F1508))</f>
        <v/>
      </c>
      <c r="I1508" s="7" t="str">
        <f aca="false">IF(A1508="","",IFERROR(INDEX('Campos Growths'!$F:$F,MATCH(H1508,'Campos Growths'!$A:$A,0)),""))</f>
        <v/>
      </c>
      <c r="J1508" s="7" t="str">
        <f aca="false">IF(A1508="","",IFERROR(VLOOKUP(IF(ISNUMBER(SEARCH("(",C1508)),LEFT(C1508,SEARCH("(",C1508)-1),C1508),Tipos!$A:$B,2,FALSE()),"outro"))</f>
        <v/>
      </c>
      <c r="K1508" s="7" t="str">
        <f aca="false">IF(I1508="","",IFERROR(INDEX('Campos Growths'!$L:$L,MATCH(H1508,'Campos Growths'!$A:$A,0)),""))</f>
        <v/>
      </c>
      <c r="L1508" s="7" t="str">
        <f aca="false">IF(A1508="","",IF(G1508="não","Sem tabela no Growths",IF(I1508="","Sem campo no Growths",IF(J1508=K1508,"Importa direto","Ajustar tipo"))))</f>
        <v/>
      </c>
      <c r="M1508" s="9"/>
    </row>
    <row r="1509" customFormat="false" ht="15" hidden="false" customHeight="false" outlineLevel="0" collapsed="false">
      <c r="A1509" s="7" t="str">
        <f aca="false">IF('Outro banco'!A1509="","",IF(LEFT('Outro banco'!A1509,1)="(","",'Outro banco'!A1509))</f>
        <v/>
      </c>
      <c r="B1509" s="7" t="str">
        <f aca="false">IF(A1509="","",'Outro banco'!B1509)</f>
        <v/>
      </c>
      <c r="C1509" s="7" t="str">
        <f aca="false">IF(A1509="","",'Outro banco'!C1509)</f>
        <v/>
      </c>
      <c r="D1509" s="7" t="str">
        <f aca="false">IF(A1509="","",'Outro banco'!D1509)</f>
        <v/>
      </c>
      <c r="E1509" s="9"/>
      <c r="F1509" s="9"/>
      <c r="G1509" s="7" t="str">
        <f aca="false">IF(A1509="","",IF(COUNTIF(Tabelas!$A:$A,IF(E1509="",A1509,E1509))&gt;0,"sim","não"))</f>
        <v/>
      </c>
      <c r="H1509" s="7" t="str">
        <f aca="false">IF(A1509="","",IF(E1509="",A1509,E1509)&amp;"."&amp;IF(F1509="",B1509,F1509))</f>
        <v/>
      </c>
      <c r="I1509" s="7" t="str">
        <f aca="false">IF(A1509="","",IFERROR(INDEX('Campos Growths'!$F:$F,MATCH(H1509,'Campos Growths'!$A:$A,0)),""))</f>
        <v/>
      </c>
      <c r="J1509" s="7" t="str">
        <f aca="false">IF(A1509="","",IFERROR(VLOOKUP(IF(ISNUMBER(SEARCH("(",C1509)),LEFT(C1509,SEARCH("(",C1509)-1),C1509),Tipos!$A:$B,2,FALSE()),"outro"))</f>
        <v/>
      </c>
      <c r="K1509" s="7" t="str">
        <f aca="false">IF(I1509="","",IFERROR(INDEX('Campos Growths'!$L:$L,MATCH(H1509,'Campos Growths'!$A:$A,0)),""))</f>
        <v/>
      </c>
      <c r="L1509" s="7" t="str">
        <f aca="false">IF(A1509="","",IF(G1509="não","Sem tabela no Growths",IF(I1509="","Sem campo no Growths",IF(J1509=K1509,"Importa direto","Ajustar tipo"))))</f>
        <v/>
      </c>
      <c r="M1509" s="9"/>
    </row>
    <row r="1510" customFormat="false" ht="15" hidden="false" customHeight="false" outlineLevel="0" collapsed="false">
      <c r="A1510" s="7" t="str">
        <f aca="false">IF('Outro banco'!A1510="","",IF(LEFT('Outro banco'!A1510,1)="(","",'Outro banco'!A1510))</f>
        <v/>
      </c>
      <c r="B1510" s="7" t="str">
        <f aca="false">IF(A1510="","",'Outro banco'!B1510)</f>
        <v/>
      </c>
      <c r="C1510" s="7" t="str">
        <f aca="false">IF(A1510="","",'Outro banco'!C1510)</f>
        <v/>
      </c>
      <c r="D1510" s="7" t="str">
        <f aca="false">IF(A1510="","",'Outro banco'!D1510)</f>
        <v/>
      </c>
      <c r="E1510" s="9"/>
      <c r="F1510" s="9"/>
      <c r="G1510" s="7" t="str">
        <f aca="false">IF(A1510="","",IF(COUNTIF(Tabelas!$A:$A,IF(E1510="",A1510,E1510))&gt;0,"sim","não"))</f>
        <v/>
      </c>
      <c r="H1510" s="7" t="str">
        <f aca="false">IF(A1510="","",IF(E1510="",A1510,E1510)&amp;"."&amp;IF(F1510="",B1510,F1510))</f>
        <v/>
      </c>
      <c r="I1510" s="7" t="str">
        <f aca="false">IF(A1510="","",IFERROR(INDEX('Campos Growths'!$F:$F,MATCH(H1510,'Campos Growths'!$A:$A,0)),""))</f>
        <v/>
      </c>
      <c r="J1510" s="7" t="str">
        <f aca="false">IF(A1510="","",IFERROR(VLOOKUP(IF(ISNUMBER(SEARCH("(",C1510)),LEFT(C1510,SEARCH("(",C1510)-1),C1510),Tipos!$A:$B,2,FALSE()),"outro"))</f>
        <v/>
      </c>
      <c r="K1510" s="7" t="str">
        <f aca="false">IF(I1510="","",IFERROR(INDEX('Campos Growths'!$L:$L,MATCH(H1510,'Campos Growths'!$A:$A,0)),""))</f>
        <v/>
      </c>
      <c r="L1510" s="7" t="str">
        <f aca="false">IF(A1510="","",IF(G1510="não","Sem tabela no Growths",IF(I1510="","Sem campo no Growths",IF(J1510=K1510,"Importa direto","Ajustar tipo"))))</f>
        <v/>
      </c>
      <c r="M1510" s="9"/>
    </row>
    <row r="1511" customFormat="false" ht="15" hidden="false" customHeight="false" outlineLevel="0" collapsed="false">
      <c r="A1511" s="7" t="str">
        <f aca="false">IF('Outro banco'!A1511="","",IF(LEFT('Outro banco'!A1511,1)="(","",'Outro banco'!A1511))</f>
        <v/>
      </c>
      <c r="B1511" s="7" t="str">
        <f aca="false">IF(A1511="","",'Outro banco'!B1511)</f>
        <v/>
      </c>
      <c r="C1511" s="7" t="str">
        <f aca="false">IF(A1511="","",'Outro banco'!C1511)</f>
        <v/>
      </c>
      <c r="D1511" s="7" t="str">
        <f aca="false">IF(A1511="","",'Outro banco'!D1511)</f>
        <v/>
      </c>
      <c r="E1511" s="9"/>
      <c r="F1511" s="9"/>
      <c r="G1511" s="7" t="str">
        <f aca="false">IF(A1511="","",IF(COUNTIF(Tabelas!$A:$A,IF(E1511="",A1511,E1511))&gt;0,"sim","não"))</f>
        <v/>
      </c>
      <c r="H1511" s="7" t="str">
        <f aca="false">IF(A1511="","",IF(E1511="",A1511,E1511)&amp;"."&amp;IF(F1511="",B1511,F1511))</f>
        <v/>
      </c>
      <c r="I1511" s="7" t="str">
        <f aca="false">IF(A1511="","",IFERROR(INDEX('Campos Growths'!$F:$F,MATCH(H1511,'Campos Growths'!$A:$A,0)),""))</f>
        <v/>
      </c>
      <c r="J1511" s="7" t="str">
        <f aca="false">IF(A1511="","",IFERROR(VLOOKUP(IF(ISNUMBER(SEARCH("(",C1511)),LEFT(C1511,SEARCH("(",C1511)-1),C1511),Tipos!$A:$B,2,FALSE()),"outro"))</f>
        <v/>
      </c>
      <c r="K1511" s="7" t="str">
        <f aca="false">IF(I1511="","",IFERROR(INDEX('Campos Growths'!$L:$L,MATCH(H1511,'Campos Growths'!$A:$A,0)),""))</f>
        <v/>
      </c>
      <c r="L1511" s="7" t="str">
        <f aca="false">IF(A1511="","",IF(G1511="não","Sem tabela no Growths",IF(I1511="","Sem campo no Growths",IF(J1511=K1511,"Importa direto","Ajustar tipo"))))</f>
        <v/>
      </c>
      <c r="M1511" s="9"/>
    </row>
    <row r="1512" customFormat="false" ht="15" hidden="false" customHeight="false" outlineLevel="0" collapsed="false">
      <c r="A1512" s="7" t="str">
        <f aca="false">IF('Outro banco'!A1512="","",IF(LEFT('Outro banco'!A1512,1)="(","",'Outro banco'!A1512))</f>
        <v/>
      </c>
      <c r="B1512" s="7" t="str">
        <f aca="false">IF(A1512="","",'Outro banco'!B1512)</f>
        <v/>
      </c>
      <c r="C1512" s="7" t="str">
        <f aca="false">IF(A1512="","",'Outro banco'!C1512)</f>
        <v/>
      </c>
      <c r="D1512" s="7" t="str">
        <f aca="false">IF(A1512="","",'Outro banco'!D1512)</f>
        <v/>
      </c>
      <c r="E1512" s="9"/>
      <c r="F1512" s="9"/>
      <c r="G1512" s="7" t="str">
        <f aca="false">IF(A1512="","",IF(COUNTIF(Tabelas!$A:$A,IF(E1512="",A1512,E1512))&gt;0,"sim","não"))</f>
        <v/>
      </c>
      <c r="H1512" s="7" t="str">
        <f aca="false">IF(A1512="","",IF(E1512="",A1512,E1512)&amp;"."&amp;IF(F1512="",B1512,F1512))</f>
        <v/>
      </c>
      <c r="I1512" s="7" t="str">
        <f aca="false">IF(A1512="","",IFERROR(INDEX('Campos Growths'!$F:$F,MATCH(H1512,'Campos Growths'!$A:$A,0)),""))</f>
        <v/>
      </c>
      <c r="J1512" s="7" t="str">
        <f aca="false">IF(A1512="","",IFERROR(VLOOKUP(IF(ISNUMBER(SEARCH("(",C1512)),LEFT(C1512,SEARCH("(",C1512)-1),C1512),Tipos!$A:$B,2,FALSE()),"outro"))</f>
        <v/>
      </c>
      <c r="K1512" s="7" t="str">
        <f aca="false">IF(I1512="","",IFERROR(INDEX('Campos Growths'!$L:$L,MATCH(H1512,'Campos Growths'!$A:$A,0)),""))</f>
        <v/>
      </c>
      <c r="L1512" s="7" t="str">
        <f aca="false">IF(A1512="","",IF(G1512="não","Sem tabela no Growths",IF(I1512="","Sem campo no Growths",IF(J1512=K1512,"Importa direto","Ajustar tipo"))))</f>
        <v/>
      </c>
      <c r="M1512" s="9"/>
    </row>
    <row r="1513" customFormat="false" ht="15" hidden="false" customHeight="false" outlineLevel="0" collapsed="false">
      <c r="A1513" s="7" t="str">
        <f aca="false">IF('Outro banco'!A1513="","",IF(LEFT('Outro banco'!A1513,1)="(","",'Outro banco'!A1513))</f>
        <v/>
      </c>
      <c r="B1513" s="7" t="str">
        <f aca="false">IF(A1513="","",'Outro banco'!B1513)</f>
        <v/>
      </c>
      <c r="C1513" s="7" t="str">
        <f aca="false">IF(A1513="","",'Outro banco'!C1513)</f>
        <v/>
      </c>
      <c r="D1513" s="7" t="str">
        <f aca="false">IF(A1513="","",'Outro banco'!D1513)</f>
        <v/>
      </c>
      <c r="E1513" s="9"/>
      <c r="F1513" s="9"/>
      <c r="G1513" s="7" t="str">
        <f aca="false">IF(A1513="","",IF(COUNTIF(Tabelas!$A:$A,IF(E1513="",A1513,E1513))&gt;0,"sim","não"))</f>
        <v/>
      </c>
      <c r="H1513" s="7" t="str">
        <f aca="false">IF(A1513="","",IF(E1513="",A1513,E1513)&amp;"."&amp;IF(F1513="",B1513,F1513))</f>
        <v/>
      </c>
      <c r="I1513" s="7" t="str">
        <f aca="false">IF(A1513="","",IFERROR(INDEX('Campos Growths'!$F:$F,MATCH(H1513,'Campos Growths'!$A:$A,0)),""))</f>
        <v/>
      </c>
      <c r="J1513" s="7" t="str">
        <f aca="false">IF(A1513="","",IFERROR(VLOOKUP(IF(ISNUMBER(SEARCH("(",C1513)),LEFT(C1513,SEARCH("(",C1513)-1),C1513),Tipos!$A:$B,2,FALSE()),"outro"))</f>
        <v/>
      </c>
      <c r="K1513" s="7" t="str">
        <f aca="false">IF(I1513="","",IFERROR(INDEX('Campos Growths'!$L:$L,MATCH(H1513,'Campos Growths'!$A:$A,0)),""))</f>
        <v/>
      </c>
      <c r="L1513" s="7" t="str">
        <f aca="false">IF(A1513="","",IF(G1513="não","Sem tabela no Growths",IF(I1513="","Sem campo no Growths",IF(J1513=K1513,"Importa direto","Ajustar tipo"))))</f>
        <v/>
      </c>
      <c r="M1513" s="9"/>
    </row>
    <row r="1514" customFormat="false" ht="15" hidden="false" customHeight="false" outlineLevel="0" collapsed="false">
      <c r="A1514" s="7" t="str">
        <f aca="false">IF('Outro banco'!A1514="","",IF(LEFT('Outro banco'!A1514,1)="(","",'Outro banco'!A1514))</f>
        <v/>
      </c>
      <c r="B1514" s="7" t="str">
        <f aca="false">IF(A1514="","",'Outro banco'!B1514)</f>
        <v/>
      </c>
      <c r="C1514" s="7" t="str">
        <f aca="false">IF(A1514="","",'Outro banco'!C1514)</f>
        <v/>
      </c>
      <c r="D1514" s="7" t="str">
        <f aca="false">IF(A1514="","",'Outro banco'!D1514)</f>
        <v/>
      </c>
      <c r="E1514" s="9"/>
      <c r="F1514" s="9"/>
      <c r="G1514" s="7" t="str">
        <f aca="false">IF(A1514="","",IF(COUNTIF(Tabelas!$A:$A,IF(E1514="",A1514,E1514))&gt;0,"sim","não"))</f>
        <v/>
      </c>
      <c r="H1514" s="7" t="str">
        <f aca="false">IF(A1514="","",IF(E1514="",A1514,E1514)&amp;"."&amp;IF(F1514="",B1514,F1514))</f>
        <v/>
      </c>
      <c r="I1514" s="7" t="str">
        <f aca="false">IF(A1514="","",IFERROR(INDEX('Campos Growths'!$F:$F,MATCH(H1514,'Campos Growths'!$A:$A,0)),""))</f>
        <v/>
      </c>
      <c r="J1514" s="7" t="str">
        <f aca="false">IF(A1514="","",IFERROR(VLOOKUP(IF(ISNUMBER(SEARCH("(",C1514)),LEFT(C1514,SEARCH("(",C1514)-1),C1514),Tipos!$A:$B,2,FALSE()),"outro"))</f>
        <v/>
      </c>
      <c r="K1514" s="7" t="str">
        <f aca="false">IF(I1514="","",IFERROR(INDEX('Campos Growths'!$L:$L,MATCH(H1514,'Campos Growths'!$A:$A,0)),""))</f>
        <v/>
      </c>
      <c r="L1514" s="7" t="str">
        <f aca="false">IF(A1514="","",IF(G1514="não","Sem tabela no Growths",IF(I1514="","Sem campo no Growths",IF(J1514=K1514,"Importa direto","Ajustar tipo"))))</f>
        <v/>
      </c>
      <c r="M1514" s="9"/>
    </row>
    <row r="1515" customFormat="false" ht="15" hidden="false" customHeight="false" outlineLevel="0" collapsed="false">
      <c r="A1515" s="7" t="str">
        <f aca="false">IF('Outro banco'!A1515="","",IF(LEFT('Outro banco'!A1515,1)="(","",'Outro banco'!A1515))</f>
        <v/>
      </c>
      <c r="B1515" s="7" t="str">
        <f aca="false">IF(A1515="","",'Outro banco'!B1515)</f>
        <v/>
      </c>
      <c r="C1515" s="7" t="str">
        <f aca="false">IF(A1515="","",'Outro banco'!C1515)</f>
        <v/>
      </c>
      <c r="D1515" s="7" t="str">
        <f aca="false">IF(A1515="","",'Outro banco'!D1515)</f>
        <v/>
      </c>
      <c r="E1515" s="9"/>
      <c r="F1515" s="9"/>
      <c r="G1515" s="7" t="str">
        <f aca="false">IF(A1515="","",IF(COUNTIF(Tabelas!$A:$A,IF(E1515="",A1515,E1515))&gt;0,"sim","não"))</f>
        <v/>
      </c>
      <c r="H1515" s="7" t="str">
        <f aca="false">IF(A1515="","",IF(E1515="",A1515,E1515)&amp;"."&amp;IF(F1515="",B1515,F1515))</f>
        <v/>
      </c>
      <c r="I1515" s="7" t="str">
        <f aca="false">IF(A1515="","",IFERROR(INDEX('Campos Growths'!$F:$F,MATCH(H1515,'Campos Growths'!$A:$A,0)),""))</f>
        <v/>
      </c>
      <c r="J1515" s="7" t="str">
        <f aca="false">IF(A1515="","",IFERROR(VLOOKUP(IF(ISNUMBER(SEARCH("(",C1515)),LEFT(C1515,SEARCH("(",C1515)-1),C1515),Tipos!$A:$B,2,FALSE()),"outro"))</f>
        <v/>
      </c>
      <c r="K1515" s="7" t="str">
        <f aca="false">IF(I1515="","",IFERROR(INDEX('Campos Growths'!$L:$L,MATCH(H1515,'Campos Growths'!$A:$A,0)),""))</f>
        <v/>
      </c>
      <c r="L1515" s="7" t="str">
        <f aca="false">IF(A1515="","",IF(G1515="não","Sem tabela no Growths",IF(I1515="","Sem campo no Growths",IF(J1515=K1515,"Importa direto","Ajustar tipo"))))</f>
        <v/>
      </c>
      <c r="M1515" s="9"/>
    </row>
    <row r="1516" customFormat="false" ht="15" hidden="false" customHeight="false" outlineLevel="0" collapsed="false">
      <c r="A1516" s="7" t="str">
        <f aca="false">IF('Outro banco'!A1516="","",IF(LEFT('Outro banco'!A1516,1)="(","",'Outro banco'!A1516))</f>
        <v/>
      </c>
      <c r="B1516" s="7" t="str">
        <f aca="false">IF(A1516="","",'Outro banco'!B1516)</f>
        <v/>
      </c>
      <c r="C1516" s="7" t="str">
        <f aca="false">IF(A1516="","",'Outro banco'!C1516)</f>
        <v/>
      </c>
      <c r="D1516" s="7" t="str">
        <f aca="false">IF(A1516="","",'Outro banco'!D1516)</f>
        <v/>
      </c>
      <c r="E1516" s="9"/>
      <c r="F1516" s="9"/>
      <c r="G1516" s="7" t="str">
        <f aca="false">IF(A1516="","",IF(COUNTIF(Tabelas!$A:$A,IF(E1516="",A1516,E1516))&gt;0,"sim","não"))</f>
        <v/>
      </c>
      <c r="H1516" s="7" t="str">
        <f aca="false">IF(A1516="","",IF(E1516="",A1516,E1516)&amp;"."&amp;IF(F1516="",B1516,F1516))</f>
        <v/>
      </c>
      <c r="I1516" s="7" t="str">
        <f aca="false">IF(A1516="","",IFERROR(INDEX('Campos Growths'!$F:$F,MATCH(H1516,'Campos Growths'!$A:$A,0)),""))</f>
        <v/>
      </c>
      <c r="J1516" s="7" t="str">
        <f aca="false">IF(A1516="","",IFERROR(VLOOKUP(IF(ISNUMBER(SEARCH("(",C1516)),LEFT(C1516,SEARCH("(",C1516)-1),C1516),Tipos!$A:$B,2,FALSE()),"outro"))</f>
        <v/>
      </c>
      <c r="K1516" s="7" t="str">
        <f aca="false">IF(I1516="","",IFERROR(INDEX('Campos Growths'!$L:$L,MATCH(H1516,'Campos Growths'!$A:$A,0)),""))</f>
        <v/>
      </c>
      <c r="L1516" s="7" t="str">
        <f aca="false">IF(A1516="","",IF(G1516="não","Sem tabela no Growths",IF(I1516="","Sem campo no Growths",IF(J1516=K1516,"Importa direto","Ajustar tipo"))))</f>
        <v/>
      </c>
      <c r="M1516" s="9"/>
    </row>
    <row r="1517" customFormat="false" ht="15" hidden="false" customHeight="false" outlineLevel="0" collapsed="false">
      <c r="A1517" s="7" t="str">
        <f aca="false">IF('Outro banco'!A1517="","",IF(LEFT('Outro banco'!A1517,1)="(","",'Outro banco'!A1517))</f>
        <v/>
      </c>
      <c r="B1517" s="7" t="str">
        <f aca="false">IF(A1517="","",'Outro banco'!B1517)</f>
        <v/>
      </c>
      <c r="C1517" s="7" t="str">
        <f aca="false">IF(A1517="","",'Outro banco'!C1517)</f>
        <v/>
      </c>
      <c r="D1517" s="7" t="str">
        <f aca="false">IF(A1517="","",'Outro banco'!D1517)</f>
        <v/>
      </c>
      <c r="E1517" s="9"/>
      <c r="F1517" s="9"/>
      <c r="G1517" s="7" t="str">
        <f aca="false">IF(A1517="","",IF(COUNTIF(Tabelas!$A:$A,IF(E1517="",A1517,E1517))&gt;0,"sim","não"))</f>
        <v/>
      </c>
      <c r="H1517" s="7" t="str">
        <f aca="false">IF(A1517="","",IF(E1517="",A1517,E1517)&amp;"."&amp;IF(F1517="",B1517,F1517))</f>
        <v/>
      </c>
      <c r="I1517" s="7" t="str">
        <f aca="false">IF(A1517="","",IFERROR(INDEX('Campos Growths'!$F:$F,MATCH(H1517,'Campos Growths'!$A:$A,0)),""))</f>
        <v/>
      </c>
      <c r="J1517" s="7" t="str">
        <f aca="false">IF(A1517="","",IFERROR(VLOOKUP(IF(ISNUMBER(SEARCH("(",C1517)),LEFT(C1517,SEARCH("(",C1517)-1),C1517),Tipos!$A:$B,2,FALSE()),"outro"))</f>
        <v/>
      </c>
      <c r="K1517" s="7" t="str">
        <f aca="false">IF(I1517="","",IFERROR(INDEX('Campos Growths'!$L:$L,MATCH(H1517,'Campos Growths'!$A:$A,0)),""))</f>
        <v/>
      </c>
      <c r="L1517" s="7" t="str">
        <f aca="false">IF(A1517="","",IF(G1517="não","Sem tabela no Growths",IF(I1517="","Sem campo no Growths",IF(J1517=K1517,"Importa direto","Ajustar tipo"))))</f>
        <v/>
      </c>
      <c r="M1517" s="9"/>
    </row>
    <row r="1518" customFormat="false" ht="15" hidden="false" customHeight="false" outlineLevel="0" collapsed="false">
      <c r="A1518" s="7" t="str">
        <f aca="false">IF('Outro banco'!A1518="","",IF(LEFT('Outro banco'!A1518,1)="(","",'Outro banco'!A1518))</f>
        <v/>
      </c>
      <c r="B1518" s="7" t="str">
        <f aca="false">IF(A1518="","",'Outro banco'!B1518)</f>
        <v/>
      </c>
      <c r="C1518" s="7" t="str">
        <f aca="false">IF(A1518="","",'Outro banco'!C1518)</f>
        <v/>
      </c>
      <c r="D1518" s="7" t="str">
        <f aca="false">IF(A1518="","",'Outro banco'!D1518)</f>
        <v/>
      </c>
      <c r="E1518" s="9"/>
      <c r="F1518" s="9"/>
      <c r="G1518" s="7" t="str">
        <f aca="false">IF(A1518="","",IF(COUNTIF(Tabelas!$A:$A,IF(E1518="",A1518,E1518))&gt;0,"sim","não"))</f>
        <v/>
      </c>
      <c r="H1518" s="7" t="str">
        <f aca="false">IF(A1518="","",IF(E1518="",A1518,E1518)&amp;"."&amp;IF(F1518="",B1518,F1518))</f>
        <v/>
      </c>
      <c r="I1518" s="7" t="str">
        <f aca="false">IF(A1518="","",IFERROR(INDEX('Campos Growths'!$F:$F,MATCH(H1518,'Campos Growths'!$A:$A,0)),""))</f>
        <v/>
      </c>
      <c r="J1518" s="7" t="str">
        <f aca="false">IF(A1518="","",IFERROR(VLOOKUP(IF(ISNUMBER(SEARCH("(",C1518)),LEFT(C1518,SEARCH("(",C1518)-1),C1518),Tipos!$A:$B,2,FALSE()),"outro"))</f>
        <v/>
      </c>
      <c r="K1518" s="7" t="str">
        <f aca="false">IF(I1518="","",IFERROR(INDEX('Campos Growths'!$L:$L,MATCH(H1518,'Campos Growths'!$A:$A,0)),""))</f>
        <v/>
      </c>
      <c r="L1518" s="7" t="str">
        <f aca="false">IF(A1518="","",IF(G1518="não","Sem tabela no Growths",IF(I1518="","Sem campo no Growths",IF(J1518=K1518,"Importa direto","Ajustar tipo"))))</f>
        <v/>
      </c>
      <c r="M1518" s="9"/>
    </row>
    <row r="1519" customFormat="false" ht="15" hidden="false" customHeight="false" outlineLevel="0" collapsed="false">
      <c r="A1519" s="7" t="str">
        <f aca="false">IF('Outro banco'!A1519="","",IF(LEFT('Outro banco'!A1519,1)="(","",'Outro banco'!A1519))</f>
        <v/>
      </c>
      <c r="B1519" s="7" t="str">
        <f aca="false">IF(A1519="","",'Outro banco'!B1519)</f>
        <v/>
      </c>
      <c r="C1519" s="7" t="str">
        <f aca="false">IF(A1519="","",'Outro banco'!C1519)</f>
        <v/>
      </c>
      <c r="D1519" s="7" t="str">
        <f aca="false">IF(A1519="","",'Outro banco'!D1519)</f>
        <v/>
      </c>
      <c r="E1519" s="9"/>
      <c r="F1519" s="9"/>
      <c r="G1519" s="7" t="str">
        <f aca="false">IF(A1519="","",IF(COUNTIF(Tabelas!$A:$A,IF(E1519="",A1519,E1519))&gt;0,"sim","não"))</f>
        <v/>
      </c>
      <c r="H1519" s="7" t="str">
        <f aca="false">IF(A1519="","",IF(E1519="",A1519,E1519)&amp;"."&amp;IF(F1519="",B1519,F1519))</f>
        <v/>
      </c>
      <c r="I1519" s="7" t="str">
        <f aca="false">IF(A1519="","",IFERROR(INDEX('Campos Growths'!$F:$F,MATCH(H1519,'Campos Growths'!$A:$A,0)),""))</f>
        <v/>
      </c>
      <c r="J1519" s="7" t="str">
        <f aca="false">IF(A1519="","",IFERROR(VLOOKUP(IF(ISNUMBER(SEARCH("(",C1519)),LEFT(C1519,SEARCH("(",C1519)-1),C1519),Tipos!$A:$B,2,FALSE()),"outro"))</f>
        <v/>
      </c>
      <c r="K1519" s="7" t="str">
        <f aca="false">IF(I1519="","",IFERROR(INDEX('Campos Growths'!$L:$L,MATCH(H1519,'Campos Growths'!$A:$A,0)),""))</f>
        <v/>
      </c>
      <c r="L1519" s="7" t="str">
        <f aca="false">IF(A1519="","",IF(G1519="não","Sem tabela no Growths",IF(I1519="","Sem campo no Growths",IF(J1519=K1519,"Importa direto","Ajustar tipo"))))</f>
        <v/>
      </c>
      <c r="M1519" s="9"/>
    </row>
    <row r="1520" customFormat="false" ht="15" hidden="false" customHeight="false" outlineLevel="0" collapsed="false">
      <c r="A1520" s="7" t="str">
        <f aca="false">IF('Outro banco'!A1520="","",IF(LEFT('Outro banco'!A1520,1)="(","",'Outro banco'!A1520))</f>
        <v/>
      </c>
      <c r="B1520" s="7" t="str">
        <f aca="false">IF(A1520="","",'Outro banco'!B1520)</f>
        <v/>
      </c>
      <c r="C1520" s="7" t="str">
        <f aca="false">IF(A1520="","",'Outro banco'!C1520)</f>
        <v/>
      </c>
      <c r="D1520" s="7" t="str">
        <f aca="false">IF(A1520="","",'Outro banco'!D1520)</f>
        <v/>
      </c>
      <c r="E1520" s="9"/>
      <c r="F1520" s="9"/>
      <c r="G1520" s="7" t="str">
        <f aca="false">IF(A1520="","",IF(COUNTIF(Tabelas!$A:$A,IF(E1520="",A1520,E1520))&gt;0,"sim","não"))</f>
        <v/>
      </c>
      <c r="H1520" s="7" t="str">
        <f aca="false">IF(A1520="","",IF(E1520="",A1520,E1520)&amp;"."&amp;IF(F1520="",B1520,F1520))</f>
        <v/>
      </c>
      <c r="I1520" s="7" t="str">
        <f aca="false">IF(A1520="","",IFERROR(INDEX('Campos Growths'!$F:$F,MATCH(H1520,'Campos Growths'!$A:$A,0)),""))</f>
        <v/>
      </c>
      <c r="J1520" s="7" t="str">
        <f aca="false">IF(A1520="","",IFERROR(VLOOKUP(IF(ISNUMBER(SEARCH("(",C1520)),LEFT(C1520,SEARCH("(",C1520)-1),C1520),Tipos!$A:$B,2,FALSE()),"outro"))</f>
        <v/>
      </c>
      <c r="K1520" s="7" t="str">
        <f aca="false">IF(I1520="","",IFERROR(INDEX('Campos Growths'!$L:$L,MATCH(H1520,'Campos Growths'!$A:$A,0)),""))</f>
        <v/>
      </c>
      <c r="L1520" s="7" t="str">
        <f aca="false">IF(A1520="","",IF(G1520="não","Sem tabela no Growths",IF(I1520="","Sem campo no Growths",IF(J1520=K1520,"Importa direto","Ajustar tipo"))))</f>
        <v/>
      </c>
      <c r="M1520" s="9"/>
    </row>
    <row r="1521" customFormat="false" ht="15" hidden="false" customHeight="false" outlineLevel="0" collapsed="false">
      <c r="A1521" s="7" t="str">
        <f aca="false">IF('Outro banco'!A1521="","",IF(LEFT('Outro banco'!A1521,1)="(","",'Outro banco'!A1521))</f>
        <v/>
      </c>
      <c r="B1521" s="7" t="str">
        <f aca="false">IF(A1521="","",'Outro banco'!B1521)</f>
        <v/>
      </c>
      <c r="C1521" s="7" t="str">
        <f aca="false">IF(A1521="","",'Outro banco'!C1521)</f>
        <v/>
      </c>
      <c r="D1521" s="7" t="str">
        <f aca="false">IF(A1521="","",'Outro banco'!D1521)</f>
        <v/>
      </c>
      <c r="E1521" s="9"/>
      <c r="F1521" s="9"/>
      <c r="G1521" s="7" t="str">
        <f aca="false">IF(A1521="","",IF(COUNTIF(Tabelas!$A:$A,IF(E1521="",A1521,E1521))&gt;0,"sim","não"))</f>
        <v/>
      </c>
      <c r="H1521" s="7" t="str">
        <f aca="false">IF(A1521="","",IF(E1521="",A1521,E1521)&amp;"."&amp;IF(F1521="",B1521,F1521))</f>
        <v/>
      </c>
      <c r="I1521" s="7" t="str">
        <f aca="false">IF(A1521="","",IFERROR(INDEX('Campos Growths'!$F:$F,MATCH(H1521,'Campos Growths'!$A:$A,0)),""))</f>
        <v/>
      </c>
      <c r="J1521" s="7" t="str">
        <f aca="false">IF(A1521="","",IFERROR(VLOOKUP(IF(ISNUMBER(SEARCH("(",C1521)),LEFT(C1521,SEARCH("(",C1521)-1),C1521),Tipos!$A:$B,2,FALSE()),"outro"))</f>
        <v/>
      </c>
      <c r="K1521" s="7" t="str">
        <f aca="false">IF(I1521="","",IFERROR(INDEX('Campos Growths'!$L:$L,MATCH(H1521,'Campos Growths'!$A:$A,0)),""))</f>
        <v/>
      </c>
      <c r="L1521" s="7" t="str">
        <f aca="false">IF(A1521="","",IF(G1521="não","Sem tabela no Growths",IF(I1521="","Sem campo no Growths",IF(J1521=K1521,"Importa direto","Ajustar tipo"))))</f>
        <v/>
      </c>
      <c r="M1521" s="9"/>
    </row>
    <row r="1522" customFormat="false" ht="15" hidden="false" customHeight="false" outlineLevel="0" collapsed="false">
      <c r="A1522" s="7" t="str">
        <f aca="false">IF('Outro banco'!A1522="","",IF(LEFT('Outro banco'!A1522,1)="(","",'Outro banco'!A1522))</f>
        <v/>
      </c>
      <c r="B1522" s="7" t="str">
        <f aca="false">IF(A1522="","",'Outro banco'!B1522)</f>
        <v/>
      </c>
      <c r="C1522" s="7" t="str">
        <f aca="false">IF(A1522="","",'Outro banco'!C1522)</f>
        <v/>
      </c>
      <c r="D1522" s="7" t="str">
        <f aca="false">IF(A1522="","",'Outro banco'!D1522)</f>
        <v/>
      </c>
      <c r="E1522" s="9"/>
      <c r="F1522" s="9"/>
      <c r="G1522" s="7" t="str">
        <f aca="false">IF(A1522="","",IF(COUNTIF(Tabelas!$A:$A,IF(E1522="",A1522,E1522))&gt;0,"sim","não"))</f>
        <v/>
      </c>
      <c r="H1522" s="7" t="str">
        <f aca="false">IF(A1522="","",IF(E1522="",A1522,E1522)&amp;"."&amp;IF(F1522="",B1522,F1522))</f>
        <v/>
      </c>
      <c r="I1522" s="7" t="str">
        <f aca="false">IF(A1522="","",IFERROR(INDEX('Campos Growths'!$F:$F,MATCH(H1522,'Campos Growths'!$A:$A,0)),""))</f>
        <v/>
      </c>
      <c r="J1522" s="7" t="str">
        <f aca="false">IF(A1522="","",IFERROR(VLOOKUP(IF(ISNUMBER(SEARCH("(",C1522)),LEFT(C1522,SEARCH("(",C1522)-1),C1522),Tipos!$A:$B,2,FALSE()),"outro"))</f>
        <v/>
      </c>
      <c r="K1522" s="7" t="str">
        <f aca="false">IF(I1522="","",IFERROR(INDEX('Campos Growths'!$L:$L,MATCH(H1522,'Campos Growths'!$A:$A,0)),""))</f>
        <v/>
      </c>
      <c r="L1522" s="7" t="str">
        <f aca="false">IF(A1522="","",IF(G1522="não","Sem tabela no Growths",IF(I1522="","Sem campo no Growths",IF(J1522=K1522,"Importa direto","Ajustar tipo"))))</f>
        <v/>
      </c>
      <c r="M1522" s="9"/>
    </row>
    <row r="1523" customFormat="false" ht="15" hidden="false" customHeight="false" outlineLevel="0" collapsed="false">
      <c r="A1523" s="7" t="str">
        <f aca="false">IF('Outro banco'!A1523="","",IF(LEFT('Outro banco'!A1523,1)="(","",'Outro banco'!A1523))</f>
        <v/>
      </c>
      <c r="B1523" s="7" t="str">
        <f aca="false">IF(A1523="","",'Outro banco'!B1523)</f>
        <v/>
      </c>
      <c r="C1523" s="7" t="str">
        <f aca="false">IF(A1523="","",'Outro banco'!C1523)</f>
        <v/>
      </c>
      <c r="D1523" s="7" t="str">
        <f aca="false">IF(A1523="","",'Outro banco'!D1523)</f>
        <v/>
      </c>
      <c r="E1523" s="9"/>
      <c r="F1523" s="9"/>
      <c r="G1523" s="7" t="str">
        <f aca="false">IF(A1523="","",IF(COUNTIF(Tabelas!$A:$A,IF(E1523="",A1523,E1523))&gt;0,"sim","não"))</f>
        <v/>
      </c>
      <c r="H1523" s="7" t="str">
        <f aca="false">IF(A1523="","",IF(E1523="",A1523,E1523)&amp;"."&amp;IF(F1523="",B1523,F1523))</f>
        <v/>
      </c>
      <c r="I1523" s="7" t="str">
        <f aca="false">IF(A1523="","",IFERROR(INDEX('Campos Growths'!$F:$F,MATCH(H1523,'Campos Growths'!$A:$A,0)),""))</f>
        <v/>
      </c>
      <c r="J1523" s="7" t="str">
        <f aca="false">IF(A1523="","",IFERROR(VLOOKUP(IF(ISNUMBER(SEARCH("(",C1523)),LEFT(C1523,SEARCH("(",C1523)-1),C1523),Tipos!$A:$B,2,FALSE()),"outro"))</f>
        <v/>
      </c>
      <c r="K1523" s="7" t="str">
        <f aca="false">IF(I1523="","",IFERROR(INDEX('Campos Growths'!$L:$L,MATCH(H1523,'Campos Growths'!$A:$A,0)),""))</f>
        <v/>
      </c>
      <c r="L1523" s="7" t="str">
        <f aca="false">IF(A1523="","",IF(G1523="não","Sem tabela no Growths",IF(I1523="","Sem campo no Growths",IF(J1523=K1523,"Importa direto","Ajustar tipo"))))</f>
        <v/>
      </c>
      <c r="M1523" s="9"/>
    </row>
    <row r="1524" customFormat="false" ht="15" hidden="false" customHeight="false" outlineLevel="0" collapsed="false">
      <c r="A1524" s="7" t="str">
        <f aca="false">IF('Outro banco'!A1524="","",IF(LEFT('Outro banco'!A1524,1)="(","",'Outro banco'!A1524))</f>
        <v/>
      </c>
      <c r="B1524" s="7" t="str">
        <f aca="false">IF(A1524="","",'Outro banco'!B1524)</f>
        <v/>
      </c>
      <c r="C1524" s="7" t="str">
        <f aca="false">IF(A1524="","",'Outro banco'!C1524)</f>
        <v/>
      </c>
      <c r="D1524" s="7" t="str">
        <f aca="false">IF(A1524="","",'Outro banco'!D1524)</f>
        <v/>
      </c>
      <c r="E1524" s="9"/>
      <c r="F1524" s="9"/>
      <c r="G1524" s="7" t="str">
        <f aca="false">IF(A1524="","",IF(COUNTIF(Tabelas!$A:$A,IF(E1524="",A1524,E1524))&gt;0,"sim","não"))</f>
        <v/>
      </c>
      <c r="H1524" s="7" t="str">
        <f aca="false">IF(A1524="","",IF(E1524="",A1524,E1524)&amp;"."&amp;IF(F1524="",B1524,F1524))</f>
        <v/>
      </c>
      <c r="I1524" s="7" t="str">
        <f aca="false">IF(A1524="","",IFERROR(INDEX('Campos Growths'!$F:$F,MATCH(H1524,'Campos Growths'!$A:$A,0)),""))</f>
        <v/>
      </c>
      <c r="J1524" s="7" t="str">
        <f aca="false">IF(A1524="","",IFERROR(VLOOKUP(IF(ISNUMBER(SEARCH("(",C1524)),LEFT(C1524,SEARCH("(",C1524)-1),C1524),Tipos!$A:$B,2,FALSE()),"outro"))</f>
        <v/>
      </c>
      <c r="K1524" s="7" t="str">
        <f aca="false">IF(I1524="","",IFERROR(INDEX('Campos Growths'!$L:$L,MATCH(H1524,'Campos Growths'!$A:$A,0)),""))</f>
        <v/>
      </c>
      <c r="L1524" s="7" t="str">
        <f aca="false">IF(A1524="","",IF(G1524="não","Sem tabela no Growths",IF(I1524="","Sem campo no Growths",IF(J1524=K1524,"Importa direto","Ajustar tipo"))))</f>
        <v/>
      </c>
      <c r="M1524" s="9"/>
    </row>
    <row r="1525" customFormat="false" ht="15" hidden="false" customHeight="false" outlineLevel="0" collapsed="false">
      <c r="A1525" s="7" t="str">
        <f aca="false">IF('Outro banco'!A1525="","",IF(LEFT('Outro banco'!A1525,1)="(","",'Outro banco'!A1525))</f>
        <v/>
      </c>
      <c r="B1525" s="7" t="str">
        <f aca="false">IF(A1525="","",'Outro banco'!B1525)</f>
        <v/>
      </c>
      <c r="C1525" s="7" t="str">
        <f aca="false">IF(A1525="","",'Outro banco'!C1525)</f>
        <v/>
      </c>
      <c r="D1525" s="7" t="str">
        <f aca="false">IF(A1525="","",'Outro banco'!D1525)</f>
        <v/>
      </c>
      <c r="E1525" s="9"/>
      <c r="F1525" s="9"/>
      <c r="G1525" s="7" t="str">
        <f aca="false">IF(A1525="","",IF(COUNTIF(Tabelas!$A:$A,IF(E1525="",A1525,E1525))&gt;0,"sim","não"))</f>
        <v/>
      </c>
      <c r="H1525" s="7" t="str">
        <f aca="false">IF(A1525="","",IF(E1525="",A1525,E1525)&amp;"."&amp;IF(F1525="",B1525,F1525))</f>
        <v/>
      </c>
      <c r="I1525" s="7" t="str">
        <f aca="false">IF(A1525="","",IFERROR(INDEX('Campos Growths'!$F:$F,MATCH(H1525,'Campos Growths'!$A:$A,0)),""))</f>
        <v/>
      </c>
      <c r="J1525" s="7" t="str">
        <f aca="false">IF(A1525="","",IFERROR(VLOOKUP(IF(ISNUMBER(SEARCH("(",C1525)),LEFT(C1525,SEARCH("(",C1525)-1),C1525),Tipos!$A:$B,2,FALSE()),"outro"))</f>
        <v/>
      </c>
      <c r="K1525" s="7" t="str">
        <f aca="false">IF(I1525="","",IFERROR(INDEX('Campos Growths'!$L:$L,MATCH(H1525,'Campos Growths'!$A:$A,0)),""))</f>
        <v/>
      </c>
      <c r="L1525" s="7" t="str">
        <f aca="false">IF(A1525="","",IF(G1525="não","Sem tabela no Growths",IF(I1525="","Sem campo no Growths",IF(J1525=K1525,"Importa direto","Ajustar tipo"))))</f>
        <v/>
      </c>
      <c r="M1525" s="9"/>
    </row>
    <row r="1526" customFormat="false" ht="15" hidden="false" customHeight="false" outlineLevel="0" collapsed="false">
      <c r="A1526" s="7" t="str">
        <f aca="false">IF('Outro banco'!A1526="","",IF(LEFT('Outro banco'!A1526,1)="(","",'Outro banco'!A1526))</f>
        <v/>
      </c>
      <c r="B1526" s="7" t="str">
        <f aca="false">IF(A1526="","",'Outro banco'!B1526)</f>
        <v/>
      </c>
      <c r="C1526" s="7" t="str">
        <f aca="false">IF(A1526="","",'Outro banco'!C1526)</f>
        <v/>
      </c>
      <c r="D1526" s="7" t="str">
        <f aca="false">IF(A1526="","",'Outro banco'!D1526)</f>
        <v/>
      </c>
      <c r="E1526" s="9"/>
      <c r="F1526" s="9"/>
      <c r="G1526" s="7" t="str">
        <f aca="false">IF(A1526="","",IF(COUNTIF(Tabelas!$A:$A,IF(E1526="",A1526,E1526))&gt;0,"sim","não"))</f>
        <v/>
      </c>
      <c r="H1526" s="7" t="str">
        <f aca="false">IF(A1526="","",IF(E1526="",A1526,E1526)&amp;"."&amp;IF(F1526="",B1526,F1526))</f>
        <v/>
      </c>
      <c r="I1526" s="7" t="str">
        <f aca="false">IF(A1526="","",IFERROR(INDEX('Campos Growths'!$F:$F,MATCH(H1526,'Campos Growths'!$A:$A,0)),""))</f>
        <v/>
      </c>
      <c r="J1526" s="7" t="str">
        <f aca="false">IF(A1526="","",IFERROR(VLOOKUP(IF(ISNUMBER(SEARCH("(",C1526)),LEFT(C1526,SEARCH("(",C1526)-1),C1526),Tipos!$A:$B,2,FALSE()),"outro"))</f>
        <v/>
      </c>
      <c r="K1526" s="7" t="str">
        <f aca="false">IF(I1526="","",IFERROR(INDEX('Campos Growths'!$L:$L,MATCH(H1526,'Campos Growths'!$A:$A,0)),""))</f>
        <v/>
      </c>
      <c r="L1526" s="7" t="str">
        <f aca="false">IF(A1526="","",IF(G1526="não","Sem tabela no Growths",IF(I1526="","Sem campo no Growths",IF(J1526=K1526,"Importa direto","Ajustar tipo"))))</f>
        <v/>
      </c>
      <c r="M1526" s="9"/>
    </row>
    <row r="1527" customFormat="false" ht="15" hidden="false" customHeight="false" outlineLevel="0" collapsed="false">
      <c r="A1527" s="7" t="str">
        <f aca="false">IF('Outro banco'!A1527="","",IF(LEFT('Outro banco'!A1527,1)="(","",'Outro banco'!A1527))</f>
        <v/>
      </c>
      <c r="B1527" s="7" t="str">
        <f aca="false">IF(A1527="","",'Outro banco'!B1527)</f>
        <v/>
      </c>
      <c r="C1527" s="7" t="str">
        <f aca="false">IF(A1527="","",'Outro banco'!C1527)</f>
        <v/>
      </c>
      <c r="D1527" s="7" t="str">
        <f aca="false">IF(A1527="","",'Outro banco'!D1527)</f>
        <v/>
      </c>
      <c r="E1527" s="9"/>
      <c r="F1527" s="9"/>
      <c r="G1527" s="7" t="str">
        <f aca="false">IF(A1527="","",IF(COUNTIF(Tabelas!$A:$A,IF(E1527="",A1527,E1527))&gt;0,"sim","não"))</f>
        <v/>
      </c>
      <c r="H1527" s="7" t="str">
        <f aca="false">IF(A1527="","",IF(E1527="",A1527,E1527)&amp;"."&amp;IF(F1527="",B1527,F1527))</f>
        <v/>
      </c>
      <c r="I1527" s="7" t="str">
        <f aca="false">IF(A1527="","",IFERROR(INDEX('Campos Growths'!$F:$F,MATCH(H1527,'Campos Growths'!$A:$A,0)),""))</f>
        <v/>
      </c>
      <c r="J1527" s="7" t="str">
        <f aca="false">IF(A1527="","",IFERROR(VLOOKUP(IF(ISNUMBER(SEARCH("(",C1527)),LEFT(C1527,SEARCH("(",C1527)-1),C1527),Tipos!$A:$B,2,FALSE()),"outro"))</f>
        <v/>
      </c>
      <c r="K1527" s="7" t="str">
        <f aca="false">IF(I1527="","",IFERROR(INDEX('Campos Growths'!$L:$L,MATCH(H1527,'Campos Growths'!$A:$A,0)),""))</f>
        <v/>
      </c>
      <c r="L1527" s="7" t="str">
        <f aca="false">IF(A1527="","",IF(G1527="não","Sem tabela no Growths",IF(I1527="","Sem campo no Growths",IF(J1527=K1527,"Importa direto","Ajustar tipo"))))</f>
        <v/>
      </c>
      <c r="M1527" s="9"/>
    </row>
    <row r="1528" customFormat="false" ht="15" hidden="false" customHeight="false" outlineLevel="0" collapsed="false">
      <c r="A1528" s="7" t="str">
        <f aca="false">IF('Outro banco'!A1528="","",IF(LEFT('Outro banco'!A1528,1)="(","",'Outro banco'!A1528))</f>
        <v/>
      </c>
      <c r="B1528" s="7" t="str">
        <f aca="false">IF(A1528="","",'Outro banco'!B1528)</f>
        <v/>
      </c>
      <c r="C1528" s="7" t="str">
        <f aca="false">IF(A1528="","",'Outro banco'!C1528)</f>
        <v/>
      </c>
      <c r="D1528" s="7" t="str">
        <f aca="false">IF(A1528="","",'Outro banco'!D1528)</f>
        <v/>
      </c>
      <c r="E1528" s="9"/>
      <c r="F1528" s="9"/>
      <c r="G1528" s="7" t="str">
        <f aca="false">IF(A1528="","",IF(COUNTIF(Tabelas!$A:$A,IF(E1528="",A1528,E1528))&gt;0,"sim","não"))</f>
        <v/>
      </c>
      <c r="H1528" s="7" t="str">
        <f aca="false">IF(A1528="","",IF(E1528="",A1528,E1528)&amp;"."&amp;IF(F1528="",B1528,F1528))</f>
        <v/>
      </c>
      <c r="I1528" s="7" t="str">
        <f aca="false">IF(A1528="","",IFERROR(INDEX('Campos Growths'!$F:$F,MATCH(H1528,'Campos Growths'!$A:$A,0)),""))</f>
        <v/>
      </c>
      <c r="J1528" s="7" t="str">
        <f aca="false">IF(A1528="","",IFERROR(VLOOKUP(IF(ISNUMBER(SEARCH("(",C1528)),LEFT(C1528,SEARCH("(",C1528)-1),C1528),Tipos!$A:$B,2,FALSE()),"outro"))</f>
        <v/>
      </c>
      <c r="K1528" s="7" t="str">
        <f aca="false">IF(I1528="","",IFERROR(INDEX('Campos Growths'!$L:$L,MATCH(H1528,'Campos Growths'!$A:$A,0)),""))</f>
        <v/>
      </c>
      <c r="L1528" s="7" t="str">
        <f aca="false">IF(A1528="","",IF(G1528="não","Sem tabela no Growths",IF(I1528="","Sem campo no Growths",IF(J1528=K1528,"Importa direto","Ajustar tipo"))))</f>
        <v/>
      </c>
      <c r="M1528" s="9"/>
    </row>
    <row r="1529" customFormat="false" ht="15" hidden="false" customHeight="false" outlineLevel="0" collapsed="false">
      <c r="A1529" s="7" t="str">
        <f aca="false">IF('Outro banco'!A1529="","",IF(LEFT('Outro banco'!A1529,1)="(","",'Outro banco'!A1529))</f>
        <v/>
      </c>
      <c r="B1529" s="7" t="str">
        <f aca="false">IF(A1529="","",'Outro banco'!B1529)</f>
        <v/>
      </c>
      <c r="C1529" s="7" t="str">
        <f aca="false">IF(A1529="","",'Outro banco'!C1529)</f>
        <v/>
      </c>
      <c r="D1529" s="7" t="str">
        <f aca="false">IF(A1529="","",'Outro banco'!D1529)</f>
        <v/>
      </c>
      <c r="E1529" s="9"/>
      <c r="F1529" s="9"/>
      <c r="G1529" s="7" t="str">
        <f aca="false">IF(A1529="","",IF(COUNTIF(Tabelas!$A:$A,IF(E1529="",A1529,E1529))&gt;0,"sim","não"))</f>
        <v/>
      </c>
      <c r="H1529" s="7" t="str">
        <f aca="false">IF(A1529="","",IF(E1529="",A1529,E1529)&amp;"."&amp;IF(F1529="",B1529,F1529))</f>
        <v/>
      </c>
      <c r="I1529" s="7" t="str">
        <f aca="false">IF(A1529="","",IFERROR(INDEX('Campos Growths'!$F:$F,MATCH(H1529,'Campos Growths'!$A:$A,0)),""))</f>
        <v/>
      </c>
      <c r="J1529" s="7" t="str">
        <f aca="false">IF(A1529="","",IFERROR(VLOOKUP(IF(ISNUMBER(SEARCH("(",C1529)),LEFT(C1529,SEARCH("(",C1529)-1),C1529),Tipos!$A:$B,2,FALSE()),"outro"))</f>
        <v/>
      </c>
      <c r="K1529" s="7" t="str">
        <f aca="false">IF(I1529="","",IFERROR(INDEX('Campos Growths'!$L:$L,MATCH(H1529,'Campos Growths'!$A:$A,0)),""))</f>
        <v/>
      </c>
      <c r="L1529" s="7" t="str">
        <f aca="false">IF(A1529="","",IF(G1529="não","Sem tabela no Growths",IF(I1529="","Sem campo no Growths",IF(J1529=K1529,"Importa direto","Ajustar tipo"))))</f>
        <v/>
      </c>
      <c r="M1529" s="9"/>
    </row>
    <row r="1530" customFormat="false" ht="15" hidden="false" customHeight="false" outlineLevel="0" collapsed="false">
      <c r="A1530" s="7" t="str">
        <f aca="false">IF('Outro banco'!A1530="","",IF(LEFT('Outro banco'!A1530,1)="(","",'Outro banco'!A1530))</f>
        <v/>
      </c>
      <c r="B1530" s="7" t="str">
        <f aca="false">IF(A1530="","",'Outro banco'!B1530)</f>
        <v/>
      </c>
      <c r="C1530" s="7" t="str">
        <f aca="false">IF(A1530="","",'Outro banco'!C1530)</f>
        <v/>
      </c>
      <c r="D1530" s="7" t="str">
        <f aca="false">IF(A1530="","",'Outro banco'!D1530)</f>
        <v/>
      </c>
      <c r="E1530" s="9"/>
      <c r="F1530" s="9"/>
      <c r="G1530" s="7" t="str">
        <f aca="false">IF(A1530="","",IF(COUNTIF(Tabelas!$A:$A,IF(E1530="",A1530,E1530))&gt;0,"sim","não"))</f>
        <v/>
      </c>
      <c r="H1530" s="7" t="str">
        <f aca="false">IF(A1530="","",IF(E1530="",A1530,E1530)&amp;"."&amp;IF(F1530="",B1530,F1530))</f>
        <v/>
      </c>
      <c r="I1530" s="7" t="str">
        <f aca="false">IF(A1530="","",IFERROR(INDEX('Campos Growths'!$F:$F,MATCH(H1530,'Campos Growths'!$A:$A,0)),""))</f>
        <v/>
      </c>
      <c r="J1530" s="7" t="str">
        <f aca="false">IF(A1530="","",IFERROR(VLOOKUP(IF(ISNUMBER(SEARCH("(",C1530)),LEFT(C1530,SEARCH("(",C1530)-1),C1530),Tipos!$A:$B,2,FALSE()),"outro"))</f>
        <v/>
      </c>
      <c r="K1530" s="7" t="str">
        <f aca="false">IF(I1530="","",IFERROR(INDEX('Campos Growths'!$L:$L,MATCH(H1530,'Campos Growths'!$A:$A,0)),""))</f>
        <v/>
      </c>
      <c r="L1530" s="7" t="str">
        <f aca="false">IF(A1530="","",IF(G1530="não","Sem tabela no Growths",IF(I1530="","Sem campo no Growths",IF(J1530=K1530,"Importa direto","Ajustar tipo"))))</f>
        <v/>
      </c>
      <c r="M1530" s="9"/>
    </row>
    <row r="1531" customFormat="false" ht="15" hidden="false" customHeight="false" outlineLevel="0" collapsed="false">
      <c r="A1531" s="7" t="str">
        <f aca="false">IF('Outro banco'!A1531="","",IF(LEFT('Outro banco'!A1531,1)="(","",'Outro banco'!A1531))</f>
        <v/>
      </c>
      <c r="B1531" s="7" t="str">
        <f aca="false">IF(A1531="","",'Outro banco'!B1531)</f>
        <v/>
      </c>
      <c r="C1531" s="7" t="str">
        <f aca="false">IF(A1531="","",'Outro banco'!C1531)</f>
        <v/>
      </c>
      <c r="D1531" s="7" t="str">
        <f aca="false">IF(A1531="","",'Outro banco'!D1531)</f>
        <v/>
      </c>
      <c r="E1531" s="9"/>
      <c r="F1531" s="9"/>
      <c r="G1531" s="7" t="str">
        <f aca="false">IF(A1531="","",IF(COUNTIF(Tabelas!$A:$A,IF(E1531="",A1531,E1531))&gt;0,"sim","não"))</f>
        <v/>
      </c>
      <c r="H1531" s="7" t="str">
        <f aca="false">IF(A1531="","",IF(E1531="",A1531,E1531)&amp;"."&amp;IF(F1531="",B1531,F1531))</f>
        <v/>
      </c>
      <c r="I1531" s="7" t="str">
        <f aca="false">IF(A1531="","",IFERROR(INDEX('Campos Growths'!$F:$F,MATCH(H1531,'Campos Growths'!$A:$A,0)),""))</f>
        <v/>
      </c>
      <c r="J1531" s="7" t="str">
        <f aca="false">IF(A1531="","",IFERROR(VLOOKUP(IF(ISNUMBER(SEARCH("(",C1531)),LEFT(C1531,SEARCH("(",C1531)-1),C1531),Tipos!$A:$B,2,FALSE()),"outro"))</f>
        <v/>
      </c>
      <c r="K1531" s="7" t="str">
        <f aca="false">IF(I1531="","",IFERROR(INDEX('Campos Growths'!$L:$L,MATCH(H1531,'Campos Growths'!$A:$A,0)),""))</f>
        <v/>
      </c>
      <c r="L1531" s="7" t="str">
        <f aca="false">IF(A1531="","",IF(G1531="não","Sem tabela no Growths",IF(I1531="","Sem campo no Growths",IF(J1531=K1531,"Importa direto","Ajustar tipo"))))</f>
        <v/>
      </c>
      <c r="M1531" s="9"/>
    </row>
    <row r="1532" customFormat="false" ht="15" hidden="false" customHeight="false" outlineLevel="0" collapsed="false">
      <c r="A1532" s="7" t="str">
        <f aca="false">IF('Outro banco'!A1532="","",IF(LEFT('Outro banco'!A1532,1)="(","",'Outro banco'!A1532))</f>
        <v/>
      </c>
      <c r="B1532" s="7" t="str">
        <f aca="false">IF(A1532="","",'Outro banco'!B1532)</f>
        <v/>
      </c>
      <c r="C1532" s="7" t="str">
        <f aca="false">IF(A1532="","",'Outro banco'!C1532)</f>
        <v/>
      </c>
      <c r="D1532" s="7" t="str">
        <f aca="false">IF(A1532="","",'Outro banco'!D1532)</f>
        <v/>
      </c>
      <c r="E1532" s="9"/>
      <c r="F1532" s="9"/>
      <c r="G1532" s="7" t="str">
        <f aca="false">IF(A1532="","",IF(COUNTIF(Tabelas!$A:$A,IF(E1532="",A1532,E1532))&gt;0,"sim","não"))</f>
        <v/>
      </c>
      <c r="H1532" s="7" t="str">
        <f aca="false">IF(A1532="","",IF(E1532="",A1532,E1532)&amp;"."&amp;IF(F1532="",B1532,F1532))</f>
        <v/>
      </c>
      <c r="I1532" s="7" t="str">
        <f aca="false">IF(A1532="","",IFERROR(INDEX('Campos Growths'!$F:$F,MATCH(H1532,'Campos Growths'!$A:$A,0)),""))</f>
        <v/>
      </c>
      <c r="J1532" s="7" t="str">
        <f aca="false">IF(A1532="","",IFERROR(VLOOKUP(IF(ISNUMBER(SEARCH("(",C1532)),LEFT(C1532,SEARCH("(",C1532)-1),C1532),Tipos!$A:$B,2,FALSE()),"outro"))</f>
        <v/>
      </c>
      <c r="K1532" s="7" t="str">
        <f aca="false">IF(I1532="","",IFERROR(INDEX('Campos Growths'!$L:$L,MATCH(H1532,'Campos Growths'!$A:$A,0)),""))</f>
        <v/>
      </c>
      <c r="L1532" s="7" t="str">
        <f aca="false">IF(A1532="","",IF(G1532="não","Sem tabela no Growths",IF(I1532="","Sem campo no Growths",IF(J1532=K1532,"Importa direto","Ajustar tipo"))))</f>
        <v/>
      </c>
      <c r="M1532" s="9"/>
    </row>
    <row r="1533" customFormat="false" ht="15" hidden="false" customHeight="false" outlineLevel="0" collapsed="false">
      <c r="A1533" s="7" t="str">
        <f aca="false">IF('Outro banco'!A1533="","",IF(LEFT('Outro banco'!A1533,1)="(","",'Outro banco'!A1533))</f>
        <v/>
      </c>
      <c r="B1533" s="7" t="str">
        <f aca="false">IF(A1533="","",'Outro banco'!B1533)</f>
        <v/>
      </c>
      <c r="C1533" s="7" t="str">
        <f aca="false">IF(A1533="","",'Outro banco'!C1533)</f>
        <v/>
      </c>
      <c r="D1533" s="7" t="str">
        <f aca="false">IF(A1533="","",'Outro banco'!D1533)</f>
        <v/>
      </c>
      <c r="E1533" s="9"/>
      <c r="F1533" s="9"/>
      <c r="G1533" s="7" t="str">
        <f aca="false">IF(A1533="","",IF(COUNTIF(Tabelas!$A:$A,IF(E1533="",A1533,E1533))&gt;0,"sim","não"))</f>
        <v/>
      </c>
      <c r="H1533" s="7" t="str">
        <f aca="false">IF(A1533="","",IF(E1533="",A1533,E1533)&amp;"."&amp;IF(F1533="",B1533,F1533))</f>
        <v/>
      </c>
      <c r="I1533" s="7" t="str">
        <f aca="false">IF(A1533="","",IFERROR(INDEX('Campos Growths'!$F:$F,MATCH(H1533,'Campos Growths'!$A:$A,0)),""))</f>
        <v/>
      </c>
      <c r="J1533" s="7" t="str">
        <f aca="false">IF(A1533="","",IFERROR(VLOOKUP(IF(ISNUMBER(SEARCH("(",C1533)),LEFT(C1533,SEARCH("(",C1533)-1),C1533),Tipos!$A:$B,2,FALSE()),"outro"))</f>
        <v/>
      </c>
      <c r="K1533" s="7" t="str">
        <f aca="false">IF(I1533="","",IFERROR(INDEX('Campos Growths'!$L:$L,MATCH(H1533,'Campos Growths'!$A:$A,0)),""))</f>
        <v/>
      </c>
      <c r="L1533" s="7" t="str">
        <f aca="false">IF(A1533="","",IF(G1533="não","Sem tabela no Growths",IF(I1533="","Sem campo no Growths",IF(J1533=K1533,"Importa direto","Ajustar tipo"))))</f>
        <v/>
      </c>
      <c r="M1533" s="9"/>
    </row>
    <row r="1534" customFormat="false" ht="15" hidden="false" customHeight="false" outlineLevel="0" collapsed="false">
      <c r="A1534" s="7" t="str">
        <f aca="false">IF('Outro banco'!A1534="","",IF(LEFT('Outro banco'!A1534,1)="(","",'Outro banco'!A1534))</f>
        <v/>
      </c>
      <c r="B1534" s="7" t="str">
        <f aca="false">IF(A1534="","",'Outro banco'!B1534)</f>
        <v/>
      </c>
      <c r="C1534" s="7" t="str">
        <f aca="false">IF(A1534="","",'Outro banco'!C1534)</f>
        <v/>
      </c>
      <c r="D1534" s="7" t="str">
        <f aca="false">IF(A1534="","",'Outro banco'!D1534)</f>
        <v/>
      </c>
      <c r="E1534" s="9"/>
      <c r="F1534" s="9"/>
      <c r="G1534" s="7" t="str">
        <f aca="false">IF(A1534="","",IF(COUNTIF(Tabelas!$A:$A,IF(E1534="",A1534,E1534))&gt;0,"sim","não"))</f>
        <v/>
      </c>
      <c r="H1534" s="7" t="str">
        <f aca="false">IF(A1534="","",IF(E1534="",A1534,E1534)&amp;"."&amp;IF(F1534="",B1534,F1534))</f>
        <v/>
      </c>
      <c r="I1534" s="7" t="str">
        <f aca="false">IF(A1534="","",IFERROR(INDEX('Campos Growths'!$F:$F,MATCH(H1534,'Campos Growths'!$A:$A,0)),""))</f>
        <v/>
      </c>
      <c r="J1534" s="7" t="str">
        <f aca="false">IF(A1534="","",IFERROR(VLOOKUP(IF(ISNUMBER(SEARCH("(",C1534)),LEFT(C1534,SEARCH("(",C1534)-1),C1534),Tipos!$A:$B,2,FALSE()),"outro"))</f>
        <v/>
      </c>
      <c r="K1534" s="7" t="str">
        <f aca="false">IF(I1534="","",IFERROR(INDEX('Campos Growths'!$L:$L,MATCH(H1534,'Campos Growths'!$A:$A,0)),""))</f>
        <v/>
      </c>
      <c r="L1534" s="7" t="str">
        <f aca="false">IF(A1534="","",IF(G1534="não","Sem tabela no Growths",IF(I1534="","Sem campo no Growths",IF(J1534=K1534,"Importa direto","Ajustar tipo"))))</f>
        <v/>
      </c>
      <c r="M1534" s="9"/>
    </row>
    <row r="1535" customFormat="false" ht="15" hidden="false" customHeight="false" outlineLevel="0" collapsed="false">
      <c r="A1535" s="7" t="str">
        <f aca="false">IF('Outro banco'!A1535="","",IF(LEFT('Outro banco'!A1535,1)="(","",'Outro banco'!A1535))</f>
        <v/>
      </c>
      <c r="B1535" s="7" t="str">
        <f aca="false">IF(A1535="","",'Outro banco'!B1535)</f>
        <v/>
      </c>
      <c r="C1535" s="7" t="str">
        <f aca="false">IF(A1535="","",'Outro banco'!C1535)</f>
        <v/>
      </c>
      <c r="D1535" s="7" t="str">
        <f aca="false">IF(A1535="","",'Outro banco'!D1535)</f>
        <v/>
      </c>
      <c r="E1535" s="9"/>
      <c r="F1535" s="9"/>
      <c r="G1535" s="7" t="str">
        <f aca="false">IF(A1535="","",IF(COUNTIF(Tabelas!$A:$A,IF(E1535="",A1535,E1535))&gt;0,"sim","não"))</f>
        <v/>
      </c>
      <c r="H1535" s="7" t="str">
        <f aca="false">IF(A1535="","",IF(E1535="",A1535,E1535)&amp;"."&amp;IF(F1535="",B1535,F1535))</f>
        <v/>
      </c>
      <c r="I1535" s="7" t="str">
        <f aca="false">IF(A1535="","",IFERROR(INDEX('Campos Growths'!$F:$F,MATCH(H1535,'Campos Growths'!$A:$A,0)),""))</f>
        <v/>
      </c>
      <c r="J1535" s="7" t="str">
        <f aca="false">IF(A1535="","",IFERROR(VLOOKUP(IF(ISNUMBER(SEARCH("(",C1535)),LEFT(C1535,SEARCH("(",C1535)-1),C1535),Tipos!$A:$B,2,FALSE()),"outro"))</f>
        <v/>
      </c>
      <c r="K1535" s="7" t="str">
        <f aca="false">IF(I1535="","",IFERROR(INDEX('Campos Growths'!$L:$L,MATCH(H1535,'Campos Growths'!$A:$A,0)),""))</f>
        <v/>
      </c>
      <c r="L1535" s="7" t="str">
        <f aca="false">IF(A1535="","",IF(G1535="não","Sem tabela no Growths",IF(I1535="","Sem campo no Growths",IF(J1535=K1535,"Importa direto","Ajustar tipo"))))</f>
        <v/>
      </c>
      <c r="M1535" s="9"/>
    </row>
    <row r="1536" customFormat="false" ht="15" hidden="false" customHeight="false" outlineLevel="0" collapsed="false">
      <c r="A1536" s="7" t="str">
        <f aca="false">IF('Outro banco'!A1536="","",IF(LEFT('Outro banco'!A1536,1)="(","",'Outro banco'!A1536))</f>
        <v/>
      </c>
      <c r="B1536" s="7" t="str">
        <f aca="false">IF(A1536="","",'Outro banco'!B1536)</f>
        <v/>
      </c>
      <c r="C1536" s="7" t="str">
        <f aca="false">IF(A1536="","",'Outro banco'!C1536)</f>
        <v/>
      </c>
      <c r="D1536" s="7" t="str">
        <f aca="false">IF(A1536="","",'Outro banco'!D1536)</f>
        <v/>
      </c>
      <c r="E1536" s="9"/>
      <c r="F1536" s="9"/>
      <c r="G1536" s="7" t="str">
        <f aca="false">IF(A1536="","",IF(COUNTIF(Tabelas!$A:$A,IF(E1536="",A1536,E1536))&gt;0,"sim","não"))</f>
        <v/>
      </c>
      <c r="H1536" s="7" t="str">
        <f aca="false">IF(A1536="","",IF(E1536="",A1536,E1536)&amp;"."&amp;IF(F1536="",B1536,F1536))</f>
        <v/>
      </c>
      <c r="I1536" s="7" t="str">
        <f aca="false">IF(A1536="","",IFERROR(INDEX('Campos Growths'!$F:$F,MATCH(H1536,'Campos Growths'!$A:$A,0)),""))</f>
        <v/>
      </c>
      <c r="J1536" s="7" t="str">
        <f aca="false">IF(A1536="","",IFERROR(VLOOKUP(IF(ISNUMBER(SEARCH("(",C1536)),LEFT(C1536,SEARCH("(",C1536)-1),C1536),Tipos!$A:$B,2,FALSE()),"outro"))</f>
        <v/>
      </c>
      <c r="K1536" s="7" t="str">
        <f aca="false">IF(I1536="","",IFERROR(INDEX('Campos Growths'!$L:$L,MATCH(H1536,'Campos Growths'!$A:$A,0)),""))</f>
        <v/>
      </c>
      <c r="L1536" s="7" t="str">
        <f aca="false">IF(A1536="","",IF(G1536="não","Sem tabela no Growths",IF(I1536="","Sem campo no Growths",IF(J1536=K1536,"Importa direto","Ajustar tipo"))))</f>
        <v/>
      </c>
      <c r="M1536" s="9"/>
    </row>
    <row r="1537" customFormat="false" ht="15" hidden="false" customHeight="false" outlineLevel="0" collapsed="false">
      <c r="A1537" s="7" t="str">
        <f aca="false">IF('Outro banco'!A1537="","",IF(LEFT('Outro banco'!A1537,1)="(","",'Outro banco'!A1537))</f>
        <v/>
      </c>
      <c r="B1537" s="7" t="str">
        <f aca="false">IF(A1537="","",'Outro banco'!B1537)</f>
        <v/>
      </c>
      <c r="C1537" s="7" t="str">
        <f aca="false">IF(A1537="","",'Outro banco'!C1537)</f>
        <v/>
      </c>
      <c r="D1537" s="7" t="str">
        <f aca="false">IF(A1537="","",'Outro banco'!D1537)</f>
        <v/>
      </c>
      <c r="E1537" s="9"/>
      <c r="F1537" s="9"/>
      <c r="G1537" s="7" t="str">
        <f aca="false">IF(A1537="","",IF(COUNTIF(Tabelas!$A:$A,IF(E1537="",A1537,E1537))&gt;0,"sim","não"))</f>
        <v/>
      </c>
      <c r="H1537" s="7" t="str">
        <f aca="false">IF(A1537="","",IF(E1537="",A1537,E1537)&amp;"."&amp;IF(F1537="",B1537,F1537))</f>
        <v/>
      </c>
      <c r="I1537" s="7" t="str">
        <f aca="false">IF(A1537="","",IFERROR(INDEX('Campos Growths'!$F:$F,MATCH(H1537,'Campos Growths'!$A:$A,0)),""))</f>
        <v/>
      </c>
      <c r="J1537" s="7" t="str">
        <f aca="false">IF(A1537="","",IFERROR(VLOOKUP(IF(ISNUMBER(SEARCH("(",C1537)),LEFT(C1537,SEARCH("(",C1537)-1),C1537),Tipos!$A:$B,2,FALSE()),"outro"))</f>
        <v/>
      </c>
      <c r="K1537" s="7" t="str">
        <f aca="false">IF(I1537="","",IFERROR(INDEX('Campos Growths'!$L:$L,MATCH(H1537,'Campos Growths'!$A:$A,0)),""))</f>
        <v/>
      </c>
      <c r="L1537" s="7" t="str">
        <f aca="false">IF(A1537="","",IF(G1537="não","Sem tabela no Growths",IF(I1537="","Sem campo no Growths",IF(J1537=K1537,"Importa direto","Ajustar tipo"))))</f>
        <v/>
      </c>
      <c r="M1537" s="9"/>
    </row>
    <row r="1538" customFormat="false" ht="15" hidden="false" customHeight="false" outlineLevel="0" collapsed="false">
      <c r="A1538" s="7" t="str">
        <f aca="false">IF('Outro banco'!A1538="","",IF(LEFT('Outro banco'!A1538,1)="(","",'Outro banco'!A1538))</f>
        <v/>
      </c>
      <c r="B1538" s="7" t="str">
        <f aca="false">IF(A1538="","",'Outro banco'!B1538)</f>
        <v/>
      </c>
      <c r="C1538" s="7" t="str">
        <f aca="false">IF(A1538="","",'Outro banco'!C1538)</f>
        <v/>
      </c>
      <c r="D1538" s="7" t="str">
        <f aca="false">IF(A1538="","",'Outro banco'!D1538)</f>
        <v/>
      </c>
      <c r="E1538" s="9"/>
      <c r="F1538" s="9"/>
      <c r="G1538" s="7" t="str">
        <f aca="false">IF(A1538="","",IF(COUNTIF(Tabelas!$A:$A,IF(E1538="",A1538,E1538))&gt;0,"sim","não"))</f>
        <v/>
      </c>
      <c r="H1538" s="7" t="str">
        <f aca="false">IF(A1538="","",IF(E1538="",A1538,E1538)&amp;"."&amp;IF(F1538="",B1538,F1538))</f>
        <v/>
      </c>
      <c r="I1538" s="7" t="str">
        <f aca="false">IF(A1538="","",IFERROR(INDEX('Campos Growths'!$F:$F,MATCH(H1538,'Campos Growths'!$A:$A,0)),""))</f>
        <v/>
      </c>
      <c r="J1538" s="7" t="str">
        <f aca="false">IF(A1538="","",IFERROR(VLOOKUP(IF(ISNUMBER(SEARCH("(",C1538)),LEFT(C1538,SEARCH("(",C1538)-1),C1538),Tipos!$A:$B,2,FALSE()),"outro"))</f>
        <v/>
      </c>
      <c r="K1538" s="7" t="str">
        <f aca="false">IF(I1538="","",IFERROR(INDEX('Campos Growths'!$L:$L,MATCH(H1538,'Campos Growths'!$A:$A,0)),""))</f>
        <v/>
      </c>
      <c r="L1538" s="7" t="str">
        <f aca="false">IF(A1538="","",IF(G1538="não","Sem tabela no Growths",IF(I1538="","Sem campo no Growths",IF(J1538=K1538,"Importa direto","Ajustar tipo"))))</f>
        <v/>
      </c>
      <c r="M1538" s="9"/>
    </row>
    <row r="1539" customFormat="false" ht="15" hidden="false" customHeight="false" outlineLevel="0" collapsed="false">
      <c r="A1539" s="7" t="str">
        <f aca="false">IF('Outro banco'!A1539="","",IF(LEFT('Outro banco'!A1539,1)="(","",'Outro banco'!A1539))</f>
        <v/>
      </c>
      <c r="B1539" s="7" t="str">
        <f aca="false">IF(A1539="","",'Outro banco'!B1539)</f>
        <v/>
      </c>
      <c r="C1539" s="7" t="str">
        <f aca="false">IF(A1539="","",'Outro banco'!C1539)</f>
        <v/>
      </c>
      <c r="D1539" s="7" t="str">
        <f aca="false">IF(A1539="","",'Outro banco'!D1539)</f>
        <v/>
      </c>
      <c r="E1539" s="9"/>
      <c r="F1539" s="9"/>
      <c r="G1539" s="7" t="str">
        <f aca="false">IF(A1539="","",IF(COUNTIF(Tabelas!$A:$A,IF(E1539="",A1539,E1539))&gt;0,"sim","não"))</f>
        <v/>
      </c>
      <c r="H1539" s="7" t="str">
        <f aca="false">IF(A1539="","",IF(E1539="",A1539,E1539)&amp;"."&amp;IF(F1539="",B1539,F1539))</f>
        <v/>
      </c>
      <c r="I1539" s="7" t="str">
        <f aca="false">IF(A1539="","",IFERROR(INDEX('Campos Growths'!$F:$F,MATCH(H1539,'Campos Growths'!$A:$A,0)),""))</f>
        <v/>
      </c>
      <c r="J1539" s="7" t="str">
        <f aca="false">IF(A1539="","",IFERROR(VLOOKUP(IF(ISNUMBER(SEARCH("(",C1539)),LEFT(C1539,SEARCH("(",C1539)-1),C1539),Tipos!$A:$B,2,FALSE()),"outro"))</f>
        <v/>
      </c>
      <c r="K1539" s="7" t="str">
        <f aca="false">IF(I1539="","",IFERROR(INDEX('Campos Growths'!$L:$L,MATCH(H1539,'Campos Growths'!$A:$A,0)),""))</f>
        <v/>
      </c>
      <c r="L1539" s="7" t="str">
        <f aca="false">IF(A1539="","",IF(G1539="não","Sem tabela no Growths",IF(I1539="","Sem campo no Growths",IF(J1539=K1539,"Importa direto","Ajustar tipo"))))</f>
        <v/>
      </c>
      <c r="M1539" s="9"/>
    </row>
    <row r="1540" customFormat="false" ht="15" hidden="false" customHeight="false" outlineLevel="0" collapsed="false">
      <c r="A1540" s="7" t="str">
        <f aca="false">IF('Outro banco'!A1540="","",IF(LEFT('Outro banco'!A1540,1)="(","",'Outro banco'!A1540))</f>
        <v/>
      </c>
      <c r="B1540" s="7" t="str">
        <f aca="false">IF(A1540="","",'Outro banco'!B1540)</f>
        <v/>
      </c>
      <c r="C1540" s="7" t="str">
        <f aca="false">IF(A1540="","",'Outro banco'!C1540)</f>
        <v/>
      </c>
      <c r="D1540" s="7" t="str">
        <f aca="false">IF(A1540="","",'Outro banco'!D1540)</f>
        <v/>
      </c>
      <c r="E1540" s="9"/>
      <c r="F1540" s="9"/>
      <c r="G1540" s="7" t="str">
        <f aca="false">IF(A1540="","",IF(COUNTIF(Tabelas!$A:$A,IF(E1540="",A1540,E1540))&gt;0,"sim","não"))</f>
        <v/>
      </c>
      <c r="H1540" s="7" t="str">
        <f aca="false">IF(A1540="","",IF(E1540="",A1540,E1540)&amp;"."&amp;IF(F1540="",B1540,F1540))</f>
        <v/>
      </c>
      <c r="I1540" s="7" t="str">
        <f aca="false">IF(A1540="","",IFERROR(INDEX('Campos Growths'!$F:$F,MATCH(H1540,'Campos Growths'!$A:$A,0)),""))</f>
        <v/>
      </c>
      <c r="J1540" s="7" t="str">
        <f aca="false">IF(A1540="","",IFERROR(VLOOKUP(IF(ISNUMBER(SEARCH("(",C1540)),LEFT(C1540,SEARCH("(",C1540)-1),C1540),Tipos!$A:$B,2,FALSE()),"outro"))</f>
        <v/>
      </c>
      <c r="K1540" s="7" t="str">
        <f aca="false">IF(I1540="","",IFERROR(INDEX('Campos Growths'!$L:$L,MATCH(H1540,'Campos Growths'!$A:$A,0)),""))</f>
        <v/>
      </c>
      <c r="L1540" s="7" t="str">
        <f aca="false">IF(A1540="","",IF(G1540="não","Sem tabela no Growths",IF(I1540="","Sem campo no Growths",IF(J1540=K1540,"Importa direto","Ajustar tipo"))))</f>
        <v/>
      </c>
      <c r="M1540" s="9"/>
    </row>
    <row r="1541" customFormat="false" ht="15" hidden="false" customHeight="false" outlineLevel="0" collapsed="false">
      <c r="A1541" s="7" t="str">
        <f aca="false">IF('Outro banco'!A1541="","",IF(LEFT('Outro banco'!A1541,1)="(","",'Outro banco'!A1541))</f>
        <v/>
      </c>
      <c r="B1541" s="7" t="str">
        <f aca="false">IF(A1541="","",'Outro banco'!B1541)</f>
        <v/>
      </c>
      <c r="C1541" s="7" t="str">
        <f aca="false">IF(A1541="","",'Outro banco'!C1541)</f>
        <v/>
      </c>
      <c r="D1541" s="7" t="str">
        <f aca="false">IF(A1541="","",'Outro banco'!D1541)</f>
        <v/>
      </c>
      <c r="E1541" s="9"/>
      <c r="F1541" s="9"/>
      <c r="G1541" s="7" t="str">
        <f aca="false">IF(A1541="","",IF(COUNTIF(Tabelas!$A:$A,IF(E1541="",A1541,E1541))&gt;0,"sim","não"))</f>
        <v/>
      </c>
      <c r="H1541" s="7" t="str">
        <f aca="false">IF(A1541="","",IF(E1541="",A1541,E1541)&amp;"."&amp;IF(F1541="",B1541,F1541))</f>
        <v/>
      </c>
      <c r="I1541" s="7" t="str">
        <f aca="false">IF(A1541="","",IFERROR(INDEX('Campos Growths'!$F:$F,MATCH(H1541,'Campos Growths'!$A:$A,0)),""))</f>
        <v/>
      </c>
      <c r="J1541" s="7" t="str">
        <f aca="false">IF(A1541="","",IFERROR(VLOOKUP(IF(ISNUMBER(SEARCH("(",C1541)),LEFT(C1541,SEARCH("(",C1541)-1),C1541),Tipos!$A:$B,2,FALSE()),"outro"))</f>
        <v/>
      </c>
      <c r="K1541" s="7" t="str">
        <f aca="false">IF(I1541="","",IFERROR(INDEX('Campos Growths'!$L:$L,MATCH(H1541,'Campos Growths'!$A:$A,0)),""))</f>
        <v/>
      </c>
      <c r="L1541" s="7" t="str">
        <f aca="false">IF(A1541="","",IF(G1541="não","Sem tabela no Growths",IF(I1541="","Sem campo no Growths",IF(J1541=K1541,"Importa direto","Ajustar tipo"))))</f>
        <v/>
      </c>
      <c r="M1541" s="9"/>
    </row>
    <row r="1542" customFormat="false" ht="15" hidden="false" customHeight="false" outlineLevel="0" collapsed="false">
      <c r="A1542" s="7" t="str">
        <f aca="false">IF('Outro banco'!A1542="","",IF(LEFT('Outro banco'!A1542,1)="(","",'Outro banco'!A1542))</f>
        <v/>
      </c>
      <c r="B1542" s="7" t="str">
        <f aca="false">IF(A1542="","",'Outro banco'!B1542)</f>
        <v/>
      </c>
      <c r="C1542" s="7" t="str">
        <f aca="false">IF(A1542="","",'Outro banco'!C1542)</f>
        <v/>
      </c>
      <c r="D1542" s="7" t="str">
        <f aca="false">IF(A1542="","",'Outro banco'!D1542)</f>
        <v/>
      </c>
      <c r="E1542" s="9"/>
      <c r="F1542" s="9"/>
      <c r="G1542" s="7" t="str">
        <f aca="false">IF(A1542="","",IF(COUNTIF(Tabelas!$A:$A,IF(E1542="",A1542,E1542))&gt;0,"sim","não"))</f>
        <v/>
      </c>
      <c r="H1542" s="7" t="str">
        <f aca="false">IF(A1542="","",IF(E1542="",A1542,E1542)&amp;"."&amp;IF(F1542="",B1542,F1542))</f>
        <v/>
      </c>
      <c r="I1542" s="7" t="str">
        <f aca="false">IF(A1542="","",IFERROR(INDEX('Campos Growths'!$F:$F,MATCH(H1542,'Campos Growths'!$A:$A,0)),""))</f>
        <v/>
      </c>
      <c r="J1542" s="7" t="str">
        <f aca="false">IF(A1542="","",IFERROR(VLOOKUP(IF(ISNUMBER(SEARCH("(",C1542)),LEFT(C1542,SEARCH("(",C1542)-1),C1542),Tipos!$A:$B,2,FALSE()),"outro"))</f>
        <v/>
      </c>
      <c r="K1542" s="7" t="str">
        <f aca="false">IF(I1542="","",IFERROR(INDEX('Campos Growths'!$L:$L,MATCH(H1542,'Campos Growths'!$A:$A,0)),""))</f>
        <v/>
      </c>
      <c r="L1542" s="7" t="str">
        <f aca="false">IF(A1542="","",IF(G1542="não","Sem tabela no Growths",IF(I1542="","Sem campo no Growths",IF(J1542=K1542,"Importa direto","Ajustar tipo"))))</f>
        <v/>
      </c>
      <c r="M1542" s="9"/>
    </row>
    <row r="1543" customFormat="false" ht="15" hidden="false" customHeight="false" outlineLevel="0" collapsed="false">
      <c r="A1543" s="7" t="str">
        <f aca="false">IF('Outro banco'!A1543="","",IF(LEFT('Outro banco'!A1543,1)="(","",'Outro banco'!A1543))</f>
        <v/>
      </c>
      <c r="B1543" s="7" t="str">
        <f aca="false">IF(A1543="","",'Outro banco'!B1543)</f>
        <v/>
      </c>
      <c r="C1543" s="7" t="str">
        <f aca="false">IF(A1543="","",'Outro banco'!C1543)</f>
        <v/>
      </c>
      <c r="D1543" s="7" t="str">
        <f aca="false">IF(A1543="","",'Outro banco'!D1543)</f>
        <v/>
      </c>
      <c r="E1543" s="9"/>
      <c r="F1543" s="9"/>
      <c r="G1543" s="7" t="str">
        <f aca="false">IF(A1543="","",IF(COUNTIF(Tabelas!$A:$A,IF(E1543="",A1543,E1543))&gt;0,"sim","não"))</f>
        <v/>
      </c>
      <c r="H1543" s="7" t="str">
        <f aca="false">IF(A1543="","",IF(E1543="",A1543,E1543)&amp;"."&amp;IF(F1543="",B1543,F1543))</f>
        <v/>
      </c>
      <c r="I1543" s="7" t="str">
        <f aca="false">IF(A1543="","",IFERROR(INDEX('Campos Growths'!$F:$F,MATCH(H1543,'Campos Growths'!$A:$A,0)),""))</f>
        <v/>
      </c>
      <c r="J1543" s="7" t="str">
        <f aca="false">IF(A1543="","",IFERROR(VLOOKUP(IF(ISNUMBER(SEARCH("(",C1543)),LEFT(C1543,SEARCH("(",C1543)-1),C1543),Tipos!$A:$B,2,FALSE()),"outro"))</f>
        <v/>
      </c>
      <c r="K1543" s="7" t="str">
        <f aca="false">IF(I1543="","",IFERROR(INDEX('Campos Growths'!$L:$L,MATCH(H1543,'Campos Growths'!$A:$A,0)),""))</f>
        <v/>
      </c>
      <c r="L1543" s="7" t="str">
        <f aca="false">IF(A1543="","",IF(G1543="não","Sem tabela no Growths",IF(I1543="","Sem campo no Growths",IF(J1543=K1543,"Importa direto","Ajustar tipo"))))</f>
        <v/>
      </c>
      <c r="M1543" s="9"/>
    </row>
    <row r="1544" customFormat="false" ht="15" hidden="false" customHeight="false" outlineLevel="0" collapsed="false">
      <c r="A1544" s="7" t="str">
        <f aca="false">IF('Outro banco'!A1544="","",IF(LEFT('Outro banco'!A1544,1)="(","",'Outro banco'!A1544))</f>
        <v/>
      </c>
      <c r="B1544" s="7" t="str">
        <f aca="false">IF(A1544="","",'Outro banco'!B1544)</f>
        <v/>
      </c>
      <c r="C1544" s="7" t="str">
        <f aca="false">IF(A1544="","",'Outro banco'!C1544)</f>
        <v/>
      </c>
      <c r="D1544" s="7" t="str">
        <f aca="false">IF(A1544="","",'Outro banco'!D1544)</f>
        <v/>
      </c>
      <c r="E1544" s="9"/>
      <c r="F1544" s="9"/>
      <c r="G1544" s="7" t="str">
        <f aca="false">IF(A1544="","",IF(COUNTIF(Tabelas!$A:$A,IF(E1544="",A1544,E1544))&gt;0,"sim","não"))</f>
        <v/>
      </c>
      <c r="H1544" s="7" t="str">
        <f aca="false">IF(A1544="","",IF(E1544="",A1544,E1544)&amp;"."&amp;IF(F1544="",B1544,F1544))</f>
        <v/>
      </c>
      <c r="I1544" s="7" t="str">
        <f aca="false">IF(A1544="","",IFERROR(INDEX('Campos Growths'!$F:$F,MATCH(H1544,'Campos Growths'!$A:$A,0)),""))</f>
        <v/>
      </c>
      <c r="J1544" s="7" t="str">
        <f aca="false">IF(A1544="","",IFERROR(VLOOKUP(IF(ISNUMBER(SEARCH("(",C1544)),LEFT(C1544,SEARCH("(",C1544)-1),C1544),Tipos!$A:$B,2,FALSE()),"outro"))</f>
        <v/>
      </c>
      <c r="K1544" s="7" t="str">
        <f aca="false">IF(I1544="","",IFERROR(INDEX('Campos Growths'!$L:$L,MATCH(H1544,'Campos Growths'!$A:$A,0)),""))</f>
        <v/>
      </c>
      <c r="L1544" s="7" t="str">
        <f aca="false">IF(A1544="","",IF(G1544="não","Sem tabela no Growths",IF(I1544="","Sem campo no Growths",IF(J1544=K1544,"Importa direto","Ajustar tipo"))))</f>
        <v/>
      </c>
      <c r="M1544" s="9"/>
    </row>
    <row r="1545" customFormat="false" ht="15" hidden="false" customHeight="false" outlineLevel="0" collapsed="false">
      <c r="A1545" s="7" t="str">
        <f aca="false">IF('Outro banco'!A1545="","",IF(LEFT('Outro banco'!A1545,1)="(","",'Outro banco'!A1545))</f>
        <v/>
      </c>
      <c r="B1545" s="7" t="str">
        <f aca="false">IF(A1545="","",'Outro banco'!B1545)</f>
        <v/>
      </c>
      <c r="C1545" s="7" t="str">
        <f aca="false">IF(A1545="","",'Outro banco'!C1545)</f>
        <v/>
      </c>
      <c r="D1545" s="7" t="str">
        <f aca="false">IF(A1545="","",'Outro banco'!D1545)</f>
        <v/>
      </c>
      <c r="E1545" s="9"/>
      <c r="F1545" s="9"/>
      <c r="G1545" s="7" t="str">
        <f aca="false">IF(A1545="","",IF(COUNTIF(Tabelas!$A:$A,IF(E1545="",A1545,E1545))&gt;0,"sim","não"))</f>
        <v/>
      </c>
      <c r="H1545" s="7" t="str">
        <f aca="false">IF(A1545="","",IF(E1545="",A1545,E1545)&amp;"."&amp;IF(F1545="",B1545,F1545))</f>
        <v/>
      </c>
      <c r="I1545" s="7" t="str">
        <f aca="false">IF(A1545="","",IFERROR(INDEX('Campos Growths'!$F:$F,MATCH(H1545,'Campos Growths'!$A:$A,0)),""))</f>
        <v/>
      </c>
      <c r="J1545" s="7" t="str">
        <f aca="false">IF(A1545="","",IFERROR(VLOOKUP(IF(ISNUMBER(SEARCH("(",C1545)),LEFT(C1545,SEARCH("(",C1545)-1),C1545),Tipos!$A:$B,2,FALSE()),"outro"))</f>
        <v/>
      </c>
      <c r="K1545" s="7" t="str">
        <f aca="false">IF(I1545="","",IFERROR(INDEX('Campos Growths'!$L:$L,MATCH(H1545,'Campos Growths'!$A:$A,0)),""))</f>
        <v/>
      </c>
      <c r="L1545" s="7" t="str">
        <f aca="false">IF(A1545="","",IF(G1545="não","Sem tabela no Growths",IF(I1545="","Sem campo no Growths",IF(J1545=K1545,"Importa direto","Ajustar tipo"))))</f>
        <v/>
      </c>
      <c r="M1545" s="9"/>
    </row>
    <row r="1546" customFormat="false" ht="15" hidden="false" customHeight="false" outlineLevel="0" collapsed="false">
      <c r="A1546" s="7" t="str">
        <f aca="false">IF('Outro banco'!A1546="","",IF(LEFT('Outro banco'!A1546,1)="(","",'Outro banco'!A1546))</f>
        <v/>
      </c>
      <c r="B1546" s="7" t="str">
        <f aca="false">IF(A1546="","",'Outro banco'!B1546)</f>
        <v/>
      </c>
      <c r="C1546" s="7" t="str">
        <f aca="false">IF(A1546="","",'Outro banco'!C1546)</f>
        <v/>
      </c>
      <c r="D1546" s="7" t="str">
        <f aca="false">IF(A1546="","",'Outro banco'!D1546)</f>
        <v/>
      </c>
      <c r="E1546" s="9"/>
      <c r="F1546" s="9"/>
      <c r="G1546" s="7" t="str">
        <f aca="false">IF(A1546="","",IF(COUNTIF(Tabelas!$A:$A,IF(E1546="",A1546,E1546))&gt;0,"sim","não"))</f>
        <v/>
      </c>
      <c r="H1546" s="7" t="str">
        <f aca="false">IF(A1546="","",IF(E1546="",A1546,E1546)&amp;"."&amp;IF(F1546="",B1546,F1546))</f>
        <v/>
      </c>
      <c r="I1546" s="7" t="str">
        <f aca="false">IF(A1546="","",IFERROR(INDEX('Campos Growths'!$F:$F,MATCH(H1546,'Campos Growths'!$A:$A,0)),""))</f>
        <v/>
      </c>
      <c r="J1546" s="7" t="str">
        <f aca="false">IF(A1546="","",IFERROR(VLOOKUP(IF(ISNUMBER(SEARCH("(",C1546)),LEFT(C1546,SEARCH("(",C1546)-1),C1546),Tipos!$A:$B,2,FALSE()),"outro"))</f>
        <v/>
      </c>
      <c r="K1546" s="7" t="str">
        <f aca="false">IF(I1546="","",IFERROR(INDEX('Campos Growths'!$L:$L,MATCH(H1546,'Campos Growths'!$A:$A,0)),""))</f>
        <v/>
      </c>
      <c r="L1546" s="7" t="str">
        <f aca="false">IF(A1546="","",IF(G1546="não","Sem tabela no Growths",IF(I1546="","Sem campo no Growths",IF(J1546=K1546,"Importa direto","Ajustar tipo"))))</f>
        <v/>
      </c>
      <c r="M1546" s="9"/>
    </row>
    <row r="1547" customFormat="false" ht="15" hidden="false" customHeight="false" outlineLevel="0" collapsed="false">
      <c r="A1547" s="7" t="str">
        <f aca="false">IF('Outro banco'!A1547="","",IF(LEFT('Outro banco'!A1547,1)="(","",'Outro banco'!A1547))</f>
        <v/>
      </c>
      <c r="B1547" s="7" t="str">
        <f aca="false">IF(A1547="","",'Outro banco'!B1547)</f>
        <v/>
      </c>
      <c r="C1547" s="7" t="str">
        <f aca="false">IF(A1547="","",'Outro banco'!C1547)</f>
        <v/>
      </c>
      <c r="D1547" s="7" t="str">
        <f aca="false">IF(A1547="","",'Outro banco'!D1547)</f>
        <v/>
      </c>
      <c r="E1547" s="9"/>
      <c r="F1547" s="9"/>
      <c r="G1547" s="7" t="str">
        <f aca="false">IF(A1547="","",IF(COUNTIF(Tabelas!$A:$A,IF(E1547="",A1547,E1547))&gt;0,"sim","não"))</f>
        <v/>
      </c>
      <c r="H1547" s="7" t="str">
        <f aca="false">IF(A1547="","",IF(E1547="",A1547,E1547)&amp;"."&amp;IF(F1547="",B1547,F1547))</f>
        <v/>
      </c>
      <c r="I1547" s="7" t="str">
        <f aca="false">IF(A1547="","",IFERROR(INDEX('Campos Growths'!$F:$F,MATCH(H1547,'Campos Growths'!$A:$A,0)),""))</f>
        <v/>
      </c>
      <c r="J1547" s="7" t="str">
        <f aca="false">IF(A1547="","",IFERROR(VLOOKUP(IF(ISNUMBER(SEARCH("(",C1547)),LEFT(C1547,SEARCH("(",C1547)-1),C1547),Tipos!$A:$B,2,FALSE()),"outro"))</f>
        <v/>
      </c>
      <c r="K1547" s="7" t="str">
        <f aca="false">IF(I1547="","",IFERROR(INDEX('Campos Growths'!$L:$L,MATCH(H1547,'Campos Growths'!$A:$A,0)),""))</f>
        <v/>
      </c>
      <c r="L1547" s="7" t="str">
        <f aca="false">IF(A1547="","",IF(G1547="não","Sem tabela no Growths",IF(I1547="","Sem campo no Growths",IF(J1547=K1547,"Importa direto","Ajustar tipo"))))</f>
        <v/>
      </c>
      <c r="M1547" s="9"/>
    </row>
    <row r="1548" customFormat="false" ht="15" hidden="false" customHeight="false" outlineLevel="0" collapsed="false">
      <c r="A1548" s="7" t="str">
        <f aca="false">IF('Outro banco'!A1548="","",IF(LEFT('Outro banco'!A1548,1)="(","",'Outro banco'!A1548))</f>
        <v/>
      </c>
      <c r="B1548" s="7" t="str">
        <f aca="false">IF(A1548="","",'Outro banco'!B1548)</f>
        <v/>
      </c>
      <c r="C1548" s="7" t="str">
        <f aca="false">IF(A1548="","",'Outro banco'!C1548)</f>
        <v/>
      </c>
      <c r="D1548" s="7" t="str">
        <f aca="false">IF(A1548="","",'Outro banco'!D1548)</f>
        <v/>
      </c>
      <c r="E1548" s="9"/>
      <c r="F1548" s="9"/>
      <c r="G1548" s="7" t="str">
        <f aca="false">IF(A1548="","",IF(COUNTIF(Tabelas!$A:$A,IF(E1548="",A1548,E1548))&gt;0,"sim","não"))</f>
        <v/>
      </c>
      <c r="H1548" s="7" t="str">
        <f aca="false">IF(A1548="","",IF(E1548="",A1548,E1548)&amp;"."&amp;IF(F1548="",B1548,F1548))</f>
        <v/>
      </c>
      <c r="I1548" s="7" t="str">
        <f aca="false">IF(A1548="","",IFERROR(INDEX('Campos Growths'!$F:$F,MATCH(H1548,'Campos Growths'!$A:$A,0)),""))</f>
        <v/>
      </c>
      <c r="J1548" s="7" t="str">
        <f aca="false">IF(A1548="","",IFERROR(VLOOKUP(IF(ISNUMBER(SEARCH("(",C1548)),LEFT(C1548,SEARCH("(",C1548)-1),C1548),Tipos!$A:$B,2,FALSE()),"outro"))</f>
        <v/>
      </c>
      <c r="K1548" s="7" t="str">
        <f aca="false">IF(I1548="","",IFERROR(INDEX('Campos Growths'!$L:$L,MATCH(H1548,'Campos Growths'!$A:$A,0)),""))</f>
        <v/>
      </c>
      <c r="L1548" s="7" t="str">
        <f aca="false">IF(A1548="","",IF(G1548="não","Sem tabela no Growths",IF(I1548="","Sem campo no Growths",IF(J1548=K1548,"Importa direto","Ajustar tipo"))))</f>
        <v/>
      </c>
      <c r="M1548" s="9"/>
    </row>
    <row r="1549" customFormat="false" ht="15" hidden="false" customHeight="false" outlineLevel="0" collapsed="false">
      <c r="A1549" s="7" t="str">
        <f aca="false">IF('Outro banco'!A1549="","",IF(LEFT('Outro banco'!A1549,1)="(","",'Outro banco'!A1549))</f>
        <v/>
      </c>
      <c r="B1549" s="7" t="str">
        <f aca="false">IF(A1549="","",'Outro banco'!B1549)</f>
        <v/>
      </c>
      <c r="C1549" s="7" t="str">
        <f aca="false">IF(A1549="","",'Outro banco'!C1549)</f>
        <v/>
      </c>
      <c r="D1549" s="7" t="str">
        <f aca="false">IF(A1549="","",'Outro banco'!D1549)</f>
        <v/>
      </c>
      <c r="E1549" s="9"/>
      <c r="F1549" s="9"/>
      <c r="G1549" s="7" t="str">
        <f aca="false">IF(A1549="","",IF(COUNTIF(Tabelas!$A:$A,IF(E1549="",A1549,E1549))&gt;0,"sim","não"))</f>
        <v/>
      </c>
      <c r="H1549" s="7" t="str">
        <f aca="false">IF(A1549="","",IF(E1549="",A1549,E1549)&amp;"."&amp;IF(F1549="",B1549,F1549))</f>
        <v/>
      </c>
      <c r="I1549" s="7" t="str">
        <f aca="false">IF(A1549="","",IFERROR(INDEX('Campos Growths'!$F:$F,MATCH(H1549,'Campos Growths'!$A:$A,0)),""))</f>
        <v/>
      </c>
      <c r="J1549" s="7" t="str">
        <f aca="false">IF(A1549="","",IFERROR(VLOOKUP(IF(ISNUMBER(SEARCH("(",C1549)),LEFT(C1549,SEARCH("(",C1549)-1),C1549),Tipos!$A:$B,2,FALSE()),"outro"))</f>
        <v/>
      </c>
      <c r="K1549" s="7" t="str">
        <f aca="false">IF(I1549="","",IFERROR(INDEX('Campos Growths'!$L:$L,MATCH(H1549,'Campos Growths'!$A:$A,0)),""))</f>
        <v/>
      </c>
      <c r="L1549" s="7" t="str">
        <f aca="false">IF(A1549="","",IF(G1549="não","Sem tabela no Growths",IF(I1549="","Sem campo no Growths",IF(J1549=K1549,"Importa direto","Ajustar tipo"))))</f>
        <v/>
      </c>
      <c r="M1549" s="9"/>
    </row>
    <row r="1550" customFormat="false" ht="15" hidden="false" customHeight="false" outlineLevel="0" collapsed="false">
      <c r="A1550" s="7" t="str">
        <f aca="false">IF('Outro banco'!A1550="","",IF(LEFT('Outro banco'!A1550,1)="(","",'Outro banco'!A1550))</f>
        <v/>
      </c>
      <c r="B1550" s="7" t="str">
        <f aca="false">IF(A1550="","",'Outro banco'!B1550)</f>
        <v/>
      </c>
      <c r="C1550" s="7" t="str">
        <f aca="false">IF(A1550="","",'Outro banco'!C1550)</f>
        <v/>
      </c>
      <c r="D1550" s="7" t="str">
        <f aca="false">IF(A1550="","",'Outro banco'!D1550)</f>
        <v/>
      </c>
      <c r="E1550" s="9"/>
      <c r="F1550" s="9"/>
      <c r="G1550" s="7" t="str">
        <f aca="false">IF(A1550="","",IF(COUNTIF(Tabelas!$A:$A,IF(E1550="",A1550,E1550))&gt;0,"sim","não"))</f>
        <v/>
      </c>
      <c r="H1550" s="7" t="str">
        <f aca="false">IF(A1550="","",IF(E1550="",A1550,E1550)&amp;"."&amp;IF(F1550="",B1550,F1550))</f>
        <v/>
      </c>
      <c r="I1550" s="7" t="str">
        <f aca="false">IF(A1550="","",IFERROR(INDEX('Campos Growths'!$F:$F,MATCH(H1550,'Campos Growths'!$A:$A,0)),""))</f>
        <v/>
      </c>
      <c r="J1550" s="7" t="str">
        <f aca="false">IF(A1550="","",IFERROR(VLOOKUP(IF(ISNUMBER(SEARCH("(",C1550)),LEFT(C1550,SEARCH("(",C1550)-1),C1550),Tipos!$A:$B,2,FALSE()),"outro"))</f>
        <v/>
      </c>
      <c r="K1550" s="7" t="str">
        <f aca="false">IF(I1550="","",IFERROR(INDEX('Campos Growths'!$L:$L,MATCH(H1550,'Campos Growths'!$A:$A,0)),""))</f>
        <v/>
      </c>
      <c r="L1550" s="7" t="str">
        <f aca="false">IF(A1550="","",IF(G1550="não","Sem tabela no Growths",IF(I1550="","Sem campo no Growths",IF(J1550=K1550,"Importa direto","Ajustar tipo"))))</f>
        <v/>
      </c>
      <c r="M1550" s="9"/>
    </row>
    <row r="1551" customFormat="false" ht="15" hidden="false" customHeight="false" outlineLevel="0" collapsed="false">
      <c r="A1551" s="7" t="str">
        <f aca="false">IF('Outro banco'!A1551="","",IF(LEFT('Outro banco'!A1551,1)="(","",'Outro banco'!A1551))</f>
        <v/>
      </c>
      <c r="B1551" s="7" t="str">
        <f aca="false">IF(A1551="","",'Outro banco'!B1551)</f>
        <v/>
      </c>
      <c r="C1551" s="7" t="str">
        <f aca="false">IF(A1551="","",'Outro banco'!C1551)</f>
        <v/>
      </c>
      <c r="D1551" s="7" t="str">
        <f aca="false">IF(A1551="","",'Outro banco'!D1551)</f>
        <v/>
      </c>
      <c r="E1551" s="9"/>
      <c r="F1551" s="9"/>
      <c r="G1551" s="7" t="str">
        <f aca="false">IF(A1551="","",IF(COUNTIF(Tabelas!$A:$A,IF(E1551="",A1551,E1551))&gt;0,"sim","não"))</f>
        <v/>
      </c>
      <c r="H1551" s="7" t="str">
        <f aca="false">IF(A1551="","",IF(E1551="",A1551,E1551)&amp;"."&amp;IF(F1551="",B1551,F1551))</f>
        <v/>
      </c>
      <c r="I1551" s="7" t="str">
        <f aca="false">IF(A1551="","",IFERROR(INDEX('Campos Growths'!$F:$F,MATCH(H1551,'Campos Growths'!$A:$A,0)),""))</f>
        <v/>
      </c>
      <c r="J1551" s="7" t="str">
        <f aca="false">IF(A1551="","",IFERROR(VLOOKUP(IF(ISNUMBER(SEARCH("(",C1551)),LEFT(C1551,SEARCH("(",C1551)-1),C1551),Tipos!$A:$B,2,FALSE()),"outro"))</f>
        <v/>
      </c>
      <c r="K1551" s="7" t="str">
        <f aca="false">IF(I1551="","",IFERROR(INDEX('Campos Growths'!$L:$L,MATCH(H1551,'Campos Growths'!$A:$A,0)),""))</f>
        <v/>
      </c>
      <c r="L1551" s="7" t="str">
        <f aca="false">IF(A1551="","",IF(G1551="não","Sem tabela no Growths",IF(I1551="","Sem campo no Growths",IF(J1551=K1551,"Importa direto","Ajustar tipo"))))</f>
        <v/>
      </c>
      <c r="M1551" s="9"/>
    </row>
    <row r="1552" customFormat="false" ht="15" hidden="false" customHeight="false" outlineLevel="0" collapsed="false">
      <c r="A1552" s="7" t="str">
        <f aca="false">IF('Outro banco'!A1552="","",IF(LEFT('Outro banco'!A1552,1)="(","",'Outro banco'!A1552))</f>
        <v/>
      </c>
      <c r="B1552" s="7" t="str">
        <f aca="false">IF(A1552="","",'Outro banco'!B1552)</f>
        <v/>
      </c>
      <c r="C1552" s="7" t="str">
        <f aca="false">IF(A1552="","",'Outro banco'!C1552)</f>
        <v/>
      </c>
      <c r="D1552" s="7" t="str">
        <f aca="false">IF(A1552="","",'Outro banco'!D1552)</f>
        <v/>
      </c>
      <c r="E1552" s="9"/>
      <c r="F1552" s="9"/>
      <c r="G1552" s="7" t="str">
        <f aca="false">IF(A1552="","",IF(COUNTIF(Tabelas!$A:$A,IF(E1552="",A1552,E1552))&gt;0,"sim","não"))</f>
        <v/>
      </c>
      <c r="H1552" s="7" t="str">
        <f aca="false">IF(A1552="","",IF(E1552="",A1552,E1552)&amp;"."&amp;IF(F1552="",B1552,F1552))</f>
        <v/>
      </c>
      <c r="I1552" s="7" t="str">
        <f aca="false">IF(A1552="","",IFERROR(INDEX('Campos Growths'!$F:$F,MATCH(H1552,'Campos Growths'!$A:$A,0)),""))</f>
        <v/>
      </c>
      <c r="J1552" s="7" t="str">
        <f aca="false">IF(A1552="","",IFERROR(VLOOKUP(IF(ISNUMBER(SEARCH("(",C1552)),LEFT(C1552,SEARCH("(",C1552)-1),C1552),Tipos!$A:$B,2,FALSE()),"outro"))</f>
        <v/>
      </c>
      <c r="K1552" s="7" t="str">
        <f aca="false">IF(I1552="","",IFERROR(INDEX('Campos Growths'!$L:$L,MATCH(H1552,'Campos Growths'!$A:$A,0)),""))</f>
        <v/>
      </c>
      <c r="L1552" s="7" t="str">
        <f aca="false">IF(A1552="","",IF(G1552="não","Sem tabela no Growths",IF(I1552="","Sem campo no Growths",IF(J1552=K1552,"Importa direto","Ajustar tipo"))))</f>
        <v/>
      </c>
      <c r="M1552" s="9"/>
    </row>
    <row r="1553" customFormat="false" ht="15" hidden="false" customHeight="false" outlineLevel="0" collapsed="false">
      <c r="A1553" s="7" t="str">
        <f aca="false">IF('Outro banco'!A1553="","",IF(LEFT('Outro banco'!A1553,1)="(","",'Outro banco'!A1553))</f>
        <v/>
      </c>
      <c r="B1553" s="7" t="str">
        <f aca="false">IF(A1553="","",'Outro banco'!B1553)</f>
        <v/>
      </c>
      <c r="C1553" s="7" t="str">
        <f aca="false">IF(A1553="","",'Outro banco'!C1553)</f>
        <v/>
      </c>
      <c r="D1553" s="7" t="str">
        <f aca="false">IF(A1553="","",'Outro banco'!D1553)</f>
        <v/>
      </c>
      <c r="E1553" s="9"/>
      <c r="F1553" s="9"/>
      <c r="G1553" s="7" t="str">
        <f aca="false">IF(A1553="","",IF(COUNTIF(Tabelas!$A:$A,IF(E1553="",A1553,E1553))&gt;0,"sim","não"))</f>
        <v/>
      </c>
      <c r="H1553" s="7" t="str">
        <f aca="false">IF(A1553="","",IF(E1553="",A1553,E1553)&amp;"."&amp;IF(F1553="",B1553,F1553))</f>
        <v/>
      </c>
      <c r="I1553" s="7" t="str">
        <f aca="false">IF(A1553="","",IFERROR(INDEX('Campos Growths'!$F:$F,MATCH(H1553,'Campos Growths'!$A:$A,0)),""))</f>
        <v/>
      </c>
      <c r="J1553" s="7" t="str">
        <f aca="false">IF(A1553="","",IFERROR(VLOOKUP(IF(ISNUMBER(SEARCH("(",C1553)),LEFT(C1553,SEARCH("(",C1553)-1),C1553),Tipos!$A:$B,2,FALSE()),"outro"))</f>
        <v/>
      </c>
      <c r="K1553" s="7" t="str">
        <f aca="false">IF(I1553="","",IFERROR(INDEX('Campos Growths'!$L:$L,MATCH(H1553,'Campos Growths'!$A:$A,0)),""))</f>
        <v/>
      </c>
      <c r="L1553" s="7" t="str">
        <f aca="false">IF(A1553="","",IF(G1553="não","Sem tabela no Growths",IF(I1553="","Sem campo no Growths",IF(J1553=K1553,"Importa direto","Ajustar tipo"))))</f>
        <v/>
      </c>
      <c r="M1553" s="9"/>
    </row>
    <row r="1554" customFormat="false" ht="15" hidden="false" customHeight="false" outlineLevel="0" collapsed="false">
      <c r="A1554" s="7" t="str">
        <f aca="false">IF('Outro banco'!A1554="","",IF(LEFT('Outro banco'!A1554,1)="(","",'Outro banco'!A1554))</f>
        <v/>
      </c>
      <c r="B1554" s="7" t="str">
        <f aca="false">IF(A1554="","",'Outro banco'!B1554)</f>
        <v/>
      </c>
      <c r="C1554" s="7" t="str">
        <f aca="false">IF(A1554="","",'Outro banco'!C1554)</f>
        <v/>
      </c>
      <c r="D1554" s="7" t="str">
        <f aca="false">IF(A1554="","",'Outro banco'!D1554)</f>
        <v/>
      </c>
      <c r="E1554" s="9"/>
      <c r="F1554" s="9"/>
      <c r="G1554" s="7" t="str">
        <f aca="false">IF(A1554="","",IF(COUNTIF(Tabelas!$A:$A,IF(E1554="",A1554,E1554))&gt;0,"sim","não"))</f>
        <v/>
      </c>
      <c r="H1554" s="7" t="str">
        <f aca="false">IF(A1554="","",IF(E1554="",A1554,E1554)&amp;"."&amp;IF(F1554="",B1554,F1554))</f>
        <v/>
      </c>
      <c r="I1554" s="7" t="str">
        <f aca="false">IF(A1554="","",IFERROR(INDEX('Campos Growths'!$F:$F,MATCH(H1554,'Campos Growths'!$A:$A,0)),""))</f>
        <v/>
      </c>
      <c r="J1554" s="7" t="str">
        <f aca="false">IF(A1554="","",IFERROR(VLOOKUP(IF(ISNUMBER(SEARCH("(",C1554)),LEFT(C1554,SEARCH("(",C1554)-1),C1554),Tipos!$A:$B,2,FALSE()),"outro"))</f>
        <v/>
      </c>
      <c r="K1554" s="7" t="str">
        <f aca="false">IF(I1554="","",IFERROR(INDEX('Campos Growths'!$L:$L,MATCH(H1554,'Campos Growths'!$A:$A,0)),""))</f>
        <v/>
      </c>
      <c r="L1554" s="7" t="str">
        <f aca="false">IF(A1554="","",IF(G1554="não","Sem tabela no Growths",IF(I1554="","Sem campo no Growths",IF(J1554=K1554,"Importa direto","Ajustar tipo"))))</f>
        <v/>
      </c>
      <c r="M1554" s="9"/>
    </row>
    <row r="1555" customFormat="false" ht="15" hidden="false" customHeight="false" outlineLevel="0" collapsed="false">
      <c r="A1555" s="7" t="str">
        <f aca="false">IF('Outro banco'!A1555="","",IF(LEFT('Outro banco'!A1555,1)="(","",'Outro banco'!A1555))</f>
        <v/>
      </c>
      <c r="B1555" s="7" t="str">
        <f aca="false">IF(A1555="","",'Outro banco'!B1555)</f>
        <v/>
      </c>
      <c r="C1555" s="7" t="str">
        <f aca="false">IF(A1555="","",'Outro banco'!C1555)</f>
        <v/>
      </c>
      <c r="D1555" s="7" t="str">
        <f aca="false">IF(A1555="","",'Outro banco'!D1555)</f>
        <v/>
      </c>
      <c r="E1555" s="9"/>
      <c r="F1555" s="9"/>
      <c r="G1555" s="7" t="str">
        <f aca="false">IF(A1555="","",IF(COUNTIF(Tabelas!$A:$A,IF(E1555="",A1555,E1555))&gt;0,"sim","não"))</f>
        <v/>
      </c>
      <c r="H1555" s="7" t="str">
        <f aca="false">IF(A1555="","",IF(E1555="",A1555,E1555)&amp;"."&amp;IF(F1555="",B1555,F1555))</f>
        <v/>
      </c>
      <c r="I1555" s="7" t="str">
        <f aca="false">IF(A1555="","",IFERROR(INDEX('Campos Growths'!$F:$F,MATCH(H1555,'Campos Growths'!$A:$A,0)),""))</f>
        <v/>
      </c>
      <c r="J1555" s="7" t="str">
        <f aca="false">IF(A1555="","",IFERROR(VLOOKUP(IF(ISNUMBER(SEARCH("(",C1555)),LEFT(C1555,SEARCH("(",C1555)-1),C1555),Tipos!$A:$B,2,FALSE()),"outro"))</f>
        <v/>
      </c>
      <c r="K1555" s="7" t="str">
        <f aca="false">IF(I1555="","",IFERROR(INDEX('Campos Growths'!$L:$L,MATCH(H1555,'Campos Growths'!$A:$A,0)),""))</f>
        <v/>
      </c>
      <c r="L1555" s="7" t="str">
        <f aca="false">IF(A1555="","",IF(G1555="não","Sem tabela no Growths",IF(I1555="","Sem campo no Growths",IF(J1555=K1555,"Importa direto","Ajustar tipo"))))</f>
        <v/>
      </c>
      <c r="M1555" s="9"/>
    </row>
    <row r="1556" customFormat="false" ht="15" hidden="false" customHeight="false" outlineLevel="0" collapsed="false">
      <c r="A1556" s="7" t="str">
        <f aca="false">IF('Outro banco'!A1556="","",IF(LEFT('Outro banco'!A1556,1)="(","",'Outro banco'!A1556))</f>
        <v/>
      </c>
      <c r="B1556" s="7" t="str">
        <f aca="false">IF(A1556="","",'Outro banco'!B1556)</f>
        <v/>
      </c>
      <c r="C1556" s="7" t="str">
        <f aca="false">IF(A1556="","",'Outro banco'!C1556)</f>
        <v/>
      </c>
      <c r="D1556" s="7" t="str">
        <f aca="false">IF(A1556="","",'Outro banco'!D1556)</f>
        <v/>
      </c>
      <c r="E1556" s="9"/>
      <c r="F1556" s="9"/>
      <c r="G1556" s="7" t="str">
        <f aca="false">IF(A1556="","",IF(COUNTIF(Tabelas!$A:$A,IF(E1556="",A1556,E1556))&gt;0,"sim","não"))</f>
        <v/>
      </c>
      <c r="H1556" s="7" t="str">
        <f aca="false">IF(A1556="","",IF(E1556="",A1556,E1556)&amp;"."&amp;IF(F1556="",B1556,F1556))</f>
        <v/>
      </c>
      <c r="I1556" s="7" t="str">
        <f aca="false">IF(A1556="","",IFERROR(INDEX('Campos Growths'!$F:$F,MATCH(H1556,'Campos Growths'!$A:$A,0)),""))</f>
        <v/>
      </c>
      <c r="J1556" s="7" t="str">
        <f aca="false">IF(A1556="","",IFERROR(VLOOKUP(IF(ISNUMBER(SEARCH("(",C1556)),LEFT(C1556,SEARCH("(",C1556)-1),C1556),Tipos!$A:$B,2,FALSE()),"outro"))</f>
        <v/>
      </c>
      <c r="K1556" s="7" t="str">
        <f aca="false">IF(I1556="","",IFERROR(INDEX('Campos Growths'!$L:$L,MATCH(H1556,'Campos Growths'!$A:$A,0)),""))</f>
        <v/>
      </c>
      <c r="L1556" s="7" t="str">
        <f aca="false">IF(A1556="","",IF(G1556="não","Sem tabela no Growths",IF(I1556="","Sem campo no Growths",IF(J1556=K1556,"Importa direto","Ajustar tipo"))))</f>
        <v/>
      </c>
      <c r="M1556" s="9"/>
    </row>
    <row r="1557" customFormat="false" ht="15" hidden="false" customHeight="false" outlineLevel="0" collapsed="false">
      <c r="A1557" s="7" t="str">
        <f aca="false">IF('Outro banco'!A1557="","",IF(LEFT('Outro banco'!A1557,1)="(","",'Outro banco'!A1557))</f>
        <v/>
      </c>
      <c r="B1557" s="7" t="str">
        <f aca="false">IF(A1557="","",'Outro banco'!B1557)</f>
        <v/>
      </c>
      <c r="C1557" s="7" t="str">
        <f aca="false">IF(A1557="","",'Outro banco'!C1557)</f>
        <v/>
      </c>
      <c r="D1557" s="7" t="str">
        <f aca="false">IF(A1557="","",'Outro banco'!D1557)</f>
        <v/>
      </c>
      <c r="E1557" s="9"/>
      <c r="F1557" s="9"/>
      <c r="G1557" s="7" t="str">
        <f aca="false">IF(A1557="","",IF(COUNTIF(Tabelas!$A:$A,IF(E1557="",A1557,E1557))&gt;0,"sim","não"))</f>
        <v/>
      </c>
      <c r="H1557" s="7" t="str">
        <f aca="false">IF(A1557="","",IF(E1557="",A1557,E1557)&amp;"."&amp;IF(F1557="",B1557,F1557))</f>
        <v/>
      </c>
      <c r="I1557" s="7" t="str">
        <f aca="false">IF(A1557="","",IFERROR(INDEX('Campos Growths'!$F:$F,MATCH(H1557,'Campos Growths'!$A:$A,0)),""))</f>
        <v/>
      </c>
      <c r="J1557" s="7" t="str">
        <f aca="false">IF(A1557="","",IFERROR(VLOOKUP(IF(ISNUMBER(SEARCH("(",C1557)),LEFT(C1557,SEARCH("(",C1557)-1),C1557),Tipos!$A:$B,2,FALSE()),"outro"))</f>
        <v/>
      </c>
      <c r="K1557" s="7" t="str">
        <f aca="false">IF(I1557="","",IFERROR(INDEX('Campos Growths'!$L:$L,MATCH(H1557,'Campos Growths'!$A:$A,0)),""))</f>
        <v/>
      </c>
      <c r="L1557" s="7" t="str">
        <f aca="false">IF(A1557="","",IF(G1557="não","Sem tabela no Growths",IF(I1557="","Sem campo no Growths",IF(J1557=K1557,"Importa direto","Ajustar tipo"))))</f>
        <v/>
      </c>
      <c r="M1557" s="9"/>
    </row>
    <row r="1558" customFormat="false" ht="15" hidden="false" customHeight="false" outlineLevel="0" collapsed="false">
      <c r="A1558" s="7" t="str">
        <f aca="false">IF('Outro banco'!A1558="","",IF(LEFT('Outro banco'!A1558,1)="(","",'Outro banco'!A1558))</f>
        <v/>
      </c>
      <c r="B1558" s="7" t="str">
        <f aca="false">IF(A1558="","",'Outro banco'!B1558)</f>
        <v/>
      </c>
      <c r="C1558" s="7" t="str">
        <f aca="false">IF(A1558="","",'Outro banco'!C1558)</f>
        <v/>
      </c>
      <c r="D1558" s="7" t="str">
        <f aca="false">IF(A1558="","",'Outro banco'!D1558)</f>
        <v/>
      </c>
      <c r="E1558" s="9"/>
      <c r="F1558" s="9"/>
      <c r="G1558" s="7" t="str">
        <f aca="false">IF(A1558="","",IF(COUNTIF(Tabelas!$A:$A,IF(E1558="",A1558,E1558))&gt;0,"sim","não"))</f>
        <v/>
      </c>
      <c r="H1558" s="7" t="str">
        <f aca="false">IF(A1558="","",IF(E1558="",A1558,E1558)&amp;"."&amp;IF(F1558="",B1558,F1558))</f>
        <v/>
      </c>
      <c r="I1558" s="7" t="str">
        <f aca="false">IF(A1558="","",IFERROR(INDEX('Campos Growths'!$F:$F,MATCH(H1558,'Campos Growths'!$A:$A,0)),""))</f>
        <v/>
      </c>
      <c r="J1558" s="7" t="str">
        <f aca="false">IF(A1558="","",IFERROR(VLOOKUP(IF(ISNUMBER(SEARCH("(",C1558)),LEFT(C1558,SEARCH("(",C1558)-1),C1558),Tipos!$A:$B,2,FALSE()),"outro"))</f>
        <v/>
      </c>
      <c r="K1558" s="7" t="str">
        <f aca="false">IF(I1558="","",IFERROR(INDEX('Campos Growths'!$L:$L,MATCH(H1558,'Campos Growths'!$A:$A,0)),""))</f>
        <v/>
      </c>
      <c r="L1558" s="7" t="str">
        <f aca="false">IF(A1558="","",IF(G1558="não","Sem tabela no Growths",IF(I1558="","Sem campo no Growths",IF(J1558=K1558,"Importa direto","Ajustar tipo"))))</f>
        <v/>
      </c>
      <c r="M1558" s="9"/>
    </row>
    <row r="1559" customFormat="false" ht="15" hidden="false" customHeight="false" outlineLevel="0" collapsed="false">
      <c r="A1559" s="7" t="str">
        <f aca="false">IF('Outro banco'!A1559="","",IF(LEFT('Outro banco'!A1559,1)="(","",'Outro banco'!A1559))</f>
        <v/>
      </c>
      <c r="B1559" s="7" t="str">
        <f aca="false">IF(A1559="","",'Outro banco'!B1559)</f>
        <v/>
      </c>
      <c r="C1559" s="7" t="str">
        <f aca="false">IF(A1559="","",'Outro banco'!C1559)</f>
        <v/>
      </c>
      <c r="D1559" s="7" t="str">
        <f aca="false">IF(A1559="","",'Outro banco'!D1559)</f>
        <v/>
      </c>
      <c r="E1559" s="9"/>
      <c r="F1559" s="9"/>
      <c r="G1559" s="7" t="str">
        <f aca="false">IF(A1559="","",IF(COUNTIF(Tabelas!$A:$A,IF(E1559="",A1559,E1559))&gt;0,"sim","não"))</f>
        <v/>
      </c>
      <c r="H1559" s="7" t="str">
        <f aca="false">IF(A1559="","",IF(E1559="",A1559,E1559)&amp;"."&amp;IF(F1559="",B1559,F1559))</f>
        <v/>
      </c>
      <c r="I1559" s="7" t="str">
        <f aca="false">IF(A1559="","",IFERROR(INDEX('Campos Growths'!$F:$F,MATCH(H1559,'Campos Growths'!$A:$A,0)),""))</f>
        <v/>
      </c>
      <c r="J1559" s="7" t="str">
        <f aca="false">IF(A1559="","",IFERROR(VLOOKUP(IF(ISNUMBER(SEARCH("(",C1559)),LEFT(C1559,SEARCH("(",C1559)-1),C1559),Tipos!$A:$B,2,FALSE()),"outro"))</f>
        <v/>
      </c>
      <c r="K1559" s="7" t="str">
        <f aca="false">IF(I1559="","",IFERROR(INDEX('Campos Growths'!$L:$L,MATCH(H1559,'Campos Growths'!$A:$A,0)),""))</f>
        <v/>
      </c>
      <c r="L1559" s="7" t="str">
        <f aca="false">IF(A1559="","",IF(G1559="não","Sem tabela no Growths",IF(I1559="","Sem campo no Growths",IF(J1559=K1559,"Importa direto","Ajustar tipo"))))</f>
        <v/>
      </c>
      <c r="M1559" s="9"/>
    </row>
    <row r="1560" customFormat="false" ht="15" hidden="false" customHeight="false" outlineLevel="0" collapsed="false">
      <c r="A1560" s="7" t="str">
        <f aca="false">IF('Outro banco'!A1560="","",IF(LEFT('Outro banco'!A1560,1)="(","",'Outro banco'!A1560))</f>
        <v/>
      </c>
      <c r="B1560" s="7" t="str">
        <f aca="false">IF(A1560="","",'Outro banco'!B1560)</f>
        <v/>
      </c>
      <c r="C1560" s="7" t="str">
        <f aca="false">IF(A1560="","",'Outro banco'!C1560)</f>
        <v/>
      </c>
      <c r="D1560" s="7" t="str">
        <f aca="false">IF(A1560="","",'Outro banco'!D1560)</f>
        <v/>
      </c>
      <c r="E1560" s="9"/>
      <c r="F1560" s="9"/>
      <c r="G1560" s="7" t="str">
        <f aca="false">IF(A1560="","",IF(COUNTIF(Tabelas!$A:$A,IF(E1560="",A1560,E1560))&gt;0,"sim","não"))</f>
        <v/>
      </c>
      <c r="H1560" s="7" t="str">
        <f aca="false">IF(A1560="","",IF(E1560="",A1560,E1560)&amp;"."&amp;IF(F1560="",B1560,F1560))</f>
        <v/>
      </c>
      <c r="I1560" s="7" t="str">
        <f aca="false">IF(A1560="","",IFERROR(INDEX('Campos Growths'!$F:$F,MATCH(H1560,'Campos Growths'!$A:$A,0)),""))</f>
        <v/>
      </c>
      <c r="J1560" s="7" t="str">
        <f aca="false">IF(A1560="","",IFERROR(VLOOKUP(IF(ISNUMBER(SEARCH("(",C1560)),LEFT(C1560,SEARCH("(",C1560)-1),C1560),Tipos!$A:$B,2,FALSE()),"outro"))</f>
        <v/>
      </c>
      <c r="K1560" s="7" t="str">
        <f aca="false">IF(I1560="","",IFERROR(INDEX('Campos Growths'!$L:$L,MATCH(H1560,'Campos Growths'!$A:$A,0)),""))</f>
        <v/>
      </c>
      <c r="L1560" s="7" t="str">
        <f aca="false">IF(A1560="","",IF(G1560="não","Sem tabela no Growths",IF(I1560="","Sem campo no Growths",IF(J1560=K1560,"Importa direto","Ajustar tipo"))))</f>
        <v/>
      </c>
      <c r="M1560" s="9"/>
    </row>
    <row r="1561" customFormat="false" ht="15" hidden="false" customHeight="false" outlineLevel="0" collapsed="false">
      <c r="A1561" s="7" t="str">
        <f aca="false">IF('Outro banco'!A1561="","",IF(LEFT('Outro banco'!A1561,1)="(","",'Outro banco'!A1561))</f>
        <v/>
      </c>
      <c r="B1561" s="7" t="str">
        <f aca="false">IF(A1561="","",'Outro banco'!B1561)</f>
        <v/>
      </c>
      <c r="C1561" s="7" t="str">
        <f aca="false">IF(A1561="","",'Outro banco'!C1561)</f>
        <v/>
      </c>
      <c r="D1561" s="7" t="str">
        <f aca="false">IF(A1561="","",'Outro banco'!D1561)</f>
        <v/>
      </c>
      <c r="E1561" s="9"/>
      <c r="F1561" s="9"/>
      <c r="G1561" s="7" t="str">
        <f aca="false">IF(A1561="","",IF(COUNTIF(Tabelas!$A:$A,IF(E1561="",A1561,E1561))&gt;0,"sim","não"))</f>
        <v/>
      </c>
      <c r="H1561" s="7" t="str">
        <f aca="false">IF(A1561="","",IF(E1561="",A1561,E1561)&amp;"."&amp;IF(F1561="",B1561,F1561))</f>
        <v/>
      </c>
      <c r="I1561" s="7" t="str">
        <f aca="false">IF(A1561="","",IFERROR(INDEX('Campos Growths'!$F:$F,MATCH(H1561,'Campos Growths'!$A:$A,0)),""))</f>
        <v/>
      </c>
      <c r="J1561" s="7" t="str">
        <f aca="false">IF(A1561="","",IFERROR(VLOOKUP(IF(ISNUMBER(SEARCH("(",C1561)),LEFT(C1561,SEARCH("(",C1561)-1),C1561),Tipos!$A:$B,2,FALSE()),"outro"))</f>
        <v/>
      </c>
      <c r="K1561" s="7" t="str">
        <f aca="false">IF(I1561="","",IFERROR(INDEX('Campos Growths'!$L:$L,MATCH(H1561,'Campos Growths'!$A:$A,0)),""))</f>
        <v/>
      </c>
      <c r="L1561" s="7" t="str">
        <f aca="false">IF(A1561="","",IF(G1561="não","Sem tabela no Growths",IF(I1561="","Sem campo no Growths",IF(J1561=K1561,"Importa direto","Ajustar tipo"))))</f>
        <v/>
      </c>
      <c r="M1561" s="9"/>
    </row>
    <row r="1562" customFormat="false" ht="15" hidden="false" customHeight="false" outlineLevel="0" collapsed="false">
      <c r="A1562" s="7" t="str">
        <f aca="false">IF('Outro banco'!A1562="","",IF(LEFT('Outro banco'!A1562,1)="(","",'Outro banco'!A1562))</f>
        <v/>
      </c>
      <c r="B1562" s="7" t="str">
        <f aca="false">IF(A1562="","",'Outro banco'!B1562)</f>
        <v/>
      </c>
      <c r="C1562" s="7" t="str">
        <f aca="false">IF(A1562="","",'Outro banco'!C1562)</f>
        <v/>
      </c>
      <c r="D1562" s="7" t="str">
        <f aca="false">IF(A1562="","",'Outro banco'!D1562)</f>
        <v/>
      </c>
      <c r="E1562" s="9"/>
      <c r="F1562" s="9"/>
      <c r="G1562" s="7" t="str">
        <f aca="false">IF(A1562="","",IF(COUNTIF(Tabelas!$A:$A,IF(E1562="",A1562,E1562))&gt;0,"sim","não"))</f>
        <v/>
      </c>
      <c r="H1562" s="7" t="str">
        <f aca="false">IF(A1562="","",IF(E1562="",A1562,E1562)&amp;"."&amp;IF(F1562="",B1562,F1562))</f>
        <v/>
      </c>
      <c r="I1562" s="7" t="str">
        <f aca="false">IF(A1562="","",IFERROR(INDEX('Campos Growths'!$F:$F,MATCH(H1562,'Campos Growths'!$A:$A,0)),""))</f>
        <v/>
      </c>
      <c r="J1562" s="7" t="str">
        <f aca="false">IF(A1562="","",IFERROR(VLOOKUP(IF(ISNUMBER(SEARCH("(",C1562)),LEFT(C1562,SEARCH("(",C1562)-1),C1562),Tipos!$A:$B,2,FALSE()),"outro"))</f>
        <v/>
      </c>
      <c r="K1562" s="7" t="str">
        <f aca="false">IF(I1562="","",IFERROR(INDEX('Campos Growths'!$L:$L,MATCH(H1562,'Campos Growths'!$A:$A,0)),""))</f>
        <v/>
      </c>
      <c r="L1562" s="7" t="str">
        <f aca="false">IF(A1562="","",IF(G1562="não","Sem tabela no Growths",IF(I1562="","Sem campo no Growths",IF(J1562=K1562,"Importa direto","Ajustar tipo"))))</f>
        <v/>
      </c>
      <c r="M1562" s="9"/>
    </row>
    <row r="1563" customFormat="false" ht="15" hidden="false" customHeight="false" outlineLevel="0" collapsed="false">
      <c r="A1563" s="7" t="str">
        <f aca="false">IF('Outro banco'!A1563="","",IF(LEFT('Outro banco'!A1563,1)="(","",'Outro banco'!A1563))</f>
        <v/>
      </c>
      <c r="B1563" s="7" t="str">
        <f aca="false">IF(A1563="","",'Outro banco'!B1563)</f>
        <v/>
      </c>
      <c r="C1563" s="7" t="str">
        <f aca="false">IF(A1563="","",'Outro banco'!C1563)</f>
        <v/>
      </c>
      <c r="D1563" s="7" t="str">
        <f aca="false">IF(A1563="","",'Outro banco'!D1563)</f>
        <v/>
      </c>
      <c r="E1563" s="9"/>
      <c r="F1563" s="9"/>
      <c r="G1563" s="7" t="str">
        <f aca="false">IF(A1563="","",IF(COUNTIF(Tabelas!$A:$A,IF(E1563="",A1563,E1563))&gt;0,"sim","não"))</f>
        <v/>
      </c>
      <c r="H1563" s="7" t="str">
        <f aca="false">IF(A1563="","",IF(E1563="",A1563,E1563)&amp;"."&amp;IF(F1563="",B1563,F1563))</f>
        <v/>
      </c>
      <c r="I1563" s="7" t="str">
        <f aca="false">IF(A1563="","",IFERROR(INDEX('Campos Growths'!$F:$F,MATCH(H1563,'Campos Growths'!$A:$A,0)),""))</f>
        <v/>
      </c>
      <c r="J1563" s="7" t="str">
        <f aca="false">IF(A1563="","",IFERROR(VLOOKUP(IF(ISNUMBER(SEARCH("(",C1563)),LEFT(C1563,SEARCH("(",C1563)-1),C1563),Tipos!$A:$B,2,FALSE()),"outro"))</f>
        <v/>
      </c>
      <c r="K1563" s="7" t="str">
        <f aca="false">IF(I1563="","",IFERROR(INDEX('Campos Growths'!$L:$L,MATCH(H1563,'Campos Growths'!$A:$A,0)),""))</f>
        <v/>
      </c>
      <c r="L1563" s="7" t="str">
        <f aca="false">IF(A1563="","",IF(G1563="não","Sem tabela no Growths",IF(I1563="","Sem campo no Growths",IF(J1563=K1563,"Importa direto","Ajustar tipo"))))</f>
        <v/>
      </c>
      <c r="M1563" s="9"/>
    </row>
    <row r="1564" customFormat="false" ht="15" hidden="false" customHeight="false" outlineLevel="0" collapsed="false">
      <c r="A1564" s="7" t="str">
        <f aca="false">IF('Outro banco'!A1564="","",IF(LEFT('Outro banco'!A1564,1)="(","",'Outro banco'!A1564))</f>
        <v/>
      </c>
      <c r="B1564" s="7" t="str">
        <f aca="false">IF(A1564="","",'Outro banco'!B1564)</f>
        <v/>
      </c>
      <c r="C1564" s="7" t="str">
        <f aca="false">IF(A1564="","",'Outro banco'!C1564)</f>
        <v/>
      </c>
      <c r="D1564" s="7" t="str">
        <f aca="false">IF(A1564="","",'Outro banco'!D1564)</f>
        <v/>
      </c>
      <c r="E1564" s="9"/>
      <c r="F1564" s="9"/>
      <c r="G1564" s="7" t="str">
        <f aca="false">IF(A1564="","",IF(COUNTIF(Tabelas!$A:$A,IF(E1564="",A1564,E1564))&gt;0,"sim","não"))</f>
        <v/>
      </c>
      <c r="H1564" s="7" t="str">
        <f aca="false">IF(A1564="","",IF(E1564="",A1564,E1564)&amp;"."&amp;IF(F1564="",B1564,F1564))</f>
        <v/>
      </c>
      <c r="I1564" s="7" t="str">
        <f aca="false">IF(A1564="","",IFERROR(INDEX('Campos Growths'!$F:$F,MATCH(H1564,'Campos Growths'!$A:$A,0)),""))</f>
        <v/>
      </c>
      <c r="J1564" s="7" t="str">
        <f aca="false">IF(A1564="","",IFERROR(VLOOKUP(IF(ISNUMBER(SEARCH("(",C1564)),LEFT(C1564,SEARCH("(",C1564)-1),C1564),Tipos!$A:$B,2,FALSE()),"outro"))</f>
        <v/>
      </c>
      <c r="K1564" s="7" t="str">
        <f aca="false">IF(I1564="","",IFERROR(INDEX('Campos Growths'!$L:$L,MATCH(H1564,'Campos Growths'!$A:$A,0)),""))</f>
        <v/>
      </c>
      <c r="L1564" s="7" t="str">
        <f aca="false">IF(A1564="","",IF(G1564="não","Sem tabela no Growths",IF(I1564="","Sem campo no Growths",IF(J1564=K1564,"Importa direto","Ajustar tipo"))))</f>
        <v/>
      </c>
      <c r="M1564" s="9"/>
    </row>
    <row r="1565" customFormat="false" ht="15" hidden="false" customHeight="false" outlineLevel="0" collapsed="false">
      <c r="A1565" s="7" t="str">
        <f aca="false">IF('Outro banco'!A1565="","",IF(LEFT('Outro banco'!A1565,1)="(","",'Outro banco'!A1565))</f>
        <v/>
      </c>
      <c r="B1565" s="7" t="str">
        <f aca="false">IF(A1565="","",'Outro banco'!B1565)</f>
        <v/>
      </c>
      <c r="C1565" s="7" t="str">
        <f aca="false">IF(A1565="","",'Outro banco'!C1565)</f>
        <v/>
      </c>
      <c r="D1565" s="7" t="str">
        <f aca="false">IF(A1565="","",'Outro banco'!D1565)</f>
        <v/>
      </c>
      <c r="E1565" s="9"/>
      <c r="F1565" s="9"/>
      <c r="G1565" s="7" t="str">
        <f aca="false">IF(A1565="","",IF(COUNTIF(Tabelas!$A:$A,IF(E1565="",A1565,E1565))&gt;0,"sim","não"))</f>
        <v/>
      </c>
      <c r="H1565" s="7" t="str">
        <f aca="false">IF(A1565="","",IF(E1565="",A1565,E1565)&amp;"."&amp;IF(F1565="",B1565,F1565))</f>
        <v/>
      </c>
      <c r="I1565" s="7" t="str">
        <f aca="false">IF(A1565="","",IFERROR(INDEX('Campos Growths'!$F:$F,MATCH(H1565,'Campos Growths'!$A:$A,0)),""))</f>
        <v/>
      </c>
      <c r="J1565" s="7" t="str">
        <f aca="false">IF(A1565="","",IFERROR(VLOOKUP(IF(ISNUMBER(SEARCH("(",C1565)),LEFT(C1565,SEARCH("(",C1565)-1),C1565),Tipos!$A:$B,2,FALSE()),"outro"))</f>
        <v/>
      </c>
      <c r="K1565" s="7" t="str">
        <f aca="false">IF(I1565="","",IFERROR(INDEX('Campos Growths'!$L:$L,MATCH(H1565,'Campos Growths'!$A:$A,0)),""))</f>
        <v/>
      </c>
      <c r="L1565" s="7" t="str">
        <f aca="false">IF(A1565="","",IF(G1565="não","Sem tabela no Growths",IF(I1565="","Sem campo no Growths",IF(J1565=K1565,"Importa direto","Ajustar tipo"))))</f>
        <v/>
      </c>
      <c r="M1565" s="9"/>
    </row>
    <row r="1566" customFormat="false" ht="15" hidden="false" customHeight="false" outlineLevel="0" collapsed="false">
      <c r="A1566" s="7" t="str">
        <f aca="false">IF('Outro banco'!A1566="","",IF(LEFT('Outro banco'!A1566,1)="(","",'Outro banco'!A1566))</f>
        <v/>
      </c>
      <c r="B1566" s="7" t="str">
        <f aca="false">IF(A1566="","",'Outro banco'!B1566)</f>
        <v/>
      </c>
      <c r="C1566" s="7" t="str">
        <f aca="false">IF(A1566="","",'Outro banco'!C1566)</f>
        <v/>
      </c>
      <c r="D1566" s="7" t="str">
        <f aca="false">IF(A1566="","",'Outro banco'!D1566)</f>
        <v/>
      </c>
      <c r="E1566" s="9"/>
      <c r="F1566" s="9"/>
      <c r="G1566" s="7" t="str">
        <f aca="false">IF(A1566="","",IF(COUNTIF(Tabelas!$A:$A,IF(E1566="",A1566,E1566))&gt;0,"sim","não"))</f>
        <v/>
      </c>
      <c r="H1566" s="7" t="str">
        <f aca="false">IF(A1566="","",IF(E1566="",A1566,E1566)&amp;"."&amp;IF(F1566="",B1566,F1566))</f>
        <v/>
      </c>
      <c r="I1566" s="7" t="str">
        <f aca="false">IF(A1566="","",IFERROR(INDEX('Campos Growths'!$F:$F,MATCH(H1566,'Campos Growths'!$A:$A,0)),""))</f>
        <v/>
      </c>
      <c r="J1566" s="7" t="str">
        <f aca="false">IF(A1566="","",IFERROR(VLOOKUP(IF(ISNUMBER(SEARCH("(",C1566)),LEFT(C1566,SEARCH("(",C1566)-1),C1566),Tipos!$A:$B,2,FALSE()),"outro"))</f>
        <v/>
      </c>
      <c r="K1566" s="7" t="str">
        <f aca="false">IF(I1566="","",IFERROR(INDEX('Campos Growths'!$L:$L,MATCH(H1566,'Campos Growths'!$A:$A,0)),""))</f>
        <v/>
      </c>
      <c r="L1566" s="7" t="str">
        <f aca="false">IF(A1566="","",IF(G1566="não","Sem tabela no Growths",IF(I1566="","Sem campo no Growths",IF(J1566=K1566,"Importa direto","Ajustar tipo"))))</f>
        <v/>
      </c>
      <c r="M1566" s="9"/>
    </row>
    <row r="1567" customFormat="false" ht="15" hidden="false" customHeight="false" outlineLevel="0" collapsed="false">
      <c r="A1567" s="7" t="str">
        <f aca="false">IF('Outro banco'!A1567="","",IF(LEFT('Outro banco'!A1567,1)="(","",'Outro banco'!A1567))</f>
        <v/>
      </c>
      <c r="B1567" s="7" t="str">
        <f aca="false">IF(A1567="","",'Outro banco'!B1567)</f>
        <v/>
      </c>
      <c r="C1567" s="7" t="str">
        <f aca="false">IF(A1567="","",'Outro banco'!C1567)</f>
        <v/>
      </c>
      <c r="D1567" s="7" t="str">
        <f aca="false">IF(A1567="","",'Outro banco'!D1567)</f>
        <v/>
      </c>
      <c r="E1567" s="9"/>
      <c r="F1567" s="9"/>
      <c r="G1567" s="7" t="str">
        <f aca="false">IF(A1567="","",IF(COUNTIF(Tabelas!$A:$A,IF(E1567="",A1567,E1567))&gt;0,"sim","não"))</f>
        <v/>
      </c>
      <c r="H1567" s="7" t="str">
        <f aca="false">IF(A1567="","",IF(E1567="",A1567,E1567)&amp;"."&amp;IF(F1567="",B1567,F1567))</f>
        <v/>
      </c>
      <c r="I1567" s="7" t="str">
        <f aca="false">IF(A1567="","",IFERROR(INDEX('Campos Growths'!$F:$F,MATCH(H1567,'Campos Growths'!$A:$A,0)),""))</f>
        <v/>
      </c>
      <c r="J1567" s="7" t="str">
        <f aca="false">IF(A1567="","",IFERROR(VLOOKUP(IF(ISNUMBER(SEARCH("(",C1567)),LEFT(C1567,SEARCH("(",C1567)-1),C1567),Tipos!$A:$B,2,FALSE()),"outro"))</f>
        <v/>
      </c>
      <c r="K1567" s="7" t="str">
        <f aca="false">IF(I1567="","",IFERROR(INDEX('Campos Growths'!$L:$L,MATCH(H1567,'Campos Growths'!$A:$A,0)),""))</f>
        <v/>
      </c>
      <c r="L1567" s="7" t="str">
        <f aca="false">IF(A1567="","",IF(G1567="não","Sem tabela no Growths",IF(I1567="","Sem campo no Growths",IF(J1567=K1567,"Importa direto","Ajustar tipo"))))</f>
        <v/>
      </c>
      <c r="M1567" s="9"/>
    </row>
    <row r="1568" customFormat="false" ht="15" hidden="false" customHeight="false" outlineLevel="0" collapsed="false">
      <c r="A1568" s="7" t="str">
        <f aca="false">IF('Outro banco'!A1568="","",IF(LEFT('Outro banco'!A1568,1)="(","",'Outro banco'!A1568))</f>
        <v/>
      </c>
      <c r="B1568" s="7" t="str">
        <f aca="false">IF(A1568="","",'Outro banco'!B1568)</f>
        <v/>
      </c>
      <c r="C1568" s="7" t="str">
        <f aca="false">IF(A1568="","",'Outro banco'!C1568)</f>
        <v/>
      </c>
      <c r="D1568" s="7" t="str">
        <f aca="false">IF(A1568="","",'Outro banco'!D1568)</f>
        <v/>
      </c>
      <c r="E1568" s="9"/>
      <c r="F1568" s="9"/>
      <c r="G1568" s="7" t="str">
        <f aca="false">IF(A1568="","",IF(COUNTIF(Tabelas!$A:$A,IF(E1568="",A1568,E1568))&gt;0,"sim","não"))</f>
        <v/>
      </c>
      <c r="H1568" s="7" t="str">
        <f aca="false">IF(A1568="","",IF(E1568="",A1568,E1568)&amp;"."&amp;IF(F1568="",B1568,F1568))</f>
        <v/>
      </c>
      <c r="I1568" s="7" t="str">
        <f aca="false">IF(A1568="","",IFERROR(INDEX('Campos Growths'!$F:$F,MATCH(H1568,'Campos Growths'!$A:$A,0)),""))</f>
        <v/>
      </c>
      <c r="J1568" s="7" t="str">
        <f aca="false">IF(A1568="","",IFERROR(VLOOKUP(IF(ISNUMBER(SEARCH("(",C1568)),LEFT(C1568,SEARCH("(",C1568)-1),C1568),Tipos!$A:$B,2,FALSE()),"outro"))</f>
        <v/>
      </c>
      <c r="K1568" s="7" t="str">
        <f aca="false">IF(I1568="","",IFERROR(INDEX('Campos Growths'!$L:$L,MATCH(H1568,'Campos Growths'!$A:$A,0)),""))</f>
        <v/>
      </c>
      <c r="L1568" s="7" t="str">
        <f aca="false">IF(A1568="","",IF(G1568="não","Sem tabela no Growths",IF(I1568="","Sem campo no Growths",IF(J1568=K1568,"Importa direto","Ajustar tipo"))))</f>
        <v/>
      </c>
      <c r="M1568" s="9"/>
    </row>
    <row r="1569" customFormat="false" ht="15" hidden="false" customHeight="false" outlineLevel="0" collapsed="false">
      <c r="A1569" s="7" t="str">
        <f aca="false">IF('Outro banco'!A1569="","",IF(LEFT('Outro banco'!A1569,1)="(","",'Outro banco'!A1569))</f>
        <v/>
      </c>
      <c r="B1569" s="7" t="str">
        <f aca="false">IF(A1569="","",'Outro banco'!B1569)</f>
        <v/>
      </c>
      <c r="C1569" s="7" t="str">
        <f aca="false">IF(A1569="","",'Outro banco'!C1569)</f>
        <v/>
      </c>
      <c r="D1569" s="7" t="str">
        <f aca="false">IF(A1569="","",'Outro banco'!D1569)</f>
        <v/>
      </c>
      <c r="E1569" s="9"/>
      <c r="F1569" s="9"/>
      <c r="G1569" s="7" t="str">
        <f aca="false">IF(A1569="","",IF(COUNTIF(Tabelas!$A:$A,IF(E1569="",A1569,E1569))&gt;0,"sim","não"))</f>
        <v/>
      </c>
      <c r="H1569" s="7" t="str">
        <f aca="false">IF(A1569="","",IF(E1569="",A1569,E1569)&amp;"."&amp;IF(F1569="",B1569,F1569))</f>
        <v/>
      </c>
      <c r="I1569" s="7" t="str">
        <f aca="false">IF(A1569="","",IFERROR(INDEX('Campos Growths'!$F:$F,MATCH(H1569,'Campos Growths'!$A:$A,0)),""))</f>
        <v/>
      </c>
      <c r="J1569" s="7" t="str">
        <f aca="false">IF(A1569="","",IFERROR(VLOOKUP(IF(ISNUMBER(SEARCH("(",C1569)),LEFT(C1569,SEARCH("(",C1569)-1),C1569),Tipos!$A:$B,2,FALSE()),"outro"))</f>
        <v/>
      </c>
      <c r="K1569" s="7" t="str">
        <f aca="false">IF(I1569="","",IFERROR(INDEX('Campos Growths'!$L:$L,MATCH(H1569,'Campos Growths'!$A:$A,0)),""))</f>
        <v/>
      </c>
      <c r="L1569" s="7" t="str">
        <f aca="false">IF(A1569="","",IF(G1569="não","Sem tabela no Growths",IF(I1569="","Sem campo no Growths",IF(J1569=K1569,"Importa direto","Ajustar tipo"))))</f>
        <v/>
      </c>
      <c r="M1569" s="9"/>
    </row>
    <row r="1570" customFormat="false" ht="15" hidden="false" customHeight="false" outlineLevel="0" collapsed="false">
      <c r="A1570" s="7" t="str">
        <f aca="false">IF('Outro banco'!A1570="","",IF(LEFT('Outro banco'!A1570,1)="(","",'Outro banco'!A1570))</f>
        <v/>
      </c>
      <c r="B1570" s="7" t="str">
        <f aca="false">IF(A1570="","",'Outro banco'!B1570)</f>
        <v/>
      </c>
      <c r="C1570" s="7" t="str">
        <f aca="false">IF(A1570="","",'Outro banco'!C1570)</f>
        <v/>
      </c>
      <c r="D1570" s="7" t="str">
        <f aca="false">IF(A1570="","",'Outro banco'!D1570)</f>
        <v/>
      </c>
      <c r="E1570" s="9"/>
      <c r="F1570" s="9"/>
      <c r="G1570" s="7" t="str">
        <f aca="false">IF(A1570="","",IF(COUNTIF(Tabelas!$A:$A,IF(E1570="",A1570,E1570))&gt;0,"sim","não"))</f>
        <v/>
      </c>
      <c r="H1570" s="7" t="str">
        <f aca="false">IF(A1570="","",IF(E1570="",A1570,E1570)&amp;"."&amp;IF(F1570="",B1570,F1570))</f>
        <v/>
      </c>
      <c r="I1570" s="7" t="str">
        <f aca="false">IF(A1570="","",IFERROR(INDEX('Campos Growths'!$F:$F,MATCH(H1570,'Campos Growths'!$A:$A,0)),""))</f>
        <v/>
      </c>
      <c r="J1570" s="7" t="str">
        <f aca="false">IF(A1570="","",IFERROR(VLOOKUP(IF(ISNUMBER(SEARCH("(",C1570)),LEFT(C1570,SEARCH("(",C1570)-1),C1570),Tipos!$A:$B,2,FALSE()),"outro"))</f>
        <v/>
      </c>
      <c r="K1570" s="7" t="str">
        <f aca="false">IF(I1570="","",IFERROR(INDEX('Campos Growths'!$L:$L,MATCH(H1570,'Campos Growths'!$A:$A,0)),""))</f>
        <v/>
      </c>
      <c r="L1570" s="7" t="str">
        <f aca="false">IF(A1570="","",IF(G1570="não","Sem tabela no Growths",IF(I1570="","Sem campo no Growths",IF(J1570=K1570,"Importa direto","Ajustar tipo"))))</f>
        <v/>
      </c>
      <c r="M1570" s="9"/>
    </row>
    <row r="1571" customFormat="false" ht="15" hidden="false" customHeight="false" outlineLevel="0" collapsed="false">
      <c r="A1571" s="7" t="str">
        <f aca="false">IF('Outro banco'!A1571="","",IF(LEFT('Outro banco'!A1571,1)="(","",'Outro banco'!A1571))</f>
        <v/>
      </c>
      <c r="B1571" s="7" t="str">
        <f aca="false">IF(A1571="","",'Outro banco'!B1571)</f>
        <v/>
      </c>
      <c r="C1571" s="7" t="str">
        <f aca="false">IF(A1571="","",'Outro banco'!C1571)</f>
        <v/>
      </c>
      <c r="D1571" s="7" t="str">
        <f aca="false">IF(A1571="","",'Outro banco'!D1571)</f>
        <v/>
      </c>
      <c r="E1571" s="9"/>
      <c r="F1571" s="9"/>
      <c r="G1571" s="7" t="str">
        <f aca="false">IF(A1571="","",IF(COUNTIF(Tabelas!$A:$A,IF(E1571="",A1571,E1571))&gt;0,"sim","não"))</f>
        <v/>
      </c>
      <c r="H1571" s="7" t="str">
        <f aca="false">IF(A1571="","",IF(E1571="",A1571,E1571)&amp;"."&amp;IF(F1571="",B1571,F1571))</f>
        <v/>
      </c>
      <c r="I1571" s="7" t="str">
        <f aca="false">IF(A1571="","",IFERROR(INDEX('Campos Growths'!$F:$F,MATCH(H1571,'Campos Growths'!$A:$A,0)),""))</f>
        <v/>
      </c>
      <c r="J1571" s="7" t="str">
        <f aca="false">IF(A1571="","",IFERROR(VLOOKUP(IF(ISNUMBER(SEARCH("(",C1571)),LEFT(C1571,SEARCH("(",C1571)-1),C1571),Tipos!$A:$B,2,FALSE()),"outro"))</f>
        <v/>
      </c>
      <c r="K1571" s="7" t="str">
        <f aca="false">IF(I1571="","",IFERROR(INDEX('Campos Growths'!$L:$L,MATCH(H1571,'Campos Growths'!$A:$A,0)),""))</f>
        <v/>
      </c>
      <c r="L1571" s="7" t="str">
        <f aca="false">IF(A1571="","",IF(G1571="não","Sem tabela no Growths",IF(I1571="","Sem campo no Growths",IF(J1571=K1571,"Importa direto","Ajustar tipo"))))</f>
        <v/>
      </c>
      <c r="M1571" s="9"/>
    </row>
    <row r="1572" customFormat="false" ht="15" hidden="false" customHeight="false" outlineLevel="0" collapsed="false">
      <c r="A1572" s="7" t="str">
        <f aca="false">IF('Outro banco'!A1572="","",IF(LEFT('Outro banco'!A1572,1)="(","",'Outro banco'!A1572))</f>
        <v/>
      </c>
      <c r="B1572" s="7" t="str">
        <f aca="false">IF(A1572="","",'Outro banco'!B1572)</f>
        <v/>
      </c>
      <c r="C1572" s="7" t="str">
        <f aca="false">IF(A1572="","",'Outro banco'!C1572)</f>
        <v/>
      </c>
      <c r="D1572" s="7" t="str">
        <f aca="false">IF(A1572="","",'Outro banco'!D1572)</f>
        <v/>
      </c>
      <c r="E1572" s="9"/>
      <c r="F1572" s="9"/>
      <c r="G1572" s="7" t="str">
        <f aca="false">IF(A1572="","",IF(COUNTIF(Tabelas!$A:$A,IF(E1572="",A1572,E1572))&gt;0,"sim","não"))</f>
        <v/>
      </c>
      <c r="H1572" s="7" t="str">
        <f aca="false">IF(A1572="","",IF(E1572="",A1572,E1572)&amp;"."&amp;IF(F1572="",B1572,F1572))</f>
        <v/>
      </c>
      <c r="I1572" s="7" t="str">
        <f aca="false">IF(A1572="","",IFERROR(INDEX('Campos Growths'!$F:$F,MATCH(H1572,'Campos Growths'!$A:$A,0)),""))</f>
        <v/>
      </c>
      <c r="J1572" s="7" t="str">
        <f aca="false">IF(A1572="","",IFERROR(VLOOKUP(IF(ISNUMBER(SEARCH("(",C1572)),LEFT(C1572,SEARCH("(",C1572)-1),C1572),Tipos!$A:$B,2,FALSE()),"outro"))</f>
        <v/>
      </c>
      <c r="K1572" s="7" t="str">
        <f aca="false">IF(I1572="","",IFERROR(INDEX('Campos Growths'!$L:$L,MATCH(H1572,'Campos Growths'!$A:$A,0)),""))</f>
        <v/>
      </c>
      <c r="L1572" s="7" t="str">
        <f aca="false">IF(A1572="","",IF(G1572="não","Sem tabela no Growths",IF(I1572="","Sem campo no Growths",IF(J1572=K1572,"Importa direto","Ajustar tipo"))))</f>
        <v/>
      </c>
      <c r="M1572" s="9"/>
    </row>
    <row r="1573" customFormat="false" ht="15" hidden="false" customHeight="false" outlineLevel="0" collapsed="false">
      <c r="A1573" s="7" t="str">
        <f aca="false">IF('Outro banco'!A1573="","",IF(LEFT('Outro banco'!A1573,1)="(","",'Outro banco'!A1573))</f>
        <v/>
      </c>
      <c r="B1573" s="7" t="str">
        <f aca="false">IF(A1573="","",'Outro banco'!B1573)</f>
        <v/>
      </c>
      <c r="C1573" s="7" t="str">
        <f aca="false">IF(A1573="","",'Outro banco'!C1573)</f>
        <v/>
      </c>
      <c r="D1573" s="7" t="str">
        <f aca="false">IF(A1573="","",'Outro banco'!D1573)</f>
        <v/>
      </c>
      <c r="E1573" s="9"/>
      <c r="F1573" s="9"/>
      <c r="G1573" s="7" t="str">
        <f aca="false">IF(A1573="","",IF(COUNTIF(Tabelas!$A:$A,IF(E1573="",A1573,E1573))&gt;0,"sim","não"))</f>
        <v/>
      </c>
      <c r="H1573" s="7" t="str">
        <f aca="false">IF(A1573="","",IF(E1573="",A1573,E1573)&amp;"."&amp;IF(F1573="",B1573,F1573))</f>
        <v/>
      </c>
      <c r="I1573" s="7" t="str">
        <f aca="false">IF(A1573="","",IFERROR(INDEX('Campos Growths'!$F:$F,MATCH(H1573,'Campos Growths'!$A:$A,0)),""))</f>
        <v/>
      </c>
      <c r="J1573" s="7" t="str">
        <f aca="false">IF(A1573="","",IFERROR(VLOOKUP(IF(ISNUMBER(SEARCH("(",C1573)),LEFT(C1573,SEARCH("(",C1573)-1),C1573),Tipos!$A:$B,2,FALSE()),"outro"))</f>
        <v/>
      </c>
      <c r="K1573" s="7" t="str">
        <f aca="false">IF(I1573="","",IFERROR(INDEX('Campos Growths'!$L:$L,MATCH(H1573,'Campos Growths'!$A:$A,0)),""))</f>
        <v/>
      </c>
      <c r="L1573" s="7" t="str">
        <f aca="false">IF(A1573="","",IF(G1573="não","Sem tabela no Growths",IF(I1573="","Sem campo no Growths",IF(J1573=K1573,"Importa direto","Ajustar tipo"))))</f>
        <v/>
      </c>
      <c r="M1573" s="9"/>
    </row>
    <row r="1574" customFormat="false" ht="15" hidden="false" customHeight="false" outlineLevel="0" collapsed="false">
      <c r="A1574" s="7" t="str">
        <f aca="false">IF('Outro banco'!A1574="","",IF(LEFT('Outro banco'!A1574,1)="(","",'Outro banco'!A1574))</f>
        <v/>
      </c>
      <c r="B1574" s="7" t="str">
        <f aca="false">IF(A1574="","",'Outro banco'!B1574)</f>
        <v/>
      </c>
      <c r="C1574" s="7" t="str">
        <f aca="false">IF(A1574="","",'Outro banco'!C1574)</f>
        <v/>
      </c>
      <c r="D1574" s="7" t="str">
        <f aca="false">IF(A1574="","",'Outro banco'!D1574)</f>
        <v/>
      </c>
      <c r="E1574" s="9"/>
      <c r="F1574" s="9"/>
      <c r="G1574" s="7" t="str">
        <f aca="false">IF(A1574="","",IF(COUNTIF(Tabelas!$A:$A,IF(E1574="",A1574,E1574))&gt;0,"sim","não"))</f>
        <v/>
      </c>
      <c r="H1574" s="7" t="str">
        <f aca="false">IF(A1574="","",IF(E1574="",A1574,E1574)&amp;"."&amp;IF(F1574="",B1574,F1574))</f>
        <v/>
      </c>
      <c r="I1574" s="7" t="str">
        <f aca="false">IF(A1574="","",IFERROR(INDEX('Campos Growths'!$F:$F,MATCH(H1574,'Campos Growths'!$A:$A,0)),""))</f>
        <v/>
      </c>
      <c r="J1574" s="7" t="str">
        <f aca="false">IF(A1574="","",IFERROR(VLOOKUP(IF(ISNUMBER(SEARCH("(",C1574)),LEFT(C1574,SEARCH("(",C1574)-1),C1574),Tipos!$A:$B,2,FALSE()),"outro"))</f>
        <v/>
      </c>
      <c r="K1574" s="7" t="str">
        <f aca="false">IF(I1574="","",IFERROR(INDEX('Campos Growths'!$L:$L,MATCH(H1574,'Campos Growths'!$A:$A,0)),""))</f>
        <v/>
      </c>
      <c r="L1574" s="7" t="str">
        <f aca="false">IF(A1574="","",IF(G1574="não","Sem tabela no Growths",IF(I1574="","Sem campo no Growths",IF(J1574=K1574,"Importa direto","Ajustar tipo"))))</f>
        <v/>
      </c>
      <c r="M1574" s="9"/>
    </row>
    <row r="1575" customFormat="false" ht="15" hidden="false" customHeight="false" outlineLevel="0" collapsed="false">
      <c r="A1575" s="7" t="str">
        <f aca="false">IF('Outro banco'!A1575="","",IF(LEFT('Outro banco'!A1575,1)="(","",'Outro banco'!A1575))</f>
        <v/>
      </c>
      <c r="B1575" s="7" t="str">
        <f aca="false">IF(A1575="","",'Outro banco'!B1575)</f>
        <v/>
      </c>
      <c r="C1575" s="7" t="str">
        <f aca="false">IF(A1575="","",'Outro banco'!C1575)</f>
        <v/>
      </c>
      <c r="D1575" s="7" t="str">
        <f aca="false">IF(A1575="","",'Outro banco'!D1575)</f>
        <v/>
      </c>
      <c r="E1575" s="9"/>
      <c r="F1575" s="9"/>
      <c r="G1575" s="7" t="str">
        <f aca="false">IF(A1575="","",IF(COUNTIF(Tabelas!$A:$A,IF(E1575="",A1575,E1575))&gt;0,"sim","não"))</f>
        <v/>
      </c>
      <c r="H1575" s="7" t="str">
        <f aca="false">IF(A1575="","",IF(E1575="",A1575,E1575)&amp;"."&amp;IF(F1575="",B1575,F1575))</f>
        <v/>
      </c>
      <c r="I1575" s="7" t="str">
        <f aca="false">IF(A1575="","",IFERROR(INDEX('Campos Growths'!$F:$F,MATCH(H1575,'Campos Growths'!$A:$A,0)),""))</f>
        <v/>
      </c>
      <c r="J1575" s="7" t="str">
        <f aca="false">IF(A1575="","",IFERROR(VLOOKUP(IF(ISNUMBER(SEARCH("(",C1575)),LEFT(C1575,SEARCH("(",C1575)-1),C1575),Tipos!$A:$B,2,FALSE()),"outro"))</f>
        <v/>
      </c>
      <c r="K1575" s="7" t="str">
        <f aca="false">IF(I1575="","",IFERROR(INDEX('Campos Growths'!$L:$L,MATCH(H1575,'Campos Growths'!$A:$A,0)),""))</f>
        <v/>
      </c>
      <c r="L1575" s="7" t="str">
        <f aca="false">IF(A1575="","",IF(G1575="não","Sem tabela no Growths",IF(I1575="","Sem campo no Growths",IF(J1575=K1575,"Importa direto","Ajustar tipo"))))</f>
        <v/>
      </c>
      <c r="M1575" s="9"/>
    </row>
    <row r="1576" customFormat="false" ht="15" hidden="false" customHeight="false" outlineLevel="0" collapsed="false">
      <c r="A1576" s="7" t="str">
        <f aca="false">IF('Outro banco'!A1576="","",IF(LEFT('Outro banco'!A1576,1)="(","",'Outro banco'!A1576))</f>
        <v/>
      </c>
      <c r="B1576" s="7" t="str">
        <f aca="false">IF(A1576="","",'Outro banco'!B1576)</f>
        <v/>
      </c>
      <c r="C1576" s="7" t="str">
        <f aca="false">IF(A1576="","",'Outro banco'!C1576)</f>
        <v/>
      </c>
      <c r="D1576" s="7" t="str">
        <f aca="false">IF(A1576="","",'Outro banco'!D1576)</f>
        <v/>
      </c>
      <c r="E1576" s="9"/>
      <c r="F1576" s="9"/>
      <c r="G1576" s="7" t="str">
        <f aca="false">IF(A1576="","",IF(COUNTIF(Tabelas!$A:$A,IF(E1576="",A1576,E1576))&gt;0,"sim","não"))</f>
        <v/>
      </c>
      <c r="H1576" s="7" t="str">
        <f aca="false">IF(A1576="","",IF(E1576="",A1576,E1576)&amp;"."&amp;IF(F1576="",B1576,F1576))</f>
        <v/>
      </c>
      <c r="I1576" s="7" t="str">
        <f aca="false">IF(A1576="","",IFERROR(INDEX('Campos Growths'!$F:$F,MATCH(H1576,'Campos Growths'!$A:$A,0)),""))</f>
        <v/>
      </c>
      <c r="J1576" s="7" t="str">
        <f aca="false">IF(A1576="","",IFERROR(VLOOKUP(IF(ISNUMBER(SEARCH("(",C1576)),LEFT(C1576,SEARCH("(",C1576)-1),C1576),Tipos!$A:$B,2,FALSE()),"outro"))</f>
        <v/>
      </c>
      <c r="K1576" s="7" t="str">
        <f aca="false">IF(I1576="","",IFERROR(INDEX('Campos Growths'!$L:$L,MATCH(H1576,'Campos Growths'!$A:$A,0)),""))</f>
        <v/>
      </c>
      <c r="L1576" s="7" t="str">
        <f aca="false">IF(A1576="","",IF(G1576="não","Sem tabela no Growths",IF(I1576="","Sem campo no Growths",IF(J1576=K1576,"Importa direto","Ajustar tipo"))))</f>
        <v/>
      </c>
      <c r="M1576" s="9"/>
    </row>
    <row r="1577" customFormat="false" ht="15" hidden="false" customHeight="false" outlineLevel="0" collapsed="false">
      <c r="A1577" s="7" t="str">
        <f aca="false">IF('Outro banco'!A1577="","",IF(LEFT('Outro banco'!A1577,1)="(","",'Outro banco'!A1577))</f>
        <v/>
      </c>
      <c r="B1577" s="7" t="str">
        <f aca="false">IF(A1577="","",'Outro banco'!B1577)</f>
        <v/>
      </c>
      <c r="C1577" s="7" t="str">
        <f aca="false">IF(A1577="","",'Outro banco'!C1577)</f>
        <v/>
      </c>
      <c r="D1577" s="7" t="str">
        <f aca="false">IF(A1577="","",'Outro banco'!D1577)</f>
        <v/>
      </c>
      <c r="E1577" s="9"/>
      <c r="F1577" s="9"/>
      <c r="G1577" s="7" t="str">
        <f aca="false">IF(A1577="","",IF(COUNTIF(Tabelas!$A:$A,IF(E1577="",A1577,E1577))&gt;0,"sim","não"))</f>
        <v/>
      </c>
      <c r="H1577" s="7" t="str">
        <f aca="false">IF(A1577="","",IF(E1577="",A1577,E1577)&amp;"."&amp;IF(F1577="",B1577,F1577))</f>
        <v/>
      </c>
      <c r="I1577" s="7" t="str">
        <f aca="false">IF(A1577="","",IFERROR(INDEX('Campos Growths'!$F:$F,MATCH(H1577,'Campos Growths'!$A:$A,0)),""))</f>
        <v/>
      </c>
      <c r="J1577" s="7" t="str">
        <f aca="false">IF(A1577="","",IFERROR(VLOOKUP(IF(ISNUMBER(SEARCH("(",C1577)),LEFT(C1577,SEARCH("(",C1577)-1),C1577),Tipos!$A:$B,2,FALSE()),"outro"))</f>
        <v/>
      </c>
      <c r="K1577" s="7" t="str">
        <f aca="false">IF(I1577="","",IFERROR(INDEX('Campos Growths'!$L:$L,MATCH(H1577,'Campos Growths'!$A:$A,0)),""))</f>
        <v/>
      </c>
      <c r="L1577" s="7" t="str">
        <f aca="false">IF(A1577="","",IF(G1577="não","Sem tabela no Growths",IF(I1577="","Sem campo no Growths",IF(J1577=K1577,"Importa direto","Ajustar tipo"))))</f>
        <v/>
      </c>
      <c r="M1577" s="9"/>
    </row>
    <row r="1578" customFormat="false" ht="15" hidden="false" customHeight="false" outlineLevel="0" collapsed="false">
      <c r="A1578" s="7" t="str">
        <f aca="false">IF('Outro banco'!A1578="","",IF(LEFT('Outro banco'!A1578,1)="(","",'Outro banco'!A1578))</f>
        <v/>
      </c>
      <c r="B1578" s="7" t="str">
        <f aca="false">IF(A1578="","",'Outro banco'!B1578)</f>
        <v/>
      </c>
      <c r="C1578" s="7" t="str">
        <f aca="false">IF(A1578="","",'Outro banco'!C1578)</f>
        <v/>
      </c>
      <c r="D1578" s="7" t="str">
        <f aca="false">IF(A1578="","",'Outro banco'!D1578)</f>
        <v/>
      </c>
      <c r="E1578" s="9"/>
      <c r="F1578" s="9"/>
      <c r="G1578" s="7" t="str">
        <f aca="false">IF(A1578="","",IF(COUNTIF(Tabelas!$A:$A,IF(E1578="",A1578,E1578))&gt;0,"sim","não"))</f>
        <v/>
      </c>
      <c r="H1578" s="7" t="str">
        <f aca="false">IF(A1578="","",IF(E1578="",A1578,E1578)&amp;"."&amp;IF(F1578="",B1578,F1578))</f>
        <v/>
      </c>
      <c r="I1578" s="7" t="str">
        <f aca="false">IF(A1578="","",IFERROR(INDEX('Campos Growths'!$F:$F,MATCH(H1578,'Campos Growths'!$A:$A,0)),""))</f>
        <v/>
      </c>
      <c r="J1578" s="7" t="str">
        <f aca="false">IF(A1578="","",IFERROR(VLOOKUP(IF(ISNUMBER(SEARCH("(",C1578)),LEFT(C1578,SEARCH("(",C1578)-1),C1578),Tipos!$A:$B,2,FALSE()),"outro"))</f>
        <v/>
      </c>
      <c r="K1578" s="7" t="str">
        <f aca="false">IF(I1578="","",IFERROR(INDEX('Campos Growths'!$L:$L,MATCH(H1578,'Campos Growths'!$A:$A,0)),""))</f>
        <v/>
      </c>
      <c r="L1578" s="7" t="str">
        <f aca="false">IF(A1578="","",IF(G1578="não","Sem tabela no Growths",IF(I1578="","Sem campo no Growths",IF(J1578=K1578,"Importa direto","Ajustar tipo"))))</f>
        <v/>
      </c>
      <c r="M1578" s="9"/>
    </row>
    <row r="1579" customFormat="false" ht="15" hidden="false" customHeight="false" outlineLevel="0" collapsed="false">
      <c r="A1579" s="7" t="str">
        <f aca="false">IF('Outro banco'!A1579="","",IF(LEFT('Outro banco'!A1579,1)="(","",'Outro banco'!A1579))</f>
        <v/>
      </c>
      <c r="B1579" s="7" t="str">
        <f aca="false">IF(A1579="","",'Outro banco'!B1579)</f>
        <v/>
      </c>
      <c r="C1579" s="7" t="str">
        <f aca="false">IF(A1579="","",'Outro banco'!C1579)</f>
        <v/>
      </c>
      <c r="D1579" s="7" t="str">
        <f aca="false">IF(A1579="","",'Outro banco'!D1579)</f>
        <v/>
      </c>
      <c r="E1579" s="9"/>
      <c r="F1579" s="9"/>
      <c r="G1579" s="7" t="str">
        <f aca="false">IF(A1579="","",IF(COUNTIF(Tabelas!$A:$A,IF(E1579="",A1579,E1579))&gt;0,"sim","não"))</f>
        <v/>
      </c>
      <c r="H1579" s="7" t="str">
        <f aca="false">IF(A1579="","",IF(E1579="",A1579,E1579)&amp;"."&amp;IF(F1579="",B1579,F1579))</f>
        <v/>
      </c>
      <c r="I1579" s="7" t="str">
        <f aca="false">IF(A1579="","",IFERROR(INDEX('Campos Growths'!$F:$F,MATCH(H1579,'Campos Growths'!$A:$A,0)),""))</f>
        <v/>
      </c>
      <c r="J1579" s="7" t="str">
        <f aca="false">IF(A1579="","",IFERROR(VLOOKUP(IF(ISNUMBER(SEARCH("(",C1579)),LEFT(C1579,SEARCH("(",C1579)-1),C1579),Tipos!$A:$B,2,FALSE()),"outro"))</f>
        <v/>
      </c>
      <c r="K1579" s="7" t="str">
        <f aca="false">IF(I1579="","",IFERROR(INDEX('Campos Growths'!$L:$L,MATCH(H1579,'Campos Growths'!$A:$A,0)),""))</f>
        <v/>
      </c>
      <c r="L1579" s="7" t="str">
        <f aca="false">IF(A1579="","",IF(G1579="não","Sem tabela no Growths",IF(I1579="","Sem campo no Growths",IF(J1579=K1579,"Importa direto","Ajustar tipo"))))</f>
        <v/>
      </c>
      <c r="M1579" s="9"/>
    </row>
    <row r="1580" customFormat="false" ht="15" hidden="false" customHeight="false" outlineLevel="0" collapsed="false">
      <c r="A1580" s="7" t="str">
        <f aca="false">IF('Outro banco'!A1580="","",IF(LEFT('Outro banco'!A1580,1)="(","",'Outro banco'!A1580))</f>
        <v/>
      </c>
      <c r="B1580" s="7" t="str">
        <f aca="false">IF(A1580="","",'Outro banco'!B1580)</f>
        <v/>
      </c>
      <c r="C1580" s="7" t="str">
        <f aca="false">IF(A1580="","",'Outro banco'!C1580)</f>
        <v/>
      </c>
      <c r="D1580" s="7" t="str">
        <f aca="false">IF(A1580="","",'Outro banco'!D1580)</f>
        <v/>
      </c>
      <c r="E1580" s="9"/>
      <c r="F1580" s="9"/>
      <c r="G1580" s="7" t="str">
        <f aca="false">IF(A1580="","",IF(COUNTIF(Tabelas!$A:$A,IF(E1580="",A1580,E1580))&gt;0,"sim","não"))</f>
        <v/>
      </c>
      <c r="H1580" s="7" t="str">
        <f aca="false">IF(A1580="","",IF(E1580="",A1580,E1580)&amp;"."&amp;IF(F1580="",B1580,F1580))</f>
        <v/>
      </c>
      <c r="I1580" s="7" t="str">
        <f aca="false">IF(A1580="","",IFERROR(INDEX('Campos Growths'!$F:$F,MATCH(H1580,'Campos Growths'!$A:$A,0)),""))</f>
        <v/>
      </c>
      <c r="J1580" s="7" t="str">
        <f aca="false">IF(A1580="","",IFERROR(VLOOKUP(IF(ISNUMBER(SEARCH("(",C1580)),LEFT(C1580,SEARCH("(",C1580)-1),C1580),Tipos!$A:$B,2,FALSE()),"outro"))</f>
        <v/>
      </c>
      <c r="K1580" s="7" t="str">
        <f aca="false">IF(I1580="","",IFERROR(INDEX('Campos Growths'!$L:$L,MATCH(H1580,'Campos Growths'!$A:$A,0)),""))</f>
        <v/>
      </c>
      <c r="L1580" s="7" t="str">
        <f aca="false">IF(A1580="","",IF(G1580="não","Sem tabela no Growths",IF(I1580="","Sem campo no Growths",IF(J1580=K1580,"Importa direto","Ajustar tipo"))))</f>
        <v/>
      </c>
      <c r="M1580" s="9"/>
    </row>
    <row r="1581" customFormat="false" ht="15" hidden="false" customHeight="false" outlineLevel="0" collapsed="false">
      <c r="A1581" s="7" t="str">
        <f aca="false">IF('Outro banco'!A1581="","",IF(LEFT('Outro banco'!A1581,1)="(","",'Outro banco'!A1581))</f>
        <v/>
      </c>
      <c r="B1581" s="7" t="str">
        <f aca="false">IF(A1581="","",'Outro banco'!B1581)</f>
        <v/>
      </c>
      <c r="C1581" s="7" t="str">
        <f aca="false">IF(A1581="","",'Outro banco'!C1581)</f>
        <v/>
      </c>
      <c r="D1581" s="7" t="str">
        <f aca="false">IF(A1581="","",'Outro banco'!D1581)</f>
        <v/>
      </c>
      <c r="E1581" s="9"/>
      <c r="F1581" s="9"/>
      <c r="G1581" s="7" t="str">
        <f aca="false">IF(A1581="","",IF(COUNTIF(Tabelas!$A:$A,IF(E1581="",A1581,E1581))&gt;0,"sim","não"))</f>
        <v/>
      </c>
      <c r="H1581" s="7" t="str">
        <f aca="false">IF(A1581="","",IF(E1581="",A1581,E1581)&amp;"."&amp;IF(F1581="",B1581,F1581))</f>
        <v/>
      </c>
      <c r="I1581" s="7" t="str">
        <f aca="false">IF(A1581="","",IFERROR(INDEX('Campos Growths'!$F:$F,MATCH(H1581,'Campos Growths'!$A:$A,0)),""))</f>
        <v/>
      </c>
      <c r="J1581" s="7" t="str">
        <f aca="false">IF(A1581="","",IFERROR(VLOOKUP(IF(ISNUMBER(SEARCH("(",C1581)),LEFT(C1581,SEARCH("(",C1581)-1),C1581),Tipos!$A:$B,2,FALSE()),"outro"))</f>
        <v/>
      </c>
      <c r="K1581" s="7" t="str">
        <f aca="false">IF(I1581="","",IFERROR(INDEX('Campos Growths'!$L:$L,MATCH(H1581,'Campos Growths'!$A:$A,0)),""))</f>
        <v/>
      </c>
      <c r="L1581" s="7" t="str">
        <f aca="false">IF(A1581="","",IF(G1581="não","Sem tabela no Growths",IF(I1581="","Sem campo no Growths",IF(J1581=K1581,"Importa direto","Ajustar tipo"))))</f>
        <v/>
      </c>
      <c r="M1581" s="9"/>
    </row>
    <row r="1582" customFormat="false" ht="15" hidden="false" customHeight="false" outlineLevel="0" collapsed="false">
      <c r="A1582" s="7" t="str">
        <f aca="false">IF('Outro banco'!A1582="","",IF(LEFT('Outro banco'!A1582,1)="(","",'Outro banco'!A1582))</f>
        <v/>
      </c>
      <c r="B1582" s="7" t="str">
        <f aca="false">IF(A1582="","",'Outro banco'!B1582)</f>
        <v/>
      </c>
      <c r="C1582" s="7" t="str">
        <f aca="false">IF(A1582="","",'Outro banco'!C1582)</f>
        <v/>
      </c>
      <c r="D1582" s="7" t="str">
        <f aca="false">IF(A1582="","",'Outro banco'!D1582)</f>
        <v/>
      </c>
      <c r="E1582" s="9"/>
      <c r="F1582" s="9"/>
      <c r="G1582" s="7" t="str">
        <f aca="false">IF(A1582="","",IF(COUNTIF(Tabelas!$A:$A,IF(E1582="",A1582,E1582))&gt;0,"sim","não"))</f>
        <v/>
      </c>
      <c r="H1582" s="7" t="str">
        <f aca="false">IF(A1582="","",IF(E1582="",A1582,E1582)&amp;"."&amp;IF(F1582="",B1582,F1582))</f>
        <v/>
      </c>
      <c r="I1582" s="7" t="str">
        <f aca="false">IF(A1582="","",IFERROR(INDEX('Campos Growths'!$F:$F,MATCH(H1582,'Campos Growths'!$A:$A,0)),""))</f>
        <v/>
      </c>
      <c r="J1582" s="7" t="str">
        <f aca="false">IF(A1582="","",IFERROR(VLOOKUP(IF(ISNUMBER(SEARCH("(",C1582)),LEFT(C1582,SEARCH("(",C1582)-1),C1582),Tipos!$A:$B,2,FALSE()),"outro"))</f>
        <v/>
      </c>
      <c r="K1582" s="7" t="str">
        <f aca="false">IF(I1582="","",IFERROR(INDEX('Campos Growths'!$L:$L,MATCH(H1582,'Campos Growths'!$A:$A,0)),""))</f>
        <v/>
      </c>
      <c r="L1582" s="7" t="str">
        <f aca="false">IF(A1582="","",IF(G1582="não","Sem tabela no Growths",IF(I1582="","Sem campo no Growths",IF(J1582=K1582,"Importa direto","Ajustar tipo"))))</f>
        <v/>
      </c>
      <c r="M1582" s="9"/>
    </row>
    <row r="1583" customFormat="false" ht="15" hidden="false" customHeight="false" outlineLevel="0" collapsed="false">
      <c r="A1583" s="7" t="str">
        <f aca="false">IF('Outro banco'!A1583="","",IF(LEFT('Outro banco'!A1583,1)="(","",'Outro banco'!A1583))</f>
        <v/>
      </c>
      <c r="B1583" s="7" t="str">
        <f aca="false">IF(A1583="","",'Outro banco'!B1583)</f>
        <v/>
      </c>
      <c r="C1583" s="7" t="str">
        <f aca="false">IF(A1583="","",'Outro banco'!C1583)</f>
        <v/>
      </c>
      <c r="D1583" s="7" t="str">
        <f aca="false">IF(A1583="","",'Outro banco'!D1583)</f>
        <v/>
      </c>
      <c r="E1583" s="9"/>
      <c r="F1583" s="9"/>
      <c r="G1583" s="7" t="str">
        <f aca="false">IF(A1583="","",IF(COUNTIF(Tabelas!$A:$A,IF(E1583="",A1583,E1583))&gt;0,"sim","não"))</f>
        <v/>
      </c>
      <c r="H1583" s="7" t="str">
        <f aca="false">IF(A1583="","",IF(E1583="",A1583,E1583)&amp;"."&amp;IF(F1583="",B1583,F1583))</f>
        <v/>
      </c>
      <c r="I1583" s="7" t="str">
        <f aca="false">IF(A1583="","",IFERROR(INDEX('Campos Growths'!$F:$F,MATCH(H1583,'Campos Growths'!$A:$A,0)),""))</f>
        <v/>
      </c>
      <c r="J1583" s="7" t="str">
        <f aca="false">IF(A1583="","",IFERROR(VLOOKUP(IF(ISNUMBER(SEARCH("(",C1583)),LEFT(C1583,SEARCH("(",C1583)-1),C1583),Tipos!$A:$B,2,FALSE()),"outro"))</f>
        <v/>
      </c>
      <c r="K1583" s="7" t="str">
        <f aca="false">IF(I1583="","",IFERROR(INDEX('Campos Growths'!$L:$L,MATCH(H1583,'Campos Growths'!$A:$A,0)),""))</f>
        <v/>
      </c>
      <c r="L1583" s="7" t="str">
        <f aca="false">IF(A1583="","",IF(G1583="não","Sem tabela no Growths",IF(I1583="","Sem campo no Growths",IF(J1583=K1583,"Importa direto","Ajustar tipo"))))</f>
        <v/>
      </c>
      <c r="M1583" s="9"/>
    </row>
    <row r="1584" customFormat="false" ht="15" hidden="false" customHeight="false" outlineLevel="0" collapsed="false">
      <c r="A1584" s="7" t="str">
        <f aca="false">IF('Outro banco'!A1584="","",IF(LEFT('Outro banco'!A1584,1)="(","",'Outro banco'!A1584))</f>
        <v/>
      </c>
      <c r="B1584" s="7" t="str">
        <f aca="false">IF(A1584="","",'Outro banco'!B1584)</f>
        <v/>
      </c>
      <c r="C1584" s="7" t="str">
        <f aca="false">IF(A1584="","",'Outro banco'!C1584)</f>
        <v/>
      </c>
      <c r="D1584" s="7" t="str">
        <f aca="false">IF(A1584="","",'Outro banco'!D1584)</f>
        <v/>
      </c>
      <c r="E1584" s="9"/>
      <c r="F1584" s="9"/>
      <c r="G1584" s="7" t="str">
        <f aca="false">IF(A1584="","",IF(COUNTIF(Tabelas!$A:$A,IF(E1584="",A1584,E1584))&gt;0,"sim","não"))</f>
        <v/>
      </c>
      <c r="H1584" s="7" t="str">
        <f aca="false">IF(A1584="","",IF(E1584="",A1584,E1584)&amp;"."&amp;IF(F1584="",B1584,F1584))</f>
        <v/>
      </c>
      <c r="I1584" s="7" t="str">
        <f aca="false">IF(A1584="","",IFERROR(INDEX('Campos Growths'!$F:$F,MATCH(H1584,'Campos Growths'!$A:$A,0)),""))</f>
        <v/>
      </c>
      <c r="J1584" s="7" t="str">
        <f aca="false">IF(A1584="","",IFERROR(VLOOKUP(IF(ISNUMBER(SEARCH("(",C1584)),LEFT(C1584,SEARCH("(",C1584)-1),C1584),Tipos!$A:$B,2,FALSE()),"outro"))</f>
        <v/>
      </c>
      <c r="K1584" s="7" t="str">
        <f aca="false">IF(I1584="","",IFERROR(INDEX('Campos Growths'!$L:$L,MATCH(H1584,'Campos Growths'!$A:$A,0)),""))</f>
        <v/>
      </c>
      <c r="L1584" s="7" t="str">
        <f aca="false">IF(A1584="","",IF(G1584="não","Sem tabela no Growths",IF(I1584="","Sem campo no Growths",IF(J1584=K1584,"Importa direto","Ajustar tipo"))))</f>
        <v/>
      </c>
      <c r="M1584" s="9"/>
    </row>
    <row r="1585" customFormat="false" ht="15" hidden="false" customHeight="false" outlineLevel="0" collapsed="false">
      <c r="A1585" s="7" t="str">
        <f aca="false">IF('Outro banco'!A1585="","",IF(LEFT('Outro banco'!A1585,1)="(","",'Outro banco'!A1585))</f>
        <v/>
      </c>
      <c r="B1585" s="7" t="str">
        <f aca="false">IF(A1585="","",'Outro banco'!B1585)</f>
        <v/>
      </c>
      <c r="C1585" s="7" t="str">
        <f aca="false">IF(A1585="","",'Outro banco'!C1585)</f>
        <v/>
      </c>
      <c r="D1585" s="7" t="str">
        <f aca="false">IF(A1585="","",'Outro banco'!D1585)</f>
        <v/>
      </c>
      <c r="E1585" s="9"/>
      <c r="F1585" s="9"/>
      <c r="G1585" s="7" t="str">
        <f aca="false">IF(A1585="","",IF(COUNTIF(Tabelas!$A:$A,IF(E1585="",A1585,E1585))&gt;0,"sim","não"))</f>
        <v/>
      </c>
      <c r="H1585" s="7" t="str">
        <f aca="false">IF(A1585="","",IF(E1585="",A1585,E1585)&amp;"."&amp;IF(F1585="",B1585,F1585))</f>
        <v/>
      </c>
      <c r="I1585" s="7" t="str">
        <f aca="false">IF(A1585="","",IFERROR(INDEX('Campos Growths'!$F:$F,MATCH(H1585,'Campos Growths'!$A:$A,0)),""))</f>
        <v/>
      </c>
      <c r="J1585" s="7" t="str">
        <f aca="false">IF(A1585="","",IFERROR(VLOOKUP(IF(ISNUMBER(SEARCH("(",C1585)),LEFT(C1585,SEARCH("(",C1585)-1),C1585),Tipos!$A:$B,2,FALSE()),"outro"))</f>
        <v/>
      </c>
      <c r="K1585" s="7" t="str">
        <f aca="false">IF(I1585="","",IFERROR(INDEX('Campos Growths'!$L:$L,MATCH(H1585,'Campos Growths'!$A:$A,0)),""))</f>
        <v/>
      </c>
      <c r="L1585" s="7" t="str">
        <f aca="false">IF(A1585="","",IF(G1585="não","Sem tabela no Growths",IF(I1585="","Sem campo no Growths",IF(J1585=K1585,"Importa direto","Ajustar tipo"))))</f>
        <v/>
      </c>
      <c r="M1585" s="9"/>
    </row>
    <row r="1586" customFormat="false" ht="15" hidden="false" customHeight="false" outlineLevel="0" collapsed="false">
      <c r="A1586" s="7" t="str">
        <f aca="false">IF('Outro banco'!A1586="","",IF(LEFT('Outro banco'!A1586,1)="(","",'Outro banco'!A1586))</f>
        <v/>
      </c>
      <c r="B1586" s="7" t="str">
        <f aca="false">IF(A1586="","",'Outro banco'!B1586)</f>
        <v/>
      </c>
      <c r="C1586" s="7" t="str">
        <f aca="false">IF(A1586="","",'Outro banco'!C1586)</f>
        <v/>
      </c>
      <c r="D1586" s="7" t="str">
        <f aca="false">IF(A1586="","",'Outro banco'!D1586)</f>
        <v/>
      </c>
      <c r="E1586" s="9"/>
      <c r="F1586" s="9"/>
      <c r="G1586" s="7" t="str">
        <f aca="false">IF(A1586="","",IF(COUNTIF(Tabelas!$A:$A,IF(E1586="",A1586,E1586))&gt;0,"sim","não"))</f>
        <v/>
      </c>
      <c r="H1586" s="7" t="str">
        <f aca="false">IF(A1586="","",IF(E1586="",A1586,E1586)&amp;"."&amp;IF(F1586="",B1586,F1586))</f>
        <v/>
      </c>
      <c r="I1586" s="7" t="str">
        <f aca="false">IF(A1586="","",IFERROR(INDEX('Campos Growths'!$F:$F,MATCH(H1586,'Campos Growths'!$A:$A,0)),""))</f>
        <v/>
      </c>
      <c r="J1586" s="7" t="str">
        <f aca="false">IF(A1586="","",IFERROR(VLOOKUP(IF(ISNUMBER(SEARCH("(",C1586)),LEFT(C1586,SEARCH("(",C1586)-1),C1586),Tipos!$A:$B,2,FALSE()),"outro"))</f>
        <v/>
      </c>
      <c r="K1586" s="7" t="str">
        <f aca="false">IF(I1586="","",IFERROR(INDEX('Campos Growths'!$L:$L,MATCH(H1586,'Campos Growths'!$A:$A,0)),""))</f>
        <v/>
      </c>
      <c r="L1586" s="7" t="str">
        <f aca="false">IF(A1586="","",IF(G1586="não","Sem tabela no Growths",IF(I1586="","Sem campo no Growths",IF(J1586=K1586,"Importa direto","Ajustar tipo"))))</f>
        <v/>
      </c>
      <c r="M1586" s="9"/>
    </row>
    <row r="1587" customFormat="false" ht="15" hidden="false" customHeight="false" outlineLevel="0" collapsed="false">
      <c r="A1587" s="7" t="str">
        <f aca="false">IF('Outro banco'!A1587="","",IF(LEFT('Outro banco'!A1587,1)="(","",'Outro banco'!A1587))</f>
        <v/>
      </c>
      <c r="B1587" s="7" t="str">
        <f aca="false">IF(A1587="","",'Outro banco'!B1587)</f>
        <v/>
      </c>
      <c r="C1587" s="7" t="str">
        <f aca="false">IF(A1587="","",'Outro banco'!C1587)</f>
        <v/>
      </c>
      <c r="D1587" s="7" t="str">
        <f aca="false">IF(A1587="","",'Outro banco'!D1587)</f>
        <v/>
      </c>
      <c r="E1587" s="9"/>
      <c r="F1587" s="9"/>
      <c r="G1587" s="7" t="str">
        <f aca="false">IF(A1587="","",IF(COUNTIF(Tabelas!$A:$A,IF(E1587="",A1587,E1587))&gt;0,"sim","não"))</f>
        <v/>
      </c>
      <c r="H1587" s="7" t="str">
        <f aca="false">IF(A1587="","",IF(E1587="",A1587,E1587)&amp;"."&amp;IF(F1587="",B1587,F1587))</f>
        <v/>
      </c>
      <c r="I1587" s="7" t="str">
        <f aca="false">IF(A1587="","",IFERROR(INDEX('Campos Growths'!$F:$F,MATCH(H1587,'Campos Growths'!$A:$A,0)),""))</f>
        <v/>
      </c>
      <c r="J1587" s="7" t="str">
        <f aca="false">IF(A1587="","",IFERROR(VLOOKUP(IF(ISNUMBER(SEARCH("(",C1587)),LEFT(C1587,SEARCH("(",C1587)-1),C1587),Tipos!$A:$B,2,FALSE()),"outro"))</f>
        <v/>
      </c>
      <c r="K1587" s="7" t="str">
        <f aca="false">IF(I1587="","",IFERROR(INDEX('Campos Growths'!$L:$L,MATCH(H1587,'Campos Growths'!$A:$A,0)),""))</f>
        <v/>
      </c>
      <c r="L1587" s="7" t="str">
        <f aca="false">IF(A1587="","",IF(G1587="não","Sem tabela no Growths",IF(I1587="","Sem campo no Growths",IF(J1587=K1587,"Importa direto","Ajustar tipo"))))</f>
        <v/>
      </c>
      <c r="M1587" s="9"/>
    </row>
    <row r="1588" customFormat="false" ht="15" hidden="false" customHeight="false" outlineLevel="0" collapsed="false">
      <c r="A1588" s="7" t="str">
        <f aca="false">IF('Outro banco'!A1588="","",IF(LEFT('Outro banco'!A1588,1)="(","",'Outro banco'!A1588))</f>
        <v/>
      </c>
      <c r="B1588" s="7" t="str">
        <f aca="false">IF(A1588="","",'Outro banco'!B1588)</f>
        <v/>
      </c>
      <c r="C1588" s="7" t="str">
        <f aca="false">IF(A1588="","",'Outro banco'!C1588)</f>
        <v/>
      </c>
      <c r="D1588" s="7" t="str">
        <f aca="false">IF(A1588="","",'Outro banco'!D1588)</f>
        <v/>
      </c>
      <c r="E1588" s="9"/>
      <c r="F1588" s="9"/>
      <c r="G1588" s="7" t="str">
        <f aca="false">IF(A1588="","",IF(COUNTIF(Tabelas!$A:$A,IF(E1588="",A1588,E1588))&gt;0,"sim","não"))</f>
        <v/>
      </c>
      <c r="H1588" s="7" t="str">
        <f aca="false">IF(A1588="","",IF(E1588="",A1588,E1588)&amp;"."&amp;IF(F1588="",B1588,F1588))</f>
        <v/>
      </c>
      <c r="I1588" s="7" t="str">
        <f aca="false">IF(A1588="","",IFERROR(INDEX('Campos Growths'!$F:$F,MATCH(H1588,'Campos Growths'!$A:$A,0)),""))</f>
        <v/>
      </c>
      <c r="J1588" s="7" t="str">
        <f aca="false">IF(A1588="","",IFERROR(VLOOKUP(IF(ISNUMBER(SEARCH("(",C1588)),LEFT(C1588,SEARCH("(",C1588)-1),C1588),Tipos!$A:$B,2,FALSE()),"outro"))</f>
        <v/>
      </c>
      <c r="K1588" s="7" t="str">
        <f aca="false">IF(I1588="","",IFERROR(INDEX('Campos Growths'!$L:$L,MATCH(H1588,'Campos Growths'!$A:$A,0)),""))</f>
        <v/>
      </c>
      <c r="L1588" s="7" t="str">
        <f aca="false">IF(A1588="","",IF(G1588="não","Sem tabela no Growths",IF(I1588="","Sem campo no Growths",IF(J1588=K1588,"Importa direto","Ajustar tipo"))))</f>
        <v/>
      </c>
      <c r="M1588" s="9"/>
    </row>
    <row r="1589" customFormat="false" ht="15" hidden="false" customHeight="false" outlineLevel="0" collapsed="false">
      <c r="A1589" s="7" t="str">
        <f aca="false">IF('Outro banco'!A1589="","",IF(LEFT('Outro banco'!A1589,1)="(","",'Outro banco'!A1589))</f>
        <v/>
      </c>
      <c r="B1589" s="7" t="str">
        <f aca="false">IF(A1589="","",'Outro banco'!B1589)</f>
        <v/>
      </c>
      <c r="C1589" s="7" t="str">
        <f aca="false">IF(A1589="","",'Outro banco'!C1589)</f>
        <v/>
      </c>
      <c r="D1589" s="7" t="str">
        <f aca="false">IF(A1589="","",'Outro banco'!D1589)</f>
        <v/>
      </c>
      <c r="E1589" s="9"/>
      <c r="F1589" s="9"/>
      <c r="G1589" s="7" t="str">
        <f aca="false">IF(A1589="","",IF(COUNTIF(Tabelas!$A:$A,IF(E1589="",A1589,E1589))&gt;0,"sim","não"))</f>
        <v/>
      </c>
      <c r="H1589" s="7" t="str">
        <f aca="false">IF(A1589="","",IF(E1589="",A1589,E1589)&amp;"."&amp;IF(F1589="",B1589,F1589))</f>
        <v/>
      </c>
      <c r="I1589" s="7" t="str">
        <f aca="false">IF(A1589="","",IFERROR(INDEX('Campos Growths'!$F:$F,MATCH(H1589,'Campos Growths'!$A:$A,0)),""))</f>
        <v/>
      </c>
      <c r="J1589" s="7" t="str">
        <f aca="false">IF(A1589="","",IFERROR(VLOOKUP(IF(ISNUMBER(SEARCH("(",C1589)),LEFT(C1589,SEARCH("(",C1589)-1),C1589),Tipos!$A:$B,2,FALSE()),"outro"))</f>
        <v/>
      </c>
      <c r="K1589" s="7" t="str">
        <f aca="false">IF(I1589="","",IFERROR(INDEX('Campos Growths'!$L:$L,MATCH(H1589,'Campos Growths'!$A:$A,0)),""))</f>
        <v/>
      </c>
      <c r="L1589" s="7" t="str">
        <f aca="false">IF(A1589="","",IF(G1589="não","Sem tabela no Growths",IF(I1589="","Sem campo no Growths",IF(J1589=K1589,"Importa direto","Ajustar tipo"))))</f>
        <v/>
      </c>
      <c r="M1589" s="9"/>
    </row>
    <row r="1590" customFormat="false" ht="15" hidden="false" customHeight="false" outlineLevel="0" collapsed="false">
      <c r="A1590" s="7" t="str">
        <f aca="false">IF('Outro banco'!A1590="","",IF(LEFT('Outro banco'!A1590,1)="(","",'Outro banco'!A1590))</f>
        <v/>
      </c>
      <c r="B1590" s="7" t="str">
        <f aca="false">IF(A1590="","",'Outro banco'!B1590)</f>
        <v/>
      </c>
      <c r="C1590" s="7" t="str">
        <f aca="false">IF(A1590="","",'Outro banco'!C1590)</f>
        <v/>
      </c>
      <c r="D1590" s="7" t="str">
        <f aca="false">IF(A1590="","",'Outro banco'!D1590)</f>
        <v/>
      </c>
      <c r="E1590" s="9"/>
      <c r="F1590" s="9"/>
      <c r="G1590" s="7" t="str">
        <f aca="false">IF(A1590="","",IF(COUNTIF(Tabelas!$A:$A,IF(E1590="",A1590,E1590))&gt;0,"sim","não"))</f>
        <v/>
      </c>
      <c r="H1590" s="7" t="str">
        <f aca="false">IF(A1590="","",IF(E1590="",A1590,E1590)&amp;"."&amp;IF(F1590="",B1590,F1590))</f>
        <v/>
      </c>
      <c r="I1590" s="7" t="str">
        <f aca="false">IF(A1590="","",IFERROR(INDEX('Campos Growths'!$F:$F,MATCH(H1590,'Campos Growths'!$A:$A,0)),""))</f>
        <v/>
      </c>
      <c r="J1590" s="7" t="str">
        <f aca="false">IF(A1590="","",IFERROR(VLOOKUP(IF(ISNUMBER(SEARCH("(",C1590)),LEFT(C1590,SEARCH("(",C1590)-1),C1590),Tipos!$A:$B,2,FALSE()),"outro"))</f>
        <v/>
      </c>
      <c r="K1590" s="7" t="str">
        <f aca="false">IF(I1590="","",IFERROR(INDEX('Campos Growths'!$L:$L,MATCH(H1590,'Campos Growths'!$A:$A,0)),""))</f>
        <v/>
      </c>
      <c r="L1590" s="7" t="str">
        <f aca="false">IF(A1590="","",IF(G1590="não","Sem tabela no Growths",IF(I1590="","Sem campo no Growths",IF(J1590=K1590,"Importa direto","Ajustar tipo"))))</f>
        <v/>
      </c>
      <c r="M1590" s="9"/>
    </row>
    <row r="1591" customFormat="false" ht="15" hidden="false" customHeight="false" outlineLevel="0" collapsed="false">
      <c r="A1591" s="7" t="str">
        <f aca="false">IF('Outro banco'!A1591="","",IF(LEFT('Outro banco'!A1591,1)="(","",'Outro banco'!A1591))</f>
        <v/>
      </c>
      <c r="B1591" s="7" t="str">
        <f aca="false">IF(A1591="","",'Outro banco'!B1591)</f>
        <v/>
      </c>
      <c r="C1591" s="7" t="str">
        <f aca="false">IF(A1591="","",'Outro banco'!C1591)</f>
        <v/>
      </c>
      <c r="D1591" s="7" t="str">
        <f aca="false">IF(A1591="","",'Outro banco'!D1591)</f>
        <v/>
      </c>
      <c r="E1591" s="9"/>
      <c r="F1591" s="9"/>
      <c r="G1591" s="7" t="str">
        <f aca="false">IF(A1591="","",IF(COUNTIF(Tabelas!$A:$A,IF(E1591="",A1591,E1591))&gt;0,"sim","não"))</f>
        <v/>
      </c>
      <c r="H1591" s="7" t="str">
        <f aca="false">IF(A1591="","",IF(E1591="",A1591,E1591)&amp;"."&amp;IF(F1591="",B1591,F1591))</f>
        <v/>
      </c>
      <c r="I1591" s="7" t="str">
        <f aca="false">IF(A1591="","",IFERROR(INDEX('Campos Growths'!$F:$F,MATCH(H1591,'Campos Growths'!$A:$A,0)),""))</f>
        <v/>
      </c>
      <c r="J1591" s="7" t="str">
        <f aca="false">IF(A1591="","",IFERROR(VLOOKUP(IF(ISNUMBER(SEARCH("(",C1591)),LEFT(C1591,SEARCH("(",C1591)-1),C1591),Tipos!$A:$B,2,FALSE()),"outro"))</f>
        <v/>
      </c>
      <c r="K1591" s="7" t="str">
        <f aca="false">IF(I1591="","",IFERROR(INDEX('Campos Growths'!$L:$L,MATCH(H1591,'Campos Growths'!$A:$A,0)),""))</f>
        <v/>
      </c>
      <c r="L1591" s="7" t="str">
        <f aca="false">IF(A1591="","",IF(G1591="não","Sem tabela no Growths",IF(I1591="","Sem campo no Growths",IF(J1591=K1591,"Importa direto","Ajustar tipo"))))</f>
        <v/>
      </c>
      <c r="M1591" s="9"/>
    </row>
    <row r="1592" customFormat="false" ht="15" hidden="false" customHeight="false" outlineLevel="0" collapsed="false">
      <c r="A1592" s="7" t="str">
        <f aca="false">IF('Outro banco'!A1592="","",IF(LEFT('Outro banco'!A1592,1)="(","",'Outro banco'!A1592))</f>
        <v/>
      </c>
      <c r="B1592" s="7" t="str">
        <f aca="false">IF(A1592="","",'Outro banco'!B1592)</f>
        <v/>
      </c>
      <c r="C1592" s="7" t="str">
        <f aca="false">IF(A1592="","",'Outro banco'!C1592)</f>
        <v/>
      </c>
      <c r="D1592" s="7" t="str">
        <f aca="false">IF(A1592="","",'Outro banco'!D1592)</f>
        <v/>
      </c>
      <c r="E1592" s="9"/>
      <c r="F1592" s="9"/>
      <c r="G1592" s="7" t="str">
        <f aca="false">IF(A1592="","",IF(COUNTIF(Tabelas!$A:$A,IF(E1592="",A1592,E1592))&gt;0,"sim","não"))</f>
        <v/>
      </c>
      <c r="H1592" s="7" t="str">
        <f aca="false">IF(A1592="","",IF(E1592="",A1592,E1592)&amp;"."&amp;IF(F1592="",B1592,F1592))</f>
        <v/>
      </c>
      <c r="I1592" s="7" t="str">
        <f aca="false">IF(A1592="","",IFERROR(INDEX('Campos Growths'!$F:$F,MATCH(H1592,'Campos Growths'!$A:$A,0)),""))</f>
        <v/>
      </c>
      <c r="J1592" s="7" t="str">
        <f aca="false">IF(A1592="","",IFERROR(VLOOKUP(IF(ISNUMBER(SEARCH("(",C1592)),LEFT(C1592,SEARCH("(",C1592)-1),C1592),Tipos!$A:$B,2,FALSE()),"outro"))</f>
        <v/>
      </c>
      <c r="K1592" s="7" t="str">
        <f aca="false">IF(I1592="","",IFERROR(INDEX('Campos Growths'!$L:$L,MATCH(H1592,'Campos Growths'!$A:$A,0)),""))</f>
        <v/>
      </c>
      <c r="L1592" s="7" t="str">
        <f aca="false">IF(A1592="","",IF(G1592="não","Sem tabela no Growths",IF(I1592="","Sem campo no Growths",IF(J1592=K1592,"Importa direto","Ajustar tipo"))))</f>
        <v/>
      </c>
      <c r="M1592" s="9"/>
    </row>
    <row r="1593" customFormat="false" ht="15" hidden="false" customHeight="false" outlineLevel="0" collapsed="false">
      <c r="A1593" s="7" t="str">
        <f aca="false">IF('Outro banco'!A1593="","",IF(LEFT('Outro banco'!A1593,1)="(","",'Outro banco'!A1593))</f>
        <v/>
      </c>
      <c r="B1593" s="7" t="str">
        <f aca="false">IF(A1593="","",'Outro banco'!B1593)</f>
        <v/>
      </c>
      <c r="C1593" s="7" t="str">
        <f aca="false">IF(A1593="","",'Outro banco'!C1593)</f>
        <v/>
      </c>
      <c r="D1593" s="7" t="str">
        <f aca="false">IF(A1593="","",'Outro banco'!D1593)</f>
        <v/>
      </c>
      <c r="E1593" s="9"/>
      <c r="F1593" s="9"/>
      <c r="G1593" s="7" t="str">
        <f aca="false">IF(A1593="","",IF(COUNTIF(Tabelas!$A:$A,IF(E1593="",A1593,E1593))&gt;0,"sim","não"))</f>
        <v/>
      </c>
      <c r="H1593" s="7" t="str">
        <f aca="false">IF(A1593="","",IF(E1593="",A1593,E1593)&amp;"."&amp;IF(F1593="",B1593,F1593))</f>
        <v/>
      </c>
      <c r="I1593" s="7" t="str">
        <f aca="false">IF(A1593="","",IFERROR(INDEX('Campos Growths'!$F:$F,MATCH(H1593,'Campos Growths'!$A:$A,0)),""))</f>
        <v/>
      </c>
      <c r="J1593" s="7" t="str">
        <f aca="false">IF(A1593="","",IFERROR(VLOOKUP(IF(ISNUMBER(SEARCH("(",C1593)),LEFT(C1593,SEARCH("(",C1593)-1),C1593),Tipos!$A:$B,2,FALSE()),"outro"))</f>
        <v/>
      </c>
      <c r="K1593" s="7" t="str">
        <f aca="false">IF(I1593="","",IFERROR(INDEX('Campos Growths'!$L:$L,MATCH(H1593,'Campos Growths'!$A:$A,0)),""))</f>
        <v/>
      </c>
      <c r="L1593" s="7" t="str">
        <f aca="false">IF(A1593="","",IF(G1593="não","Sem tabela no Growths",IF(I1593="","Sem campo no Growths",IF(J1593=K1593,"Importa direto","Ajustar tipo"))))</f>
        <v/>
      </c>
      <c r="M1593" s="9"/>
    </row>
    <row r="1594" customFormat="false" ht="15" hidden="false" customHeight="false" outlineLevel="0" collapsed="false">
      <c r="A1594" s="7" t="str">
        <f aca="false">IF('Outro banco'!A1594="","",IF(LEFT('Outro banco'!A1594,1)="(","",'Outro banco'!A1594))</f>
        <v/>
      </c>
      <c r="B1594" s="7" t="str">
        <f aca="false">IF(A1594="","",'Outro banco'!B1594)</f>
        <v/>
      </c>
      <c r="C1594" s="7" t="str">
        <f aca="false">IF(A1594="","",'Outro banco'!C1594)</f>
        <v/>
      </c>
      <c r="D1594" s="7" t="str">
        <f aca="false">IF(A1594="","",'Outro banco'!D1594)</f>
        <v/>
      </c>
      <c r="E1594" s="9"/>
      <c r="F1594" s="9"/>
      <c r="G1594" s="7" t="str">
        <f aca="false">IF(A1594="","",IF(COUNTIF(Tabelas!$A:$A,IF(E1594="",A1594,E1594))&gt;0,"sim","não"))</f>
        <v/>
      </c>
      <c r="H1594" s="7" t="str">
        <f aca="false">IF(A1594="","",IF(E1594="",A1594,E1594)&amp;"."&amp;IF(F1594="",B1594,F1594))</f>
        <v/>
      </c>
      <c r="I1594" s="7" t="str">
        <f aca="false">IF(A1594="","",IFERROR(INDEX('Campos Growths'!$F:$F,MATCH(H1594,'Campos Growths'!$A:$A,0)),""))</f>
        <v/>
      </c>
      <c r="J1594" s="7" t="str">
        <f aca="false">IF(A1594="","",IFERROR(VLOOKUP(IF(ISNUMBER(SEARCH("(",C1594)),LEFT(C1594,SEARCH("(",C1594)-1),C1594),Tipos!$A:$B,2,FALSE()),"outro"))</f>
        <v/>
      </c>
      <c r="K1594" s="7" t="str">
        <f aca="false">IF(I1594="","",IFERROR(INDEX('Campos Growths'!$L:$L,MATCH(H1594,'Campos Growths'!$A:$A,0)),""))</f>
        <v/>
      </c>
      <c r="L1594" s="7" t="str">
        <f aca="false">IF(A1594="","",IF(G1594="não","Sem tabela no Growths",IF(I1594="","Sem campo no Growths",IF(J1594=K1594,"Importa direto","Ajustar tipo"))))</f>
        <v/>
      </c>
      <c r="M1594" s="9"/>
    </row>
    <row r="1595" customFormat="false" ht="15" hidden="false" customHeight="false" outlineLevel="0" collapsed="false">
      <c r="A1595" s="7" t="str">
        <f aca="false">IF('Outro banco'!A1595="","",IF(LEFT('Outro banco'!A1595,1)="(","",'Outro banco'!A1595))</f>
        <v/>
      </c>
      <c r="B1595" s="7" t="str">
        <f aca="false">IF(A1595="","",'Outro banco'!B1595)</f>
        <v/>
      </c>
      <c r="C1595" s="7" t="str">
        <f aca="false">IF(A1595="","",'Outro banco'!C1595)</f>
        <v/>
      </c>
      <c r="D1595" s="7" t="str">
        <f aca="false">IF(A1595="","",'Outro banco'!D1595)</f>
        <v/>
      </c>
      <c r="E1595" s="9"/>
      <c r="F1595" s="9"/>
      <c r="G1595" s="7" t="str">
        <f aca="false">IF(A1595="","",IF(COUNTIF(Tabelas!$A:$A,IF(E1595="",A1595,E1595))&gt;0,"sim","não"))</f>
        <v/>
      </c>
      <c r="H1595" s="7" t="str">
        <f aca="false">IF(A1595="","",IF(E1595="",A1595,E1595)&amp;"."&amp;IF(F1595="",B1595,F1595))</f>
        <v/>
      </c>
      <c r="I1595" s="7" t="str">
        <f aca="false">IF(A1595="","",IFERROR(INDEX('Campos Growths'!$F:$F,MATCH(H1595,'Campos Growths'!$A:$A,0)),""))</f>
        <v/>
      </c>
      <c r="J1595" s="7" t="str">
        <f aca="false">IF(A1595="","",IFERROR(VLOOKUP(IF(ISNUMBER(SEARCH("(",C1595)),LEFT(C1595,SEARCH("(",C1595)-1),C1595),Tipos!$A:$B,2,FALSE()),"outro"))</f>
        <v/>
      </c>
      <c r="K1595" s="7" t="str">
        <f aca="false">IF(I1595="","",IFERROR(INDEX('Campos Growths'!$L:$L,MATCH(H1595,'Campos Growths'!$A:$A,0)),""))</f>
        <v/>
      </c>
      <c r="L1595" s="7" t="str">
        <f aca="false">IF(A1595="","",IF(G1595="não","Sem tabela no Growths",IF(I1595="","Sem campo no Growths",IF(J1595=K1595,"Importa direto","Ajustar tipo"))))</f>
        <v/>
      </c>
      <c r="M1595" s="9"/>
    </row>
    <row r="1596" customFormat="false" ht="15" hidden="false" customHeight="false" outlineLevel="0" collapsed="false">
      <c r="A1596" s="7" t="str">
        <f aca="false">IF('Outro banco'!A1596="","",IF(LEFT('Outro banco'!A1596,1)="(","",'Outro banco'!A1596))</f>
        <v/>
      </c>
      <c r="B1596" s="7" t="str">
        <f aca="false">IF(A1596="","",'Outro banco'!B1596)</f>
        <v/>
      </c>
      <c r="C1596" s="7" t="str">
        <f aca="false">IF(A1596="","",'Outro banco'!C1596)</f>
        <v/>
      </c>
      <c r="D1596" s="7" t="str">
        <f aca="false">IF(A1596="","",'Outro banco'!D1596)</f>
        <v/>
      </c>
      <c r="E1596" s="9"/>
      <c r="F1596" s="9"/>
      <c r="G1596" s="7" t="str">
        <f aca="false">IF(A1596="","",IF(COUNTIF(Tabelas!$A:$A,IF(E1596="",A1596,E1596))&gt;0,"sim","não"))</f>
        <v/>
      </c>
      <c r="H1596" s="7" t="str">
        <f aca="false">IF(A1596="","",IF(E1596="",A1596,E1596)&amp;"."&amp;IF(F1596="",B1596,F1596))</f>
        <v/>
      </c>
      <c r="I1596" s="7" t="str">
        <f aca="false">IF(A1596="","",IFERROR(INDEX('Campos Growths'!$F:$F,MATCH(H1596,'Campos Growths'!$A:$A,0)),""))</f>
        <v/>
      </c>
      <c r="J1596" s="7" t="str">
        <f aca="false">IF(A1596="","",IFERROR(VLOOKUP(IF(ISNUMBER(SEARCH("(",C1596)),LEFT(C1596,SEARCH("(",C1596)-1),C1596),Tipos!$A:$B,2,FALSE()),"outro"))</f>
        <v/>
      </c>
      <c r="K1596" s="7" t="str">
        <f aca="false">IF(I1596="","",IFERROR(INDEX('Campos Growths'!$L:$L,MATCH(H1596,'Campos Growths'!$A:$A,0)),""))</f>
        <v/>
      </c>
      <c r="L1596" s="7" t="str">
        <f aca="false">IF(A1596="","",IF(G1596="não","Sem tabela no Growths",IF(I1596="","Sem campo no Growths",IF(J1596=K1596,"Importa direto","Ajustar tipo"))))</f>
        <v/>
      </c>
      <c r="M1596" s="9"/>
    </row>
    <row r="1597" customFormat="false" ht="15" hidden="false" customHeight="false" outlineLevel="0" collapsed="false">
      <c r="A1597" s="7" t="str">
        <f aca="false">IF('Outro banco'!A1597="","",IF(LEFT('Outro banco'!A1597,1)="(","",'Outro banco'!A1597))</f>
        <v/>
      </c>
      <c r="B1597" s="7" t="str">
        <f aca="false">IF(A1597="","",'Outro banco'!B1597)</f>
        <v/>
      </c>
      <c r="C1597" s="7" t="str">
        <f aca="false">IF(A1597="","",'Outro banco'!C1597)</f>
        <v/>
      </c>
      <c r="D1597" s="7" t="str">
        <f aca="false">IF(A1597="","",'Outro banco'!D1597)</f>
        <v/>
      </c>
      <c r="E1597" s="9"/>
      <c r="F1597" s="9"/>
      <c r="G1597" s="7" t="str">
        <f aca="false">IF(A1597="","",IF(COUNTIF(Tabelas!$A:$A,IF(E1597="",A1597,E1597))&gt;0,"sim","não"))</f>
        <v/>
      </c>
      <c r="H1597" s="7" t="str">
        <f aca="false">IF(A1597="","",IF(E1597="",A1597,E1597)&amp;"."&amp;IF(F1597="",B1597,F1597))</f>
        <v/>
      </c>
      <c r="I1597" s="7" t="str">
        <f aca="false">IF(A1597="","",IFERROR(INDEX('Campos Growths'!$F:$F,MATCH(H1597,'Campos Growths'!$A:$A,0)),""))</f>
        <v/>
      </c>
      <c r="J1597" s="7" t="str">
        <f aca="false">IF(A1597="","",IFERROR(VLOOKUP(IF(ISNUMBER(SEARCH("(",C1597)),LEFT(C1597,SEARCH("(",C1597)-1),C1597),Tipos!$A:$B,2,FALSE()),"outro"))</f>
        <v/>
      </c>
      <c r="K1597" s="7" t="str">
        <f aca="false">IF(I1597="","",IFERROR(INDEX('Campos Growths'!$L:$L,MATCH(H1597,'Campos Growths'!$A:$A,0)),""))</f>
        <v/>
      </c>
      <c r="L1597" s="7" t="str">
        <f aca="false">IF(A1597="","",IF(G1597="não","Sem tabela no Growths",IF(I1597="","Sem campo no Growths",IF(J1597=K1597,"Importa direto","Ajustar tipo"))))</f>
        <v/>
      </c>
      <c r="M1597" s="9"/>
    </row>
    <row r="1598" customFormat="false" ht="15" hidden="false" customHeight="false" outlineLevel="0" collapsed="false">
      <c r="A1598" s="7" t="str">
        <f aca="false">IF('Outro banco'!A1598="","",IF(LEFT('Outro banco'!A1598,1)="(","",'Outro banco'!A1598))</f>
        <v/>
      </c>
      <c r="B1598" s="7" t="str">
        <f aca="false">IF(A1598="","",'Outro banco'!B1598)</f>
        <v/>
      </c>
      <c r="C1598" s="7" t="str">
        <f aca="false">IF(A1598="","",'Outro banco'!C1598)</f>
        <v/>
      </c>
      <c r="D1598" s="7" t="str">
        <f aca="false">IF(A1598="","",'Outro banco'!D1598)</f>
        <v/>
      </c>
      <c r="E1598" s="9"/>
      <c r="F1598" s="9"/>
      <c r="G1598" s="7" t="str">
        <f aca="false">IF(A1598="","",IF(COUNTIF(Tabelas!$A:$A,IF(E1598="",A1598,E1598))&gt;0,"sim","não"))</f>
        <v/>
      </c>
      <c r="H1598" s="7" t="str">
        <f aca="false">IF(A1598="","",IF(E1598="",A1598,E1598)&amp;"."&amp;IF(F1598="",B1598,F1598))</f>
        <v/>
      </c>
      <c r="I1598" s="7" t="str">
        <f aca="false">IF(A1598="","",IFERROR(INDEX('Campos Growths'!$F:$F,MATCH(H1598,'Campos Growths'!$A:$A,0)),""))</f>
        <v/>
      </c>
      <c r="J1598" s="7" t="str">
        <f aca="false">IF(A1598="","",IFERROR(VLOOKUP(IF(ISNUMBER(SEARCH("(",C1598)),LEFT(C1598,SEARCH("(",C1598)-1),C1598),Tipos!$A:$B,2,FALSE()),"outro"))</f>
        <v/>
      </c>
      <c r="K1598" s="7" t="str">
        <f aca="false">IF(I1598="","",IFERROR(INDEX('Campos Growths'!$L:$L,MATCH(H1598,'Campos Growths'!$A:$A,0)),""))</f>
        <v/>
      </c>
      <c r="L1598" s="7" t="str">
        <f aca="false">IF(A1598="","",IF(G1598="não","Sem tabela no Growths",IF(I1598="","Sem campo no Growths",IF(J1598=K1598,"Importa direto","Ajustar tipo"))))</f>
        <v/>
      </c>
      <c r="M1598" s="9"/>
    </row>
    <row r="1599" customFormat="false" ht="15" hidden="false" customHeight="false" outlineLevel="0" collapsed="false">
      <c r="A1599" s="7" t="str">
        <f aca="false">IF('Outro banco'!A1599="","",IF(LEFT('Outro banco'!A1599,1)="(","",'Outro banco'!A1599))</f>
        <v/>
      </c>
      <c r="B1599" s="7" t="str">
        <f aca="false">IF(A1599="","",'Outro banco'!B1599)</f>
        <v/>
      </c>
      <c r="C1599" s="7" t="str">
        <f aca="false">IF(A1599="","",'Outro banco'!C1599)</f>
        <v/>
      </c>
      <c r="D1599" s="7" t="str">
        <f aca="false">IF(A1599="","",'Outro banco'!D1599)</f>
        <v/>
      </c>
      <c r="E1599" s="9"/>
      <c r="F1599" s="9"/>
      <c r="G1599" s="7" t="str">
        <f aca="false">IF(A1599="","",IF(COUNTIF(Tabelas!$A:$A,IF(E1599="",A1599,E1599))&gt;0,"sim","não"))</f>
        <v/>
      </c>
      <c r="H1599" s="7" t="str">
        <f aca="false">IF(A1599="","",IF(E1599="",A1599,E1599)&amp;"."&amp;IF(F1599="",B1599,F1599))</f>
        <v/>
      </c>
      <c r="I1599" s="7" t="str">
        <f aca="false">IF(A1599="","",IFERROR(INDEX('Campos Growths'!$F:$F,MATCH(H1599,'Campos Growths'!$A:$A,0)),""))</f>
        <v/>
      </c>
      <c r="J1599" s="7" t="str">
        <f aca="false">IF(A1599="","",IFERROR(VLOOKUP(IF(ISNUMBER(SEARCH("(",C1599)),LEFT(C1599,SEARCH("(",C1599)-1),C1599),Tipos!$A:$B,2,FALSE()),"outro"))</f>
        <v/>
      </c>
      <c r="K1599" s="7" t="str">
        <f aca="false">IF(I1599="","",IFERROR(INDEX('Campos Growths'!$L:$L,MATCH(H1599,'Campos Growths'!$A:$A,0)),""))</f>
        <v/>
      </c>
      <c r="L1599" s="7" t="str">
        <f aca="false">IF(A1599="","",IF(G1599="não","Sem tabela no Growths",IF(I1599="","Sem campo no Growths",IF(J1599=K1599,"Importa direto","Ajustar tipo"))))</f>
        <v/>
      </c>
      <c r="M1599" s="9"/>
    </row>
    <row r="1600" customFormat="false" ht="15" hidden="false" customHeight="false" outlineLevel="0" collapsed="false">
      <c r="A1600" s="7" t="str">
        <f aca="false">IF('Outro banco'!A1600="","",IF(LEFT('Outro banco'!A1600,1)="(","",'Outro banco'!A1600))</f>
        <v/>
      </c>
      <c r="B1600" s="7" t="str">
        <f aca="false">IF(A1600="","",'Outro banco'!B1600)</f>
        <v/>
      </c>
      <c r="C1600" s="7" t="str">
        <f aca="false">IF(A1600="","",'Outro banco'!C1600)</f>
        <v/>
      </c>
      <c r="D1600" s="7" t="str">
        <f aca="false">IF(A1600="","",'Outro banco'!D1600)</f>
        <v/>
      </c>
      <c r="E1600" s="9"/>
      <c r="F1600" s="9"/>
      <c r="G1600" s="7" t="str">
        <f aca="false">IF(A1600="","",IF(COUNTIF(Tabelas!$A:$A,IF(E1600="",A1600,E1600))&gt;0,"sim","não"))</f>
        <v/>
      </c>
      <c r="H1600" s="7" t="str">
        <f aca="false">IF(A1600="","",IF(E1600="",A1600,E1600)&amp;"."&amp;IF(F1600="",B1600,F1600))</f>
        <v/>
      </c>
      <c r="I1600" s="7" t="str">
        <f aca="false">IF(A1600="","",IFERROR(INDEX('Campos Growths'!$F:$F,MATCH(H1600,'Campos Growths'!$A:$A,0)),""))</f>
        <v/>
      </c>
      <c r="J1600" s="7" t="str">
        <f aca="false">IF(A1600="","",IFERROR(VLOOKUP(IF(ISNUMBER(SEARCH("(",C1600)),LEFT(C1600,SEARCH("(",C1600)-1),C1600),Tipos!$A:$B,2,FALSE()),"outro"))</f>
        <v/>
      </c>
      <c r="K1600" s="7" t="str">
        <f aca="false">IF(I1600="","",IFERROR(INDEX('Campos Growths'!$L:$L,MATCH(H1600,'Campos Growths'!$A:$A,0)),""))</f>
        <v/>
      </c>
      <c r="L1600" s="7" t="str">
        <f aca="false">IF(A1600="","",IF(G1600="não","Sem tabela no Growths",IF(I1600="","Sem campo no Growths",IF(J1600=K1600,"Importa direto","Ajustar tipo"))))</f>
        <v/>
      </c>
      <c r="M1600" s="9"/>
    </row>
    <row r="1601" customFormat="false" ht="15" hidden="false" customHeight="false" outlineLevel="0" collapsed="false">
      <c r="A1601" s="7" t="str">
        <f aca="false">IF('Outro banco'!A1601="","",IF(LEFT('Outro banco'!A1601,1)="(","",'Outro banco'!A1601))</f>
        <v/>
      </c>
      <c r="B1601" s="7" t="str">
        <f aca="false">IF(A1601="","",'Outro banco'!B1601)</f>
        <v/>
      </c>
      <c r="C1601" s="7" t="str">
        <f aca="false">IF(A1601="","",'Outro banco'!C1601)</f>
        <v/>
      </c>
      <c r="D1601" s="7" t="str">
        <f aca="false">IF(A1601="","",'Outro banco'!D1601)</f>
        <v/>
      </c>
      <c r="E1601" s="9"/>
      <c r="F1601" s="9"/>
      <c r="G1601" s="7" t="str">
        <f aca="false">IF(A1601="","",IF(COUNTIF(Tabelas!$A:$A,IF(E1601="",A1601,E1601))&gt;0,"sim","não"))</f>
        <v/>
      </c>
      <c r="H1601" s="7" t="str">
        <f aca="false">IF(A1601="","",IF(E1601="",A1601,E1601)&amp;"."&amp;IF(F1601="",B1601,F1601))</f>
        <v/>
      </c>
      <c r="I1601" s="7" t="str">
        <f aca="false">IF(A1601="","",IFERROR(INDEX('Campos Growths'!$F:$F,MATCH(H1601,'Campos Growths'!$A:$A,0)),""))</f>
        <v/>
      </c>
      <c r="J1601" s="7" t="str">
        <f aca="false">IF(A1601="","",IFERROR(VLOOKUP(IF(ISNUMBER(SEARCH("(",C1601)),LEFT(C1601,SEARCH("(",C1601)-1),C1601),Tipos!$A:$B,2,FALSE()),"outro"))</f>
        <v/>
      </c>
      <c r="K1601" s="7" t="str">
        <f aca="false">IF(I1601="","",IFERROR(INDEX('Campos Growths'!$L:$L,MATCH(H1601,'Campos Growths'!$A:$A,0)),""))</f>
        <v/>
      </c>
      <c r="L1601" s="7" t="str">
        <f aca="false">IF(A1601="","",IF(G1601="não","Sem tabela no Growths",IF(I1601="","Sem campo no Growths",IF(J1601=K1601,"Importa direto","Ajustar tipo"))))</f>
        <v/>
      </c>
      <c r="M1601" s="9"/>
    </row>
    <row r="1602" customFormat="false" ht="15" hidden="false" customHeight="false" outlineLevel="0" collapsed="false">
      <c r="A1602" s="7" t="str">
        <f aca="false">IF('Outro banco'!A1602="","",IF(LEFT('Outro banco'!A1602,1)="(","",'Outro banco'!A1602))</f>
        <v/>
      </c>
      <c r="B1602" s="7" t="str">
        <f aca="false">IF(A1602="","",'Outro banco'!B1602)</f>
        <v/>
      </c>
      <c r="C1602" s="7" t="str">
        <f aca="false">IF(A1602="","",'Outro banco'!C1602)</f>
        <v/>
      </c>
      <c r="D1602" s="7" t="str">
        <f aca="false">IF(A1602="","",'Outro banco'!D1602)</f>
        <v/>
      </c>
      <c r="E1602" s="9"/>
      <c r="F1602" s="9"/>
      <c r="G1602" s="7" t="str">
        <f aca="false">IF(A1602="","",IF(COUNTIF(Tabelas!$A:$A,IF(E1602="",A1602,E1602))&gt;0,"sim","não"))</f>
        <v/>
      </c>
      <c r="H1602" s="7" t="str">
        <f aca="false">IF(A1602="","",IF(E1602="",A1602,E1602)&amp;"."&amp;IF(F1602="",B1602,F1602))</f>
        <v/>
      </c>
      <c r="I1602" s="7" t="str">
        <f aca="false">IF(A1602="","",IFERROR(INDEX('Campos Growths'!$F:$F,MATCH(H1602,'Campos Growths'!$A:$A,0)),""))</f>
        <v/>
      </c>
      <c r="J1602" s="7" t="str">
        <f aca="false">IF(A1602="","",IFERROR(VLOOKUP(IF(ISNUMBER(SEARCH("(",C1602)),LEFT(C1602,SEARCH("(",C1602)-1),C1602),Tipos!$A:$B,2,FALSE()),"outro"))</f>
        <v/>
      </c>
      <c r="K1602" s="7" t="str">
        <f aca="false">IF(I1602="","",IFERROR(INDEX('Campos Growths'!$L:$L,MATCH(H1602,'Campos Growths'!$A:$A,0)),""))</f>
        <v/>
      </c>
      <c r="L1602" s="7" t="str">
        <f aca="false">IF(A1602="","",IF(G1602="não","Sem tabela no Growths",IF(I1602="","Sem campo no Growths",IF(J1602=K1602,"Importa direto","Ajustar tipo"))))</f>
        <v/>
      </c>
      <c r="M1602" s="9"/>
    </row>
    <row r="1603" customFormat="false" ht="15" hidden="false" customHeight="false" outlineLevel="0" collapsed="false">
      <c r="A1603" s="7" t="str">
        <f aca="false">IF('Outro banco'!A1603="","",IF(LEFT('Outro banco'!A1603,1)="(","",'Outro banco'!A1603))</f>
        <v/>
      </c>
      <c r="B1603" s="7" t="str">
        <f aca="false">IF(A1603="","",'Outro banco'!B1603)</f>
        <v/>
      </c>
      <c r="C1603" s="7" t="str">
        <f aca="false">IF(A1603="","",'Outro banco'!C1603)</f>
        <v/>
      </c>
      <c r="D1603" s="7" t="str">
        <f aca="false">IF(A1603="","",'Outro banco'!D1603)</f>
        <v/>
      </c>
      <c r="E1603" s="9"/>
      <c r="F1603" s="9"/>
      <c r="G1603" s="7" t="str">
        <f aca="false">IF(A1603="","",IF(COUNTIF(Tabelas!$A:$A,IF(E1603="",A1603,E1603))&gt;0,"sim","não"))</f>
        <v/>
      </c>
      <c r="H1603" s="7" t="str">
        <f aca="false">IF(A1603="","",IF(E1603="",A1603,E1603)&amp;"."&amp;IF(F1603="",B1603,F1603))</f>
        <v/>
      </c>
      <c r="I1603" s="7" t="str">
        <f aca="false">IF(A1603="","",IFERROR(INDEX('Campos Growths'!$F:$F,MATCH(H1603,'Campos Growths'!$A:$A,0)),""))</f>
        <v/>
      </c>
      <c r="J1603" s="7" t="str">
        <f aca="false">IF(A1603="","",IFERROR(VLOOKUP(IF(ISNUMBER(SEARCH("(",C1603)),LEFT(C1603,SEARCH("(",C1603)-1),C1603),Tipos!$A:$B,2,FALSE()),"outro"))</f>
        <v/>
      </c>
      <c r="K1603" s="7" t="str">
        <f aca="false">IF(I1603="","",IFERROR(INDEX('Campos Growths'!$L:$L,MATCH(H1603,'Campos Growths'!$A:$A,0)),""))</f>
        <v/>
      </c>
      <c r="L1603" s="7" t="str">
        <f aca="false">IF(A1603="","",IF(G1603="não","Sem tabela no Growths",IF(I1603="","Sem campo no Growths",IF(J1603=K1603,"Importa direto","Ajustar tipo"))))</f>
        <v/>
      </c>
      <c r="M1603" s="9"/>
    </row>
    <row r="1604" customFormat="false" ht="15" hidden="false" customHeight="false" outlineLevel="0" collapsed="false">
      <c r="A1604" s="7" t="str">
        <f aca="false">IF('Outro banco'!A1604="","",IF(LEFT('Outro banco'!A1604,1)="(","",'Outro banco'!A1604))</f>
        <v/>
      </c>
      <c r="B1604" s="7" t="str">
        <f aca="false">IF(A1604="","",'Outro banco'!B1604)</f>
        <v/>
      </c>
      <c r="C1604" s="7" t="str">
        <f aca="false">IF(A1604="","",'Outro banco'!C1604)</f>
        <v/>
      </c>
      <c r="D1604" s="7" t="str">
        <f aca="false">IF(A1604="","",'Outro banco'!D1604)</f>
        <v/>
      </c>
      <c r="E1604" s="9"/>
      <c r="F1604" s="9"/>
      <c r="G1604" s="7" t="str">
        <f aca="false">IF(A1604="","",IF(COUNTIF(Tabelas!$A:$A,IF(E1604="",A1604,E1604))&gt;0,"sim","não"))</f>
        <v/>
      </c>
      <c r="H1604" s="7" t="str">
        <f aca="false">IF(A1604="","",IF(E1604="",A1604,E1604)&amp;"."&amp;IF(F1604="",B1604,F1604))</f>
        <v/>
      </c>
      <c r="I1604" s="7" t="str">
        <f aca="false">IF(A1604="","",IFERROR(INDEX('Campos Growths'!$F:$F,MATCH(H1604,'Campos Growths'!$A:$A,0)),""))</f>
        <v/>
      </c>
      <c r="J1604" s="7" t="str">
        <f aca="false">IF(A1604="","",IFERROR(VLOOKUP(IF(ISNUMBER(SEARCH("(",C1604)),LEFT(C1604,SEARCH("(",C1604)-1),C1604),Tipos!$A:$B,2,FALSE()),"outro"))</f>
        <v/>
      </c>
      <c r="K1604" s="7" t="str">
        <f aca="false">IF(I1604="","",IFERROR(INDEX('Campos Growths'!$L:$L,MATCH(H1604,'Campos Growths'!$A:$A,0)),""))</f>
        <v/>
      </c>
      <c r="L1604" s="7" t="str">
        <f aca="false">IF(A1604="","",IF(G1604="não","Sem tabela no Growths",IF(I1604="","Sem campo no Growths",IF(J1604=K1604,"Importa direto","Ajustar tipo"))))</f>
        <v/>
      </c>
      <c r="M1604" s="9"/>
    </row>
    <row r="1605" customFormat="false" ht="15" hidden="false" customHeight="false" outlineLevel="0" collapsed="false">
      <c r="A1605" s="7" t="str">
        <f aca="false">IF('Outro banco'!A1605="","",IF(LEFT('Outro banco'!A1605,1)="(","",'Outro banco'!A1605))</f>
        <v/>
      </c>
      <c r="B1605" s="7" t="str">
        <f aca="false">IF(A1605="","",'Outro banco'!B1605)</f>
        <v/>
      </c>
      <c r="C1605" s="7" t="str">
        <f aca="false">IF(A1605="","",'Outro banco'!C1605)</f>
        <v/>
      </c>
      <c r="D1605" s="7" t="str">
        <f aca="false">IF(A1605="","",'Outro banco'!D1605)</f>
        <v/>
      </c>
      <c r="E1605" s="9"/>
      <c r="F1605" s="9"/>
      <c r="G1605" s="7" t="str">
        <f aca="false">IF(A1605="","",IF(COUNTIF(Tabelas!$A:$A,IF(E1605="",A1605,E1605))&gt;0,"sim","não"))</f>
        <v/>
      </c>
      <c r="H1605" s="7" t="str">
        <f aca="false">IF(A1605="","",IF(E1605="",A1605,E1605)&amp;"."&amp;IF(F1605="",B1605,F1605))</f>
        <v/>
      </c>
      <c r="I1605" s="7" t="str">
        <f aca="false">IF(A1605="","",IFERROR(INDEX('Campos Growths'!$F:$F,MATCH(H1605,'Campos Growths'!$A:$A,0)),""))</f>
        <v/>
      </c>
      <c r="J1605" s="7" t="str">
        <f aca="false">IF(A1605="","",IFERROR(VLOOKUP(IF(ISNUMBER(SEARCH("(",C1605)),LEFT(C1605,SEARCH("(",C1605)-1),C1605),Tipos!$A:$B,2,FALSE()),"outro"))</f>
        <v/>
      </c>
      <c r="K1605" s="7" t="str">
        <f aca="false">IF(I1605="","",IFERROR(INDEX('Campos Growths'!$L:$L,MATCH(H1605,'Campos Growths'!$A:$A,0)),""))</f>
        <v/>
      </c>
      <c r="L1605" s="7" t="str">
        <f aca="false">IF(A1605="","",IF(G1605="não","Sem tabela no Growths",IF(I1605="","Sem campo no Growths",IF(J1605=K1605,"Importa direto","Ajustar tipo"))))</f>
        <v/>
      </c>
      <c r="M1605" s="9"/>
    </row>
    <row r="1606" customFormat="false" ht="15" hidden="false" customHeight="false" outlineLevel="0" collapsed="false">
      <c r="A1606" s="7" t="str">
        <f aca="false">IF('Outro banco'!A1606="","",IF(LEFT('Outro banco'!A1606,1)="(","",'Outro banco'!A1606))</f>
        <v/>
      </c>
      <c r="B1606" s="7" t="str">
        <f aca="false">IF(A1606="","",'Outro banco'!B1606)</f>
        <v/>
      </c>
      <c r="C1606" s="7" t="str">
        <f aca="false">IF(A1606="","",'Outro banco'!C1606)</f>
        <v/>
      </c>
      <c r="D1606" s="7" t="str">
        <f aca="false">IF(A1606="","",'Outro banco'!D1606)</f>
        <v/>
      </c>
      <c r="E1606" s="9"/>
      <c r="F1606" s="9"/>
      <c r="G1606" s="7" t="str">
        <f aca="false">IF(A1606="","",IF(COUNTIF(Tabelas!$A:$A,IF(E1606="",A1606,E1606))&gt;0,"sim","não"))</f>
        <v/>
      </c>
      <c r="H1606" s="7" t="str">
        <f aca="false">IF(A1606="","",IF(E1606="",A1606,E1606)&amp;"."&amp;IF(F1606="",B1606,F1606))</f>
        <v/>
      </c>
      <c r="I1606" s="7" t="str">
        <f aca="false">IF(A1606="","",IFERROR(INDEX('Campos Growths'!$F:$F,MATCH(H1606,'Campos Growths'!$A:$A,0)),""))</f>
        <v/>
      </c>
      <c r="J1606" s="7" t="str">
        <f aca="false">IF(A1606="","",IFERROR(VLOOKUP(IF(ISNUMBER(SEARCH("(",C1606)),LEFT(C1606,SEARCH("(",C1606)-1),C1606),Tipos!$A:$B,2,FALSE()),"outro"))</f>
        <v/>
      </c>
      <c r="K1606" s="7" t="str">
        <f aca="false">IF(I1606="","",IFERROR(INDEX('Campos Growths'!$L:$L,MATCH(H1606,'Campos Growths'!$A:$A,0)),""))</f>
        <v/>
      </c>
      <c r="L1606" s="7" t="str">
        <f aca="false">IF(A1606="","",IF(G1606="não","Sem tabela no Growths",IF(I1606="","Sem campo no Growths",IF(J1606=K1606,"Importa direto","Ajustar tipo"))))</f>
        <v/>
      </c>
      <c r="M1606" s="9"/>
    </row>
    <row r="1607" customFormat="false" ht="15" hidden="false" customHeight="false" outlineLevel="0" collapsed="false">
      <c r="A1607" s="7" t="str">
        <f aca="false">IF('Outro banco'!A1607="","",IF(LEFT('Outro banco'!A1607,1)="(","",'Outro banco'!A1607))</f>
        <v/>
      </c>
      <c r="B1607" s="7" t="str">
        <f aca="false">IF(A1607="","",'Outro banco'!B1607)</f>
        <v/>
      </c>
      <c r="C1607" s="7" t="str">
        <f aca="false">IF(A1607="","",'Outro banco'!C1607)</f>
        <v/>
      </c>
      <c r="D1607" s="7" t="str">
        <f aca="false">IF(A1607="","",'Outro banco'!D1607)</f>
        <v/>
      </c>
      <c r="E1607" s="9"/>
      <c r="F1607" s="9"/>
      <c r="G1607" s="7" t="str">
        <f aca="false">IF(A1607="","",IF(COUNTIF(Tabelas!$A:$A,IF(E1607="",A1607,E1607))&gt;0,"sim","não"))</f>
        <v/>
      </c>
      <c r="H1607" s="7" t="str">
        <f aca="false">IF(A1607="","",IF(E1607="",A1607,E1607)&amp;"."&amp;IF(F1607="",B1607,F1607))</f>
        <v/>
      </c>
      <c r="I1607" s="7" t="str">
        <f aca="false">IF(A1607="","",IFERROR(INDEX('Campos Growths'!$F:$F,MATCH(H1607,'Campos Growths'!$A:$A,0)),""))</f>
        <v/>
      </c>
      <c r="J1607" s="7" t="str">
        <f aca="false">IF(A1607="","",IFERROR(VLOOKUP(IF(ISNUMBER(SEARCH("(",C1607)),LEFT(C1607,SEARCH("(",C1607)-1),C1607),Tipos!$A:$B,2,FALSE()),"outro"))</f>
        <v/>
      </c>
      <c r="K1607" s="7" t="str">
        <f aca="false">IF(I1607="","",IFERROR(INDEX('Campos Growths'!$L:$L,MATCH(H1607,'Campos Growths'!$A:$A,0)),""))</f>
        <v/>
      </c>
      <c r="L1607" s="7" t="str">
        <f aca="false">IF(A1607="","",IF(G1607="não","Sem tabela no Growths",IF(I1607="","Sem campo no Growths",IF(J1607=K1607,"Importa direto","Ajustar tipo"))))</f>
        <v/>
      </c>
      <c r="M1607" s="9"/>
    </row>
    <row r="1608" customFormat="false" ht="15" hidden="false" customHeight="false" outlineLevel="0" collapsed="false">
      <c r="A1608" s="7" t="str">
        <f aca="false">IF('Outro banco'!A1608="","",IF(LEFT('Outro banco'!A1608,1)="(","",'Outro banco'!A1608))</f>
        <v/>
      </c>
      <c r="B1608" s="7" t="str">
        <f aca="false">IF(A1608="","",'Outro banco'!B1608)</f>
        <v/>
      </c>
      <c r="C1608" s="7" t="str">
        <f aca="false">IF(A1608="","",'Outro banco'!C1608)</f>
        <v/>
      </c>
      <c r="D1608" s="7" t="str">
        <f aca="false">IF(A1608="","",'Outro banco'!D1608)</f>
        <v/>
      </c>
      <c r="E1608" s="9"/>
      <c r="F1608" s="9"/>
      <c r="G1608" s="7" t="str">
        <f aca="false">IF(A1608="","",IF(COUNTIF(Tabelas!$A:$A,IF(E1608="",A1608,E1608))&gt;0,"sim","não"))</f>
        <v/>
      </c>
      <c r="H1608" s="7" t="str">
        <f aca="false">IF(A1608="","",IF(E1608="",A1608,E1608)&amp;"."&amp;IF(F1608="",B1608,F1608))</f>
        <v/>
      </c>
      <c r="I1608" s="7" t="str">
        <f aca="false">IF(A1608="","",IFERROR(INDEX('Campos Growths'!$F:$F,MATCH(H1608,'Campos Growths'!$A:$A,0)),""))</f>
        <v/>
      </c>
      <c r="J1608" s="7" t="str">
        <f aca="false">IF(A1608="","",IFERROR(VLOOKUP(IF(ISNUMBER(SEARCH("(",C1608)),LEFT(C1608,SEARCH("(",C1608)-1),C1608),Tipos!$A:$B,2,FALSE()),"outro"))</f>
        <v/>
      </c>
      <c r="K1608" s="7" t="str">
        <f aca="false">IF(I1608="","",IFERROR(INDEX('Campos Growths'!$L:$L,MATCH(H1608,'Campos Growths'!$A:$A,0)),""))</f>
        <v/>
      </c>
      <c r="L1608" s="7" t="str">
        <f aca="false">IF(A1608="","",IF(G1608="não","Sem tabela no Growths",IF(I1608="","Sem campo no Growths",IF(J1608=K1608,"Importa direto","Ajustar tipo"))))</f>
        <v/>
      </c>
      <c r="M1608" s="9"/>
    </row>
    <row r="1609" customFormat="false" ht="15" hidden="false" customHeight="false" outlineLevel="0" collapsed="false">
      <c r="A1609" s="7" t="str">
        <f aca="false">IF('Outro banco'!A1609="","",IF(LEFT('Outro banco'!A1609,1)="(","",'Outro banco'!A1609))</f>
        <v/>
      </c>
      <c r="B1609" s="7" t="str">
        <f aca="false">IF(A1609="","",'Outro banco'!B1609)</f>
        <v/>
      </c>
      <c r="C1609" s="7" t="str">
        <f aca="false">IF(A1609="","",'Outro banco'!C1609)</f>
        <v/>
      </c>
      <c r="D1609" s="7" t="str">
        <f aca="false">IF(A1609="","",'Outro banco'!D1609)</f>
        <v/>
      </c>
      <c r="E1609" s="9"/>
      <c r="F1609" s="9"/>
      <c r="G1609" s="7" t="str">
        <f aca="false">IF(A1609="","",IF(COUNTIF(Tabelas!$A:$A,IF(E1609="",A1609,E1609))&gt;0,"sim","não"))</f>
        <v/>
      </c>
      <c r="H1609" s="7" t="str">
        <f aca="false">IF(A1609="","",IF(E1609="",A1609,E1609)&amp;"."&amp;IF(F1609="",B1609,F1609))</f>
        <v/>
      </c>
      <c r="I1609" s="7" t="str">
        <f aca="false">IF(A1609="","",IFERROR(INDEX('Campos Growths'!$F:$F,MATCH(H1609,'Campos Growths'!$A:$A,0)),""))</f>
        <v/>
      </c>
      <c r="J1609" s="7" t="str">
        <f aca="false">IF(A1609="","",IFERROR(VLOOKUP(IF(ISNUMBER(SEARCH("(",C1609)),LEFT(C1609,SEARCH("(",C1609)-1),C1609),Tipos!$A:$B,2,FALSE()),"outro"))</f>
        <v/>
      </c>
      <c r="K1609" s="7" t="str">
        <f aca="false">IF(I1609="","",IFERROR(INDEX('Campos Growths'!$L:$L,MATCH(H1609,'Campos Growths'!$A:$A,0)),""))</f>
        <v/>
      </c>
      <c r="L1609" s="7" t="str">
        <f aca="false">IF(A1609="","",IF(G1609="não","Sem tabela no Growths",IF(I1609="","Sem campo no Growths",IF(J1609=K1609,"Importa direto","Ajustar tipo"))))</f>
        <v/>
      </c>
      <c r="M1609" s="9"/>
    </row>
    <row r="1610" customFormat="false" ht="15" hidden="false" customHeight="false" outlineLevel="0" collapsed="false">
      <c r="A1610" s="7" t="str">
        <f aca="false">IF('Outro banco'!A1610="","",IF(LEFT('Outro banco'!A1610,1)="(","",'Outro banco'!A1610))</f>
        <v/>
      </c>
      <c r="B1610" s="7" t="str">
        <f aca="false">IF(A1610="","",'Outro banco'!B1610)</f>
        <v/>
      </c>
      <c r="C1610" s="7" t="str">
        <f aca="false">IF(A1610="","",'Outro banco'!C1610)</f>
        <v/>
      </c>
      <c r="D1610" s="7" t="str">
        <f aca="false">IF(A1610="","",'Outro banco'!D1610)</f>
        <v/>
      </c>
      <c r="E1610" s="9"/>
      <c r="F1610" s="9"/>
      <c r="G1610" s="7" t="str">
        <f aca="false">IF(A1610="","",IF(COUNTIF(Tabelas!$A:$A,IF(E1610="",A1610,E1610))&gt;0,"sim","não"))</f>
        <v/>
      </c>
      <c r="H1610" s="7" t="str">
        <f aca="false">IF(A1610="","",IF(E1610="",A1610,E1610)&amp;"."&amp;IF(F1610="",B1610,F1610))</f>
        <v/>
      </c>
      <c r="I1610" s="7" t="str">
        <f aca="false">IF(A1610="","",IFERROR(INDEX('Campos Growths'!$F:$F,MATCH(H1610,'Campos Growths'!$A:$A,0)),""))</f>
        <v/>
      </c>
      <c r="J1610" s="7" t="str">
        <f aca="false">IF(A1610="","",IFERROR(VLOOKUP(IF(ISNUMBER(SEARCH("(",C1610)),LEFT(C1610,SEARCH("(",C1610)-1),C1610),Tipos!$A:$B,2,FALSE()),"outro"))</f>
        <v/>
      </c>
      <c r="K1610" s="7" t="str">
        <f aca="false">IF(I1610="","",IFERROR(INDEX('Campos Growths'!$L:$L,MATCH(H1610,'Campos Growths'!$A:$A,0)),""))</f>
        <v/>
      </c>
      <c r="L1610" s="7" t="str">
        <f aca="false">IF(A1610="","",IF(G1610="não","Sem tabela no Growths",IF(I1610="","Sem campo no Growths",IF(J1610=K1610,"Importa direto","Ajustar tipo"))))</f>
        <v/>
      </c>
      <c r="M1610" s="9"/>
    </row>
    <row r="1611" customFormat="false" ht="15" hidden="false" customHeight="false" outlineLevel="0" collapsed="false">
      <c r="A1611" s="7" t="str">
        <f aca="false">IF('Outro banco'!A1611="","",IF(LEFT('Outro banco'!A1611,1)="(","",'Outro banco'!A1611))</f>
        <v/>
      </c>
      <c r="B1611" s="7" t="str">
        <f aca="false">IF(A1611="","",'Outro banco'!B1611)</f>
        <v/>
      </c>
      <c r="C1611" s="7" t="str">
        <f aca="false">IF(A1611="","",'Outro banco'!C1611)</f>
        <v/>
      </c>
      <c r="D1611" s="7" t="str">
        <f aca="false">IF(A1611="","",'Outro banco'!D1611)</f>
        <v/>
      </c>
      <c r="E1611" s="9"/>
      <c r="F1611" s="9"/>
      <c r="G1611" s="7" t="str">
        <f aca="false">IF(A1611="","",IF(COUNTIF(Tabelas!$A:$A,IF(E1611="",A1611,E1611))&gt;0,"sim","não"))</f>
        <v/>
      </c>
      <c r="H1611" s="7" t="str">
        <f aca="false">IF(A1611="","",IF(E1611="",A1611,E1611)&amp;"."&amp;IF(F1611="",B1611,F1611))</f>
        <v/>
      </c>
      <c r="I1611" s="7" t="str">
        <f aca="false">IF(A1611="","",IFERROR(INDEX('Campos Growths'!$F:$F,MATCH(H1611,'Campos Growths'!$A:$A,0)),""))</f>
        <v/>
      </c>
      <c r="J1611" s="7" t="str">
        <f aca="false">IF(A1611="","",IFERROR(VLOOKUP(IF(ISNUMBER(SEARCH("(",C1611)),LEFT(C1611,SEARCH("(",C1611)-1),C1611),Tipos!$A:$B,2,FALSE()),"outro"))</f>
        <v/>
      </c>
      <c r="K1611" s="7" t="str">
        <f aca="false">IF(I1611="","",IFERROR(INDEX('Campos Growths'!$L:$L,MATCH(H1611,'Campos Growths'!$A:$A,0)),""))</f>
        <v/>
      </c>
      <c r="L1611" s="7" t="str">
        <f aca="false">IF(A1611="","",IF(G1611="não","Sem tabela no Growths",IF(I1611="","Sem campo no Growths",IF(J1611=K1611,"Importa direto","Ajustar tipo"))))</f>
        <v/>
      </c>
      <c r="M1611" s="9"/>
    </row>
    <row r="1612" customFormat="false" ht="15" hidden="false" customHeight="false" outlineLevel="0" collapsed="false">
      <c r="A1612" s="7" t="str">
        <f aca="false">IF('Outro banco'!A1612="","",IF(LEFT('Outro banco'!A1612,1)="(","",'Outro banco'!A1612))</f>
        <v/>
      </c>
      <c r="B1612" s="7" t="str">
        <f aca="false">IF(A1612="","",'Outro banco'!B1612)</f>
        <v/>
      </c>
      <c r="C1612" s="7" t="str">
        <f aca="false">IF(A1612="","",'Outro banco'!C1612)</f>
        <v/>
      </c>
      <c r="D1612" s="7" t="str">
        <f aca="false">IF(A1612="","",'Outro banco'!D1612)</f>
        <v/>
      </c>
      <c r="E1612" s="9"/>
      <c r="F1612" s="9"/>
      <c r="G1612" s="7" t="str">
        <f aca="false">IF(A1612="","",IF(COUNTIF(Tabelas!$A:$A,IF(E1612="",A1612,E1612))&gt;0,"sim","não"))</f>
        <v/>
      </c>
      <c r="H1612" s="7" t="str">
        <f aca="false">IF(A1612="","",IF(E1612="",A1612,E1612)&amp;"."&amp;IF(F1612="",B1612,F1612))</f>
        <v/>
      </c>
      <c r="I1612" s="7" t="str">
        <f aca="false">IF(A1612="","",IFERROR(INDEX('Campos Growths'!$F:$F,MATCH(H1612,'Campos Growths'!$A:$A,0)),""))</f>
        <v/>
      </c>
      <c r="J1612" s="7" t="str">
        <f aca="false">IF(A1612="","",IFERROR(VLOOKUP(IF(ISNUMBER(SEARCH("(",C1612)),LEFT(C1612,SEARCH("(",C1612)-1),C1612),Tipos!$A:$B,2,FALSE()),"outro"))</f>
        <v/>
      </c>
      <c r="K1612" s="7" t="str">
        <f aca="false">IF(I1612="","",IFERROR(INDEX('Campos Growths'!$L:$L,MATCH(H1612,'Campos Growths'!$A:$A,0)),""))</f>
        <v/>
      </c>
      <c r="L1612" s="7" t="str">
        <f aca="false">IF(A1612="","",IF(G1612="não","Sem tabela no Growths",IF(I1612="","Sem campo no Growths",IF(J1612=K1612,"Importa direto","Ajustar tipo"))))</f>
        <v/>
      </c>
      <c r="M1612" s="9"/>
    </row>
    <row r="1613" customFormat="false" ht="15" hidden="false" customHeight="false" outlineLevel="0" collapsed="false">
      <c r="A1613" s="7" t="str">
        <f aca="false">IF('Outro banco'!A1613="","",IF(LEFT('Outro banco'!A1613,1)="(","",'Outro banco'!A1613))</f>
        <v/>
      </c>
      <c r="B1613" s="7" t="str">
        <f aca="false">IF(A1613="","",'Outro banco'!B1613)</f>
        <v/>
      </c>
      <c r="C1613" s="7" t="str">
        <f aca="false">IF(A1613="","",'Outro banco'!C1613)</f>
        <v/>
      </c>
      <c r="D1613" s="7" t="str">
        <f aca="false">IF(A1613="","",'Outro banco'!D1613)</f>
        <v/>
      </c>
      <c r="E1613" s="9"/>
      <c r="F1613" s="9"/>
      <c r="G1613" s="7" t="str">
        <f aca="false">IF(A1613="","",IF(COUNTIF(Tabelas!$A:$A,IF(E1613="",A1613,E1613))&gt;0,"sim","não"))</f>
        <v/>
      </c>
      <c r="H1613" s="7" t="str">
        <f aca="false">IF(A1613="","",IF(E1613="",A1613,E1613)&amp;"."&amp;IF(F1613="",B1613,F1613))</f>
        <v/>
      </c>
      <c r="I1613" s="7" t="str">
        <f aca="false">IF(A1613="","",IFERROR(INDEX('Campos Growths'!$F:$F,MATCH(H1613,'Campos Growths'!$A:$A,0)),""))</f>
        <v/>
      </c>
      <c r="J1613" s="7" t="str">
        <f aca="false">IF(A1613="","",IFERROR(VLOOKUP(IF(ISNUMBER(SEARCH("(",C1613)),LEFT(C1613,SEARCH("(",C1613)-1),C1613),Tipos!$A:$B,2,FALSE()),"outro"))</f>
        <v/>
      </c>
      <c r="K1613" s="7" t="str">
        <f aca="false">IF(I1613="","",IFERROR(INDEX('Campos Growths'!$L:$L,MATCH(H1613,'Campos Growths'!$A:$A,0)),""))</f>
        <v/>
      </c>
      <c r="L1613" s="7" t="str">
        <f aca="false">IF(A1613="","",IF(G1613="não","Sem tabela no Growths",IF(I1613="","Sem campo no Growths",IF(J1613=K1613,"Importa direto","Ajustar tipo"))))</f>
        <v/>
      </c>
      <c r="M1613" s="9"/>
    </row>
    <row r="1614" customFormat="false" ht="15" hidden="false" customHeight="false" outlineLevel="0" collapsed="false">
      <c r="A1614" s="7" t="str">
        <f aca="false">IF('Outro banco'!A1614="","",IF(LEFT('Outro banco'!A1614,1)="(","",'Outro banco'!A1614))</f>
        <v/>
      </c>
      <c r="B1614" s="7" t="str">
        <f aca="false">IF(A1614="","",'Outro banco'!B1614)</f>
        <v/>
      </c>
      <c r="C1614" s="7" t="str">
        <f aca="false">IF(A1614="","",'Outro banco'!C1614)</f>
        <v/>
      </c>
      <c r="D1614" s="7" t="str">
        <f aca="false">IF(A1614="","",'Outro banco'!D1614)</f>
        <v/>
      </c>
      <c r="E1614" s="9"/>
      <c r="F1614" s="9"/>
      <c r="G1614" s="7" t="str">
        <f aca="false">IF(A1614="","",IF(COUNTIF(Tabelas!$A:$A,IF(E1614="",A1614,E1614))&gt;0,"sim","não"))</f>
        <v/>
      </c>
      <c r="H1614" s="7" t="str">
        <f aca="false">IF(A1614="","",IF(E1614="",A1614,E1614)&amp;"."&amp;IF(F1614="",B1614,F1614))</f>
        <v/>
      </c>
      <c r="I1614" s="7" t="str">
        <f aca="false">IF(A1614="","",IFERROR(INDEX('Campos Growths'!$F:$F,MATCH(H1614,'Campos Growths'!$A:$A,0)),""))</f>
        <v/>
      </c>
      <c r="J1614" s="7" t="str">
        <f aca="false">IF(A1614="","",IFERROR(VLOOKUP(IF(ISNUMBER(SEARCH("(",C1614)),LEFT(C1614,SEARCH("(",C1614)-1),C1614),Tipos!$A:$B,2,FALSE()),"outro"))</f>
        <v/>
      </c>
      <c r="K1614" s="7" t="str">
        <f aca="false">IF(I1614="","",IFERROR(INDEX('Campos Growths'!$L:$L,MATCH(H1614,'Campos Growths'!$A:$A,0)),""))</f>
        <v/>
      </c>
      <c r="L1614" s="7" t="str">
        <f aca="false">IF(A1614="","",IF(G1614="não","Sem tabela no Growths",IF(I1614="","Sem campo no Growths",IF(J1614=K1614,"Importa direto","Ajustar tipo"))))</f>
        <v/>
      </c>
      <c r="M1614" s="9"/>
    </row>
    <row r="1615" customFormat="false" ht="15" hidden="false" customHeight="false" outlineLevel="0" collapsed="false">
      <c r="A1615" s="7" t="str">
        <f aca="false">IF('Outro banco'!A1615="","",IF(LEFT('Outro banco'!A1615,1)="(","",'Outro banco'!A1615))</f>
        <v/>
      </c>
      <c r="B1615" s="7" t="str">
        <f aca="false">IF(A1615="","",'Outro banco'!B1615)</f>
        <v/>
      </c>
      <c r="C1615" s="7" t="str">
        <f aca="false">IF(A1615="","",'Outro banco'!C1615)</f>
        <v/>
      </c>
      <c r="D1615" s="7" t="str">
        <f aca="false">IF(A1615="","",'Outro banco'!D1615)</f>
        <v/>
      </c>
      <c r="E1615" s="9"/>
      <c r="F1615" s="9"/>
      <c r="G1615" s="7" t="str">
        <f aca="false">IF(A1615="","",IF(COUNTIF(Tabelas!$A:$A,IF(E1615="",A1615,E1615))&gt;0,"sim","não"))</f>
        <v/>
      </c>
      <c r="H1615" s="7" t="str">
        <f aca="false">IF(A1615="","",IF(E1615="",A1615,E1615)&amp;"."&amp;IF(F1615="",B1615,F1615))</f>
        <v/>
      </c>
      <c r="I1615" s="7" t="str">
        <f aca="false">IF(A1615="","",IFERROR(INDEX('Campos Growths'!$F:$F,MATCH(H1615,'Campos Growths'!$A:$A,0)),""))</f>
        <v/>
      </c>
      <c r="J1615" s="7" t="str">
        <f aca="false">IF(A1615="","",IFERROR(VLOOKUP(IF(ISNUMBER(SEARCH("(",C1615)),LEFT(C1615,SEARCH("(",C1615)-1),C1615),Tipos!$A:$B,2,FALSE()),"outro"))</f>
        <v/>
      </c>
      <c r="K1615" s="7" t="str">
        <f aca="false">IF(I1615="","",IFERROR(INDEX('Campos Growths'!$L:$L,MATCH(H1615,'Campos Growths'!$A:$A,0)),""))</f>
        <v/>
      </c>
      <c r="L1615" s="7" t="str">
        <f aca="false">IF(A1615="","",IF(G1615="não","Sem tabela no Growths",IF(I1615="","Sem campo no Growths",IF(J1615=K1615,"Importa direto","Ajustar tipo"))))</f>
        <v/>
      </c>
      <c r="M1615" s="9"/>
    </row>
    <row r="1616" customFormat="false" ht="15" hidden="false" customHeight="false" outlineLevel="0" collapsed="false">
      <c r="A1616" s="7" t="str">
        <f aca="false">IF('Outro banco'!A1616="","",IF(LEFT('Outro banco'!A1616,1)="(","",'Outro banco'!A1616))</f>
        <v/>
      </c>
      <c r="B1616" s="7" t="str">
        <f aca="false">IF(A1616="","",'Outro banco'!B1616)</f>
        <v/>
      </c>
      <c r="C1616" s="7" t="str">
        <f aca="false">IF(A1616="","",'Outro banco'!C1616)</f>
        <v/>
      </c>
      <c r="D1616" s="7" t="str">
        <f aca="false">IF(A1616="","",'Outro banco'!D1616)</f>
        <v/>
      </c>
      <c r="E1616" s="9"/>
      <c r="F1616" s="9"/>
      <c r="G1616" s="7" t="str">
        <f aca="false">IF(A1616="","",IF(COUNTIF(Tabelas!$A:$A,IF(E1616="",A1616,E1616))&gt;0,"sim","não"))</f>
        <v/>
      </c>
      <c r="H1616" s="7" t="str">
        <f aca="false">IF(A1616="","",IF(E1616="",A1616,E1616)&amp;"."&amp;IF(F1616="",B1616,F1616))</f>
        <v/>
      </c>
      <c r="I1616" s="7" t="str">
        <f aca="false">IF(A1616="","",IFERROR(INDEX('Campos Growths'!$F:$F,MATCH(H1616,'Campos Growths'!$A:$A,0)),""))</f>
        <v/>
      </c>
      <c r="J1616" s="7" t="str">
        <f aca="false">IF(A1616="","",IFERROR(VLOOKUP(IF(ISNUMBER(SEARCH("(",C1616)),LEFT(C1616,SEARCH("(",C1616)-1),C1616),Tipos!$A:$B,2,FALSE()),"outro"))</f>
        <v/>
      </c>
      <c r="K1616" s="7" t="str">
        <f aca="false">IF(I1616="","",IFERROR(INDEX('Campos Growths'!$L:$L,MATCH(H1616,'Campos Growths'!$A:$A,0)),""))</f>
        <v/>
      </c>
      <c r="L1616" s="7" t="str">
        <f aca="false">IF(A1616="","",IF(G1616="não","Sem tabela no Growths",IF(I1616="","Sem campo no Growths",IF(J1616=K1616,"Importa direto","Ajustar tipo"))))</f>
        <v/>
      </c>
      <c r="M1616" s="9"/>
    </row>
    <row r="1617" customFormat="false" ht="15" hidden="false" customHeight="false" outlineLevel="0" collapsed="false">
      <c r="A1617" s="7" t="str">
        <f aca="false">IF('Outro banco'!A1617="","",IF(LEFT('Outro banco'!A1617,1)="(","",'Outro banco'!A1617))</f>
        <v/>
      </c>
      <c r="B1617" s="7" t="str">
        <f aca="false">IF(A1617="","",'Outro banco'!B1617)</f>
        <v/>
      </c>
      <c r="C1617" s="7" t="str">
        <f aca="false">IF(A1617="","",'Outro banco'!C1617)</f>
        <v/>
      </c>
      <c r="D1617" s="7" t="str">
        <f aca="false">IF(A1617="","",'Outro banco'!D1617)</f>
        <v/>
      </c>
      <c r="E1617" s="9"/>
      <c r="F1617" s="9"/>
      <c r="G1617" s="7" t="str">
        <f aca="false">IF(A1617="","",IF(COUNTIF(Tabelas!$A:$A,IF(E1617="",A1617,E1617))&gt;0,"sim","não"))</f>
        <v/>
      </c>
      <c r="H1617" s="7" t="str">
        <f aca="false">IF(A1617="","",IF(E1617="",A1617,E1617)&amp;"."&amp;IF(F1617="",B1617,F1617))</f>
        <v/>
      </c>
      <c r="I1617" s="7" t="str">
        <f aca="false">IF(A1617="","",IFERROR(INDEX('Campos Growths'!$F:$F,MATCH(H1617,'Campos Growths'!$A:$A,0)),""))</f>
        <v/>
      </c>
      <c r="J1617" s="7" t="str">
        <f aca="false">IF(A1617="","",IFERROR(VLOOKUP(IF(ISNUMBER(SEARCH("(",C1617)),LEFT(C1617,SEARCH("(",C1617)-1),C1617),Tipos!$A:$B,2,FALSE()),"outro"))</f>
        <v/>
      </c>
      <c r="K1617" s="7" t="str">
        <f aca="false">IF(I1617="","",IFERROR(INDEX('Campos Growths'!$L:$L,MATCH(H1617,'Campos Growths'!$A:$A,0)),""))</f>
        <v/>
      </c>
      <c r="L1617" s="7" t="str">
        <f aca="false">IF(A1617="","",IF(G1617="não","Sem tabela no Growths",IF(I1617="","Sem campo no Growths",IF(J1617=K1617,"Importa direto","Ajustar tipo"))))</f>
        <v/>
      </c>
      <c r="M1617" s="9"/>
    </row>
    <row r="1618" customFormat="false" ht="15" hidden="false" customHeight="false" outlineLevel="0" collapsed="false">
      <c r="A1618" s="7" t="str">
        <f aca="false">IF('Outro banco'!A1618="","",IF(LEFT('Outro banco'!A1618,1)="(","",'Outro banco'!A1618))</f>
        <v/>
      </c>
      <c r="B1618" s="7" t="str">
        <f aca="false">IF(A1618="","",'Outro banco'!B1618)</f>
        <v/>
      </c>
      <c r="C1618" s="7" t="str">
        <f aca="false">IF(A1618="","",'Outro banco'!C1618)</f>
        <v/>
      </c>
      <c r="D1618" s="7" t="str">
        <f aca="false">IF(A1618="","",'Outro banco'!D1618)</f>
        <v/>
      </c>
      <c r="E1618" s="9"/>
      <c r="F1618" s="9"/>
      <c r="G1618" s="7" t="str">
        <f aca="false">IF(A1618="","",IF(COUNTIF(Tabelas!$A:$A,IF(E1618="",A1618,E1618))&gt;0,"sim","não"))</f>
        <v/>
      </c>
      <c r="H1618" s="7" t="str">
        <f aca="false">IF(A1618="","",IF(E1618="",A1618,E1618)&amp;"."&amp;IF(F1618="",B1618,F1618))</f>
        <v/>
      </c>
      <c r="I1618" s="7" t="str">
        <f aca="false">IF(A1618="","",IFERROR(INDEX('Campos Growths'!$F:$F,MATCH(H1618,'Campos Growths'!$A:$A,0)),""))</f>
        <v/>
      </c>
      <c r="J1618" s="7" t="str">
        <f aca="false">IF(A1618="","",IFERROR(VLOOKUP(IF(ISNUMBER(SEARCH("(",C1618)),LEFT(C1618,SEARCH("(",C1618)-1),C1618),Tipos!$A:$B,2,FALSE()),"outro"))</f>
        <v/>
      </c>
      <c r="K1618" s="7" t="str">
        <f aca="false">IF(I1618="","",IFERROR(INDEX('Campos Growths'!$L:$L,MATCH(H1618,'Campos Growths'!$A:$A,0)),""))</f>
        <v/>
      </c>
      <c r="L1618" s="7" t="str">
        <f aca="false">IF(A1618="","",IF(G1618="não","Sem tabela no Growths",IF(I1618="","Sem campo no Growths",IF(J1618=K1618,"Importa direto","Ajustar tipo"))))</f>
        <v/>
      </c>
      <c r="M1618" s="9"/>
    </row>
    <row r="1619" customFormat="false" ht="15" hidden="false" customHeight="false" outlineLevel="0" collapsed="false">
      <c r="A1619" s="7" t="str">
        <f aca="false">IF('Outro banco'!A1619="","",IF(LEFT('Outro banco'!A1619,1)="(","",'Outro banco'!A1619))</f>
        <v/>
      </c>
      <c r="B1619" s="7" t="str">
        <f aca="false">IF(A1619="","",'Outro banco'!B1619)</f>
        <v/>
      </c>
      <c r="C1619" s="7" t="str">
        <f aca="false">IF(A1619="","",'Outro banco'!C1619)</f>
        <v/>
      </c>
      <c r="D1619" s="7" t="str">
        <f aca="false">IF(A1619="","",'Outro banco'!D1619)</f>
        <v/>
      </c>
      <c r="E1619" s="9"/>
      <c r="F1619" s="9"/>
      <c r="G1619" s="7" t="str">
        <f aca="false">IF(A1619="","",IF(COUNTIF(Tabelas!$A:$A,IF(E1619="",A1619,E1619))&gt;0,"sim","não"))</f>
        <v/>
      </c>
      <c r="H1619" s="7" t="str">
        <f aca="false">IF(A1619="","",IF(E1619="",A1619,E1619)&amp;"."&amp;IF(F1619="",B1619,F1619))</f>
        <v/>
      </c>
      <c r="I1619" s="7" t="str">
        <f aca="false">IF(A1619="","",IFERROR(INDEX('Campos Growths'!$F:$F,MATCH(H1619,'Campos Growths'!$A:$A,0)),""))</f>
        <v/>
      </c>
      <c r="J1619" s="7" t="str">
        <f aca="false">IF(A1619="","",IFERROR(VLOOKUP(IF(ISNUMBER(SEARCH("(",C1619)),LEFT(C1619,SEARCH("(",C1619)-1),C1619),Tipos!$A:$B,2,FALSE()),"outro"))</f>
        <v/>
      </c>
      <c r="K1619" s="7" t="str">
        <f aca="false">IF(I1619="","",IFERROR(INDEX('Campos Growths'!$L:$L,MATCH(H1619,'Campos Growths'!$A:$A,0)),""))</f>
        <v/>
      </c>
      <c r="L1619" s="7" t="str">
        <f aca="false">IF(A1619="","",IF(G1619="não","Sem tabela no Growths",IF(I1619="","Sem campo no Growths",IF(J1619=K1619,"Importa direto","Ajustar tipo"))))</f>
        <v/>
      </c>
      <c r="M1619" s="9"/>
    </row>
    <row r="1620" customFormat="false" ht="15" hidden="false" customHeight="false" outlineLevel="0" collapsed="false">
      <c r="A1620" s="7" t="str">
        <f aca="false">IF('Outro banco'!A1620="","",IF(LEFT('Outro banco'!A1620,1)="(","",'Outro banco'!A1620))</f>
        <v/>
      </c>
      <c r="B1620" s="7" t="str">
        <f aca="false">IF(A1620="","",'Outro banco'!B1620)</f>
        <v/>
      </c>
      <c r="C1620" s="7" t="str">
        <f aca="false">IF(A1620="","",'Outro banco'!C1620)</f>
        <v/>
      </c>
      <c r="D1620" s="7" t="str">
        <f aca="false">IF(A1620="","",'Outro banco'!D1620)</f>
        <v/>
      </c>
      <c r="E1620" s="9"/>
      <c r="F1620" s="9"/>
      <c r="G1620" s="7" t="str">
        <f aca="false">IF(A1620="","",IF(COUNTIF(Tabelas!$A:$A,IF(E1620="",A1620,E1620))&gt;0,"sim","não"))</f>
        <v/>
      </c>
      <c r="H1620" s="7" t="str">
        <f aca="false">IF(A1620="","",IF(E1620="",A1620,E1620)&amp;"."&amp;IF(F1620="",B1620,F1620))</f>
        <v/>
      </c>
      <c r="I1620" s="7" t="str">
        <f aca="false">IF(A1620="","",IFERROR(INDEX('Campos Growths'!$F:$F,MATCH(H1620,'Campos Growths'!$A:$A,0)),""))</f>
        <v/>
      </c>
      <c r="J1620" s="7" t="str">
        <f aca="false">IF(A1620="","",IFERROR(VLOOKUP(IF(ISNUMBER(SEARCH("(",C1620)),LEFT(C1620,SEARCH("(",C1620)-1),C1620),Tipos!$A:$B,2,FALSE()),"outro"))</f>
        <v/>
      </c>
      <c r="K1620" s="7" t="str">
        <f aca="false">IF(I1620="","",IFERROR(INDEX('Campos Growths'!$L:$L,MATCH(H1620,'Campos Growths'!$A:$A,0)),""))</f>
        <v/>
      </c>
      <c r="L1620" s="7" t="str">
        <f aca="false">IF(A1620="","",IF(G1620="não","Sem tabela no Growths",IF(I1620="","Sem campo no Growths",IF(J1620=K1620,"Importa direto","Ajustar tipo"))))</f>
        <v/>
      </c>
      <c r="M1620" s="9"/>
    </row>
    <row r="1621" customFormat="false" ht="15" hidden="false" customHeight="false" outlineLevel="0" collapsed="false">
      <c r="A1621" s="7" t="str">
        <f aca="false">IF('Outro banco'!A1621="","",IF(LEFT('Outro banco'!A1621,1)="(","",'Outro banco'!A1621))</f>
        <v/>
      </c>
      <c r="B1621" s="7" t="str">
        <f aca="false">IF(A1621="","",'Outro banco'!B1621)</f>
        <v/>
      </c>
      <c r="C1621" s="7" t="str">
        <f aca="false">IF(A1621="","",'Outro banco'!C1621)</f>
        <v/>
      </c>
      <c r="D1621" s="7" t="str">
        <f aca="false">IF(A1621="","",'Outro banco'!D1621)</f>
        <v/>
      </c>
      <c r="E1621" s="9"/>
      <c r="F1621" s="9"/>
      <c r="G1621" s="7" t="str">
        <f aca="false">IF(A1621="","",IF(COUNTIF(Tabelas!$A:$A,IF(E1621="",A1621,E1621))&gt;0,"sim","não"))</f>
        <v/>
      </c>
      <c r="H1621" s="7" t="str">
        <f aca="false">IF(A1621="","",IF(E1621="",A1621,E1621)&amp;"."&amp;IF(F1621="",B1621,F1621))</f>
        <v/>
      </c>
      <c r="I1621" s="7" t="str">
        <f aca="false">IF(A1621="","",IFERROR(INDEX('Campos Growths'!$F:$F,MATCH(H1621,'Campos Growths'!$A:$A,0)),""))</f>
        <v/>
      </c>
      <c r="J1621" s="7" t="str">
        <f aca="false">IF(A1621="","",IFERROR(VLOOKUP(IF(ISNUMBER(SEARCH("(",C1621)),LEFT(C1621,SEARCH("(",C1621)-1),C1621),Tipos!$A:$B,2,FALSE()),"outro"))</f>
        <v/>
      </c>
      <c r="K1621" s="7" t="str">
        <f aca="false">IF(I1621="","",IFERROR(INDEX('Campos Growths'!$L:$L,MATCH(H1621,'Campos Growths'!$A:$A,0)),""))</f>
        <v/>
      </c>
      <c r="L1621" s="7" t="str">
        <f aca="false">IF(A1621="","",IF(G1621="não","Sem tabela no Growths",IF(I1621="","Sem campo no Growths",IF(J1621=K1621,"Importa direto","Ajustar tipo"))))</f>
        <v/>
      </c>
      <c r="M1621" s="9"/>
    </row>
    <row r="1622" customFormat="false" ht="15" hidden="false" customHeight="false" outlineLevel="0" collapsed="false">
      <c r="A1622" s="7" t="str">
        <f aca="false">IF('Outro banco'!A1622="","",IF(LEFT('Outro banco'!A1622,1)="(","",'Outro banco'!A1622))</f>
        <v/>
      </c>
      <c r="B1622" s="7" t="str">
        <f aca="false">IF(A1622="","",'Outro banco'!B1622)</f>
        <v/>
      </c>
      <c r="C1622" s="7" t="str">
        <f aca="false">IF(A1622="","",'Outro banco'!C1622)</f>
        <v/>
      </c>
      <c r="D1622" s="7" t="str">
        <f aca="false">IF(A1622="","",'Outro banco'!D1622)</f>
        <v/>
      </c>
      <c r="E1622" s="9"/>
      <c r="F1622" s="9"/>
      <c r="G1622" s="7" t="str">
        <f aca="false">IF(A1622="","",IF(COUNTIF(Tabelas!$A:$A,IF(E1622="",A1622,E1622))&gt;0,"sim","não"))</f>
        <v/>
      </c>
      <c r="H1622" s="7" t="str">
        <f aca="false">IF(A1622="","",IF(E1622="",A1622,E1622)&amp;"."&amp;IF(F1622="",B1622,F1622))</f>
        <v/>
      </c>
      <c r="I1622" s="7" t="str">
        <f aca="false">IF(A1622="","",IFERROR(INDEX('Campos Growths'!$F:$F,MATCH(H1622,'Campos Growths'!$A:$A,0)),""))</f>
        <v/>
      </c>
      <c r="J1622" s="7" t="str">
        <f aca="false">IF(A1622="","",IFERROR(VLOOKUP(IF(ISNUMBER(SEARCH("(",C1622)),LEFT(C1622,SEARCH("(",C1622)-1),C1622),Tipos!$A:$B,2,FALSE()),"outro"))</f>
        <v/>
      </c>
      <c r="K1622" s="7" t="str">
        <f aca="false">IF(I1622="","",IFERROR(INDEX('Campos Growths'!$L:$L,MATCH(H1622,'Campos Growths'!$A:$A,0)),""))</f>
        <v/>
      </c>
      <c r="L1622" s="7" t="str">
        <f aca="false">IF(A1622="","",IF(G1622="não","Sem tabela no Growths",IF(I1622="","Sem campo no Growths",IF(J1622=K1622,"Importa direto","Ajustar tipo"))))</f>
        <v/>
      </c>
      <c r="M1622" s="9"/>
    </row>
    <row r="1623" customFormat="false" ht="15" hidden="false" customHeight="false" outlineLevel="0" collapsed="false">
      <c r="A1623" s="7" t="str">
        <f aca="false">IF('Outro banco'!A1623="","",IF(LEFT('Outro banco'!A1623,1)="(","",'Outro banco'!A1623))</f>
        <v/>
      </c>
      <c r="B1623" s="7" t="str">
        <f aca="false">IF(A1623="","",'Outro banco'!B1623)</f>
        <v/>
      </c>
      <c r="C1623" s="7" t="str">
        <f aca="false">IF(A1623="","",'Outro banco'!C1623)</f>
        <v/>
      </c>
      <c r="D1623" s="7" t="str">
        <f aca="false">IF(A1623="","",'Outro banco'!D1623)</f>
        <v/>
      </c>
      <c r="E1623" s="9"/>
      <c r="F1623" s="9"/>
      <c r="G1623" s="7" t="str">
        <f aca="false">IF(A1623="","",IF(COUNTIF(Tabelas!$A:$A,IF(E1623="",A1623,E1623))&gt;0,"sim","não"))</f>
        <v/>
      </c>
      <c r="H1623" s="7" t="str">
        <f aca="false">IF(A1623="","",IF(E1623="",A1623,E1623)&amp;"."&amp;IF(F1623="",B1623,F1623))</f>
        <v/>
      </c>
      <c r="I1623" s="7" t="str">
        <f aca="false">IF(A1623="","",IFERROR(INDEX('Campos Growths'!$F:$F,MATCH(H1623,'Campos Growths'!$A:$A,0)),""))</f>
        <v/>
      </c>
      <c r="J1623" s="7" t="str">
        <f aca="false">IF(A1623="","",IFERROR(VLOOKUP(IF(ISNUMBER(SEARCH("(",C1623)),LEFT(C1623,SEARCH("(",C1623)-1),C1623),Tipos!$A:$B,2,FALSE()),"outro"))</f>
        <v/>
      </c>
      <c r="K1623" s="7" t="str">
        <f aca="false">IF(I1623="","",IFERROR(INDEX('Campos Growths'!$L:$L,MATCH(H1623,'Campos Growths'!$A:$A,0)),""))</f>
        <v/>
      </c>
      <c r="L1623" s="7" t="str">
        <f aca="false">IF(A1623="","",IF(G1623="não","Sem tabela no Growths",IF(I1623="","Sem campo no Growths",IF(J1623=K1623,"Importa direto","Ajustar tipo"))))</f>
        <v/>
      </c>
      <c r="M1623" s="9"/>
    </row>
    <row r="1624" customFormat="false" ht="15" hidden="false" customHeight="false" outlineLevel="0" collapsed="false">
      <c r="A1624" s="7" t="str">
        <f aca="false">IF('Outro banco'!A1624="","",IF(LEFT('Outro banco'!A1624,1)="(","",'Outro banco'!A1624))</f>
        <v/>
      </c>
      <c r="B1624" s="7" t="str">
        <f aca="false">IF(A1624="","",'Outro banco'!B1624)</f>
        <v/>
      </c>
      <c r="C1624" s="7" t="str">
        <f aca="false">IF(A1624="","",'Outro banco'!C1624)</f>
        <v/>
      </c>
      <c r="D1624" s="7" t="str">
        <f aca="false">IF(A1624="","",'Outro banco'!D1624)</f>
        <v/>
      </c>
      <c r="E1624" s="9"/>
      <c r="F1624" s="9"/>
      <c r="G1624" s="7" t="str">
        <f aca="false">IF(A1624="","",IF(COUNTIF(Tabelas!$A:$A,IF(E1624="",A1624,E1624))&gt;0,"sim","não"))</f>
        <v/>
      </c>
      <c r="H1624" s="7" t="str">
        <f aca="false">IF(A1624="","",IF(E1624="",A1624,E1624)&amp;"."&amp;IF(F1624="",B1624,F1624))</f>
        <v/>
      </c>
      <c r="I1624" s="7" t="str">
        <f aca="false">IF(A1624="","",IFERROR(INDEX('Campos Growths'!$F:$F,MATCH(H1624,'Campos Growths'!$A:$A,0)),""))</f>
        <v/>
      </c>
      <c r="J1624" s="7" t="str">
        <f aca="false">IF(A1624="","",IFERROR(VLOOKUP(IF(ISNUMBER(SEARCH("(",C1624)),LEFT(C1624,SEARCH("(",C1624)-1),C1624),Tipos!$A:$B,2,FALSE()),"outro"))</f>
        <v/>
      </c>
      <c r="K1624" s="7" t="str">
        <f aca="false">IF(I1624="","",IFERROR(INDEX('Campos Growths'!$L:$L,MATCH(H1624,'Campos Growths'!$A:$A,0)),""))</f>
        <v/>
      </c>
      <c r="L1624" s="7" t="str">
        <f aca="false">IF(A1624="","",IF(G1624="não","Sem tabela no Growths",IF(I1624="","Sem campo no Growths",IF(J1624=K1624,"Importa direto","Ajustar tipo"))))</f>
        <v/>
      </c>
      <c r="M1624" s="9"/>
    </row>
    <row r="1625" customFormat="false" ht="15" hidden="false" customHeight="false" outlineLevel="0" collapsed="false">
      <c r="A1625" s="7" t="str">
        <f aca="false">IF('Outro banco'!A1625="","",IF(LEFT('Outro banco'!A1625,1)="(","",'Outro banco'!A1625))</f>
        <v/>
      </c>
      <c r="B1625" s="7" t="str">
        <f aca="false">IF(A1625="","",'Outro banco'!B1625)</f>
        <v/>
      </c>
      <c r="C1625" s="7" t="str">
        <f aca="false">IF(A1625="","",'Outro banco'!C1625)</f>
        <v/>
      </c>
      <c r="D1625" s="7" t="str">
        <f aca="false">IF(A1625="","",'Outro banco'!D1625)</f>
        <v/>
      </c>
      <c r="E1625" s="9"/>
      <c r="F1625" s="9"/>
      <c r="G1625" s="7" t="str">
        <f aca="false">IF(A1625="","",IF(COUNTIF(Tabelas!$A:$A,IF(E1625="",A1625,E1625))&gt;0,"sim","não"))</f>
        <v/>
      </c>
      <c r="H1625" s="7" t="str">
        <f aca="false">IF(A1625="","",IF(E1625="",A1625,E1625)&amp;"."&amp;IF(F1625="",B1625,F1625))</f>
        <v/>
      </c>
      <c r="I1625" s="7" t="str">
        <f aca="false">IF(A1625="","",IFERROR(INDEX('Campos Growths'!$F:$F,MATCH(H1625,'Campos Growths'!$A:$A,0)),""))</f>
        <v/>
      </c>
      <c r="J1625" s="7" t="str">
        <f aca="false">IF(A1625="","",IFERROR(VLOOKUP(IF(ISNUMBER(SEARCH("(",C1625)),LEFT(C1625,SEARCH("(",C1625)-1),C1625),Tipos!$A:$B,2,FALSE()),"outro"))</f>
        <v/>
      </c>
      <c r="K1625" s="7" t="str">
        <f aca="false">IF(I1625="","",IFERROR(INDEX('Campos Growths'!$L:$L,MATCH(H1625,'Campos Growths'!$A:$A,0)),""))</f>
        <v/>
      </c>
      <c r="L1625" s="7" t="str">
        <f aca="false">IF(A1625="","",IF(G1625="não","Sem tabela no Growths",IF(I1625="","Sem campo no Growths",IF(J1625=K1625,"Importa direto","Ajustar tipo"))))</f>
        <v/>
      </c>
      <c r="M1625" s="9"/>
    </row>
    <row r="1626" customFormat="false" ht="15" hidden="false" customHeight="false" outlineLevel="0" collapsed="false">
      <c r="A1626" s="7" t="str">
        <f aca="false">IF('Outro banco'!A1626="","",IF(LEFT('Outro banco'!A1626,1)="(","",'Outro banco'!A1626))</f>
        <v/>
      </c>
      <c r="B1626" s="7" t="str">
        <f aca="false">IF(A1626="","",'Outro banco'!B1626)</f>
        <v/>
      </c>
      <c r="C1626" s="7" t="str">
        <f aca="false">IF(A1626="","",'Outro banco'!C1626)</f>
        <v/>
      </c>
      <c r="D1626" s="7" t="str">
        <f aca="false">IF(A1626="","",'Outro banco'!D1626)</f>
        <v/>
      </c>
      <c r="E1626" s="9"/>
      <c r="F1626" s="9"/>
      <c r="G1626" s="7" t="str">
        <f aca="false">IF(A1626="","",IF(COUNTIF(Tabelas!$A:$A,IF(E1626="",A1626,E1626))&gt;0,"sim","não"))</f>
        <v/>
      </c>
      <c r="H1626" s="7" t="str">
        <f aca="false">IF(A1626="","",IF(E1626="",A1626,E1626)&amp;"."&amp;IF(F1626="",B1626,F1626))</f>
        <v/>
      </c>
      <c r="I1626" s="7" t="str">
        <f aca="false">IF(A1626="","",IFERROR(INDEX('Campos Growths'!$F:$F,MATCH(H1626,'Campos Growths'!$A:$A,0)),""))</f>
        <v/>
      </c>
      <c r="J1626" s="7" t="str">
        <f aca="false">IF(A1626="","",IFERROR(VLOOKUP(IF(ISNUMBER(SEARCH("(",C1626)),LEFT(C1626,SEARCH("(",C1626)-1),C1626),Tipos!$A:$B,2,FALSE()),"outro"))</f>
        <v/>
      </c>
      <c r="K1626" s="7" t="str">
        <f aca="false">IF(I1626="","",IFERROR(INDEX('Campos Growths'!$L:$L,MATCH(H1626,'Campos Growths'!$A:$A,0)),""))</f>
        <v/>
      </c>
      <c r="L1626" s="7" t="str">
        <f aca="false">IF(A1626="","",IF(G1626="não","Sem tabela no Growths",IF(I1626="","Sem campo no Growths",IF(J1626=K1626,"Importa direto","Ajustar tipo"))))</f>
        <v/>
      </c>
      <c r="M1626" s="9"/>
    </row>
    <row r="1627" customFormat="false" ht="15" hidden="false" customHeight="false" outlineLevel="0" collapsed="false">
      <c r="A1627" s="7" t="str">
        <f aca="false">IF('Outro banco'!A1627="","",IF(LEFT('Outro banco'!A1627,1)="(","",'Outro banco'!A1627))</f>
        <v/>
      </c>
      <c r="B1627" s="7" t="str">
        <f aca="false">IF(A1627="","",'Outro banco'!B1627)</f>
        <v/>
      </c>
      <c r="C1627" s="7" t="str">
        <f aca="false">IF(A1627="","",'Outro banco'!C1627)</f>
        <v/>
      </c>
      <c r="D1627" s="7" t="str">
        <f aca="false">IF(A1627="","",'Outro banco'!D1627)</f>
        <v/>
      </c>
      <c r="E1627" s="9"/>
      <c r="F1627" s="9"/>
      <c r="G1627" s="7" t="str">
        <f aca="false">IF(A1627="","",IF(COUNTIF(Tabelas!$A:$A,IF(E1627="",A1627,E1627))&gt;0,"sim","não"))</f>
        <v/>
      </c>
      <c r="H1627" s="7" t="str">
        <f aca="false">IF(A1627="","",IF(E1627="",A1627,E1627)&amp;"."&amp;IF(F1627="",B1627,F1627))</f>
        <v/>
      </c>
      <c r="I1627" s="7" t="str">
        <f aca="false">IF(A1627="","",IFERROR(INDEX('Campos Growths'!$F:$F,MATCH(H1627,'Campos Growths'!$A:$A,0)),""))</f>
        <v/>
      </c>
      <c r="J1627" s="7" t="str">
        <f aca="false">IF(A1627="","",IFERROR(VLOOKUP(IF(ISNUMBER(SEARCH("(",C1627)),LEFT(C1627,SEARCH("(",C1627)-1),C1627),Tipos!$A:$B,2,FALSE()),"outro"))</f>
        <v/>
      </c>
      <c r="K1627" s="7" t="str">
        <f aca="false">IF(I1627="","",IFERROR(INDEX('Campos Growths'!$L:$L,MATCH(H1627,'Campos Growths'!$A:$A,0)),""))</f>
        <v/>
      </c>
      <c r="L1627" s="7" t="str">
        <f aca="false">IF(A1627="","",IF(G1627="não","Sem tabela no Growths",IF(I1627="","Sem campo no Growths",IF(J1627=K1627,"Importa direto","Ajustar tipo"))))</f>
        <v/>
      </c>
      <c r="M1627" s="9"/>
    </row>
    <row r="1628" customFormat="false" ht="15" hidden="false" customHeight="false" outlineLevel="0" collapsed="false">
      <c r="A1628" s="7" t="str">
        <f aca="false">IF('Outro banco'!A1628="","",IF(LEFT('Outro banco'!A1628,1)="(","",'Outro banco'!A1628))</f>
        <v/>
      </c>
      <c r="B1628" s="7" t="str">
        <f aca="false">IF(A1628="","",'Outro banco'!B1628)</f>
        <v/>
      </c>
      <c r="C1628" s="7" t="str">
        <f aca="false">IF(A1628="","",'Outro banco'!C1628)</f>
        <v/>
      </c>
      <c r="D1628" s="7" t="str">
        <f aca="false">IF(A1628="","",'Outro banco'!D1628)</f>
        <v/>
      </c>
      <c r="E1628" s="9"/>
      <c r="F1628" s="9"/>
      <c r="G1628" s="7" t="str">
        <f aca="false">IF(A1628="","",IF(COUNTIF(Tabelas!$A:$A,IF(E1628="",A1628,E1628))&gt;0,"sim","não"))</f>
        <v/>
      </c>
      <c r="H1628" s="7" t="str">
        <f aca="false">IF(A1628="","",IF(E1628="",A1628,E1628)&amp;"."&amp;IF(F1628="",B1628,F1628))</f>
        <v/>
      </c>
      <c r="I1628" s="7" t="str">
        <f aca="false">IF(A1628="","",IFERROR(INDEX('Campos Growths'!$F:$F,MATCH(H1628,'Campos Growths'!$A:$A,0)),""))</f>
        <v/>
      </c>
      <c r="J1628" s="7" t="str">
        <f aca="false">IF(A1628="","",IFERROR(VLOOKUP(IF(ISNUMBER(SEARCH("(",C1628)),LEFT(C1628,SEARCH("(",C1628)-1),C1628),Tipos!$A:$B,2,FALSE()),"outro"))</f>
        <v/>
      </c>
      <c r="K1628" s="7" t="str">
        <f aca="false">IF(I1628="","",IFERROR(INDEX('Campos Growths'!$L:$L,MATCH(H1628,'Campos Growths'!$A:$A,0)),""))</f>
        <v/>
      </c>
      <c r="L1628" s="7" t="str">
        <f aca="false">IF(A1628="","",IF(G1628="não","Sem tabela no Growths",IF(I1628="","Sem campo no Growths",IF(J1628=K1628,"Importa direto","Ajustar tipo"))))</f>
        <v/>
      </c>
      <c r="M1628" s="9"/>
    </row>
    <row r="1629" customFormat="false" ht="15" hidden="false" customHeight="false" outlineLevel="0" collapsed="false">
      <c r="A1629" s="7" t="str">
        <f aca="false">IF('Outro banco'!A1629="","",IF(LEFT('Outro banco'!A1629,1)="(","",'Outro banco'!A1629))</f>
        <v/>
      </c>
      <c r="B1629" s="7" t="str">
        <f aca="false">IF(A1629="","",'Outro banco'!B1629)</f>
        <v/>
      </c>
      <c r="C1629" s="7" t="str">
        <f aca="false">IF(A1629="","",'Outro banco'!C1629)</f>
        <v/>
      </c>
      <c r="D1629" s="7" t="str">
        <f aca="false">IF(A1629="","",'Outro banco'!D1629)</f>
        <v/>
      </c>
      <c r="E1629" s="9"/>
      <c r="F1629" s="9"/>
      <c r="G1629" s="7" t="str">
        <f aca="false">IF(A1629="","",IF(COUNTIF(Tabelas!$A:$A,IF(E1629="",A1629,E1629))&gt;0,"sim","não"))</f>
        <v/>
      </c>
      <c r="H1629" s="7" t="str">
        <f aca="false">IF(A1629="","",IF(E1629="",A1629,E1629)&amp;"."&amp;IF(F1629="",B1629,F1629))</f>
        <v/>
      </c>
      <c r="I1629" s="7" t="str">
        <f aca="false">IF(A1629="","",IFERROR(INDEX('Campos Growths'!$F:$F,MATCH(H1629,'Campos Growths'!$A:$A,0)),""))</f>
        <v/>
      </c>
      <c r="J1629" s="7" t="str">
        <f aca="false">IF(A1629="","",IFERROR(VLOOKUP(IF(ISNUMBER(SEARCH("(",C1629)),LEFT(C1629,SEARCH("(",C1629)-1),C1629),Tipos!$A:$B,2,FALSE()),"outro"))</f>
        <v/>
      </c>
      <c r="K1629" s="7" t="str">
        <f aca="false">IF(I1629="","",IFERROR(INDEX('Campos Growths'!$L:$L,MATCH(H1629,'Campos Growths'!$A:$A,0)),""))</f>
        <v/>
      </c>
      <c r="L1629" s="7" t="str">
        <f aca="false">IF(A1629="","",IF(G1629="não","Sem tabela no Growths",IF(I1629="","Sem campo no Growths",IF(J1629=K1629,"Importa direto","Ajustar tipo"))))</f>
        <v/>
      </c>
      <c r="M1629" s="9"/>
    </row>
    <row r="1630" customFormat="false" ht="15" hidden="false" customHeight="false" outlineLevel="0" collapsed="false">
      <c r="A1630" s="7" t="str">
        <f aca="false">IF('Outro banco'!A1630="","",IF(LEFT('Outro banco'!A1630,1)="(","",'Outro banco'!A1630))</f>
        <v/>
      </c>
      <c r="B1630" s="7" t="str">
        <f aca="false">IF(A1630="","",'Outro banco'!B1630)</f>
        <v/>
      </c>
      <c r="C1630" s="7" t="str">
        <f aca="false">IF(A1630="","",'Outro banco'!C1630)</f>
        <v/>
      </c>
      <c r="D1630" s="7" t="str">
        <f aca="false">IF(A1630="","",'Outro banco'!D1630)</f>
        <v/>
      </c>
      <c r="E1630" s="9"/>
      <c r="F1630" s="9"/>
      <c r="G1630" s="7" t="str">
        <f aca="false">IF(A1630="","",IF(COUNTIF(Tabelas!$A:$A,IF(E1630="",A1630,E1630))&gt;0,"sim","não"))</f>
        <v/>
      </c>
      <c r="H1630" s="7" t="str">
        <f aca="false">IF(A1630="","",IF(E1630="",A1630,E1630)&amp;"."&amp;IF(F1630="",B1630,F1630))</f>
        <v/>
      </c>
      <c r="I1630" s="7" t="str">
        <f aca="false">IF(A1630="","",IFERROR(INDEX('Campos Growths'!$F:$F,MATCH(H1630,'Campos Growths'!$A:$A,0)),""))</f>
        <v/>
      </c>
      <c r="J1630" s="7" t="str">
        <f aca="false">IF(A1630="","",IFERROR(VLOOKUP(IF(ISNUMBER(SEARCH("(",C1630)),LEFT(C1630,SEARCH("(",C1630)-1),C1630),Tipos!$A:$B,2,FALSE()),"outro"))</f>
        <v/>
      </c>
      <c r="K1630" s="7" t="str">
        <f aca="false">IF(I1630="","",IFERROR(INDEX('Campos Growths'!$L:$L,MATCH(H1630,'Campos Growths'!$A:$A,0)),""))</f>
        <v/>
      </c>
      <c r="L1630" s="7" t="str">
        <f aca="false">IF(A1630="","",IF(G1630="não","Sem tabela no Growths",IF(I1630="","Sem campo no Growths",IF(J1630=K1630,"Importa direto","Ajustar tipo"))))</f>
        <v/>
      </c>
      <c r="M1630" s="9"/>
    </row>
    <row r="1631" customFormat="false" ht="15" hidden="false" customHeight="false" outlineLevel="0" collapsed="false">
      <c r="A1631" s="7" t="str">
        <f aca="false">IF('Outro banco'!A1631="","",IF(LEFT('Outro banco'!A1631,1)="(","",'Outro banco'!A1631))</f>
        <v/>
      </c>
      <c r="B1631" s="7" t="str">
        <f aca="false">IF(A1631="","",'Outro banco'!B1631)</f>
        <v/>
      </c>
      <c r="C1631" s="7" t="str">
        <f aca="false">IF(A1631="","",'Outro banco'!C1631)</f>
        <v/>
      </c>
      <c r="D1631" s="7" t="str">
        <f aca="false">IF(A1631="","",'Outro banco'!D1631)</f>
        <v/>
      </c>
      <c r="E1631" s="9"/>
      <c r="F1631" s="9"/>
      <c r="G1631" s="7" t="str">
        <f aca="false">IF(A1631="","",IF(COUNTIF(Tabelas!$A:$A,IF(E1631="",A1631,E1631))&gt;0,"sim","não"))</f>
        <v/>
      </c>
      <c r="H1631" s="7" t="str">
        <f aca="false">IF(A1631="","",IF(E1631="",A1631,E1631)&amp;"."&amp;IF(F1631="",B1631,F1631))</f>
        <v/>
      </c>
      <c r="I1631" s="7" t="str">
        <f aca="false">IF(A1631="","",IFERROR(INDEX('Campos Growths'!$F:$F,MATCH(H1631,'Campos Growths'!$A:$A,0)),""))</f>
        <v/>
      </c>
      <c r="J1631" s="7" t="str">
        <f aca="false">IF(A1631="","",IFERROR(VLOOKUP(IF(ISNUMBER(SEARCH("(",C1631)),LEFT(C1631,SEARCH("(",C1631)-1),C1631),Tipos!$A:$B,2,FALSE()),"outro"))</f>
        <v/>
      </c>
      <c r="K1631" s="7" t="str">
        <f aca="false">IF(I1631="","",IFERROR(INDEX('Campos Growths'!$L:$L,MATCH(H1631,'Campos Growths'!$A:$A,0)),""))</f>
        <v/>
      </c>
      <c r="L1631" s="7" t="str">
        <f aca="false">IF(A1631="","",IF(G1631="não","Sem tabela no Growths",IF(I1631="","Sem campo no Growths",IF(J1631=K1631,"Importa direto","Ajustar tipo"))))</f>
        <v/>
      </c>
      <c r="M1631" s="9"/>
    </row>
    <row r="1632" customFormat="false" ht="15" hidden="false" customHeight="false" outlineLevel="0" collapsed="false">
      <c r="A1632" s="7" t="str">
        <f aca="false">IF('Outro banco'!A1632="","",IF(LEFT('Outro banco'!A1632,1)="(","",'Outro banco'!A1632))</f>
        <v/>
      </c>
      <c r="B1632" s="7" t="str">
        <f aca="false">IF(A1632="","",'Outro banco'!B1632)</f>
        <v/>
      </c>
      <c r="C1632" s="7" t="str">
        <f aca="false">IF(A1632="","",'Outro banco'!C1632)</f>
        <v/>
      </c>
      <c r="D1632" s="7" t="str">
        <f aca="false">IF(A1632="","",'Outro banco'!D1632)</f>
        <v/>
      </c>
      <c r="E1632" s="9"/>
      <c r="F1632" s="9"/>
      <c r="G1632" s="7" t="str">
        <f aca="false">IF(A1632="","",IF(COUNTIF(Tabelas!$A:$A,IF(E1632="",A1632,E1632))&gt;0,"sim","não"))</f>
        <v/>
      </c>
      <c r="H1632" s="7" t="str">
        <f aca="false">IF(A1632="","",IF(E1632="",A1632,E1632)&amp;"."&amp;IF(F1632="",B1632,F1632))</f>
        <v/>
      </c>
      <c r="I1632" s="7" t="str">
        <f aca="false">IF(A1632="","",IFERROR(INDEX('Campos Growths'!$F:$F,MATCH(H1632,'Campos Growths'!$A:$A,0)),""))</f>
        <v/>
      </c>
      <c r="J1632" s="7" t="str">
        <f aca="false">IF(A1632="","",IFERROR(VLOOKUP(IF(ISNUMBER(SEARCH("(",C1632)),LEFT(C1632,SEARCH("(",C1632)-1),C1632),Tipos!$A:$B,2,FALSE()),"outro"))</f>
        <v/>
      </c>
      <c r="K1632" s="7" t="str">
        <f aca="false">IF(I1632="","",IFERROR(INDEX('Campos Growths'!$L:$L,MATCH(H1632,'Campos Growths'!$A:$A,0)),""))</f>
        <v/>
      </c>
      <c r="L1632" s="7" t="str">
        <f aca="false">IF(A1632="","",IF(G1632="não","Sem tabela no Growths",IF(I1632="","Sem campo no Growths",IF(J1632=K1632,"Importa direto","Ajustar tipo"))))</f>
        <v/>
      </c>
      <c r="M1632" s="9"/>
    </row>
    <row r="1633" customFormat="false" ht="15" hidden="false" customHeight="false" outlineLevel="0" collapsed="false">
      <c r="A1633" s="7" t="str">
        <f aca="false">IF('Outro banco'!A1633="","",IF(LEFT('Outro banco'!A1633,1)="(","",'Outro banco'!A1633))</f>
        <v/>
      </c>
      <c r="B1633" s="7" t="str">
        <f aca="false">IF(A1633="","",'Outro banco'!B1633)</f>
        <v/>
      </c>
      <c r="C1633" s="7" t="str">
        <f aca="false">IF(A1633="","",'Outro banco'!C1633)</f>
        <v/>
      </c>
      <c r="D1633" s="7" t="str">
        <f aca="false">IF(A1633="","",'Outro banco'!D1633)</f>
        <v/>
      </c>
      <c r="E1633" s="9"/>
      <c r="F1633" s="9"/>
      <c r="G1633" s="7" t="str">
        <f aca="false">IF(A1633="","",IF(COUNTIF(Tabelas!$A:$A,IF(E1633="",A1633,E1633))&gt;0,"sim","não"))</f>
        <v/>
      </c>
      <c r="H1633" s="7" t="str">
        <f aca="false">IF(A1633="","",IF(E1633="",A1633,E1633)&amp;"."&amp;IF(F1633="",B1633,F1633))</f>
        <v/>
      </c>
      <c r="I1633" s="7" t="str">
        <f aca="false">IF(A1633="","",IFERROR(INDEX('Campos Growths'!$F:$F,MATCH(H1633,'Campos Growths'!$A:$A,0)),""))</f>
        <v/>
      </c>
      <c r="J1633" s="7" t="str">
        <f aca="false">IF(A1633="","",IFERROR(VLOOKUP(IF(ISNUMBER(SEARCH("(",C1633)),LEFT(C1633,SEARCH("(",C1633)-1),C1633),Tipos!$A:$B,2,FALSE()),"outro"))</f>
        <v/>
      </c>
      <c r="K1633" s="7" t="str">
        <f aca="false">IF(I1633="","",IFERROR(INDEX('Campos Growths'!$L:$L,MATCH(H1633,'Campos Growths'!$A:$A,0)),""))</f>
        <v/>
      </c>
      <c r="L1633" s="7" t="str">
        <f aca="false">IF(A1633="","",IF(G1633="não","Sem tabela no Growths",IF(I1633="","Sem campo no Growths",IF(J1633=K1633,"Importa direto","Ajustar tipo"))))</f>
        <v/>
      </c>
      <c r="M1633" s="9"/>
    </row>
    <row r="1634" customFormat="false" ht="15" hidden="false" customHeight="false" outlineLevel="0" collapsed="false">
      <c r="A1634" s="7" t="str">
        <f aca="false">IF('Outro banco'!A1634="","",IF(LEFT('Outro banco'!A1634,1)="(","",'Outro banco'!A1634))</f>
        <v/>
      </c>
      <c r="B1634" s="7" t="str">
        <f aca="false">IF(A1634="","",'Outro banco'!B1634)</f>
        <v/>
      </c>
      <c r="C1634" s="7" t="str">
        <f aca="false">IF(A1634="","",'Outro banco'!C1634)</f>
        <v/>
      </c>
      <c r="D1634" s="7" t="str">
        <f aca="false">IF(A1634="","",'Outro banco'!D1634)</f>
        <v/>
      </c>
      <c r="E1634" s="9"/>
      <c r="F1634" s="9"/>
      <c r="G1634" s="7" t="str">
        <f aca="false">IF(A1634="","",IF(COUNTIF(Tabelas!$A:$A,IF(E1634="",A1634,E1634))&gt;0,"sim","não"))</f>
        <v/>
      </c>
      <c r="H1634" s="7" t="str">
        <f aca="false">IF(A1634="","",IF(E1634="",A1634,E1634)&amp;"."&amp;IF(F1634="",B1634,F1634))</f>
        <v/>
      </c>
      <c r="I1634" s="7" t="str">
        <f aca="false">IF(A1634="","",IFERROR(INDEX('Campos Growths'!$F:$F,MATCH(H1634,'Campos Growths'!$A:$A,0)),""))</f>
        <v/>
      </c>
      <c r="J1634" s="7" t="str">
        <f aca="false">IF(A1634="","",IFERROR(VLOOKUP(IF(ISNUMBER(SEARCH("(",C1634)),LEFT(C1634,SEARCH("(",C1634)-1),C1634),Tipos!$A:$B,2,FALSE()),"outro"))</f>
        <v/>
      </c>
      <c r="K1634" s="7" t="str">
        <f aca="false">IF(I1634="","",IFERROR(INDEX('Campos Growths'!$L:$L,MATCH(H1634,'Campos Growths'!$A:$A,0)),""))</f>
        <v/>
      </c>
      <c r="L1634" s="7" t="str">
        <f aca="false">IF(A1634="","",IF(G1634="não","Sem tabela no Growths",IF(I1634="","Sem campo no Growths",IF(J1634=K1634,"Importa direto","Ajustar tipo"))))</f>
        <v/>
      </c>
      <c r="M1634" s="9"/>
    </row>
    <row r="1635" customFormat="false" ht="15" hidden="false" customHeight="false" outlineLevel="0" collapsed="false">
      <c r="A1635" s="7" t="str">
        <f aca="false">IF('Outro banco'!A1635="","",IF(LEFT('Outro banco'!A1635,1)="(","",'Outro banco'!A1635))</f>
        <v/>
      </c>
      <c r="B1635" s="7" t="str">
        <f aca="false">IF(A1635="","",'Outro banco'!B1635)</f>
        <v/>
      </c>
      <c r="C1635" s="7" t="str">
        <f aca="false">IF(A1635="","",'Outro banco'!C1635)</f>
        <v/>
      </c>
      <c r="D1635" s="7" t="str">
        <f aca="false">IF(A1635="","",'Outro banco'!D1635)</f>
        <v/>
      </c>
      <c r="E1635" s="9"/>
      <c r="F1635" s="9"/>
      <c r="G1635" s="7" t="str">
        <f aca="false">IF(A1635="","",IF(COUNTIF(Tabelas!$A:$A,IF(E1635="",A1635,E1635))&gt;0,"sim","não"))</f>
        <v/>
      </c>
      <c r="H1635" s="7" t="str">
        <f aca="false">IF(A1635="","",IF(E1635="",A1635,E1635)&amp;"."&amp;IF(F1635="",B1635,F1635))</f>
        <v/>
      </c>
      <c r="I1635" s="7" t="str">
        <f aca="false">IF(A1635="","",IFERROR(INDEX('Campos Growths'!$F:$F,MATCH(H1635,'Campos Growths'!$A:$A,0)),""))</f>
        <v/>
      </c>
      <c r="J1635" s="7" t="str">
        <f aca="false">IF(A1635="","",IFERROR(VLOOKUP(IF(ISNUMBER(SEARCH("(",C1635)),LEFT(C1635,SEARCH("(",C1635)-1),C1635),Tipos!$A:$B,2,FALSE()),"outro"))</f>
        <v/>
      </c>
      <c r="K1635" s="7" t="str">
        <f aca="false">IF(I1635="","",IFERROR(INDEX('Campos Growths'!$L:$L,MATCH(H1635,'Campos Growths'!$A:$A,0)),""))</f>
        <v/>
      </c>
      <c r="L1635" s="7" t="str">
        <f aca="false">IF(A1635="","",IF(G1635="não","Sem tabela no Growths",IF(I1635="","Sem campo no Growths",IF(J1635=K1635,"Importa direto","Ajustar tipo"))))</f>
        <v/>
      </c>
      <c r="M1635" s="9"/>
    </row>
    <row r="1636" customFormat="false" ht="15" hidden="false" customHeight="false" outlineLevel="0" collapsed="false">
      <c r="A1636" s="7" t="str">
        <f aca="false">IF('Outro banco'!A1636="","",IF(LEFT('Outro banco'!A1636,1)="(","",'Outro banco'!A1636))</f>
        <v/>
      </c>
      <c r="B1636" s="7" t="str">
        <f aca="false">IF(A1636="","",'Outro banco'!B1636)</f>
        <v/>
      </c>
      <c r="C1636" s="7" t="str">
        <f aca="false">IF(A1636="","",'Outro banco'!C1636)</f>
        <v/>
      </c>
      <c r="D1636" s="7" t="str">
        <f aca="false">IF(A1636="","",'Outro banco'!D1636)</f>
        <v/>
      </c>
      <c r="E1636" s="9"/>
      <c r="F1636" s="9"/>
      <c r="G1636" s="7" t="str">
        <f aca="false">IF(A1636="","",IF(COUNTIF(Tabelas!$A:$A,IF(E1636="",A1636,E1636))&gt;0,"sim","não"))</f>
        <v/>
      </c>
      <c r="H1636" s="7" t="str">
        <f aca="false">IF(A1636="","",IF(E1636="",A1636,E1636)&amp;"."&amp;IF(F1636="",B1636,F1636))</f>
        <v/>
      </c>
      <c r="I1636" s="7" t="str">
        <f aca="false">IF(A1636="","",IFERROR(INDEX('Campos Growths'!$F:$F,MATCH(H1636,'Campos Growths'!$A:$A,0)),""))</f>
        <v/>
      </c>
      <c r="J1636" s="7" t="str">
        <f aca="false">IF(A1636="","",IFERROR(VLOOKUP(IF(ISNUMBER(SEARCH("(",C1636)),LEFT(C1636,SEARCH("(",C1636)-1),C1636),Tipos!$A:$B,2,FALSE()),"outro"))</f>
        <v/>
      </c>
      <c r="K1636" s="7" t="str">
        <f aca="false">IF(I1636="","",IFERROR(INDEX('Campos Growths'!$L:$L,MATCH(H1636,'Campos Growths'!$A:$A,0)),""))</f>
        <v/>
      </c>
      <c r="L1636" s="7" t="str">
        <f aca="false">IF(A1636="","",IF(G1636="não","Sem tabela no Growths",IF(I1636="","Sem campo no Growths",IF(J1636=K1636,"Importa direto","Ajustar tipo"))))</f>
        <v/>
      </c>
      <c r="M1636" s="9"/>
    </row>
    <row r="1637" customFormat="false" ht="15" hidden="false" customHeight="false" outlineLevel="0" collapsed="false">
      <c r="A1637" s="7" t="str">
        <f aca="false">IF('Outro banco'!A1637="","",IF(LEFT('Outro banco'!A1637,1)="(","",'Outro banco'!A1637))</f>
        <v/>
      </c>
      <c r="B1637" s="7" t="str">
        <f aca="false">IF(A1637="","",'Outro banco'!B1637)</f>
        <v/>
      </c>
      <c r="C1637" s="7" t="str">
        <f aca="false">IF(A1637="","",'Outro banco'!C1637)</f>
        <v/>
      </c>
      <c r="D1637" s="7" t="str">
        <f aca="false">IF(A1637="","",'Outro banco'!D1637)</f>
        <v/>
      </c>
      <c r="E1637" s="9"/>
      <c r="F1637" s="9"/>
      <c r="G1637" s="7" t="str">
        <f aca="false">IF(A1637="","",IF(COUNTIF(Tabelas!$A:$A,IF(E1637="",A1637,E1637))&gt;0,"sim","não"))</f>
        <v/>
      </c>
      <c r="H1637" s="7" t="str">
        <f aca="false">IF(A1637="","",IF(E1637="",A1637,E1637)&amp;"."&amp;IF(F1637="",B1637,F1637))</f>
        <v/>
      </c>
      <c r="I1637" s="7" t="str">
        <f aca="false">IF(A1637="","",IFERROR(INDEX('Campos Growths'!$F:$F,MATCH(H1637,'Campos Growths'!$A:$A,0)),""))</f>
        <v/>
      </c>
      <c r="J1637" s="7" t="str">
        <f aca="false">IF(A1637="","",IFERROR(VLOOKUP(IF(ISNUMBER(SEARCH("(",C1637)),LEFT(C1637,SEARCH("(",C1637)-1),C1637),Tipos!$A:$B,2,FALSE()),"outro"))</f>
        <v/>
      </c>
      <c r="K1637" s="7" t="str">
        <f aca="false">IF(I1637="","",IFERROR(INDEX('Campos Growths'!$L:$L,MATCH(H1637,'Campos Growths'!$A:$A,0)),""))</f>
        <v/>
      </c>
      <c r="L1637" s="7" t="str">
        <f aca="false">IF(A1637="","",IF(G1637="não","Sem tabela no Growths",IF(I1637="","Sem campo no Growths",IF(J1637=K1637,"Importa direto","Ajustar tipo"))))</f>
        <v/>
      </c>
      <c r="M1637" s="9"/>
    </row>
    <row r="1638" customFormat="false" ht="15" hidden="false" customHeight="false" outlineLevel="0" collapsed="false">
      <c r="A1638" s="7" t="str">
        <f aca="false">IF('Outro banco'!A1638="","",IF(LEFT('Outro banco'!A1638,1)="(","",'Outro banco'!A1638))</f>
        <v/>
      </c>
      <c r="B1638" s="7" t="str">
        <f aca="false">IF(A1638="","",'Outro banco'!B1638)</f>
        <v/>
      </c>
      <c r="C1638" s="7" t="str">
        <f aca="false">IF(A1638="","",'Outro banco'!C1638)</f>
        <v/>
      </c>
      <c r="D1638" s="7" t="str">
        <f aca="false">IF(A1638="","",'Outro banco'!D1638)</f>
        <v/>
      </c>
      <c r="E1638" s="9"/>
      <c r="F1638" s="9"/>
      <c r="G1638" s="7" t="str">
        <f aca="false">IF(A1638="","",IF(COUNTIF(Tabelas!$A:$A,IF(E1638="",A1638,E1638))&gt;0,"sim","não"))</f>
        <v/>
      </c>
      <c r="H1638" s="7" t="str">
        <f aca="false">IF(A1638="","",IF(E1638="",A1638,E1638)&amp;"."&amp;IF(F1638="",B1638,F1638))</f>
        <v/>
      </c>
      <c r="I1638" s="7" t="str">
        <f aca="false">IF(A1638="","",IFERROR(INDEX('Campos Growths'!$F:$F,MATCH(H1638,'Campos Growths'!$A:$A,0)),""))</f>
        <v/>
      </c>
      <c r="J1638" s="7" t="str">
        <f aca="false">IF(A1638="","",IFERROR(VLOOKUP(IF(ISNUMBER(SEARCH("(",C1638)),LEFT(C1638,SEARCH("(",C1638)-1),C1638),Tipos!$A:$B,2,FALSE()),"outro"))</f>
        <v/>
      </c>
      <c r="K1638" s="7" t="str">
        <f aca="false">IF(I1638="","",IFERROR(INDEX('Campos Growths'!$L:$L,MATCH(H1638,'Campos Growths'!$A:$A,0)),""))</f>
        <v/>
      </c>
      <c r="L1638" s="7" t="str">
        <f aca="false">IF(A1638="","",IF(G1638="não","Sem tabela no Growths",IF(I1638="","Sem campo no Growths",IF(J1638=K1638,"Importa direto","Ajustar tipo"))))</f>
        <v/>
      </c>
      <c r="M1638" s="9"/>
    </row>
    <row r="1639" customFormat="false" ht="15" hidden="false" customHeight="false" outlineLevel="0" collapsed="false">
      <c r="A1639" s="7" t="str">
        <f aca="false">IF('Outro banco'!A1639="","",IF(LEFT('Outro banco'!A1639,1)="(","",'Outro banco'!A1639))</f>
        <v/>
      </c>
      <c r="B1639" s="7" t="str">
        <f aca="false">IF(A1639="","",'Outro banco'!B1639)</f>
        <v/>
      </c>
      <c r="C1639" s="7" t="str">
        <f aca="false">IF(A1639="","",'Outro banco'!C1639)</f>
        <v/>
      </c>
      <c r="D1639" s="7" t="str">
        <f aca="false">IF(A1639="","",'Outro banco'!D1639)</f>
        <v/>
      </c>
      <c r="E1639" s="9"/>
      <c r="F1639" s="9"/>
      <c r="G1639" s="7" t="str">
        <f aca="false">IF(A1639="","",IF(COUNTIF(Tabelas!$A:$A,IF(E1639="",A1639,E1639))&gt;0,"sim","não"))</f>
        <v/>
      </c>
      <c r="H1639" s="7" t="str">
        <f aca="false">IF(A1639="","",IF(E1639="",A1639,E1639)&amp;"."&amp;IF(F1639="",B1639,F1639))</f>
        <v/>
      </c>
      <c r="I1639" s="7" t="str">
        <f aca="false">IF(A1639="","",IFERROR(INDEX('Campos Growths'!$F:$F,MATCH(H1639,'Campos Growths'!$A:$A,0)),""))</f>
        <v/>
      </c>
      <c r="J1639" s="7" t="str">
        <f aca="false">IF(A1639="","",IFERROR(VLOOKUP(IF(ISNUMBER(SEARCH("(",C1639)),LEFT(C1639,SEARCH("(",C1639)-1),C1639),Tipos!$A:$B,2,FALSE()),"outro"))</f>
        <v/>
      </c>
      <c r="K1639" s="7" t="str">
        <f aca="false">IF(I1639="","",IFERROR(INDEX('Campos Growths'!$L:$L,MATCH(H1639,'Campos Growths'!$A:$A,0)),""))</f>
        <v/>
      </c>
      <c r="L1639" s="7" t="str">
        <f aca="false">IF(A1639="","",IF(G1639="não","Sem tabela no Growths",IF(I1639="","Sem campo no Growths",IF(J1639=K1639,"Importa direto","Ajustar tipo"))))</f>
        <v/>
      </c>
      <c r="M1639" s="9"/>
    </row>
    <row r="1640" customFormat="false" ht="15" hidden="false" customHeight="false" outlineLevel="0" collapsed="false">
      <c r="A1640" s="7" t="str">
        <f aca="false">IF('Outro banco'!A1640="","",IF(LEFT('Outro banco'!A1640,1)="(","",'Outro banco'!A1640))</f>
        <v/>
      </c>
      <c r="B1640" s="7" t="str">
        <f aca="false">IF(A1640="","",'Outro banco'!B1640)</f>
        <v/>
      </c>
      <c r="C1640" s="7" t="str">
        <f aca="false">IF(A1640="","",'Outro banco'!C1640)</f>
        <v/>
      </c>
      <c r="D1640" s="7" t="str">
        <f aca="false">IF(A1640="","",'Outro banco'!D1640)</f>
        <v/>
      </c>
      <c r="E1640" s="9"/>
      <c r="F1640" s="9"/>
      <c r="G1640" s="7" t="str">
        <f aca="false">IF(A1640="","",IF(COUNTIF(Tabelas!$A:$A,IF(E1640="",A1640,E1640))&gt;0,"sim","não"))</f>
        <v/>
      </c>
      <c r="H1640" s="7" t="str">
        <f aca="false">IF(A1640="","",IF(E1640="",A1640,E1640)&amp;"."&amp;IF(F1640="",B1640,F1640))</f>
        <v/>
      </c>
      <c r="I1640" s="7" t="str">
        <f aca="false">IF(A1640="","",IFERROR(INDEX('Campos Growths'!$F:$F,MATCH(H1640,'Campos Growths'!$A:$A,0)),""))</f>
        <v/>
      </c>
      <c r="J1640" s="7" t="str">
        <f aca="false">IF(A1640="","",IFERROR(VLOOKUP(IF(ISNUMBER(SEARCH("(",C1640)),LEFT(C1640,SEARCH("(",C1640)-1),C1640),Tipos!$A:$B,2,FALSE()),"outro"))</f>
        <v/>
      </c>
      <c r="K1640" s="7" t="str">
        <f aca="false">IF(I1640="","",IFERROR(INDEX('Campos Growths'!$L:$L,MATCH(H1640,'Campos Growths'!$A:$A,0)),""))</f>
        <v/>
      </c>
      <c r="L1640" s="7" t="str">
        <f aca="false">IF(A1640="","",IF(G1640="não","Sem tabela no Growths",IF(I1640="","Sem campo no Growths",IF(J1640=K1640,"Importa direto","Ajustar tipo"))))</f>
        <v/>
      </c>
      <c r="M1640" s="9"/>
    </row>
    <row r="1641" customFormat="false" ht="15" hidden="false" customHeight="false" outlineLevel="0" collapsed="false">
      <c r="A1641" s="7" t="str">
        <f aca="false">IF('Outro banco'!A1641="","",IF(LEFT('Outro banco'!A1641,1)="(","",'Outro banco'!A1641))</f>
        <v/>
      </c>
      <c r="B1641" s="7" t="str">
        <f aca="false">IF(A1641="","",'Outro banco'!B1641)</f>
        <v/>
      </c>
      <c r="C1641" s="7" t="str">
        <f aca="false">IF(A1641="","",'Outro banco'!C1641)</f>
        <v/>
      </c>
      <c r="D1641" s="7" t="str">
        <f aca="false">IF(A1641="","",'Outro banco'!D1641)</f>
        <v/>
      </c>
      <c r="E1641" s="9"/>
      <c r="F1641" s="9"/>
      <c r="G1641" s="7" t="str">
        <f aca="false">IF(A1641="","",IF(COUNTIF(Tabelas!$A:$A,IF(E1641="",A1641,E1641))&gt;0,"sim","não"))</f>
        <v/>
      </c>
      <c r="H1641" s="7" t="str">
        <f aca="false">IF(A1641="","",IF(E1641="",A1641,E1641)&amp;"."&amp;IF(F1641="",B1641,F1641))</f>
        <v/>
      </c>
      <c r="I1641" s="7" t="str">
        <f aca="false">IF(A1641="","",IFERROR(INDEX('Campos Growths'!$F:$F,MATCH(H1641,'Campos Growths'!$A:$A,0)),""))</f>
        <v/>
      </c>
      <c r="J1641" s="7" t="str">
        <f aca="false">IF(A1641="","",IFERROR(VLOOKUP(IF(ISNUMBER(SEARCH("(",C1641)),LEFT(C1641,SEARCH("(",C1641)-1),C1641),Tipos!$A:$B,2,FALSE()),"outro"))</f>
        <v/>
      </c>
      <c r="K1641" s="7" t="str">
        <f aca="false">IF(I1641="","",IFERROR(INDEX('Campos Growths'!$L:$L,MATCH(H1641,'Campos Growths'!$A:$A,0)),""))</f>
        <v/>
      </c>
      <c r="L1641" s="7" t="str">
        <f aca="false">IF(A1641="","",IF(G1641="não","Sem tabela no Growths",IF(I1641="","Sem campo no Growths",IF(J1641=K1641,"Importa direto","Ajustar tipo"))))</f>
        <v/>
      </c>
      <c r="M1641" s="9"/>
    </row>
    <row r="1642" customFormat="false" ht="15" hidden="false" customHeight="false" outlineLevel="0" collapsed="false">
      <c r="A1642" s="7" t="str">
        <f aca="false">IF('Outro banco'!A1642="","",IF(LEFT('Outro banco'!A1642,1)="(","",'Outro banco'!A1642))</f>
        <v/>
      </c>
      <c r="B1642" s="7" t="str">
        <f aca="false">IF(A1642="","",'Outro banco'!B1642)</f>
        <v/>
      </c>
      <c r="C1642" s="7" t="str">
        <f aca="false">IF(A1642="","",'Outro banco'!C1642)</f>
        <v/>
      </c>
      <c r="D1642" s="7" t="str">
        <f aca="false">IF(A1642="","",'Outro banco'!D1642)</f>
        <v/>
      </c>
      <c r="E1642" s="9"/>
      <c r="F1642" s="9"/>
      <c r="G1642" s="7" t="str">
        <f aca="false">IF(A1642="","",IF(COUNTIF(Tabelas!$A:$A,IF(E1642="",A1642,E1642))&gt;0,"sim","não"))</f>
        <v/>
      </c>
      <c r="H1642" s="7" t="str">
        <f aca="false">IF(A1642="","",IF(E1642="",A1642,E1642)&amp;"."&amp;IF(F1642="",B1642,F1642))</f>
        <v/>
      </c>
      <c r="I1642" s="7" t="str">
        <f aca="false">IF(A1642="","",IFERROR(INDEX('Campos Growths'!$F:$F,MATCH(H1642,'Campos Growths'!$A:$A,0)),""))</f>
        <v/>
      </c>
      <c r="J1642" s="7" t="str">
        <f aca="false">IF(A1642="","",IFERROR(VLOOKUP(IF(ISNUMBER(SEARCH("(",C1642)),LEFT(C1642,SEARCH("(",C1642)-1),C1642),Tipos!$A:$B,2,FALSE()),"outro"))</f>
        <v/>
      </c>
      <c r="K1642" s="7" t="str">
        <f aca="false">IF(I1642="","",IFERROR(INDEX('Campos Growths'!$L:$L,MATCH(H1642,'Campos Growths'!$A:$A,0)),""))</f>
        <v/>
      </c>
      <c r="L1642" s="7" t="str">
        <f aca="false">IF(A1642="","",IF(G1642="não","Sem tabela no Growths",IF(I1642="","Sem campo no Growths",IF(J1642=K1642,"Importa direto","Ajustar tipo"))))</f>
        <v/>
      </c>
      <c r="M1642" s="9"/>
    </row>
    <row r="1643" customFormat="false" ht="15" hidden="false" customHeight="false" outlineLevel="0" collapsed="false">
      <c r="A1643" s="7" t="str">
        <f aca="false">IF('Outro banco'!A1643="","",IF(LEFT('Outro banco'!A1643,1)="(","",'Outro banco'!A1643))</f>
        <v/>
      </c>
      <c r="B1643" s="7" t="str">
        <f aca="false">IF(A1643="","",'Outro banco'!B1643)</f>
        <v/>
      </c>
      <c r="C1643" s="7" t="str">
        <f aca="false">IF(A1643="","",'Outro banco'!C1643)</f>
        <v/>
      </c>
      <c r="D1643" s="7" t="str">
        <f aca="false">IF(A1643="","",'Outro banco'!D1643)</f>
        <v/>
      </c>
      <c r="E1643" s="9"/>
      <c r="F1643" s="9"/>
      <c r="G1643" s="7" t="str">
        <f aca="false">IF(A1643="","",IF(COUNTIF(Tabelas!$A:$A,IF(E1643="",A1643,E1643))&gt;0,"sim","não"))</f>
        <v/>
      </c>
      <c r="H1643" s="7" t="str">
        <f aca="false">IF(A1643="","",IF(E1643="",A1643,E1643)&amp;"."&amp;IF(F1643="",B1643,F1643))</f>
        <v/>
      </c>
      <c r="I1643" s="7" t="str">
        <f aca="false">IF(A1643="","",IFERROR(INDEX('Campos Growths'!$F:$F,MATCH(H1643,'Campos Growths'!$A:$A,0)),""))</f>
        <v/>
      </c>
      <c r="J1643" s="7" t="str">
        <f aca="false">IF(A1643="","",IFERROR(VLOOKUP(IF(ISNUMBER(SEARCH("(",C1643)),LEFT(C1643,SEARCH("(",C1643)-1),C1643),Tipos!$A:$B,2,FALSE()),"outro"))</f>
        <v/>
      </c>
      <c r="K1643" s="7" t="str">
        <f aca="false">IF(I1643="","",IFERROR(INDEX('Campos Growths'!$L:$L,MATCH(H1643,'Campos Growths'!$A:$A,0)),""))</f>
        <v/>
      </c>
      <c r="L1643" s="7" t="str">
        <f aca="false">IF(A1643="","",IF(G1643="não","Sem tabela no Growths",IF(I1643="","Sem campo no Growths",IF(J1643=K1643,"Importa direto","Ajustar tipo"))))</f>
        <v/>
      </c>
      <c r="M1643" s="9"/>
    </row>
    <row r="1644" customFormat="false" ht="15" hidden="false" customHeight="false" outlineLevel="0" collapsed="false">
      <c r="A1644" s="7" t="str">
        <f aca="false">IF('Outro banco'!A1644="","",IF(LEFT('Outro banco'!A1644,1)="(","",'Outro banco'!A1644))</f>
        <v/>
      </c>
      <c r="B1644" s="7" t="str">
        <f aca="false">IF(A1644="","",'Outro banco'!B1644)</f>
        <v/>
      </c>
      <c r="C1644" s="7" t="str">
        <f aca="false">IF(A1644="","",'Outro banco'!C1644)</f>
        <v/>
      </c>
      <c r="D1644" s="7" t="str">
        <f aca="false">IF(A1644="","",'Outro banco'!D1644)</f>
        <v/>
      </c>
      <c r="E1644" s="9"/>
      <c r="F1644" s="9"/>
      <c r="G1644" s="7" t="str">
        <f aca="false">IF(A1644="","",IF(COUNTIF(Tabelas!$A:$A,IF(E1644="",A1644,E1644))&gt;0,"sim","não"))</f>
        <v/>
      </c>
      <c r="H1644" s="7" t="str">
        <f aca="false">IF(A1644="","",IF(E1644="",A1644,E1644)&amp;"."&amp;IF(F1644="",B1644,F1644))</f>
        <v/>
      </c>
      <c r="I1644" s="7" t="str">
        <f aca="false">IF(A1644="","",IFERROR(INDEX('Campos Growths'!$F:$F,MATCH(H1644,'Campos Growths'!$A:$A,0)),""))</f>
        <v/>
      </c>
      <c r="J1644" s="7" t="str">
        <f aca="false">IF(A1644="","",IFERROR(VLOOKUP(IF(ISNUMBER(SEARCH("(",C1644)),LEFT(C1644,SEARCH("(",C1644)-1),C1644),Tipos!$A:$B,2,FALSE()),"outro"))</f>
        <v/>
      </c>
      <c r="K1644" s="7" t="str">
        <f aca="false">IF(I1644="","",IFERROR(INDEX('Campos Growths'!$L:$L,MATCH(H1644,'Campos Growths'!$A:$A,0)),""))</f>
        <v/>
      </c>
      <c r="L1644" s="7" t="str">
        <f aca="false">IF(A1644="","",IF(G1644="não","Sem tabela no Growths",IF(I1644="","Sem campo no Growths",IF(J1644=K1644,"Importa direto","Ajustar tipo"))))</f>
        <v/>
      </c>
      <c r="M1644" s="9"/>
    </row>
    <row r="1645" customFormat="false" ht="15" hidden="false" customHeight="false" outlineLevel="0" collapsed="false">
      <c r="A1645" s="7" t="str">
        <f aca="false">IF('Outro banco'!A1645="","",IF(LEFT('Outro banco'!A1645,1)="(","",'Outro banco'!A1645))</f>
        <v/>
      </c>
      <c r="B1645" s="7" t="str">
        <f aca="false">IF(A1645="","",'Outro banco'!B1645)</f>
        <v/>
      </c>
      <c r="C1645" s="7" t="str">
        <f aca="false">IF(A1645="","",'Outro banco'!C1645)</f>
        <v/>
      </c>
      <c r="D1645" s="7" t="str">
        <f aca="false">IF(A1645="","",'Outro banco'!D1645)</f>
        <v/>
      </c>
      <c r="E1645" s="9"/>
      <c r="F1645" s="9"/>
      <c r="G1645" s="7" t="str">
        <f aca="false">IF(A1645="","",IF(COUNTIF(Tabelas!$A:$A,IF(E1645="",A1645,E1645))&gt;0,"sim","não"))</f>
        <v/>
      </c>
      <c r="H1645" s="7" t="str">
        <f aca="false">IF(A1645="","",IF(E1645="",A1645,E1645)&amp;"."&amp;IF(F1645="",B1645,F1645))</f>
        <v/>
      </c>
      <c r="I1645" s="7" t="str">
        <f aca="false">IF(A1645="","",IFERROR(INDEX('Campos Growths'!$F:$F,MATCH(H1645,'Campos Growths'!$A:$A,0)),""))</f>
        <v/>
      </c>
      <c r="J1645" s="7" t="str">
        <f aca="false">IF(A1645="","",IFERROR(VLOOKUP(IF(ISNUMBER(SEARCH("(",C1645)),LEFT(C1645,SEARCH("(",C1645)-1),C1645),Tipos!$A:$B,2,FALSE()),"outro"))</f>
        <v/>
      </c>
      <c r="K1645" s="7" t="str">
        <f aca="false">IF(I1645="","",IFERROR(INDEX('Campos Growths'!$L:$L,MATCH(H1645,'Campos Growths'!$A:$A,0)),""))</f>
        <v/>
      </c>
      <c r="L1645" s="7" t="str">
        <f aca="false">IF(A1645="","",IF(G1645="não","Sem tabela no Growths",IF(I1645="","Sem campo no Growths",IF(J1645=K1645,"Importa direto","Ajustar tipo"))))</f>
        <v/>
      </c>
      <c r="M1645" s="9"/>
    </row>
    <row r="1646" customFormat="false" ht="15" hidden="false" customHeight="false" outlineLevel="0" collapsed="false">
      <c r="A1646" s="7" t="str">
        <f aca="false">IF('Outro banco'!A1646="","",IF(LEFT('Outro banco'!A1646,1)="(","",'Outro banco'!A1646))</f>
        <v/>
      </c>
      <c r="B1646" s="7" t="str">
        <f aca="false">IF(A1646="","",'Outro banco'!B1646)</f>
        <v/>
      </c>
      <c r="C1646" s="7" t="str">
        <f aca="false">IF(A1646="","",'Outro banco'!C1646)</f>
        <v/>
      </c>
      <c r="D1646" s="7" t="str">
        <f aca="false">IF(A1646="","",'Outro banco'!D1646)</f>
        <v/>
      </c>
      <c r="E1646" s="9"/>
      <c r="F1646" s="9"/>
      <c r="G1646" s="7" t="str">
        <f aca="false">IF(A1646="","",IF(COUNTIF(Tabelas!$A:$A,IF(E1646="",A1646,E1646))&gt;0,"sim","não"))</f>
        <v/>
      </c>
      <c r="H1646" s="7" t="str">
        <f aca="false">IF(A1646="","",IF(E1646="",A1646,E1646)&amp;"."&amp;IF(F1646="",B1646,F1646))</f>
        <v/>
      </c>
      <c r="I1646" s="7" t="str">
        <f aca="false">IF(A1646="","",IFERROR(INDEX('Campos Growths'!$F:$F,MATCH(H1646,'Campos Growths'!$A:$A,0)),""))</f>
        <v/>
      </c>
      <c r="J1646" s="7" t="str">
        <f aca="false">IF(A1646="","",IFERROR(VLOOKUP(IF(ISNUMBER(SEARCH("(",C1646)),LEFT(C1646,SEARCH("(",C1646)-1),C1646),Tipos!$A:$B,2,FALSE()),"outro"))</f>
        <v/>
      </c>
      <c r="K1646" s="7" t="str">
        <f aca="false">IF(I1646="","",IFERROR(INDEX('Campos Growths'!$L:$L,MATCH(H1646,'Campos Growths'!$A:$A,0)),""))</f>
        <v/>
      </c>
      <c r="L1646" s="7" t="str">
        <f aca="false">IF(A1646="","",IF(G1646="não","Sem tabela no Growths",IF(I1646="","Sem campo no Growths",IF(J1646=K1646,"Importa direto","Ajustar tipo"))))</f>
        <v/>
      </c>
      <c r="M1646" s="9"/>
    </row>
    <row r="1647" customFormat="false" ht="15" hidden="false" customHeight="false" outlineLevel="0" collapsed="false">
      <c r="A1647" s="7" t="str">
        <f aca="false">IF('Outro banco'!A1647="","",IF(LEFT('Outro banco'!A1647,1)="(","",'Outro banco'!A1647))</f>
        <v/>
      </c>
      <c r="B1647" s="7" t="str">
        <f aca="false">IF(A1647="","",'Outro banco'!B1647)</f>
        <v/>
      </c>
      <c r="C1647" s="7" t="str">
        <f aca="false">IF(A1647="","",'Outro banco'!C1647)</f>
        <v/>
      </c>
      <c r="D1647" s="7" t="str">
        <f aca="false">IF(A1647="","",'Outro banco'!D1647)</f>
        <v/>
      </c>
      <c r="E1647" s="9"/>
      <c r="F1647" s="9"/>
      <c r="G1647" s="7" t="str">
        <f aca="false">IF(A1647="","",IF(COUNTIF(Tabelas!$A:$A,IF(E1647="",A1647,E1647))&gt;0,"sim","não"))</f>
        <v/>
      </c>
      <c r="H1647" s="7" t="str">
        <f aca="false">IF(A1647="","",IF(E1647="",A1647,E1647)&amp;"."&amp;IF(F1647="",B1647,F1647))</f>
        <v/>
      </c>
      <c r="I1647" s="7" t="str">
        <f aca="false">IF(A1647="","",IFERROR(INDEX('Campos Growths'!$F:$F,MATCH(H1647,'Campos Growths'!$A:$A,0)),""))</f>
        <v/>
      </c>
      <c r="J1647" s="7" t="str">
        <f aca="false">IF(A1647="","",IFERROR(VLOOKUP(IF(ISNUMBER(SEARCH("(",C1647)),LEFT(C1647,SEARCH("(",C1647)-1),C1647),Tipos!$A:$B,2,FALSE()),"outro"))</f>
        <v/>
      </c>
      <c r="K1647" s="7" t="str">
        <f aca="false">IF(I1647="","",IFERROR(INDEX('Campos Growths'!$L:$L,MATCH(H1647,'Campos Growths'!$A:$A,0)),""))</f>
        <v/>
      </c>
      <c r="L1647" s="7" t="str">
        <f aca="false">IF(A1647="","",IF(G1647="não","Sem tabela no Growths",IF(I1647="","Sem campo no Growths",IF(J1647=K1647,"Importa direto","Ajustar tipo"))))</f>
        <v/>
      </c>
      <c r="M1647" s="9"/>
    </row>
    <row r="1648" customFormat="false" ht="15" hidden="false" customHeight="false" outlineLevel="0" collapsed="false">
      <c r="A1648" s="7" t="str">
        <f aca="false">IF('Outro banco'!A1648="","",IF(LEFT('Outro banco'!A1648,1)="(","",'Outro banco'!A1648))</f>
        <v/>
      </c>
      <c r="B1648" s="7" t="str">
        <f aca="false">IF(A1648="","",'Outro banco'!B1648)</f>
        <v/>
      </c>
      <c r="C1648" s="7" t="str">
        <f aca="false">IF(A1648="","",'Outro banco'!C1648)</f>
        <v/>
      </c>
      <c r="D1648" s="7" t="str">
        <f aca="false">IF(A1648="","",'Outro banco'!D1648)</f>
        <v/>
      </c>
      <c r="E1648" s="9"/>
      <c r="F1648" s="9"/>
      <c r="G1648" s="7" t="str">
        <f aca="false">IF(A1648="","",IF(COUNTIF(Tabelas!$A:$A,IF(E1648="",A1648,E1648))&gt;0,"sim","não"))</f>
        <v/>
      </c>
      <c r="H1648" s="7" t="str">
        <f aca="false">IF(A1648="","",IF(E1648="",A1648,E1648)&amp;"."&amp;IF(F1648="",B1648,F1648))</f>
        <v/>
      </c>
      <c r="I1648" s="7" t="str">
        <f aca="false">IF(A1648="","",IFERROR(INDEX('Campos Growths'!$F:$F,MATCH(H1648,'Campos Growths'!$A:$A,0)),""))</f>
        <v/>
      </c>
      <c r="J1648" s="7" t="str">
        <f aca="false">IF(A1648="","",IFERROR(VLOOKUP(IF(ISNUMBER(SEARCH("(",C1648)),LEFT(C1648,SEARCH("(",C1648)-1),C1648),Tipos!$A:$B,2,FALSE()),"outro"))</f>
        <v/>
      </c>
      <c r="K1648" s="7" t="str">
        <f aca="false">IF(I1648="","",IFERROR(INDEX('Campos Growths'!$L:$L,MATCH(H1648,'Campos Growths'!$A:$A,0)),""))</f>
        <v/>
      </c>
      <c r="L1648" s="7" t="str">
        <f aca="false">IF(A1648="","",IF(G1648="não","Sem tabela no Growths",IF(I1648="","Sem campo no Growths",IF(J1648=K1648,"Importa direto","Ajustar tipo"))))</f>
        <v/>
      </c>
      <c r="M1648" s="9"/>
    </row>
    <row r="1649" customFormat="false" ht="15" hidden="false" customHeight="false" outlineLevel="0" collapsed="false">
      <c r="A1649" s="7" t="str">
        <f aca="false">IF('Outro banco'!A1649="","",IF(LEFT('Outro banco'!A1649,1)="(","",'Outro banco'!A1649))</f>
        <v/>
      </c>
      <c r="B1649" s="7" t="str">
        <f aca="false">IF(A1649="","",'Outro banco'!B1649)</f>
        <v/>
      </c>
      <c r="C1649" s="7" t="str">
        <f aca="false">IF(A1649="","",'Outro banco'!C1649)</f>
        <v/>
      </c>
      <c r="D1649" s="7" t="str">
        <f aca="false">IF(A1649="","",'Outro banco'!D1649)</f>
        <v/>
      </c>
      <c r="E1649" s="9"/>
      <c r="F1649" s="9"/>
      <c r="G1649" s="7" t="str">
        <f aca="false">IF(A1649="","",IF(COUNTIF(Tabelas!$A:$A,IF(E1649="",A1649,E1649))&gt;0,"sim","não"))</f>
        <v/>
      </c>
      <c r="H1649" s="7" t="str">
        <f aca="false">IF(A1649="","",IF(E1649="",A1649,E1649)&amp;"."&amp;IF(F1649="",B1649,F1649))</f>
        <v/>
      </c>
      <c r="I1649" s="7" t="str">
        <f aca="false">IF(A1649="","",IFERROR(INDEX('Campos Growths'!$F:$F,MATCH(H1649,'Campos Growths'!$A:$A,0)),""))</f>
        <v/>
      </c>
      <c r="J1649" s="7" t="str">
        <f aca="false">IF(A1649="","",IFERROR(VLOOKUP(IF(ISNUMBER(SEARCH("(",C1649)),LEFT(C1649,SEARCH("(",C1649)-1),C1649),Tipos!$A:$B,2,FALSE()),"outro"))</f>
        <v/>
      </c>
      <c r="K1649" s="7" t="str">
        <f aca="false">IF(I1649="","",IFERROR(INDEX('Campos Growths'!$L:$L,MATCH(H1649,'Campos Growths'!$A:$A,0)),""))</f>
        <v/>
      </c>
      <c r="L1649" s="7" t="str">
        <f aca="false">IF(A1649="","",IF(G1649="não","Sem tabela no Growths",IF(I1649="","Sem campo no Growths",IF(J1649=K1649,"Importa direto","Ajustar tipo"))))</f>
        <v/>
      </c>
      <c r="M1649" s="9"/>
    </row>
    <row r="1650" customFormat="false" ht="15" hidden="false" customHeight="false" outlineLevel="0" collapsed="false">
      <c r="A1650" s="7" t="str">
        <f aca="false">IF('Outro banco'!A1650="","",IF(LEFT('Outro banco'!A1650,1)="(","",'Outro banco'!A1650))</f>
        <v/>
      </c>
      <c r="B1650" s="7" t="str">
        <f aca="false">IF(A1650="","",'Outro banco'!B1650)</f>
        <v/>
      </c>
      <c r="C1650" s="7" t="str">
        <f aca="false">IF(A1650="","",'Outro banco'!C1650)</f>
        <v/>
      </c>
      <c r="D1650" s="7" t="str">
        <f aca="false">IF(A1650="","",'Outro banco'!D1650)</f>
        <v/>
      </c>
      <c r="E1650" s="9"/>
      <c r="F1650" s="9"/>
      <c r="G1650" s="7" t="str">
        <f aca="false">IF(A1650="","",IF(COUNTIF(Tabelas!$A:$A,IF(E1650="",A1650,E1650))&gt;0,"sim","não"))</f>
        <v/>
      </c>
      <c r="H1650" s="7" t="str">
        <f aca="false">IF(A1650="","",IF(E1650="",A1650,E1650)&amp;"."&amp;IF(F1650="",B1650,F1650))</f>
        <v/>
      </c>
      <c r="I1650" s="7" t="str">
        <f aca="false">IF(A1650="","",IFERROR(INDEX('Campos Growths'!$F:$F,MATCH(H1650,'Campos Growths'!$A:$A,0)),""))</f>
        <v/>
      </c>
      <c r="J1650" s="7" t="str">
        <f aca="false">IF(A1650="","",IFERROR(VLOOKUP(IF(ISNUMBER(SEARCH("(",C1650)),LEFT(C1650,SEARCH("(",C1650)-1),C1650),Tipos!$A:$B,2,FALSE()),"outro"))</f>
        <v/>
      </c>
      <c r="K1650" s="7" t="str">
        <f aca="false">IF(I1650="","",IFERROR(INDEX('Campos Growths'!$L:$L,MATCH(H1650,'Campos Growths'!$A:$A,0)),""))</f>
        <v/>
      </c>
      <c r="L1650" s="7" t="str">
        <f aca="false">IF(A1650="","",IF(G1650="não","Sem tabela no Growths",IF(I1650="","Sem campo no Growths",IF(J1650=K1650,"Importa direto","Ajustar tipo"))))</f>
        <v/>
      </c>
      <c r="M1650" s="9"/>
    </row>
    <row r="1651" customFormat="false" ht="15" hidden="false" customHeight="false" outlineLevel="0" collapsed="false">
      <c r="A1651" s="7" t="str">
        <f aca="false">IF('Outro banco'!A1651="","",IF(LEFT('Outro banco'!A1651,1)="(","",'Outro banco'!A1651))</f>
        <v/>
      </c>
      <c r="B1651" s="7" t="str">
        <f aca="false">IF(A1651="","",'Outro banco'!B1651)</f>
        <v/>
      </c>
      <c r="C1651" s="7" t="str">
        <f aca="false">IF(A1651="","",'Outro banco'!C1651)</f>
        <v/>
      </c>
      <c r="D1651" s="7" t="str">
        <f aca="false">IF(A1651="","",'Outro banco'!D1651)</f>
        <v/>
      </c>
      <c r="E1651" s="9"/>
      <c r="F1651" s="9"/>
      <c r="G1651" s="7" t="str">
        <f aca="false">IF(A1651="","",IF(COUNTIF(Tabelas!$A:$A,IF(E1651="",A1651,E1651))&gt;0,"sim","não"))</f>
        <v/>
      </c>
      <c r="H1651" s="7" t="str">
        <f aca="false">IF(A1651="","",IF(E1651="",A1651,E1651)&amp;"."&amp;IF(F1651="",B1651,F1651))</f>
        <v/>
      </c>
      <c r="I1651" s="7" t="str">
        <f aca="false">IF(A1651="","",IFERROR(INDEX('Campos Growths'!$F:$F,MATCH(H1651,'Campos Growths'!$A:$A,0)),""))</f>
        <v/>
      </c>
      <c r="J1651" s="7" t="str">
        <f aca="false">IF(A1651="","",IFERROR(VLOOKUP(IF(ISNUMBER(SEARCH("(",C1651)),LEFT(C1651,SEARCH("(",C1651)-1),C1651),Tipos!$A:$B,2,FALSE()),"outro"))</f>
        <v/>
      </c>
      <c r="K1651" s="7" t="str">
        <f aca="false">IF(I1651="","",IFERROR(INDEX('Campos Growths'!$L:$L,MATCH(H1651,'Campos Growths'!$A:$A,0)),""))</f>
        <v/>
      </c>
      <c r="L1651" s="7" t="str">
        <f aca="false">IF(A1651="","",IF(G1651="não","Sem tabela no Growths",IF(I1651="","Sem campo no Growths",IF(J1651=K1651,"Importa direto","Ajustar tipo"))))</f>
        <v/>
      </c>
      <c r="M1651" s="9"/>
    </row>
    <row r="1652" customFormat="false" ht="15" hidden="false" customHeight="false" outlineLevel="0" collapsed="false">
      <c r="A1652" s="7" t="str">
        <f aca="false">IF('Outro banco'!A1652="","",IF(LEFT('Outro banco'!A1652,1)="(","",'Outro banco'!A1652))</f>
        <v/>
      </c>
      <c r="B1652" s="7" t="str">
        <f aca="false">IF(A1652="","",'Outro banco'!B1652)</f>
        <v/>
      </c>
      <c r="C1652" s="7" t="str">
        <f aca="false">IF(A1652="","",'Outro banco'!C1652)</f>
        <v/>
      </c>
      <c r="D1652" s="7" t="str">
        <f aca="false">IF(A1652="","",'Outro banco'!D1652)</f>
        <v/>
      </c>
      <c r="E1652" s="9"/>
      <c r="F1652" s="9"/>
      <c r="G1652" s="7" t="str">
        <f aca="false">IF(A1652="","",IF(COUNTIF(Tabelas!$A:$A,IF(E1652="",A1652,E1652))&gt;0,"sim","não"))</f>
        <v/>
      </c>
      <c r="H1652" s="7" t="str">
        <f aca="false">IF(A1652="","",IF(E1652="",A1652,E1652)&amp;"."&amp;IF(F1652="",B1652,F1652))</f>
        <v/>
      </c>
      <c r="I1652" s="7" t="str">
        <f aca="false">IF(A1652="","",IFERROR(INDEX('Campos Growths'!$F:$F,MATCH(H1652,'Campos Growths'!$A:$A,0)),""))</f>
        <v/>
      </c>
      <c r="J1652" s="7" t="str">
        <f aca="false">IF(A1652="","",IFERROR(VLOOKUP(IF(ISNUMBER(SEARCH("(",C1652)),LEFT(C1652,SEARCH("(",C1652)-1),C1652),Tipos!$A:$B,2,FALSE()),"outro"))</f>
        <v/>
      </c>
      <c r="K1652" s="7" t="str">
        <f aca="false">IF(I1652="","",IFERROR(INDEX('Campos Growths'!$L:$L,MATCH(H1652,'Campos Growths'!$A:$A,0)),""))</f>
        <v/>
      </c>
      <c r="L1652" s="7" t="str">
        <f aca="false">IF(A1652="","",IF(G1652="não","Sem tabela no Growths",IF(I1652="","Sem campo no Growths",IF(J1652=K1652,"Importa direto","Ajustar tipo"))))</f>
        <v/>
      </c>
      <c r="M1652" s="9"/>
    </row>
    <row r="1653" customFormat="false" ht="15" hidden="false" customHeight="false" outlineLevel="0" collapsed="false">
      <c r="A1653" s="7" t="str">
        <f aca="false">IF('Outro banco'!A1653="","",IF(LEFT('Outro banco'!A1653,1)="(","",'Outro banco'!A1653))</f>
        <v/>
      </c>
      <c r="B1653" s="7" t="str">
        <f aca="false">IF(A1653="","",'Outro banco'!B1653)</f>
        <v/>
      </c>
      <c r="C1653" s="7" t="str">
        <f aca="false">IF(A1653="","",'Outro banco'!C1653)</f>
        <v/>
      </c>
      <c r="D1653" s="7" t="str">
        <f aca="false">IF(A1653="","",'Outro banco'!D1653)</f>
        <v/>
      </c>
      <c r="E1653" s="9"/>
      <c r="F1653" s="9"/>
      <c r="G1653" s="7" t="str">
        <f aca="false">IF(A1653="","",IF(COUNTIF(Tabelas!$A:$A,IF(E1653="",A1653,E1653))&gt;0,"sim","não"))</f>
        <v/>
      </c>
      <c r="H1653" s="7" t="str">
        <f aca="false">IF(A1653="","",IF(E1653="",A1653,E1653)&amp;"."&amp;IF(F1653="",B1653,F1653))</f>
        <v/>
      </c>
      <c r="I1653" s="7" t="str">
        <f aca="false">IF(A1653="","",IFERROR(INDEX('Campos Growths'!$F:$F,MATCH(H1653,'Campos Growths'!$A:$A,0)),""))</f>
        <v/>
      </c>
      <c r="J1653" s="7" t="str">
        <f aca="false">IF(A1653="","",IFERROR(VLOOKUP(IF(ISNUMBER(SEARCH("(",C1653)),LEFT(C1653,SEARCH("(",C1653)-1),C1653),Tipos!$A:$B,2,FALSE()),"outro"))</f>
        <v/>
      </c>
      <c r="K1653" s="7" t="str">
        <f aca="false">IF(I1653="","",IFERROR(INDEX('Campos Growths'!$L:$L,MATCH(H1653,'Campos Growths'!$A:$A,0)),""))</f>
        <v/>
      </c>
      <c r="L1653" s="7" t="str">
        <f aca="false">IF(A1653="","",IF(G1653="não","Sem tabela no Growths",IF(I1653="","Sem campo no Growths",IF(J1653=K1653,"Importa direto","Ajustar tipo"))))</f>
        <v/>
      </c>
      <c r="M1653" s="9"/>
    </row>
    <row r="1654" customFormat="false" ht="15" hidden="false" customHeight="false" outlineLevel="0" collapsed="false">
      <c r="A1654" s="7" t="str">
        <f aca="false">IF('Outro banco'!A1654="","",IF(LEFT('Outro banco'!A1654,1)="(","",'Outro banco'!A1654))</f>
        <v/>
      </c>
      <c r="B1654" s="7" t="str">
        <f aca="false">IF(A1654="","",'Outro banco'!B1654)</f>
        <v/>
      </c>
      <c r="C1654" s="7" t="str">
        <f aca="false">IF(A1654="","",'Outro banco'!C1654)</f>
        <v/>
      </c>
      <c r="D1654" s="7" t="str">
        <f aca="false">IF(A1654="","",'Outro banco'!D1654)</f>
        <v/>
      </c>
      <c r="E1654" s="9"/>
      <c r="F1654" s="9"/>
      <c r="G1654" s="7" t="str">
        <f aca="false">IF(A1654="","",IF(COUNTIF(Tabelas!$A:$A,IF(E1654="",A1654,E1654))&gt;0,"sim","não"))</f>
        <v/>
      </c>
      <c r="H1654" s="7" t="str">
        <f aca="false">IF(A1654="","",IF(E1654="",A1654,E1654)&amp;"."&amp;IF(F1654="",B1654,F1654))</f>
        <v/>
      </c>
      <c r="I1654" s="7" t="str">
        <f aca="false">IF(A1654="","",IFERROR(INDEX('Campos Growths'!$F:$F,MATCH(H1654,'Campos Growths'!$A:$A,0)),""))</f>
        <v/>
      </c>
      <c r="J1654" s="7" t="str">
        <f aca="false">IF(A1654="","",IFERROR(VLOOKUP(IF(ISNUMBER(SEARCH("(",C1654)),LEFT(C1654,SEARCH("(",C1654)-1),C1654),Tipos!$A:$B,2,FALSE()),"outro"))</f>
        <v/>
      </c>
      <c r="K1654" s="7" t="str">
        <f aca="false">IF(I1654="","",IFERROR(INDEX('Campos Growths'!$L:$L,MATCH(H1654,'Campos Growths'!$A:$A,0)),""))</f>
        <v/>
      </c>
      <c r="L1654" s="7" t="str">
        <f aca="false">IF(A1654="","",IF(G1654="não","Sem tabela no Growths",IF(I1654="","Sem campo no Growths",IF(J1654=K1654,"Importa direto","Ajustar tipo"))))</f>
        <v/>
      </c>
      <c r="M1654" s="9"/>
    </row>
    <row r="1655" customFormat="false" ht="15" hidden="false" customHeight="false" outlineLevel="0" collapsed="false">
      <c r="A1655" s="7" t="str">
        <f aca="false">IF('Outro banco'!A1655="","",IF(LEFT('Outro banco'!A1655,1)="(","",'Outro banco'!A1655))</f>
        <v/>
      </c>
      <c r="B1655" s="7" t="str">
        <f aca="false">IF(A1655="","",'Outro banco'!B1655)</f>
        <v/>
      </c>
      <c r="C1655" s="7" t="str">
        <f aca="false">IF(A1655="","",'Outro banco'!C1655)</f>
        <v/>
      </c>
      <c r="D1655" s="7" t="str">
        <f aca="false">IF(A1655="","",'Outro banco'!D1655)</f>
        <v/>
      </c>
      <c r="E1655" s="9"/>
      <c r="F1655" s="9"/>
      <c r="G1655" s="7" t="str">
        <f aca="false">IF(A1655="","",IF(COUNTIF(Tabelas!$A:$A,IF(E1655="",A1655,E1655))&gt;0,"sim","não"))</f>
        <v/>
      </c>
      <c r="H1655" s="7" t="str">
        <f aca="false">IF(A1655="","",IF(E1655="",A1655,E1655)&amp;"."&amp;IF(F1655="",B1655,F1655))</f>
        <v/>
      </c>
      <c r="I1655" s="7" t="str">
        <f aca="false">IF(A1655="","",IFERROR(INDEX('Campos Growths'!$F:$F,MATCH(H1655,'Campos Growths'!$A:$A,0)),""))</f>
        <v/>
      </c>
      <c r="J1655" s="7" t="str">
        <f aca="false">IF(A1655="","",IFERROR(VLOOKUP(IF(ISNUMBER(SEARCH("(",C1655)),LEFT(C1655,SEARCH("(",C1655)-1),C1655),Tipos!$A:$B,2,FALSE()),"outro"))</f>
        <v/>
      </c>
      <c r="K1655" s="7" t="str">
        <f aca="false">IF(I1655="","",IFERROR(INDEX('Campos Growths'!$L:$L,MATCH(H1655,'Campos Growths'!$A:$A,0)),""))</f>
        <v/>
      </c>
      <c r="L1655" s="7" t="str">
        <f aca="false">IF(A1655="","",IF(G1655="não","Sem tabela no Growths",IF(I1655="","Sem campo no Growths",IF(J1655=K1655,"Importa direto","Ajustar tipo"))))</f>
        <v/>
      </c>
      <c r="M1655" s="9"/>
    </row>
    <row r="1656" customFormat="false" ht="15" hidden="false" customHeight="false" outlineLevel="0" collapsed="false">
      <c r="A1656" s="7" t="str">
        <f aca="false">IF('Outro banco'!A1656="","",IF(LEFT('Outro banco'!A1656,1)="(","",'Outro banco'!A1656))</f>
        <v/>
      </c>
      <c r="B1656" s="7" t="str">
        <f aca="false">IF(A1656="","",'Outro banco'!B1656)</f>
        <v/>
      </c>
      <c r="C1656" s="7" t="str">
        <f aca="false">IF(A1656="","",'Outro banco'!C1656)</f>
        <v/>
      </c>
      <c r="D1656" s="7" t="str">
        <f aca="false">IF(A1656="","",'Outro banco'!D1656)</f>
        <v/>
      </c>
      <c r="E1656" s="9"/>
      <c r="F1656" s="9"/>
      <c r="G1656" s="7" t="str">
        <f aca="false">IF(A1656="","",IF(COUNTIF(Tabelas!$A:$A,IF(E1656="",A1656,E1656))&gt;0,"sim","não"))</f>
        <v/>
      </c>
      <c r="H1656" s="7" t="str">
        <f aca="false">IF(A1656="","",IF(E1656="",A1656,E1656)&amp;"."&amp;IF(F1656="",B1656,F1656))</f>
        <v/>
      </c>
      <c r="I1656" s="7" t="str">
        <f aca="false">IF(A1656="","",IFERROR(INDEX('Campos Growths'!$F:$F,MATCH(H1656,'Campos Growths'!$A:$A,0)),""))</f>
        <v/>
      </c>
      <c r="J1656" s="7" t="str">
        <f aca="false">IF(A1656="","",IFERROR(VLOOKUP(IF(ISNUMBER(SEARCH("(",C1656)),LEFT(C1656,SEARCH("(",C1656)-1),C1656),Tipos!$A:$B,2,FALSE()),"outro"))</f>
        <v/>
      </c>
      <c r="K1656" s="7" t="str">
        <f aca="false">IF(I1656="","",IFERROR(INDEX('Campos Growths'!$L:$L,MATCH(H1656,'Campos Growths'!$A:$A,0)),""))</f>
        <v/>
      </c>
      <c r="L1656" s="7" t="str">
        <f aca="false">IF(A1656="","",IF(G1656="não","Sem tabela no Growths",IF(I1656="","Sem campo no Growths",IF(J1656=K1656,"Importa direto","Ajustar tipo"))))</f>
        <v/>
      </c>
      <c r="M1656" s="9"/>
    </row>
    <row r="1657" customFormat="false" ht="15" hidden="false" customHeight="false" outlineLevel="0" collapsed="false">
      <c r="A1657" s="7" t="str">
        <f aca="false">IF('Outro banco'!A1657="","",IF(LEFT('Outro banco'!A1657,1)="(","",'Outro banco'!A1657))</f>
        <v/>
      </c>
      <c r="B1657" s="7" t="str">
        <f aca="false">IF(A1657="","",'Outro banco'!B1657)</f>
        <v/>
      </c>
      <c r="C1657" s="7" t="str">
        <f aca="false">IF(A1657="","",'Outro banco'!C1657)</f>
        <v/>
      </c>
      <c r="D1657" s="7" t="str">
        <f aca="false">IF(A1657="","",'Outro banco'!D1657)</f>
        <v/>
      </c>
      <c r="E1657" s="9"/>
      <c r="F1657" s="9"/>
      <c r="G1657" s="7" t="str">
        <f aca="false">IF(A1657="","",IF(COUNTIF(Tabelas!$A:$A,IF(E1657="",A1657,E1657))&gt;0,"sim","não"))</f>
        <v/>
      </c>
      <c r="H1657" s="7" t="str">
        <f aca="false">IF(A1657="","",IF(E1657="",A1657,E1657)&amp;"."&amp;IF(F1657="",B1657,F1657))</f>
        <v/>
      </c>
      <c r="I1657" s="7" t="str">
        <f aca="false">IF(A1657="","",IFERROR(INDEX('Campos Growths'!$F:$F,MATCH(H1657,'Campos Growths'!$A:$A,0)),""))</f>
        <v/>
      </c>
      <c r="J1657" s="7" t="str">
        <f aca="false">IF(A1657="","",IFERROR(VLOOKUP(IF(ISNUMBER(SEARCH("(",C1657)),LEFT(C1657,SEARCH("(",C1657)-1),C1657),Tipos!$A:$B,2,FALSE()),"outro"))</f>
        <v/>
      </c>
      <c r="K1657" s="7" t="str">
        <f aca="false">IF(I1657="","",IFERROR(INDEX('Campos Growths'!$L:$L,MATCH(H1657,'Campos Growths'!$A:$A,0)),""))</f>
        <v/>
      </c>
      <c r="L1657" s="7" t="str">
        <f aca="false">IF(A1657="","",IF(G1657="não","Sem tabela no Growths",IF(I1657="","Sem campo no Growths",IF(J1657=K1657,"Importa direto","Ajustar tipo"))))</f>
        <v/>
      </c>
      <c r="M1657" s="9"/>
    </row>
    <row r="1658" customFormat="false" ht="15" hidden="false" customHeight="false" outlineLevel="0" collapsed="false">
      <c r="A1658" s="7" t="str">
        <f aca="false">IF('Outro banco'!A1658="","",IF(LEFT('Outro banco'!A1658,1)="(","",'Outro banco'!A1658))</f>
        <v/>
      </c>
      <c r="B1658" s="7" t="str">
        <f aca="false">IF(A1658="","",'Outro banco'!B1658)</f>
        <v/>
      </c>
      <c r="C1658" s="7" t="str">
        <f aca="false">IF(A1658="","",'Outro banco'!C1658)</f>
        <v/>
      </c>
      <c r="D1658" s="7" t="str">
        <f aca="false">IF(A1658="","",'Outro banco'!D1658)</f>
        <v/>
      </c>
      <c r="E1658" s="9"/>
      <c r="F1658" s="9"/>
      <c r="G1658" s="7" t="str">
        <f aca="false">IF(A1658="","",IF(COUNTIF(Tabelas!$A:$A,IF(E1658="",A1658,E1658))&gt;0,"sim","não"))</f>
        <v/>
      </c>
      <c r="H1658" s="7" t="str">
        <f aca="false">IF(A1658="","",IF(E1658="",A1658,E1658)&amp;"."&amp;IF(F1658="",B1658,F1658))</f>
        <v/>
      </c>
      <c r="I1658" s="7" t="str">
        <f aca="false">IF(A1658="","",IFERROR(INDEX('Campos Growths'!$F:$F,MATCH(H1658,'Campos Growths'!$A:$A,0)),""))</f>
        <v/>
      </c>
      <c r="J1658" s="7" t="str">
        <f aca="false">IF(A1658="","",IFERROR(VLOOKUP(IF(ISNUMBER(SEARCH("(",C1658)),LEFT(C1658,SEARCH("(",C1658)-1),C1658),Tipos!$A:$B,2,FALSE()),"outro"))</f>
        <v/>
      </c>
      <c r="K1658" s="7" t="str">
        <f aca="false">IF(I1658="","",IFERROR(INDEX('Campos Growths'!$L:$L,MATCH(H1658,'Campos Growths'!$A:$A,0)),""))</f>
        <v/>
      </c>
      <c r="L1658" s="7" t="str">
        <f aca="false">IF(A1658="","",IF(G1658="não","Sem tabela no Growths",IF(I1658="","Sem campo no Growths",IF(J1658=K1658,"Importa direto","Ajustar tipo"))))</f>
        <v/>
      </c>
      <c r="M1658" s="9"/>
    </row>
    <row r="1659" customFormat="false" ht="15" hidden="false" customHeight="false" outlineLevel="0" collapsed="false">
      <c r="A1659" s="7" t="str">
        <f aca="false">IF('Outro banco'!A1659="","",IF(LEFT('Outro banco'!A1659,1)="(","",'Outro banco'!A1659))</f>
        <v/>
      </c>
      <c r="B1659" s="7" t="str">
        <f aca="false">IF(A1659="","",'Outro banco'!B1659)</f>
        <v/>
      </c>
      <c r="C1659" s="7" t="str">
        <f aca="false">IF(A1659="","",'Outro banco'!C1659)</f>
        <v/>
      </c>
      <c r="D1659" s="7" t="str">
        <f aca="false">IF(A1659="","",'Outro banco'!D1659)</f>
        <v/>
      </c>
      <c r="E1659" s="9"/>
      <c r="F1659" s="9"/>
      <c r="G1659" s="7" t="str">
        <f aca="false">IF(A1659="","",IF(COUNTIF(Tabelas!$A:$A,IF(E1659="",A1659,E1659))&gt;0,"sim","não"))</f>
        <v/>
      </c>
      <c r="H1659" s="7" t="str">
        <f aca="false">IF(A1659="","",IF(E1659="",A1659,E1659)&amp;"."&amp;IF(F1659="",B1659,F1659))</f>
        <v/>
      </c>
      <c r="I1659" s="7" t="str">
        <f aca="false">IF(A1659="","",IFERROR(INDEX('Campos Growths'!$F:$F,MATCH(H1659,'Campos Growths'!$A:$A,0)),""))</f>
        <v/>
      </c>
      <c r="J1659" s="7" t="str">
        <f aca="false">IF(A1659="","",IFERROR(VLOOKUP(IF(ISNUMBER(SEARCH("(",C1659)),LEFT(C1659,SEARCH("(",C1659)-1),C1659),Tipos!$A:$B,2,FALSE()),"outro"))</f>
        <v/>
      </c>
      <c r="K1659" s="7" t="str">
        <f aca="false">IF(I1659="","",IFERROR(INDEX('Campos Growths'!$L:$L,MATCH(H1659,'Campos Growths'!$A:$A,0)),""))</f>
        <v/>
      </c>
      <c r="L1659" s="7" t="str">
        <f aca="false">IF(A1659="","",IF(G1659="não","Sem tabela no Growths",IF(I1659="","Sem campo no Growths",IF(J1659=K1659,"Importa direto","Ajustar tipo"))))</f>
        <v/>
      </c>
      <c r="M1659" s="9"/>
    </row>
    <row r="1660" customFormat="false" ht="15" hidden="false" customHeight="false" outlineLevel="0" collapsed="false">
      <c r="A1660" s="7" t="str">
        <f aca="false">IF('Outro banco'!A1660="","",IF(LEFT('Outro banco'!A1660,1)="(","",'Outro banco'!A1660))</f>
        <v/>
      </c>
      <c r="B1660" s="7" t="str">
        <f aca="false">IF(A1660="","",'Outro banco'!B1660)</f>
        <v/>
      </c>
      <c r="C1660" s="7" t="str">
        <f aca="false">IF(A1660="","",'Outro banco'!C1660)</f>
        <v/>
      </c>
      <c r="D1660" s="7" t="str">
        <f aca="false">IF(A1660="","",'Outro banco'!D1660)</f>
        <v/>
      </c>
      <c r="E1660" s="9"/>
      <c r="F1660" s="9"/>
      <c r="G1660" s="7" t="str">
        <f aca="false">IF(A1660="","",IF(COUNTIF(Tabelas!$A:$A,IF(E1660="",A1660,E1660))&gt;0,"sim","não"))</f>
        <v/>
      </c>
      <c r="H1660" s="7" t="str">
        <f aca="false">IF(A1660="","",IF(E1660="",A1660,E1660)&amp;"."&amp;IF(F1660="",B1660,F1660))</f>
        <v/>
      </c>
      <c r="I1660" s="7" t="str">
        <f aca="false">IF(A1660="","",IFERROR(INDEX('Campos Growths'!$F:$F,MATCH(H1660,'Campos Growths'!$A:$A,0)),""))</f>
        <v/>
      </c>
      <c r="J1660" s="7" t="str">
        <f aca="false">IF(A1660="","",IFERROR(VLOOKUP(IF(ISNUMBER(SEARCH("(",C1660)),LEFT(C1660,SEARCH("(",C1660)-1),C1660),Tipos!$A:$B,2,FALSE()),"outro"))</f>
        <v/>
      </c>
      <c r="K1660" s="7" t="str">
        <f aca="false">IF(I1660="","",IFERROR(INDEX('Campos Growths'!$L:$L,MATCH(H1660,'Campos Growths'!$A:$A,0)),""))</f>
        <v/>
      </c>
      <c r="L1660" s="7" t="str">
        <f aca="false">IF(A1660="","",IF(G1660="não","Sem tabela no Growths",IF(I1660="","Sem campo no Growths",IF(J1660=K1660,"Importa direto","Ajustar tipo"))))</f>
        <v/>
      </c>
      <c r="M1660" s="9"/>
    </row>
    <row r="1661" customFormat="false" ht="15" hidden="false" customHeight="false" outlineLevel="0" collapsed="false">
      <c r="A1661" s="7" t="str">
        <f aca="false">IF('Outro banco'!A1661="","",IF(LEFT('Outro banco'!A1661,1)="(","",'Outro banco'!A1661))</f>
        <v/>
      </c>
      <c r="B1661" s="7" t="str">
        <f aca="false">IF(A1661="","",'Outro banco'!B1661)</f>
        <v/>
      </c>
      <c r="C1661" s="7" t="str">
        <f aca="false">IF(A1661="","",'Outro banco'!C1661)</f>
        <v/>
      </c>
      <c r="D1661" s="7" t="str">
        <f aca="false">IF(A1661="","",'Outro banco'!D1661)</f>
        <v/>
      </c>
      <c r="E1661" s="9"/>
      <c r="F1661" s="9"/>
      <c r="G1661" s="7" t="str">
        <f aca="false">IF(A1661="","",IF(COUNTIF(Tabelas!$A:$A,IF(E1661="",A1661,E1661))&gt;0,"sim","não"))</f>
        <v/>
      </c>
      <c r="H1661" s="7" t="str">
        <f aca="false">IF(A1661="","",IF(E1661="",A1661,E1661)&amp;"."&amp;IF(F1661="",B1661,F1661))</f>
        <v/>
      </c>
      <c r="I1661" s="7" t="str">
        <f aca="false">IF(A1661="","",IFERROR(INDEX('Campos Growths'!$F:$F,MATCH(H1661,'Campos Growths'!$A:$A,0)),""))</f>
        <v/>
      </c>
      <c r="J1661" s="7" t="str">
        <f aca="false">IF(A1661="","",IFERROR(VLOOKUP(IF(ISNUMBER(SEARCH("(",C1661)),LEFT(C1661,SEARCH("(",C1661)-1),C1661),Tipos!$A:$B,2,FALSE()),"outro"))</f>
        <v/>
      </c>
      <c r="K1661" s="7" t="str">
        <f aca="false">IF(I1661="","",IFERROR(INDEX('Campos Growths'!$L:$L,MATCH(H1661,'Campos Growths'!$A:$A,0)),""))</f>
        <v/>
      </c>
      <c r="L1661" s="7" t="str">
        <f aca="false">IF(A1661="","",IF(G1661="não","Sem tabela no Growths",IF(I1661="","Sem campo no Growths",IF(J1661=K1661,"Importa direto","Ajustar tipo"))))</f>
        <v/>
      </c>
      <c r="M1661" s="9"/>
    </row>
    <row r="1662" customFormat="false" ht="15" hidden="false" customHeight="false" outlineLevel="0" collapsed="false">
      <c r="A1662" s="7" t="str">
        <f aca="false">IF('Outro banco'!A1662="","",IF(LEFT('Outro banco'!A1662,1)="(","",'Outro banco'!A1662))</f>
        <v/>
      </c>
      <c r="B1662" s="7" t="str">
        <f aca="false">IF(A1662="","",'Outro banco'!B1662)</f>
        <v/>
      </c>
      <c r="C1662" s="7" t="str">
        <f aca="false">IF(A1662="","",'Outro banco'!C1662)</f>
        <v/>
      </c>
      <c r="D1662" s="7" t="str">
        <f aca="false">IF(A1662="","",'Outro banco'!D1662)</f>
        <v/>
      </c>
      <c r="E1662" s="9"/>
      <c r="F1662" s="9"/>
      <c r="G1662" s="7" t="str">
        <f aca="false">IF(A1662="","",IF(COUNTIF(Tabelas!$A:$A,IF(E1662="",A1662,E1662))&gt;0,"sim","não"))</f>
        <v/>
      </c>
      <c r="H1662" s="7" t="str">
        <f aca="false">IF(A1662="","",IF(E1662="",A1662,E1662)&amp;"."&amp;IF(F1662="",B1662,F1662))</f>
        <v/>
      </c>
      <c r="I1662" s="7" t="str">
        <f aca="false">IF(A1662="","",IFERROR(INDEX('Campos Growths'!$F:$F,MATCH(H1662,'Campos Growths'!$A:$A,0)),""))</f>
        <v/>
      </c>
      <c r="J1662" s="7" t="str">
        <f aca="false">IF(A1662="","",IFERROR(VLOOKUP(IF(ISNUMBER(SEARCH("(",C1662)),LEFT(C1662,SEARCH("(",C1662)-1),C1662),Tipos!$A:$B,2,FALSE()),"outro"))</f>
        <v/>
      </c>
      <c r="K1662" s="7" t="str">
        <f aca="false">IF(I1662="","",IFERROR(INDEX('Campos Growths'!$L:$L,MATCH(H1662,'Campos Growths'!$A:$A,0)),""))</f>
        <v/>
      </c>
      <c r="L1662" s="7" t="str">
        <f aca="false">IF(A1662="","",IF(G1662="não","Sem tabela no Growths",IF(I1662="","Sem campo no Growths",IF(J1662=K1662,"Importa direto","Ajustar tipo"))))</f>
        <v/>
      </c>
      <c r="M1662" s="9"/>
    </row>
    <row r="1663" customFormat="false" ht="15" hidden="false" customHeight="false" outlineLevel="0" collapsed="false">
      <c r="A1663" s="7" t="str">
        <f aca="false">IF('Outro banco'!A1663="","",IF(LEFT('Outro banco'!A1663,1)="(","",'Outro banco'!A1663))</f>
        <v/>
      </c>
      <c r="B1663" s="7" t="str">
        <f aca="false">IF(A1663="","",'Outro banco'!B1663)</f>
        <v/>
      </c>
      <c r="C1663" s="7" t="str">
        <f aca="false">IF(A1663="","",'Outro banco'!C1663)</f>
        <v/>
      </c>
      <c r="D1663" s="7" t="str">
        <f aca="false">IF(A1663="","",'Outro banco'!D1663)</f>
        <v/>
      </c>
      <c r="E1663" s="9"/>
      <c r="F1663" s="9"/>
      <c r="G1663" s="7" t="str">
        <f aca="false">IF(A1663="","",IF(COUNTIF(Tabelas!$A:$A,IF(E1663="",A1663,E1663))&gt;0,"sim","não"))</f>
        <v/>
      </c>
      <c r="H1663" s="7" t="str">
        <f aca="false">IF(A1663="","",IF(E1663="",A1663,E1663)&amp;"."&amp;IF(F1663="",B1663,F1663))</f>
        <v/>
      </c>
      <c r="I1663" s="7" t="str">
        <f aca="false">IF(A1663="","",IFERROR(INDEX('Campos Growths'!$F:$F,MATCH(H1663,'Campos Growths'!$A:$A,0)),""))</f>
        <v/>
      </c>
      <c r="J1663" s="7" t="str">
        <f aca="false">IF(A1663="","",IFERROR(VLOOKUP(IF(ISNUMBER(SEARCH("(",C1663)),LEFT(C1663,SEARCH("(",C1663)-1),C1663),Tipos!$A:$B,2,FALSE()),"outro"))</f>
        <v/>
      </c>
      <c r="K1663" s="7" t="str">
        <f aca="false">IF(I1663="","",IFERROR(INDEX('Campos Growths'!$L:$L,MATCH(H1663,'Campos Growths'!$A:$A,0)),""))</f>
        <v/>
      </c>
      <c r="L1663" s="7" t="str">
        <f aca="false">IF(A1663="","",IF(G1663="não","Sem tabela no Growths",IF(I1663="","Sem campo no Growths",IF(J1663=K1663,"Importa direto","Ajustar tipo"))))</f>
        <v/>
      </c>
      <c r="M1663" s="9"/>
    </row>
    <row r="1664" customFormat="false" ht="15" hidden="false" customHeight="false" outlineLevel="0" collapsed="false">
      <c r="A1664" s="7" t="str">
        <f aca="false">IF('Outro banco'!A1664="","",IF(LEFT('Outro banco'!A1664,1)="(","",'Outro banco'!A1664))</f>
        <v/>
      </c>
      <c r="B1664" s="7" t="str">
        <f aca="false">IF(A1664="","",'Outro banco'!B1664)</f>
        <v/>
      </c>
      <c r="C1664" s="7" t="str">
        <f aca="false">IF(A1664="","",'Outro banco'!C1664)</f>
        <v/>
      </c>
      <c r="D1664" s="7" t="str">
        <f aca="false">IF(A1664="","",'Outro banco'!D1664)</f>
        <v/>
      </c>
      <c r="E1664" s="9"/>
      <c r="F1664" s="9"/>
      <c r="G1664" s="7" t="str">
        <f aca="false">IF(A1664="","",IF(COUNTIF(Tabelas!$A:$A,IF(E1664="",A1664,E1664))&gt;0,"sim","não"))</f>
        <v/>
      </c>
      <c r="H1664" s="7" t="str">
        <f aca="false">IF(A1664="","",IF(E1664="",A1664,E1664)&amp;"."&amp;IF(F1664="",B1664,F1664))</f>
        <v/>
      </c>
      <c r="I1664" s="7" t="str">
        <f aca="false">IF(A1664="","",IFERROR(INDEX('Campos Growths'!$F:$F,MATCH(H1664,'Campos Growths'!$A:$A,0)),""))</f>
        <v/>
      </c>
      <c r="J1664" s="7" t="str">
        <f aca="false">IF(A1664="","",IFERROR(VLOOKUP(IF(ISNUMBER(SEARCH("(",C1664)),LEFT(C1664,SEARCH("(",C1664)-1),C1664),Tipos!$A:$B,2,FALSE()),"outro"))</f>
        <v/>
      </c>
      <c r="K1664" s="7" t="str">
        <f aca="false">IF(I1664="","",IFERROR(INDEX('Campos Growths'!$L:$L,MATCH(H1664,'Campos Growths'!$A:$A,0)),""))</f>
        <v/>
      </c>
      <c r="L1664" s="7" t="str">
        <f aca="false">IF(A1664="","",IF(G1664="não","Sem tabela no Growths",IF(I1664="","Sem campo no Growths",IF(J1664=K1664,"Importa direto","Ajustar tipo"))))</f>
        <v/>
      </c>
      <c r="M1664" s="9"/>
    </row>
    <row r="1665" customFormat="false" ht="15" hidden="false" customHeight="false" outlineLevel="0" collapsed="false">
      <c r="A1665" s="7" t="str">
        <f aca="false">IF('Outro banco'!A1665="","",IF(LEFT('Outro banco'!A1665,1)="(","",'Outro banco'!A1665))</f>
        <v/>
      </c>
      <c r="B1665" s="7" t="str">
        <f aca="false">IF(A1665="","",'Outro banco'!B1665)</f>
        <v/>
      </c>
      <c r="C1665" s="7" t="str">
        <f aca="false">IF(A1665="","",'Outro banco'!C1665)</f>
        <v/>
      </c>
      <c r="D1665" s="7" t="str">
        <f aca="false">IF(A1665="","",'Outro banco'!D1665)</f>
        <v/>
      </c>
      <c r="E1665" s="9"/>
      <c r="F1665" s="9"/>
      <c r="G1665" s="7" t="str">
        <f aca="false">IF(A1665="","",IF(COUNTIF(Tabelas!$A:$A,IF(E1665="",A1665,E1665))&gt;0,"sim","não"))</f>
        <v/>
      </c>
      <c r="H1665" s="7" t="str">
        <f aca="false">IF(A1665="","",IF(E1665="",A1665,E1665)&amp;"."&amp;IF(F1665="",B1665,F1665))</f>
        <v/>
      </c>
      <c r="I1665" s="7" t="str">
        <f aca="false">IF(A1665="","",IFERROR(INDEX('Campos Growths'!$F:$F,MATCH(H1665,'Campos Growths'!$A:$A,0)),""))</f>
        <v/>
      </c>
      <c r="J1665" s="7" t="str">
        <f aca="false">IF(A1665="","",IFERROR(VLOOKUP(IF(ISNUMBER(SEARCH("(",C1665)),LEFT(C1665,SEARCH("(",C1665)-1),C1665),Tipos!$A:$B,2,FALSE()),"outro"))</f>
        <v/>
      </c>
      <c r="K1665" s="7" t="str">
        <f aca="false">IF(I1665="","",IFERROR(INDEX('Campos Growths'!$L:$L,MATCH(H1665,'Campos Growths'!$A:$A,0)),""))</f>
        <v/>
      </c>
      <c r="L1665" s="7" t="str">
        <f aca="false">IF(A1665="","",IF(G1665="não","Sem tabela no Growths",IF(I1665="","Sem campo no Growths",IF(J1665=K1665,"Importa direto","Ajustar tipo"))))</f>
        <v/>
      </c>
      <c r="M1665" s="9"/>
    </row>
    <row r="1666" customFormat="false" ht="15" hidden="false" customHeight="false" outlineLevel="0" collapsed="false">
      <c r="A1666" s="7" t="str">
        <f aca="false">IF('Outro banco'!A1666="","",IF(LEFT('Outro banco'!A1666,1)="(","",'Outro banco'!A1666))</f>
        <v/>
      </c>
      <c r="B1666" s="7" t="str">
        <f aca="false">IF(A1666="","",'Outro banco'!B1666)</f>
        <v/>
      </c>
      <c r="C1666" s="7" t="str">
        <f aca="false">IF(A1666="","",'Outro banco'!C1666)</f>
        <v/>
      </c>
      <c r="D1666" s="7" t="str">
        <f aca="false">IF(A1666="","",'Outro banco'!D1666)</f>
        <v/>
      </c>
      <c r="E1666" s="9"/>
      <c r="F1666" s="9"/>
      <c r="G1666" s="7" t="str">
        <f aca="false">IF(A1666="","",IF(COUNTIF(Tabelas!$A:$A,IF(E1666="",A1666,E1666))&gt;0,"sim","não"))</f>
        <v/>
      </c>
      <c r="H1666" s="7" t="str">
        <f aca="false">IF(A1666="","",IF(E1666="",A1666,E1666)&amp;"."&amp;IF(F1666="",B1666,F1666))</f>
        <v/>
      </c>
      <c r="I1666" s="7" t="str">
        <f aca="false">IF(A1666="","",IFERROR(INDEX('Campos Growths'!$F:$F,MATCH(H1666,'Campos Growths'!$A:$A,0)),""))</f>
        <v/>
      </c>
      <c r="J1666" s="7" t="str">
        <f aca="false">IF(A1666="","",IFERROR(VLOOKUP(IF(ISNUMBER(SEARCH("(",C1666)),LEFT(C1666,SEARCH("(",C1666)-1),C1666),Tipos!$A:$B,2,FALSE()),"outro"))</f>
        <v/>
      </c>
      <c r="K1666" s="7" t="str">
        <f aca="false">IF(I1666="","",IFERROR(INDEX('Campos Growths'!$L:$L,MATCH(H1666,'Campos Growths'!$A:$A,0)),""))</f>
        <v/>
      </c>
      <c r="L1666" s="7" t="str">
        <f aca="false">IF(A1666="","",IF(G1666="não","Sem tabela no Growths",IF(I1666="","Sem campo no Growths",IF(J1666=K1666,"Importa direto","Ajustar tipo"))))</f>
        <v/>
      </c>
      <c r="M1666" s="9"/>
    </row>
    <row r="1667" customFormat="false" ht="15" hidden="false" customHeight="false" outlineLevel="0" collapsed="false">
      <c r="A1667" s="7" t="str">
        <f aca="false">IF('Outro banco'!A1667="","",IF(LEFT('Outro banco'!A1667,1)="(","",'Outro banco'!A1667))</f>
        <v/>
      </c>
      <c r="B1667" s="7" t="str">
        <f aca="false">IF(A1667="","",'Outro banco'!B1667)</f>
        <v/>
      </c>
      <c r="C1667" s="7" t="str">
        <f aca="false">IF(A1667="","",'Outro banco'!C1667)</f>
        <v/>
      </c>
      <c r="D1667" s="7" t="str">
        <f aca="false">IF(A1667="","",'Outro banco'!D1667)</f>
        <v/>
      </c>
      <c r="E1667" s="9"/>
      <c r="F1667" s="9"/>
      <c r="G1667" s="7" t="str">
        <f aca="false">IF(A1667="","",IF(COUNTIF(Tabelas!$A:$A,IF(E1667="",A1667,E1667))&gt;0,"sim","não"))</f>
        <v/>
      </c>
      <c r="H1667" s="7" t="str">
        <f aca="false">IF(A1667="","",IF(E1667="",A1667,E1667)&amp;"."&amp;IF(F1667="",B1667,F1667))</f>
        <v/>
      </c>
      <c r="I1667" s="7" t="str">
        <f aca="false">IF(A1667="","",IFERROR(INDEX('Campos Growths'!$F:$F,MATCH(H1667,'Campos Growths'!$A:$A,0)),""))</f>
        <v/>
      </c>
      <c r="J1667" s="7" t="str">
        <f aca="false">IF(A1667="","",IFERROR(VLOOKUP(IF(ISNUMBER(SEARCH("(",C1667)),LEFT(C1667,SEARCH("(",C1667)-1),C1667),Tipos!$A:$B,2,FALSE()),"outro"))</f>
        <v/>
      </c>
      <c r="K1667" s="7" t="str">
        <f aca="false">IF(I1667="","",IFERROR(INDEX('Campos Growths'!$L:$L,MATCH(H1667,'Campos Growths'!$A:$A,0)),""))</f>
        <v/>
      </c>
      <c r="L1667" s="7" t="str">
        <f aca="false">IF(A1667="","",IF(G1667="não","Sem tabela no Growths",IF(I1667="","Sem campo no Growths",IF(J1667=K1667,"Importa direto","Ajustar tipo"))))</f>
        <v/>
      </c>
      <c r="M1667" s="9"/>
    </row>
    <row r="1668" customFormat="false" ht="15" hidden="false" customHeight="false" outlineLevel="0" collapsed="false">
      <c r="A1668" s="7" t="str">
        <f aca="false">IF('Outro banco'!A1668="","",IF(LEFT('Outro banco'!A1668,1)="(","",'Outro banco'!A1668))</f>
        <v/>
      </c>
      <c r="B1668" s="7" t="str">
        <f aca="false">IF(A1668="","",'Outro banco'!B1668)</f>
        <v/>
      </c>
      <c r="C1668" s="7" t="str">
        <f aca="false">IF(A1668="","",'Outro banco'!C1668)</f>
        <v/>
      </c>
      <c r="D1668" s="7" t="str">
        <f aca="false">IF(A1668="","",'Outro banco'!D1668)</f>
        <v/>
      </c>
      <c r="E1668" s="9"/>
      <c r="F1668" s="9"/>
      <c r="G1668" s="7" t="str">
        <f aca="false">IF(A1668="","",IF(COUNTIF(Tabelas!$A:$A,IF(E1668="",A1668,E1668))&gt;0,"sim","não"))</f>
        <v/>
      </c>
      <c r="H1668" s="7" t="str">
        <f aca="false">IF(A1668="","",IF(E1668="",A1668,E1668)&amp;"."&amp;IF(F1668="",B1668,F1668))</f>
        <v/>
      </c>
      <c r="I1668" s="7" t="str">
        <f aca="false">IF(A1668="","",IFERROR(INDEX('Campos Growths'!$F:$F,MATCH(H1668,'Campos Growths'!$A:$A,0)),""))</f>
        <v/>
      </c>
      <c r="J1668" s="7" t="str">
        <f aca="false">IF(A1668="","",IFERROR(VLOOKUP(IF(ISNUMBER(SEARCH("(",C1668)),LEFT(C1668,SEARCH("(",C1668)-1),C1668),Tipos!$A:$B,2,FALSE()),"outro"))</f>
        <v/>
      </c>
      <c r="K1668" s="7" t="str">
        <f aca="false">IF(I1668="","",IFERROR(INDEX('Campos Growths'!$L:$L,MATCH(H1668,'Campos Growths'!$A:$A,0)),""))</f>
        <v/>
      </c>
      <c r="L1668" s="7" t="str">
        <f aca="false">IF(A1668="","",IF(G1668="não","Sem tabela no Growths",IF(I1668="","Sem campo no Growths",IF(J1668=K1668,"Importa direto","Ajustar tipo"))))</f>
        <v/>
      </c>
      <c r="M1668" s="9"/>
    </row>
    <row r="1669" customFormat="false" ht="15" hidden="false" customHeight="false" outlineLevel="0" collapsed="false">
      <c r="A1669" s="7" t="str">
        <f aca="false">IF('Outro banco'!A1669="","",IF(LEFT('Outro banco'!A1669,1)="(","",'Outro banco'!A1669))</f>
        <v/>
      </c>
      <c r="B1669" s="7" t="str">
        <f aca="false">IF(A1669="","",'Outro banco'!B1669)</f>
        <v/>
      </c>
      <c r="C1669" s="7" t="str">
        <f aca="false">IF(A1669="","",'Outro banco'!C1669)</f>
        <v/>
      </c>
      <c r="D1669" s="7" t="str">
        <f aca="false">IF(A1669="","",'Outro banco'!D1669)</f>
        <v/>
      </c>
      <c r="E1669" s="9"/>
      <c r="F1669" s="9"/>
      <c r="G1669" s="7" t="str">
        <f aca="false">IF(A1669="","",IF(COUNTIF(Tabelas!$A:$A,IF(E1669="",A1669,E1669))&gt;0,"sim","não"))</f>
        <v/>
      </c>
      <c r="H1669" s="7" t="str">
        <f aca="false">IF(A1669="","",IF(E1669="",A1669,E1669)&amp;"."&amp;IF(F1669="",B1669,F1669))</f>
        <v/>
      </c>
      <c r="I1669" s="7" t="str">
        <f aca="false">IF(A1669="","",IFERROR(INDEX('Campos Growths'!$F:$F,MATCH(H1669,'Campos Growths'!$A:$A,0)),""))</f>
        <v/>
      </c>
      <c r="J1669" s="7" t="str">
        <f aca="false">IF(A1669="","",IFERROR(VLOOKUP(IF(ISNUMBER(SEARCH("(",C1669)),LEFT(C1669,SEARCH("(",C1669)-1),C1669),Tipos!$A:$B,2,FALSE()),"outro"))</f>
        <v/>
      </c>
      <c r="K1669" s="7" t="str">
        <f aca="false">IF(I1669="","",IFERROR(INDEX('Campos Growths'!$L:$L,MATCH(H1669,'Campos Growths'!$A:$A,0)),""))</f>
        <v/>
      </c>
      <c r="L1669" s="7" t="str">
        <f aca="false">IF(A1669="","",IF(G1669="não","Sem tabela no Growths",IF(I1669="","Sem campo no Growths",IF(J1669=K1669,"Importa direto","Ajustar tipo"))))</f>
        <v/>
      </c>
      <c r="M1669" s="9"/>
    </row>
    <row r="1670" customFormat="false" ht="15" hidden="false" customHeight="false" outlineLevel="0" collapsed="false">
      <c r="A1670" s="7" t="str">
        <f aca="false">IF('Outro banco'!A1670="","",IF(LEFT('Outro banco'!A1670,1)="(","",'Outro banco'!A1670))</f>
        <v/>
      </c>
      <c r="B1670" s="7" t="str">
        <f aca="false">IF(A1670="","",'Outro banco'!B1670)</f>
        <v/>
      </c>
      <c r="C1670" s="7" t="str">
        <f aca="false">IF(A1670="","",'Outro banco'!C1670)</f>
        <v/>
      </c>
      <c r="D1670" s="7" t="str">
        <f aca="false">IF(A1670="","",'Outro banco'!D1670)</f>
        <v/>
      </c>
      <c r="E1670" s="9"/>
      <c r="F1670" s="9"/>
      <c r="G1670" s="7" t="str">
        <f aca="false">IF(A1670="","",IF(COUNTIF(Tabelas!$A:$A,IF(E1670="",A1670,E1670))&gt;0,"sim","não"))</f>
        <v/>
      </c>
      <c r="H1670" s="7" t="str">
        <f aca="false">IF(A1670="","",IF(E1670="",A1670,E1670)&amp;"."&amp;IF(F1670="",B1670,F1670))</f>
        <v/>
      </c>
      <c r="I1670" s="7" t="str">
        <f aca="false">IF(A1670="","",IFERROR(INDEX('Campos Growths'!$F:$F,MATCH(H1670,'Campos Growths'!$A:$A,0)),""))</f>
        <v/>
      </c>
      <c r="J1670" s="7" t="str">
        <f aca="false">IF(A1670="","",IFERROR(VLOOKUP(IF(ISNUMBER(SEARCH("(",C1670)),LEFT(C1670,SEARCH("(",C1670)-1),C1670),Tipos!$A:$B,2,FALSE()),"outro"))</f>
        <v/>
      </c>
      <c r="K1670" s="7" t="str">
        <f aca="false">IF(I1670="","",IFERROR(INDEX('Campos Growths'!$L:$L,MATCH(H1670,'Campos Growths'!$A:$A,0)),""))</f>
        <v/>
      </c>
      <c r="L1670" s="7" t="str">
        <f aca="false">IF(A1670="","",IF(G1670="não","Sem tabela no Growths",IF(I1670="","Sem campo no Growths",IF(J1670=K1670,"Importa direto","Ajustar tipo"))))</f>
        <v/>
      </c>
      <c r="M1670" s="9"/>
    </row>
    <row r="1671" customFormat="false" ht="15" hidden="false" customHeight="false" outlineLevel="0" collapsed="false">
      <c r="A1671" s="7" t="str">
        <f aca="false">IF('Outro banco'!A1671="","",IF(LEFT('Outro banco'!A1671,1)="(","",'Outro banco'!A1671))</f>
        <v/>
      </c>
      <c r="B1671" s="7" t="str">
        <f aca="false">IF(A1671="","",'Outro banco'!B1671)</f>
        <v/>
      </c>
      <c r="C1671" s="7" t="str">
        <f aca="false">IF(A1671="","",'Outro banco'!C1671)</f>
        <v/>
      </c>
      <c r="D1671" s="7" t="str">
        <f aca="false">IF(A1671="","",'Outro banco'!D1671)</f>
        <v/>
      </c>
      <c r="E1671" s="9"/>
      <c r="F1671" s="9"/>
      <c r="G1671" s="7" t="str">
        <f aca="false">IF(A1671="","",IF(COUNTIF(Tabelas!$A:$A,IF(E1671="",A1671,E1671))&gt;0,"sim","não"))</f>
        <v/>
      </c>
      <c r="H1671" s="7" t="str">
        <f aca="false">IF(A1671="","",IF(E1671="",A1671,E1671)&amp;"."&amp;IF(F1671="",B1671,F1671))</f>
        <v/>
      </c>
      <c r="I1671" s="7" t="str">
        <f aca="false">IF(A1671="","",IFERROR(INDEX('Campos Growths'!$F:$F,MATCH(H1671,'Campos Growths'!$A:$A,0)),""))</f>
        <v/>
      </c>
      <c r="J1671" s="7" t="str">
        <f aca="false">IF(A1671="","",IFERROR(VLOOKUP(IF(ISNUMBER(SEARCH("(",C1671)),LEFT(C1671,SEARCH("(",C1671)-1),C1671),Tipos!$A:$B,2,FALSE()),"outro"))</f>
        <v/>
      </c>
      <c r="K1671" s="7" t="str">
        <f aca="false">IF(I1671="","",IFERROR(INDEX('Campos Growths'!$L:$L,MATCH(H1671,'Campos Growths'!$A:$A,0)),""))</f>
        <v/>
      </c>
      <c r="L1671" s="7" t="str">
        <f aca="false">IF(A1671="","",IF(G1671="não","Sem tabela no Growths",IF(I1671="","Sem campo no Growths",IF(J1671=K1671,"Importa direto","Ajustar tipo"))))</f>
        <v/>
      </c>
      <c r="M1671" s="9"/>
    </row>
    <row r="1672" customFormat="false" ht="15" hidden="false" customHeight="false" outlineLevel="0" collapsed="false">
      <c r="A1672" s="7" t="str">
        <f aca="false">IF('Outro banco'!A1672="","",IF(LEFT('Outro banco'!A1672,1)="(","",'Outro banco'!A1672))</f>
        <v/>
      </c>
      <c r="B1672" s="7" t="str">
        <f aca="false">IF(A1672="","",'Outro banco'!B1672)</f>
        <v/>
      </c>
      <c r="C1672" s="7" t="str">
        <f aca="false">IF(A1672="","",'Outro banco'!C1672)</f>
        <v/>
      </c>
      <c r="D1672" s="7" t="str">
        <f aca="false">IF(A1672="","",'Outro banco'!D1672)</f>
        <v/>
      </c>
      <c r="E1672" s="9"/>
      <c r="F1672" s="9"/>
      <c r="G1672" s="7" t="str">
        <f aca="false">IF(A1672="","",IF(COUNTIF(Tabelas!$A:$A,IF(E1672="",A1672,E1672))&gt;0,"sim","não"))</f>
        <v/>
      </c>
      <c r="H1672" s="7" t="str">
        <f aca="false">IF(A1672="","",IF(E1672="",A1672,E1672)&amp;"."&amp;IF(F1672="",B1672,F1672))</f>
        <v/>
      </c>
      <c r="I1672" s="7" t="str">
        <f aca="false">IF(A1672="","",IFERROR(INDEX('Campos Growths'!$F:$F,MATCH(H1672,'Campos Growths'!$A:$A,0)),""))</f>
        <v/>
      </c>
      <c r="J1672" s="7" t="str">
        <f aca="false">IF(A1672="","",IFERROR(VLOOKUP(IF(ISNUMBER(SEARCH("(",C1672)),LEFT(C1672,SEARCH("(",C1672)-1),C1672),Tipos!$A:$B,2,FALSE()),"outro"))</f>
        <v/>
      </c>
      <c r="K1672" s="7" t="str">
        <f aca="false">IF(I1672="","",IFERROR(INDEX('Campos Growths'!$L:$L,MATCH(H1672,'Campos Growths'!$A:$A,0)),""))</f>
        <v/>
      </c>
      <c r="L1672" s="7" t="str">
        <f aca="false">IF(A1672="","",IF(G1672="não","Sem tabela no Growths",IF(I1672="","Sem campo no Growths",IF(J1672=K1672,"Importa direto","Ajustar tipo"))))</f>
        <v/>
      </c>
      <c r="M1672" s="9"/>
    </row>
    <row r="1673" customFormat="false" ht="15" hidden="false" customHeight="false" outlineLevel="0" collapsed="false">
      <c r="A1673" s="7" t="str">
        <f aca="false">IF('Outro banco'!A1673="","",IF(LEFT('Outro banco'!A1673,1)="(","",'Outro banco'!A1673))</f>
        <v/>
      </c>
      <c r="B1673" s="7" t="str">
        <f aca="false">IF(A1673="","",'Outro banco'!B1673)</f>
        <v/>
      </c>
      <c r="C1673" s="7" t="str">
        <f aca="false">IF(A1673="","",'Outro banco'!C1673)</f>
        <v/>
      </c>
      <c r="D1673" s="7" t="str">
        <f aca="false">IF(A1673="","",'Outro banco'!D1673)</f>
        <v/>
      </c>
      <c r="E1673" s="9"/>
      <c r="F1673" s="9"/>
      <c r="G1673" s="7" t="str">
        <f aca="false">IF(A1673="","",IF(COUNTIF(Tabelas!$A:$A,IF(E1673="",A1673,E1673))&gt;0,"sim","não"))</f>
        <v/>
      </c>
      <c r="H1673" s="7" t="str">
        <f aca="false">IF(A1673="","",IF(E1673="",A1673,E1673)&amp;"."&amp;IF(F1673="",B1673,F1673))</f>
        <v/>
      </c>
      <c r="I1673" s="7" t="str">
        <f aca="false">IF(A1673="","",IFERROR(INDEX('Campos Growths'!$F:$F,MATCH(H1673,'Campos Growths'!$A:$A,0)),""))</f>
        <v/>
      </c>
      <c r="J1673" s="7" t="str">
        <f aca="false">IF(A1673="","",IFERROR(VLOOKUP(IF(ISNUMBER(SEARCH("(",C1673)),LEFT(C1673,SEARCH("(",C1673)-1),C1673),Tipos!$A:$B,2,FALSE()),"outro"))</f>
        <v/>
      </c>
      <c r="K1673" s="7" t="str">
        <f aca="false">IF(I1673="","",IFERROR(INDEX('Campos Growths'!$L:$L,MATCH(H1673,'Campos Growths'!$A:$A,0)),""))</f>
        <v/>
      </c>
      <c r="L1673" s="7" t="str">
        <f aca="false">IF(A1673="","",IF(G1673="não","Sem tabela no Growths",IF(I1673="","Sem campo no Growths",IF(J1673=K1673,"Importa direto","Ajustar tipo"))))</f>
        <v/>
      </c>
      <c r="M1673" s="9"/>
    </row>
    <row r="1674" customFormat="false" ht="15" hidden="false" customHeight="false" outlineLevel="0" collapsed="false">
      <c r="A1674" s="7" t="str">
        <f aca="false">IF('Outro banco'!A1674="","",IF(LEFT('Outro banco'!A1674,1)="(","",'Outro banco'!A1674))</f>
        <v/>
      </c>
      <c r="B1674" s="7" t="str">
        <f aca="false">IF(A1674="","",'Outro banco'!B1674)</f>
        <v/>
      </c>
      <c r="C1674" s="7" t="str">
        <f aca="false">IF(A1674="","",'Outro banco'!C1674)</f>
        <v/>
      </c>
      <c r="D1674" s="7" t="str">
        <f aca="false">IF(A1674="","",'Outro banco'!D1674)</f>
        <v/>
      </c>
      <c r="E1674" s="9"/>
      <c r="F1674" s="9"/>
      <c r="G1674" s="7" t="str">
        <f aca="false">IF(A1674="","",IF(COUNTIF(Tabelas!$A:$A,IF(E1674="",A1674,E1674))&gt;0,"sim","não"))</f>
        <v/>
      </c>
      <c r="H1674" s="7" t="str">
        <f aca="false">IF(A1674="","",IF(E1674="",A1674,E1674)&amp;"."&amp;IF(F1674="",B1674,F1674))</f>
        <v/>
      </c>
      <c r="I1674" s="7" t="str">
        <f aca="false">IF(A1674="","",IFERROR(INDEX('Campos Growths'!$F:$F,MATCH(H1674,'Campos Growths'!$A:$A,0)),""))</f>
        <v/>
      </c>
      <c r="J1674" s="7" t="str">
        <f aca="false">IF(A1674="","",IFERROR(VLOOKUP(IF(ISNUMBER(SEARCH("(",C1674)),LEFT(C1674,SEARCH("(",C1674)-1),C1674),Tipos!$A:$B,2,FALSE()),"outro"))</f>
        <v/>
      </c>
      <c r="K1674" s="7" t="str">
        <f aca="false">IF(I1674="","",IFERROR(INDEX('Campos Growths'!$L:$L,MATCH(H1674,'Campos Growths'!$A:$A,0)),""))</f>
        <v/>
      </c>
      <c r="L1674" s="7" t="str">
        <f aca="false">IF(A1674="","",IF(G1674="não","Sem tabela no Growths",IF(I1674="","Sem campo no Growths",IF(J1674=K1674,"Importa direto","Ajustar tipo"))))</f>
        <v/>
      </c>
      <c r="M1674" s="9"/>
    </row>
    <row r="1675" customFormat="false" ht="15" hidden="false" customHeight="false" outlineLevel="0" collapsed="false">
      <c r="A1675" s="7" t="str">
        <f aca="false">IF('Outro banco'!A1675="","",IF(LEFT('Outro banco'!A1675,1)="(","",'Outro banco'!A1675))</f>
        <v/>
      </c>
      <c r="B1675" s="7" t="str">
        <f aca="false">IF(A1675="","",'Outro banco'!B1675)</f>
        <v/>
      </c>
      <c r="C1675" s="7" t="str">
        <f aca="false">IF(A1675="","",'Outro banco'!C1675)</f>
        <v/>
      </c>
      <c r="D1675" s="7" t="str">
        <f aca="false">IF(A1675="","",'Outro banco'!D1675)</f>
        <v/>
      </c>
      <c r="E1675" s="9"/>
      <c r="F1675" s="9"/>
      <c r="G1675" s="7" t="str">
        <f aca="false">IF(A1675="","",IF(COUNTIF(Tabelas!$A:$A,IF(E1675="",A1675,E1675))&gt;0,"sim","não"))</f>
        <v/>
      </c>
      <c r="H1675" s="7" t="str">
        <f aca="false">IF(A1675="","",IF(E1675="",A1675,E1675)&amp;"."&amp;IF(F1675="",B1675,F1675))</f>
        <v/>
      </c>
      <c r="I1675" s="7" t="str">
        <f aca="false">IF(A1675="","",IFERROR(INDEX('Campos Growths'!$F:$F,MATCH(H1675,'Campos Growths'!$A:$A,0)),""))</f>
        <v/>
      </c>
      <c r="J1675" s="7" t="str">
        <f aca="false">IF(A1675="","",IFERROR(VLOOKUP(IF(ISNUMBER(SEARCH("(",C1675)),LEFT(C1675,SEARCH("(",C1675)-1),C1675),Tipos!$A:$B,2,FALSE()),"outro"))</f>
        <v/>
      </c>
      <c r="K1675" s="7" t="str">
        <f aca="false">IF(I1675="","",IFERROR(INDEX('Campos Growths'!$L:$L,MATCH(H1675,'Campos Growths'!$A:$A,0)),""))</f>
        <v/>
      </c>
      <c r="L1675" s="7" t="str">
        <f aca="false">IF(A1675="","",IF(G1675="não","Sem tabela no Growths",IF(I1675="","Sem campo no Growths",IF(J1675=K1675,"Importa direto","Ajustar tipo"))))</f>
        <v/>
      </c>
      <c r="M1675" s="9"/>
    </row>
    <row r="1676" customFormat="false" ht="15" hidden="false" customHeight="false" outlineLevel="0" collapsed="false">
      <c r="A1676" s="7" t="str">
        <f aca="false">IF('Outro banco'!A1676="","",IF(LEFT('Outro banco'!A1676,1)="(","",'Outro banco'!A1676))</f>
        <v/>
      </c>
      <c r="B1676" s="7" t="str">
        <f aca="false">IF(A1676="","",'Outro banco'!B1676)</f>
        <v/>
      </c>
      <c r="C1676" s="7" t="str">
        <f aca="false">IF(A1676="","",'Outro banco'!C1676)</f>
        <v/>
      </c>
      <c r="D1676" s="7" t="str">
        <f aca="false">IF(A1676="","",'Outro banco'!D1676)</f>
        <v/>
      </c>
      <c r="E1676" s="9"/>
      <c r="F1676" s="9"/>
      <c r="G1676" s="7" t="str">
        <f aca="false">IF(A1676="","",IF(COUNTIF(Tabelas!$A:$A,IF(E1676="",A1676,E1676))&gt;0,"sim","não"))</f>
        <v/>
      </c>
      <c r="H1676" s="7" t="str">
        <f aca="false">IF(A1676="","",IF(E1676="",A1676,E1676)&amp;"."&amp;IF(F1676="",B1676,F1676))</f>
        <v/>
      </c>
      <c r="I1676" s="7" t="str">
        <f aca="false">IF(A1676="","",IFERROR(INDEX('Campos Growths'!$F:$F,MATCH(H1676,'Campos Growths'!$A:$A,0)),""))</f>
        <v/>
      </c>
      <c r="J1676" s="7" t="str">
        <f aca="false">IF(A1676="","",IFERROR(VLOOKUP(IF(ISNUMBER(SEARCH("(",C1676)),LEFT(C1676,SEARCH("(",C1676)-1),C1676),Tipos!$A:$B,2,FALSE()),"outro"))</f>
        <v/>
      </c>
      <c r="K1676" s="7" t="str">
        <f aca="false">IF(I1676="","",IFERROR(INDEX('Campos Growths'!$L:$L,MATCH(H1676,'Campos Growths'!$A:$A,0)),""))</f>
        <v/>
      </c>
      <c r="L1676" s="7" t="str">
        <f aca="false">IF(A1676="","",IF(G1676="não","Sem tabela no Growths",IF(I1676="","Sem campo no Growths",IF(J1676=K1676,"Importa direto","Ajustar tipo"))))</f>
        <v/>
      </c>
      <c r="M1676" s="9"/>
    </row>
    <row r="1677" customFormat="false" ht="15" hidden="false" customHeight="false" outlineLevel="0" collapsed="false">
      <c r="A1677" s="7" t="str">
        <f aca="false">IF('Outro banco'!A1677="","",IF(LEFT('Outro banco'!A1677,1)="(","",'Outro banco'!A1677))</f>
        <v/>
      </c>
      <c r="B1677" s="7" t="str">
        <f aca="false">IF(A1677="","",'Outro banco'!B1677)</f>
        <v/>
      </c>
      <c r="C1677" s="7" t="str">
        <f aca="false">IF(A1677="","",'Outro banco'!C1677)</f>
        <v/>
      </c>
      <c r="D1677" s="7" t="str">
        <f aca="false">IF(A1677="","",'Outro banco'!D1677)</f>
        <v/>
      </c>
      <c r="E1677" s="9"/>
      <c r="F1677" s="9"/>
      <c r="G1677" s="7" t="str">
        <f aca="false">IF(A1677="","",IF(COUNTIF(Tabelas!$A:$A,IF(E1677="",A1677,E1677))&gt;0,"sim","não"))</f>
        <v/>
      </c>
      <c r="H1677" s="7" t="str">
        <f aca="false">IF(A1677="","",IF(E1677="",A1677,E1677)&amp;"."&amp;IF(F1677="",B1677,F1677))</f>
        <v/>
      </c>
      <c r="I1677" s="7" t="str">
        <f aca="false">IF(A1677="","",IFERROR(INDEX('Campos Growths'!$F:$F,MATCH(H1677,'Campos Growths'!$A:$A,0)),""))</f>
        <v/>
      </c>
      <c r="J1677" s="7" t="str">
        <f aca="false">IF(A1677="","",IFERROR(VLOOKUP(IF(ISNUMBER(SEARCH("(",C1677)),LEFT(C1677,SEARCH("(",C1677)-1),C1677),Tipos!$A:$B,2,FALSE()),"outro"))</f>
        <v/>
      </c>
      <c r="K1677" s="7" t="str">
        <f aca="false">IF(I1677="","",IFERROR(INDEX('Campos Growths'!$L:$L,MATCH(H1677,'Campos Growths'!$A:$A,0)),""))</f>
        <v/>
      </c>
      <c r="L1677" s="7" t="str">
        <f aca="false">IF(A1677="","",IF(G1677="não","Sem tabela no Growths",IF(I1677="","Sem campo no Growths",IF(J1677=K1677,"Importa direto","Ajustar tipo"))))</f>
        <v/>
      </c>
      <c r="M1677" s="9"/>
    </row>
    <row r="1678" customFormat="false" ht="15" hidden="false" customHeight="false" outlineLevel="0" collapsed="false">
      <c r="A1678" s="7" t="str">
        <f aca="false">IF('Outro banco'!A1678="","",IF(LEFT('Outro banco'!A1678,1)="(","",'Outro banco'!A1678))</f>
        <v/>
      </c>
      <c r="B1678" s="7" t="str">
        <f aca="false">IF(A1678="","",'Outro banco'!B1678)</f>
        <v/>
      </c>
      <c r="C1678" s="7" t="str">
        <f aca="false">IF(A1678="","",'Outro banco'!C1678)</f>
        <v/>
      </c>
      <c r="D1678" s="7" t="str">
        <f aca="false">IF(A1678="","",'Outro banco'!D1678)</f>
        <v/>
      </c>
      <c r="E1678" s="9"/>
      <c r="F1678" s="9"/>
      <c r="G1678" s="7" t="str">
        <f aca="false">IF(A1678="","",IF(COUNTIF(Tabelas!$A:$A,IF(E1678="",A1678,E1678))&gt;0,"sim","não"))</f>
        <v/>
      </c>
      <c r="H1678" s="7" t="str">
        <f aca="false">IF(A1678="","",IF(E1678="",A1678,E1678)&amp;"."&amp;IF(F1678="",B1678,F1678))</f>
        <v/>
      </c>
      <c r="I1678" s="7" t="str">
        <f aca="false">IF(A1678="","",IFERROR(INDEX('Campos Growths'!$F:$F,MATCH(H1678,'Campos Growths'!$A:$A,0)),""))</f>
        <v/>
      </c>
      <c r="J1678" s="7" t="str">
        <f aca="false">IF(A1678="","",IFERROR(VLOOKUP(IF(ISNUMBER(SEARCH("(",C1678)),LEFT(C1678,SEARCH("(",C1678)-1),C1678),Tipos!$A:$B,2,FALSE()),"outro"))</f>
        <v/>
      </c>
      <c r="K1678" s="7" t="str">
        <f aca="false">IF(I1678="","",IFERROR(INDEX('Campos Growths'!$L:$L,MATCH(H1678,'Campos Growths'!$A:$A,0)),""))</f>
        <v/>
      </c>
      <c r="L1678" s="7" t="str">
        <f aca="false">IF(A1678="","",IF(G1678="não","Sem tabela no Growths",IF(I1678="","Sem campo no Growths",IF(J1678=K1678,"Importa direto","Ajustar tipo"))))</f>
        <v/>
      </c>
      <c r="M1678" s="9"/>
    </row>
    <row r="1679" customFormat="false" ht="15" hidden="false" customHeight="false" outlineLevel="0" collapsed="false">
      <c r="A1679" s="7" t="str">
        <f aca="false">IF('Outro banco'!A1679="","",IF(LEFT('Outro banco'!A1679,1)="(","",'Outro banco'!A1679))</f>
        <v/>
      </c>
      <c r="B1679" s="7" t="str">
        <f aca="false">IF(A1679="","",'Outro banco'!B1679)</f>
        <v/>
      </c>
      <c r="C1679" s="7" t="str">
        <f aca="false">IF(A1679="","",'Outro banco'!C1679)</f>
        <v/>
      </c>
      <c r="D1679" s="7" t="str">
        <f aca="false">IF(A1679="","",'Outro banco'!D1679)</f>
        <v/>
      </c>
      <c r="E1679" s="9"/>
      <c r="F1679" s="9"/>
      <c r="G1679" s="7" t="str">
        <f aca="false">IF(A1679="","",IF(COUNTIF(Tabelas!$A:$A,IF(E1679="",A1679,E1679))&gt;0,"sim","não"))</f>
        <v/>
      </c>
      <c r="H1679" s="7" t="str">
        <f aca="false">IF(A1679="","",IF(E1679="",A1679,E1679)&amp;"."&amp;IF(F1679="",B1679,F1679))</f>
        <v/>
      </c>
      <c r="I1679" s="7" t="str">
        <f aca="false">IF(A1679="","",IFERROR(INDEX('Campos Growths'!$F:$F,MATCH(H1679,'Campos Growths'!$A:$A,0)),""))</f>
        <v/>
      </c>
      <c r="J1679" s="7" t="str">
        <f aca="false">IF(A1679="","",IFERROR(VLOOKUP(IF(ISNUMBER(SEARCH("(",C1679)),LEFT(C1679,SEARCH("(",C1679)-1),C1679),Tipos!$A:$B,2,FALSE()),"outro"))</f>
        <v/>
      </c>
      <c r="K1679" s="7" t="str">
        <f aca="false">IF(I1679="","",IFERROR(INDEX('Campos Growths'!$L:$L,MATCH(H1679,'Campos Growths'!$A:$A,0)),""))</f>
        <v/>
      </c>
      <c r="L1679" s="7" t="str">
        <f aca="false">IF(A1679="","",IF(G1679="não","Sem tabela no Growths",IF(I1679="","Sem campo no Growths",IF(J1679=K1679,"Importa direto","Ajustar tipo"))))</f>
        <v/>
      </c>
      <c r="M1679" s="9"/>
    </row>
    <row r="1680" customFormat="false" ht="15" hidden="false" customHeight="false" outlineLevel="0" collapsed="false">
      <c r="A1680" s="7" t="str">
        <f aca="false">IF('Outro banco'!A1680="","",IF(LEFT('Outro banco'!A1680,1)="(","",'Outro banco'!A1680))</f>
        <v/>
      </c>
      <c r="B1680" s="7" t="str">
        <f aca="false">IF(A1680="","",'Outro banco'!B1680)</f>
        <v/>
      </c>
      <c r="C1680" s="7" t="str">
        <f aca="false">IF(A1680="","",'Outro banco'!C1680)</f>
        <v/>
      </c>
      <c r="D1680" s="7" t="str">
        <f aca="false">IF(A1680="","",'Outro banco'!D1680)</f>
        <v/>
      </c>
      <c r="E1680" s="9"/>
      <c r="F1680" s="9"/>
      <c r="G1680" s="7" t="str">
        <f aca="false">IF(A1680="","",IF(COUNTIF(Tabelas!$A:$A,IF(E1680="",A1680,E1680))&gt;0,"sim","não"))</f>
        <v/>
      </c>
      <c r="H1680" s="7" t="str">
        <f aca="false">IF(A1680="","",IF(E1680="",A1680,E1680)&amp;"."&amp;IF(F1680="",B1680,F1680))</f>
        <v/>
      </c>
      <c r="I1680" s="7" t="str">
        <f aca="false">IF(A1680="","",IFERROR(INDEX('Campos Growths'!$F:$F,MATCH(H1680,'Campos Growths'!$A:$A,0)),""))</f>
        <v/>
      </c>
      <c r="J1680" s="7" t="str">
        <f aca="false">IF(A1680="","",IFERROR(VLOOKUP(IF(ISNUMBER(SEARCH("(",C1680)),LEFT(C1680,SEARCH("(",C1680)-1),C1680),Tipos!$A:$B,2,FALSE()),"outro"))</f>
        <v/>
      </c>
      <c r="K1680" s="7" t="str">
        <f aca="false">IF(I1680="","",IFERROR(INDEX('Campos Growths'!$L:$L,MATCH(H1680,'Campos Growths'!$A:$A,0)),""))</f>
        <v/>
      </c>
      <c r="L1680" s="7" t="str">
        <f aca="false">IF(A1680="","",IF(G1680="não","Sem tabela no Growths",IF(I1680="","Sem campo no Growths",IF(J1680=K1680,"Importa direto","Ajustar tipo"))))</f>
        <v/>
      </c>
      <c r="M1680" s="9"/>
    </row>
    <row r="1681" customFormat="false" ht="15" hidden="false" customHeight="false" outlineLevel="0" collapsed="false">
      <c r="A1681" s="7" t="str">
        <f aca="false">IF('Outro banco'!A1681="","",IF(LEFT('Outro banco'!A1681,1)="(","",'Outro banco'!A1681))</f>
        <v/>
      </c>
      <c r="B1681" s="7" t="str">
        <f aca="false">IF(A1681="","",'Outro banco'!B1681)</f>
        <v/>
      </c>
      <c r="C1681" s="7" t="str">
        <f aca="false">IF(A1681="","",'Outro banco'!C1681)</f>
        <v/>
      </c>
      <c r="D1681" s="7" t="str">
        <f aca="false">IF(A1681="","",'Outro banco'!D1681)</f>
        <v/>
      </c>
      <c r="E1681" s="9"/>
      <c r="F1681" s="9"/>
      <c r="G1681" s="7" t="str">
        <f aca="false">IF(A1681="","",IF(COUNTIF(Tabelas!$A:$A,IF(E1681="",A1681,E1681))&gt;0,"sim","não"))</f>
        <v/>
      </c>
      <c r="H1681" s="7" t="str">
        <f aca="false">IF(A1681="","",IF(E1681="",A1681,E1681)&amp;"."&amp;IF(F1681="",B1681,F1681))</f>
        <v/>
      </c>
      <c r="I1681" s="7" t="str">
        <f aca="false">IF(A1681="","",IFERROR(INDEX('Campos Growths'!$F:$F,MATCH(H1681,'Campos Growths'!$A:$A,0)),""))</f>
        <v/>
      </c>
      <c r="J1681" s="7" t="str">
        <f aca="false">IF(A1681="","",IFERROR(VLOOKUP(IF(ISNUMBER(SEARCH("(",C1681)),LEFT(C1681,SEARCH("(",C1681)-1),C1681),Tipos!$A:$B,2,FALSE()),"outro"))</f>
        <v/>
      </c>
      <c r="K1681" s="7" t="str">
        <f aca="false">IF(I1681="","",IFERROR(INDEX('Campos Growths'!$L:$L,MATCH(H1681,'Campos Growths'!$A:$A,0)),""))</f>
        <v/>
      </c>
      <c r="L1681" s="7" t="str">
        <f aca="false">IF(A1681="","",IF(G1681="não","Sem tabela no Growths",IF(I1681="","Sem campo no Growths",IF(J1681=K1681,"Importa direto","Ajustar tipo"))))</f>
        <v/>
      </c>
      <c r="M1681" s="9"/>
    </row>
    <row r="1682" customFormat="false" ht="15" hidden="false" customHeight="false" outlineLevel="0" collapsed="false">
      <c r="A1682" s="7" t="str">
        <f aca="false">IF('Outro banco'!A1682="","",IF(LEFT('Outro banco'!A1682,1)="(","",'Outro banco'!A1682))</f>
        <v/>
      </c>
      <c r="B1682" s="7" t="str">
        <f aca="false">IF(A1682="","",'Outro banco'!B1682)</f>
        <v/>
      </c>
      <c r="C1682" s="7" t="str">
        <f aca="false">IF(A1682="","",'Outro banco'!C1682)</f>
        <v/>
      </c>
      <c r="D1682" s="7" t="str">
        <f aca="false">IF(A1682="","",'Outro banco'!D1682)</f>
        <v/>
      </c>
      <c r="E1682" s="9"/>
      <c r="F1682" s="9"/>
      <c r="G1682" s="7" t="str">
        <f aca="false">IF(A1682="","",IF(COUNTIF(Tabelas!$A:$A,IF(E1682="",A1682,E1682))&gt;0,"sim","não"))</f>
        <v/>
      </c>
      <c r="H1682" s="7" t="str">
        <f aca="false">IF(A1682="","",IF(E1682="",A1682,E1682)&amp;"."&amp;IF(F1682="",B1682,F1682))</f>
        <v/>
      </c>
      <c r="I1682" s="7" t="str">
        <f aca="false">IF(A1682="","",IFERROR(INDEX('Campos Growths'!$F:$F,MATCH(H1682,'Campos Growths'!$A:$A,0)),""))</f>
        <v/>
      </c>
      <c r="J1682" s="7" t="str">
        <f aca="false">IF(A1682="","",IFERROR(VLOOKUP(IF(ISNUMBER(SEARCH("(",C1682)),LEFT(C1682,SEARCH("(",C1682)-1),C1682),Tipos!$A:$B,2,FALSE()),"outro"))</f>
        <v/>
      </c>
      <c r="K1682" s="7" t="str">
        <f aca="false">IF(I1682="","",IFERROR(INDEX('Campos Growths'!$L:$L,MATCH(H1682,'Campos Growths'!$A:$A,0)),""))</f>
        <v/>
      </c>
      <c r="L1682" s="7" t="str">
        <f aca="false">IF(A1682="","",IF(G1682="não","Sem tabela no Growths",IF(I1682="","Sem campo no Growths",IF(J1682=K1682,"Importa direto","Ajustar tipo"))))</f>
        <v/>
      </c>
      <c r="M1682" s="9"/>
    </row>
    <row r="1683" customFormat="false" ht="15" hidden="false" customHeight="false" outlineLevel="0" collapsed="false">
      <c r="A1683" s="7" t="str">
        <f aca="false">IF('Outro banco'!A1683="","",IF(LEFT('Outro banco'!A1683,1)="(","",'Outro banco'!A1683))</f>
        <v/>
      </c>
      <c r="B1683" s="7" t="str">
        <f aca="false">IF(A1683="","",'Outro banco'!B1683)</f>
        <v/>
      </c>
      <c r="C1683" s="7" t="str">
        <f aca="false">IF(A1683="","",'Outro banco'!C1683)</f>
        <v/>
      </c>
      <c r="D1683" s="7" t="str">
        <f aca="false">IF(A1683="","",'Outro banco'!D1683)</f>
        <v/>
      </c>
      <c r="E1683" s="9"/>
      <c r="F1683" s="9"/>
      <c r="G1683" s="7" t="str">
        <f aca="false">IF(A1683="","",IF(COUNTIF(Tabelas!$A:$A,IF(E1683="",A1683,E1683))&gt;0,"sim","não"))</f>
        <v/>
      </c>
      <c r="H1683" s="7" t="str">
        <f aca="false">IF(A1683="","",IF(E1683="",A1683,E1683)&amp;"."&amp;IF(F1683="",B1683,F1683))</f>
        <v/>
      </c>
      <c r="I1683" s="7" t="str">
        <f aca="false">IF(A1683="","",IFERROR(INDEX('Campos Growths'!$F:$F,MATCH(H1683,'Campos Growths'!$A:$A,0)),""))</f>
        <v/>
      </c>
      <c r="J1683" s="7" t="str">
        <f aca="false">IF(A1683="","",IFERROR(VLOOKUP(IF(ISNUMBER(SEARCH("(",C1683)),LEFT(C1683,SEARCH("(",C1683)-1),C1683),Tipos!$A:$B,2,FALSE()),"outro"))</f>
        <v/>
      </c>
      <c r="K1683" s="7" t="str">
        <f aca="false">IF(I1683="","",IFERROR(INDEX('Campos Growths'!$L:$L,MATCH(H1683,'Campos Growths'!$A:$A,0)),""))</f>
        <v/>
      </c>
      <c r="L1683" s="7" t="str">
        <f aca="false">IF(A1683="","",IF(G1683="não","Sem tabela no Growths",IF(I1683="","Sem campo no Growths",IF(J1683=K1683,"Importa direto","Ajustar tipo"))))</f>
        <v/>
      </c>
      <c r="M1683" s="9"/>
    </row>
    <row r="1684" customFormat="false" ht="15" hidden="false" customHeight="false" outlineLevel="0" collapsed="false">
      <c r="A1684" s="7" t="str">
        <f aca="false">IF('Outro banco'!A1684="","",IF(LEFT('Outro banco'!A1684,1)="(","",'Outro banco'!A1684))</f>
        <v/>
      </c>
      <c r="B1684" s="7" t="str">
        <f aca="false">IF(A1684="","",'Outro banco'!B1684)</f>
        <v/>
      </c>
      <c r="C1684" s="7" t="str">
        <f aca="false">IF(A1684="","",'Outro banco'!C1684)</f>
        <v/>
      </c>
      <c r="D1684" s="7" t="str">
        <f aca="false">IF(A1684="","",'Outro banco'!D1684)</f>
        <v/>
      </c>
      <c r="E1684" s="9"/>
      <c r="F1684" s="9"/>
      <c r="G1684" s="7" t="str">
        <f aca="false">IF(A1684="","",IF(COUNTIF(Tabelas!$A:$A,IF(E1684="",A1684,E1684))&gt;0,"sim","não"))</f>
        <v/>
      </c>
      <c r="H1684" s="7" t="str">
        <f aca="false">IF(A1684="","",IF(E1684="",A1684,E1684)&amp;"."&amp;IF(F1684="",B1684,F1684))</f>
        <v/>
      </c>
      <c r="I1684" s="7" t="str">
        <f aca="false">IF(A1684="","",IFERROR(INDEX('Campos Growths'!$F:$F,MATCH(H1684,'Campos Growths'!$A:$A,0)),""))</f>
        <v/>
      </c>
      <c r="J1684" s="7" t="str">
        <f aca="false">IF(A1684="","",IFERROR(VLOOKUP(IF(ISNUMBER(SEARCH("(",C1684)),LEFT(C1684,SEARCH("(",C1684)-1),C1684),Tipos!$A:$B,2,FALSE()),"outro"))</f>
        <v/>
      </c>
      <c r="K1684" s="7" t="str">
        <f aca="false">IF(I1684="","",IFERROR(INDEX('Campos Growths'!$L:$L,MATCH(H1684,'Campos Growths'!$A:$A,0)),""))</f>
        <v/>
      </c>
      <c r="L1684" s="7" t="str">
        <f aca="false">IF(A1684="","",IF(G1684="não","Sem tabela no Growths",IF(I1684="","Sem campo no Growths",IF(J1684=K1684,"Importa direto","Ajustar tipo"))))</f>
        <v/>
      </c>
      <c r="M1684" s="9"/>
    </row>
    <row r="1685" customFormat="false" ht="15" hidden="false" customHeight="false" outlineLevel="0" collapsed="false">
      <c r="A1685" s="7" t="str">
        <f aca="false">IF('Outro banco'!A1685="","",IF(LEFT('Outro banco'!A1685,1)="(","",'Outro banco'!A1685))</f>
        <v/>
      </c>
      <c r="B1685" s="7" t="str">
        <f aca="false">IF(A1685="","",'Outro banco'!B1685)</f>
        <v/>
      </c>
      <c r="C1685" s="7" t="str">
        <f aca="false">IF(A1685="","",'Outro banco'!C1685)</f>
        <v/>
      </c>
      <c r="D1685" s="7" t="str">
        <f aca="false">IF(A1685="","",'Outro banco'!D1685)</f>
        <v/>
      </c>
      <c r="E1685" s="9"/>
      <c r="F1685" s="9"/>
      <c r="G1685" s="7" t="str">
        <f aca="false">IF(A1685="","",IF(COUNTIF(Tabelas!$A:$A,IF(E1685="",A1685,E1685))&gt;0,"sim","não"))</f>
        <v/>
      </c>
      <c r="H1685" s="7" t="str">
        <f aca="false">IF(A1685="","",IF(E1685="",A1685,E1685)&amp;"."&amp;IF(F1685="",B1685,F1685))</f>
        <v/>
      </c>
      <c r="I1685" s="7" t="str">
        <f aca="false">IF(A1685="","",IFERROR(INDEX('Campos Growths'!$F:$F,MATCH(H1685,'Campos Growths'!$A:$A,0)),""))</f>
        <v/>
      </c>
      <c r="J1685" s="7" t="str">
        <f aca="false">IF(A1685="","",IFERROR(VLOOKUP(IF(ISNUMBER(SEARCH("(",C1685)),LEFT(C1685,SEARCH("(",C1685)-1),C1685),Tipos!$A:$B,2,FALSE()),"outro"))</f>
        <v/>
      </c>
      <c r="K1685" s="7" t="str">
        <f aca="false">IF(I1685="","",IFERROR(INDEX('Campos Growths'!$L:$L,MATCH(H1685,'Campos Growths'!$A:$A,0)),""))</f>
        <v/>
      </c>
      <c r="L1685" s="7" t="str">
        <f aca="false">IF(A1685="","",IF(G1685="não","Sem tabela no Growths",IF(I1685="","Sem campo no Growths",IF(J1685=K1685,"Importa direto","Ajustar tipo"))))</f>
        <v/>
      </c>
      <c r="M1685" s="9"/>
    </row>
    <row r="1686" customFormat="false" ht="15" hidden="false" customHeight="false" outlineLevel="0" collapsed="false">
      <c r="A1686" s="7" t="str">
        <f aca="false">IF('Outro banco'!A1686="","",IF(LEFT('Outro banco'!A1686,1)="(","",'Outro banco'!A1686))</f>
        <v/>
      </c>
      <c r="B1686" s="7" t="str">
        <f aca="false">IF(A1686="","",'Outro banco'!B1686)</f>
        <v/>
      </c>
      <c r="C1686" s="7" t="str">
        <f aca="false">IF(A1686="","",'Outro banco'!C1686)</f>
        <v/>
      </c>
      <c r="D1686" s="7" t="str">
        <f aca="false">IF(A1686="","",'Outro banco'!D1686)</f>
        <v/>
      </c>
      <c r="E1686" s="9"/>
      <c r="F1686" s="9"/>
      <c r="G1686" s="7" t="str">
        <f aca="false">IF(A1686="","",IF(COUNTIF(Tabelas!$A:$A,IF(E1686="",A1686,E1686))&gt;0,"sim","não"))</f>
        <v/>
      </c>
      <c r="H1686" s="7" t="str">
        <f aca="false">IF(A1686="","",IF(E1686="",A1686,E1686)&amp;"."&amp;IF(F1686="",B1686,F1686))</f>
        <v/>
      </c>
      <c r="I1686" s="7" t="str">
        <f aca="false">IF(A1686="","",IFERROR(INDEX('Campos Growths'!$F:$F,MATCH(H1686,'Campos Growths'!$A:$A,0)),""))</f>
        <v/>
      </c>
      <c r="J1686" s="7" t="str">
        <f aca="false">IF(A1686="","",IFERROR(VLOOKUP(IF(ISNUMBER(SEARCH("(",C1686)),LEFT(C1686,SEARCH("(",C1686)-1),C1686),Tipos!$A:$B,2,FALSE()),"outro"))</f>
        <v/>
      </c>
      <c r="K1686" s="7" t="str">
        <f aca="false">IF(I1686="","",IFERROR(INDEX('Campos Growths'!$L:$L,MATCH(H1686,'Campos Growths'!$A:$A,0)),""))</f>
        <v/>
      </c>
      <c r="L1686" s="7" t="str">
        <f aca="false">IF(A1686="","",IF(G1686="não","Sem tabela no Growths",IF(I1686="","Sem campo no Growths",IF(J1686=K1686,"Importa direto","Ajustar tipo"))))</f>
        <v/>
      </c>
      <c r="M1686" s="9"/>
    </row>
    <row r="1687" customFormat="false" ht="15" hidden="false" customHeight="false" outlineLevel="0" collapsed="false">
      <c r="A1687" s="7" t="str">
        <f aca="false">IF('Outro banco'!A1687="","",IF(LEFT('Outro banco'!A1687,1)="(","",'Outro banco'!A1687))</f>
        <v/>
      </c>
      <c r="B1687" s="7" t="str">
        <f aca="false">IF(A1687="","",'Outro banco'!B1687)</f>
        <v/>
      </c>
      <c r="C1687" s="7" t="str">
        <f aca="false">IF(A1687="","",'Outro banco'!C1687)</f>
        <v/>
      </c>
      <c r="D1687" s="7" t="str">
        <f aca="false">IF(A1687="","",'Outro banco'!D1687)</f>
        <v/>
      </c>
      <c r="E1687" s="9"/>
      <c r="F1687" s="9"/>
      <c r="G1687" s="7" t="str">
        <f aca="false">IF(A1687="","",IF(COUNTIF(Tabelas!$A:$A,IF(E1687="",A1687,E1687))&gt;0,"sim","não"))</f>
        <v/>
      </c>
      <c r="H1687" s="7" t="str">
        <f aca="false">IF(A1687="","",IF(E1687="",A1687,E1687)&amp;"."&amp;IF(F1687="",B1687,F1687))</f>
        <v/>
      </c>
      <c r="I1687" s="7" t="str">
        <f aca="false">IF(A1687="","",IFERROR(INDEX('Campos Growths'!$F:$F,MATCH(H1687,'Campos Growths'!$A:$A,0)),""))</f>
        <v/>
      </c>
      <c r="J1687" s="7" t="str">
        <f aca="false">IF(A1687="","",IFERROR(VLOOKUP(IF(ISNUMBER(SEARCH("(",C1687)),LEFT(C1687,SEARCH("(",C1687)-1),C1687),Tipos!$A:$B,2,FALSE()),"outro"))</f>
        <v/>
      </c>
      <c r="K1687" s="7" t="str">
        <f aca="false">IF(I1687="","",IFERROR(INDEX('Campos Growths'!$L:$L,MATCH(H1687,'Campos Growths'!$A:$A,0)),""))</f>
        <v/>
      </c>
      <c r="L1687" s="7" t="str">
        <f aca="false">IF(A1687="","",IF(G1687="não","Sem tabela no Growths",IF(I1687="","Sem campo no Growths",IF(J1687=K1687,"Importa direto","Ajustar tipo"))))</f>
        <v/>
      </c>
      <c r="M1687" s="9"/>
    </row>
    <row r="1688" customFormat="false" ht="15" hidden="false" customHeight="false" outlineLevel="0" collapsed="false">
      <c r="A1688" s="7" t="str">
        <f aca="false">IF('Outro banco'!A1688="","",IF(LEFT('Outro banco'!A1688,1)="(","",'Outro banco'!A1688))</f>
        <v/>
      </c>
      <c r="B1688" s="7" t="str">
        <f aca="false">IF(A1688="","",'Outro banco'!B1688)</f>
        <v/>
      </c>
      <c r="C1688" s="7" t="str">
        <f aca="false">IF(A1688="","",'Outro banco'!C1688)</f>
        <v/>
      </c>
      <c r="D1688" s="7" t="str">
        <f aca="false">IF(A1688="","",'Outro banco'!D1688)</f>
        <v/>
      </c>
      <c r="E1688" s="9"/>
      <c r="F1688" s="9"/>
      <c r="G1688" s="7" t="str">
        <f aca="false">IF(A1688="","",IF(COUNTIF(Tabelas!$A:$A,IF(E1688="",A1688,E1688))&gt;0,"sim","não"))</f>
        <v/>
      </c>
      <c r="H1688" s="7" t="str">
        <f aca="false">IF(A1688="","",IF(E1688="",A1688,E1688)&amp;"."&amp;IF(F1688="",B1688,F1688))</f>
        <v/>
      </c>
      <c r="I1688" s="7" t="str">
        <f aca="false">IF(A1688="","",IFERROR(INDEX('Campos Growths'!$F:$F,MATCH(H1688,'Campos Growths'!$A:$A,0)),""))</f>
        <v/>
      </c>
      <c r="J1688" s="7" t="str">
        <f aca="false">IF(A1688="","",IFERROR(VLOOKUP(IF(ISNUMBER(SEARCH("(",C1688)),LEFT(C1688,SEARCH("(",C1688)-1),C1688),Tipos!$A:$B,2,FALSE()),"outro"))</f>
        <v/>
      </c>
      <c r="K1688" s="7" t="str">
        <f aca="false">IF(I1688="","",IFERROR(INDEX('Campos Growths'!$L:$L,MATCH(H1688,'Campos Growths'!$A:$A,0)),""))</f>
        <v/>
      </c>
      <c r="L1688" s="7" t="str">
        <f aca="false">IF(A1688="","",IF(G1688="não","Sem tabela no Growths",IF(I1688="","Sem campo no Growths",IF(J1688=K1688,"Importa direto","Ajustar tipo"))))</f>
        <v/>
      </c>
      <c r="M1688" s="9"/>
    </row>
    <row r="1689" customFormat="false" ht="15" hidden="false" customHeight="false" outlineLevel="0" collapsed="false">
      <c r="A1689" s="7" t="str">
        <f aca="false">IF('Outro banco'!A1689="","",IF(LEFT('Outro banco'!A1689,1)="(","",'Outro banco'!A1689))</f>
        <v/>
      </c>
      <c r="B1689" s="7" t="str">
        <f aca="false">IF(A1689="","",'Outro banco'!B1689)</f>
        <v/>
      </c>
      <c r="C1689" s="7" t="str">
        <f aca="false">IF(A1689="","",'Outro banco'!C1689)</f>
        <v/>
      </c>
      <c r="D1689" s="7" t="str">
        <f aca="false">IF(A1689="","",'Outro banco'!D1689)</f>
        <v/>
      </c>
      <c r="E1689" s="9"/>
      <c r="F1689" s="9"/>
      <c r="G1689" s="7" t="str">
        <f aca="false">IF(A1689="","",IF(COUNTIF(Tabelas!$A:$A,IF(E1689="",A1689,E1689))&gt;0,"sim","não"))</f>
        <v/>
      </c>
      <c r="H1689" s="7" t="str">
        <f aca="false">IF(A1689="","",IF(E1689="",A1689,E1689)&amp;"."&amp;IF(F1689="",B1689,F1689))</f>
        <v/>
      </c>
      <c r="I1689" s="7" t="str">
        <f aca="false">IF(A1689="","",IFERROR(INDEX('Campos Growths'!$F:$F,MATCH(H1689,'Campos Growths'!$A:$A,0)),""))</f>
        <v/>
      </c>
      <c r="J1689" s="7" t="str">
        <f aca="false">IF(A1689="","",IFERROR(VLOOKUP(IF(ISNUMBER(SEARCH("(",C1689)),LEFT(C1689,SEARCH("(",C1689)-1),C1689),Tipos!$A:$B,2,FALSE()),"outro"))</f>
        <v/>
      </c>
      <c r="K1689" s="7" t="str">
        <f aca="false">IF(I1689="","",IFERROR(INDEX('Campos Growths'!$L:$L,MATCH(H1689,'Campos Growths'!$A:$A,0)),""))</f>
        <v/>
      </c>
      <c r="L1689" s="7" t="str">
        <f aca="false">IF(A1689="","",IF(G1689="não","Sem tabela no Growths",IF(I1689="","Sem campo no Growths",IF(J1689=K1689,"Importa direto","Ajustar tipo"))))</f>
        <v/>
      </c>
      <c r="M1689" s="9"/>
    </row>
    <row r="1690" customFormat="false" ht="15" hidden="false" customHeight="false" outlineLevel="0" collapsed="false">
      <c r="A1690" s="7" t="str">
        <f aca="false">IF('Outro banco'!A1690="","",IF(LEFT('Outro banco'!A1690,1)="(","",'Outro banco'!A1690))</f>
        <v/>
      </c>
      <c r="B1690" s="7" t="str">
        <f aca="false">IF(A1690="","",'Outro banco'!B1690)</f>
        <v/>
      </c>
      <c r="C1690" s="7" t="str">
        <f aca="false">IF(A1690="","",'Outro banco'!C1690)</f>
        <v/>
      </c>
      <c r="D1690" s="7" t="str">
        <f aca="false">IF(A1690="","",'Outro banco'!D1690)</f>
        <v/>
      </c>
      <c r="E1690" s="9"/>
      <c r="F1690" s="9"/>
      <c r="G1690" s="7" t="str">
        <f aca="false">IF(A1690="","",IF(COUNTIF(Tabelas!$A:$A,IF(E1690="",A1690,E1690))&gt;0,"sim","não"))</f>
        <v/>
      </c>
      <c r="H1690" s="7" t="str">
        <f aca="false">IF(A1690="","",IF(E1690="",A1690,E1690)&amp;"."&amp;IF(F1690="",B1690,F1690))</f>
        <v/>
      </c>
      <c r="I1690" s="7" t="str">
        <f aca="false">IF(A1690="","",IFERROR(INDEX('Campos Growths'!$F:$F,MATCH(H1690,'Campos Growths'!$A:$A,0)),""))</f>
        <v/>
      </c>
      <c r="J1690" s="7" t="str">
        <f aca="false">IF(A1690="","",IFERROR(VLOOKUP(IF(ISNUMBER(SEARCH("(",C1690)),LEFT(C1690,SEARCH("(",C1690)-1),C1690),Tipos!$A:$B,2,FALSE()),"outro"))</f>
        <v/>
      </c>
      <c r="K1690" s="7" t="str">
        <f aca="false">IF(I1690="","",IFERROR(INDEX('Campos Growths'!$L:$L,MATCH(H1690,'Campos Growths'!$A:$A,0)),""))</f>
        <v/>
      </c>
      <c r="L1690" s="7" t="str">
        <f aca="false">IF(A1690="","",IF(G1690="não","Sem tabela no Growths",IF(I1690="","Sem campo no Growths",IF(J1690=K1690,"Importa direto","Ajustar tipo"))))</f>
        <v/>
      </c>
      <c r="M1690" s="9"/>
    </row>
    <row r="1691" customFormat="false" ht="15" hidden="false" customHeight="false" outlineLevel="0" collapsed="false">
      <c r="A1691" s="7" t="str">
        <f aca="false">IF('Outro banco'!A1691="","",IF(LEFT('Outro banco'!A1691,1)="(","",'Outro banco'!A1691))</f>
        <v/>
      </c>
      <c r="B1691" s="7" t="str">
        <f aca="false">IF(A1691="","",'Outro banco'!B1691)</f>
        <v/>
      </c>
      <c r="C1691" s="7" t="str">
        <f aca="false">IF(A1691="","",'Outro banco'!C1691)</f>
        <v/>
      </c>
      <c r="D1691" s="7" t="str">
        <f aca="false">IF(A1691="","",'Outro banco'!D1691)</f>
        <v/>
      </c>
      <c r="E1691" s="9"/>
      <c r="F1691" s="9"/>
      <c r="G1691" s="7" t="str">
        <f aca="false">IF(A1691="","",IF(COUNTIF(Tabelas!$A:$A,IF(E1691="",A1691,E1691))&gt;0,"sim","não"))</f>
        <v/>
      </c>
      <c r="H1691" s="7" t="str">
        <f aca="false">IF(A1691="","",IF(E1691="",A1691,E1691)&amp;"."&amp;IF(F1691="",B1691,F1691))</f>
        <v/>
      </c>
      <c r="I1691" s="7" t="str">
        <f aca="false">IF(A1691="","",IFERROR(INDEX('Campos Growths'!$F:$F,MATCH(H1691,'Campos Growths'!$A:$A,0)),""))</f>
        <v/>
      </c>
      <c r="J1691" s="7" t="str">
        <f aca="false">IF(A1691="","",IFERROR(VLOOKUP(IF(ISNUMBER(SEARCH("(",C1691)),LEFT(C1691,SEARCH("(",C1691)-1),C1691),Tipos!$A:$B,2,FALSE()),"outro"))</f>
        <v/>
      </c>
      <c r="K1691" s="7" t="str">
        <f aca="false">IF(I1691="","",IFERROR(INDEX('Campos Growths'!$L:$L,MATCH(H1691,'Campos Growths'!$A:$A,0)),""))</f>
        <v/>
      </c>
      <c r="L1691" s="7" t="str">
        <f aca="false">IF(A1691="","",IF(G1691="não","Sem tabela no Growths",IF(I1691="","Sem campo no Growths",IF(J1691=K1691,"Importa direto","Ajustar tipo"))))</f>
        <v/>
      </c>
      <c r="M1691" s="9"/>
    </row>
    <row r="1692" customFormat="false" ht="15" hidden="false" customHeight="false" outlineLevel="0" collapsed="false">
      <c r="A1692" s="7" t="str">
        <f aca="false">IF('Outro banco'!A1692="","",IF(LEFT('Outro banco'!A1692,1)="(","",'Outro banco'!A1692))</f>
        <v/>
      </c>
      <c r="B1692" s="7" t="str">
        <f aca="false">IF(A1692="","",'Outro banco'!B1692)</f>
        <v/>
      </c>
      <c r="C1692" s="7" t="str">
        <f aca="false">IF(A1692="","",'Outro banco'!C1692)</f>
        <v/>
      </c>
      <c r="D1692" s="7" t="str">
        <f aca="false">IF(A1692="","",'Outro banco'!D1692)</f>
        <v/>
      </c>
      <c r="E1692" s="9"/>
      <c r="F1692" s="9"/>
      <c r="G1692" s="7" t="str">
        <f aca="false">IF(A1692="","",IF(COUNTIF(Tabelas!$A:$A,IF(E1692="",A1692,E1692))&gt;0,"sim","não"))</f>
        <v/>
      </c>
      <c r="H1692" s="7" t="str">
        <f aca="false">IF(A1692="","",IF(E1692="",A1692,E1692)&amp;"."&amp;IF(F1692="",B1692,F1692))</f>
        <v/>
      </c>
      <c r="I1692" s="7" t="str">
        <f aca="false">IF(A1692="","",IFERROR(INDEX('Campos Growths'!$F:$F,MATCH(H1692,'Campos Growths'!$A:$A,0)),""))</f>
        <v/>
      </c>
      <c r="J1692" s="7" t="str">
        <f aca="false">IF(A1692="","",IFERROR(VLOOKUP(IF(ISNUMBER(SEARCH("(",C1692)),LEFT(C1692,SEARCH("(",C1692)-1),C1692),Tipos!$A:$B,2,FALSE()),"outro"))</f>
        <v/>
      </c>
      <c r="K1692" s="7" t="str">
        <f aca="false">IF(I1692="","",IFERROR(INDEX('Campos Growths'!$L:$L,MATCH(H1692,'Campos Growths'!$A:$A,0)),""))</f>
        <v/>
      </c>
      <c r="L1692" s="7" t="str">
        <f aca="false">IF(A1692="","",IF(G1692="não","Sem tabela no Growths",IF(I1692="","Sem campo no Growths",IF(J1692=K1692,"Importa direto","Ajustar tipo"))))</f>
        <v/>
      </c>
      <c r="M1692" s="9"/>
    </row>
    <row r="1693" customFormat="false" ht="15" hidden="false" customHeight="false" outlineLevel="0" collapsed="false">
      <c r="A1693" s="7" t="str">
        <f aca="false">IF('Outro banco'!A1693="","",IF(LEFT('Outro banco'!A1693,1)="(","",'Outro banco'!A1693))</f>
        <v/>
      </c>
      <c r="B1693" s="7" t="str">
        <f aca="false">IF(A1693="","",'Outro banco'!B1693)</f>
        <v/>
      </c>
      <c r="C1693" s="7" t="str">
        <f aca="false">IF(A1693="","",'Outro banco'!C1693)</f>
        <v/>
      </c>
      <c r="D1693" s="7" t="str">
        <f aca="false">IF(A1693="","",'Outro banco'!D1693)</f>
        <v/>
      </c>
      <c r="E1693" s="9"/>
      <c r="F1693" s="9"/>
      <c r="G1693" s="7" t="str">
        <f aca="false">IF(A1693="","",IF(COUNTIF(Tabelas!$A:$A,IF(E1693="",A1693,E1693))&gt;0,"sim","não"))</f>
        <v/>
      </c>
      <c r="H1693" s="7" t="str">
        <f aca="false">IF(A1693="","",IF(E1693="",A1693,E1693)&amp;"."&amp;IF(F1693="",B1693,F1693))</f>
        <v/>
      </c>
      <c r="I1693" s="7" t="str">
        <f aca="false">IF(A1693="","",IFERROR(INDEX('Campos Growths'!$F:$F,MATCH(H1693,'Campos Growths'!$A:$A,0)),""))</f>
        <v/>
      </c>
      <c r="J1693" s="7" t="str">
        <f aca="false">IF(A1693="","",IFERROR(VLOOKUP(IF(ISNUMBER(SEARCH("(",C1693)),LEFT(C1693,SEARCH("(",C1693)-1),C1693),Tipos!$A:$B,2,FALSE()),"outro"))</f>
        <v/>
      </c>
      <c r="K1693" s="7" t="str">
        <f aca="false">IF(I1693="","",IFERROR(INDEX('Campos Growths'!$L:$L,MATCH(H1693,'Campos Growths'!$A:$A,0)),""))</f>
        <v/>
      </c>
      <c r="L1693" s="7" t="str">
        <f aca="false">IF(A1693="","",IF(G1693="não","Sem tabela no Growths",IF(I1693="","Sem campo no Growths",IF(J1693=K1693,"Importa direto","Ajustar tipo"))))</f>
        <v/>
      </c>
      <c r="M1693" s="9"/>
    </row>
    <row r="1694" customFormat="false" ht="15" hidden="false" customHeight="false" outlineLevel="0" collapsed="false">
      <c r="A1694" s="7" t="str">
        <f aca="false">IF('Outro banco'!A1694="","",IF(LEFT('Outro banco'!A1694,1)="(","",'Outro banco'!A1694))</f>
        <v/>
      </c>
      <c r="B1694" s="7" t="str">
        <f aca="false">IF(A1694="","",'Outro banco'!B1694)</f>
        <v/>
      </c>
      <c r="C1694" s="7" t="str">
        <f aca="false">IF(A1694="","",'Outro banco'!C1694)</f>
        <v/>
      </c>
      <c r="D1694" s="7" t="str">
        <f aca="false">IF(A1694="","",'Outro banco'!D1694)</f>
        <v/>
      </c>
      <c r="E1694" s="9"/>
      <c r="F1694" s="9"/>
      <c r="G1694" s="7" t="str">
        <f aca="false">IF(A1694="","",IF(COUNTIF(Tabelas!$A:$A,IF(E1694="",A1694,E1694))&gt;0,"sim","não"))</f>
        <v/>
      </c>
      <c r="H1694" s="7" t="str">
        <f aca="false">IF(A1694="","",IF(E1694="",A1694,E1694)&amp;"."&amp;IF(F1694="",B1694,F1694))</f>
        <v/>
      </c>
      <c r="I1694" s="7" t="str">
        <f aca="false">IF(A1694="","",IFERROR(INDEX('Campos Growths'!$F:$F,MATCH(H1694,'Campos Growths'!$A:$A,0)),""))</f>
        <v/>
      </c>
      <c r="J1694" s="7" t="str">
        <f aca="false">IF(A1694="","",IFERROR(VLOOKUP(IF(ISNUMBER(SEARCH("(",C1694)),LEFT(C1694,SEARCH("(",C1694)-1),C1694),Tipos!$A:$B,2,FALSE()),"outro"))</f>
        <v/>
      </c>
      <c r="K1694" s="7" t="str">
        <f aca="false">IF(I1694="","",IFERROR(INDEX('Campos Growths'!$L:$L,MATCH(H1694,'Campos Growths'!$A:$A,0)),""))</f>
        <v/>
      </c>
      <c r="L1694" s="7" t="str">
        <f aca="false">IF(A1694="","",IF(G1694="não","Sem tabela no Growths",IF(I1694="","Sem campo no Growths",IF(J1694=K1694,"Importa direto","Ajustar tipo"))))</f>
        <v/>
      </c>
      <c r="M1694" s="9"/>
    </row>
    <row r="1695" customFormat="false" ht="15" hidden="false" customHeight="false" outlineLevel="0" collapsed="false">
      <c r="A1695" s="7" t="str">
        <f aca="false">IF('Outro banco'!A1695="","",IF(LEFT('Outro banco'!A1695,1)="(","",'Outro banco'!A1695))</f>
        <v/>
      </c>
      <c r="B1695" s="7" t="str">
        <f aca="false">IF(A1695="","",'Outro banco'!B1695)</f>
        <v/>
      </c>
      <c r="C1695" s="7" t="str">
        <f aca="false">IF(A1695="","",'Outro banco'!C1695)</f>
        <v/>
      </c>
      <c r="D1695" s="7" t="str">
        <f aca="false">IF(A1695="","",'Outro banco'!D1695)</f>
        <v/>
      </c>
      <c r="E1695" s="9"/>
      <c r="F1695" s="9"/>
      <c r="G1695" s="7" t="str">
        <f aca="false">IF(A1695="","",IF(COUNTIF(Tabelas!$A:$A,IF(E1695="",A1695,E1695))&gt;0,"sim","não"))</f>
        <v/>
      </c>
      <c r="H1695" s="7" t="str">
        <f aca="false">IF(A1695="","",IF(E1695="",A1695,E1695)&amp;"."&amp;IF(F1695="",B1695,F1695))</f>
        <v/>
      </c>
      <c r="I1695" s="7" t="str">
        <f aca="false">IF(A1695="","",IFERROR(INDEX('Campos Growths'!$F:$F,MATCH(H1695,'Campos Growths'!$A:$A,0)),""))</f>
        <v/>
      </c>
      <c r="J1695" s="7" t="str">
        <f aca="false">IF(A1695="","",IFERROR(VLOOKUP(IF(ISNUMBER(SEARCH("(",C1695)),LEFT(C1695,SEARCH("(",C1695)-1),C1695),Tipos!$A:$B,2,FALSE()),"outro"))</f>
        <v/>
      </c>
      <c r="K1695" s="7" t="str">
        <f aca="false">IF(I1695="","",IFERROR(INDEX('Campos Growths'!$L:$L,MATCH(H1695,'Campos Growths'!$A:$A,0)),""))</f>
        <v/>
      </c>
      <c r="L1695" s="7" t="str">
        <f aca="false">IF(A1695="","",IF(G1695="não","Sem tabela no Growths",IF(I1695="","Sem campo no Growths",IF(J1695=K1695,"Importa direto","Ajustar tipo"))))</f>
        <v/>
      </c>
      <c r="M1695" s="9"/>
    </row>
    <row r="1696" customFormat="false" ht="15" hidden="false" customHeight="false" outlineLevel="0" collapsed="false">
      <c r="A1696" s="7" t="str">
        <f aca="false">IF('Outro banco'!A1696="","",IF(LEFT('Outro banco'!A1696,1)="(","",'Outro banco'!A1696))</f>
        <v/>
      </c>
      <c r="B1696" s="7" t="str">
        <f aca="false">IF(A1696="","",'Outro banco'!B1696)</f>
        <v/>
      </c>
      <c r="C1696" s="7" t="str">
        <f aca="false">IF(A1696="","",'Outro banco'!C1696)</f>
        <v/>
      </c>
      <c r="D1696" s="7" t="str">
        <f aca="false">IF(A1696="","",'Outro banco'!D1696)</f>
        <v/>
      </c>
      <c r="E1696" s="9"/>
      <c r="F1696" s="9"/>
      <c r="G1696" s="7" t="str">
        <f aca="false">IF(A1696="","",IF(COUNTIF(Tabelas!$A:$A,IF(E1696="",A1696,E1696))&gt;0,"sim","não"))</f>
        <v/>
      </c>
      <c r="H1696" s="7" t="str">
        <f aca="false">IF(A1696="","",IF(E1696="",A1696,E1696)&amp;"."&amp;IF(F1696="",B1696,F1696))</f>
        <v/>
      </c>
      <c r="I1696" s="7" t="str">
        <f aca="false">IF(A1696="","",IFERROR(INDEX('Campos Growths'!$F:$F,MATCH(H1696,'Campos Growths'!$A:$A,0)),""))</f>
        <v/>
      </c>
      <c r="J1696" s="7" t="str">
        <f aca="false">IF(A1696="","",IFERROR(VLOOKUP(IF(ISNUMBER(SEARCH("(",C1696)),LEFT(C1696,SEARCH("(",C1696)-1),C1696),Tipos!$A:$B,2,FALSE()),"outro"))</f>
        <v/>
      </c>
      <c r="K1696" s="7" t="str">
        <f aca="false">IF(I1696="","",IFERROR(INDEX('Campos Growths'!$L:$L,MATCH(H1696,'Campos Growths'!$A:$A,0)),""))</f>
        <v/>
      </c>
      <c r="L1696" s="7" t="str">
        <f aca="false">IF(A1696="","",IF(G1696="não","Sem tabela no Growths",IF(I1696="","Sem campo no Growths",IF(J1696=K1696,"Importa direto","Ajustar tipo"))))</f>
        <v/>
      </c>
      <c r="M1696" s="9"/>
    </row>
    <row r="1697" customFormat="false" ht="15" hidden="false" customHeight="false" outlineLevel="0" collapsed="false">
      <c r="A1697" s="7" t="str">
        <f aca="false">IF('Outro banco'!A1697="","",IF(LEFT('Outro banco'!A1697,1)="(","",'Outro banco'!A1697))</f>
        <v/>
      </c>
      <c r="B1697" s="7" t="str">
        <f aca="false">IF(A1697="","",'Outro banco'!B1697)</f>
        <v/>
      </c>
      <c r="C1697" s="7" t="str">
        <f aca="false">IF(A1697="","",'Outro banco'!C1697)</f>
        <v/>
      </c>
      <c r="D1697" s="7" t="str">
        <f aca="false">IF(A1697="","",'Outro banco'!D1697)</f>
        <v/>
      </c>
      <c r="E1697" s="9"/>
      <c r="F1697" s="9"/>
      <c r="G1697" s="7" t="str">
        <f aca="false">IF(A1697="","",IF(COUNTIF(Tabelas!$A:$A,IF(E1697="",A1697,E1697))&gt;0,"sim","não"))</f>
        <v/>
      </c>
      <c r="H1697" s="7" t="str">
        <f aca="false">IF(A1697="","",IF(E1697="",A1697,E1697)&amp;"."&amp;IF(F1697="",B1697,F1697))</f>
        <v/>
      </c>
      <c r="I1697" s="7" t="str">
        <f aca="false">IF(A1697="","",IFERROR(INDEX('Campos Growths'!$F:$F,MATCH(H1697,'Campos Growths'!$A:$A,0)),""))</f>
        <v/>
      </c>
      <c r="J1697" s="7" t="str">
        <f aca="false">IF(A1697="","",IFERROR(VLOOKUP(IF(ISNUMBER(SEARCH("(",C1697)),LEFT(C1697,SEARCH("(",C1697)-1),C1697),Tipos!$A:$B,2,FALSE()),"outro"))</f>
        <v/>
      </c>
      <c r="K1697" s="7" t="str">
        <f aca="false">IF(I1697="","",IFERROR(INDEX('Campos Growths'!$L:$L,MATCH(H1697,'Campos Growths'!$A:$A,0)),""))</f>
        <v/>
      </c>
      <c r="L1697" s="7" t="str">
        <f aca="false">IF(A1697="","",IF(G1697="não","Sem tabela no Growths",IF(I1697="","Sem campo no Growths",IF(J1697=K1697,"Importa direto","Ajustar tipo"))))</f>
        <v/>
      </c>
      <c r="M1697" s="9"/>
    </row>
    <row r="1698" customFormat="false" ht="15" hidden="false" customHeight="false" outlineLevel="0" collapsed="false">
      <c r="A1698" s="7" t="str">
        <f aca="false">IF('Outro banco'!A1698="","",IF(LEFT('Outro banco'!A1698,1)="(","",'Outro banco'!A1698))</f>
        <v/>
      </c>
      <c r="B1698" s="7" t="str">
        <f aca="false">IF(A1698="","",'Outro banco'!B1698)</f>
        <v/>
      </c>
      <c r="C1698" s="7" t="str">
        <f aca="false">IF(A1698="","",'Outro banco'!C1698)</f>
        <v/>
      </c>
      <c r="D1698" s="7" t="str">
        <f aca="false">IF(A1698="","",'Outro banco'!D1698)</f>
        <v/>
      </c>
      <c r="E1698" s="9"/>
      <c r="F1698" s="9"/>
      <c r="G1698" s="7" t="str">
        <f aca="false">IF(A1698="","",IF(COUNTIF(Tabelas!$A:$A,IF(E1698="",A1698,E1698))&gt;0,"sim","não"))</f>
        <v/>
      </c>
      <c r="H1698" s="7" t="str">
        <f aca="false">IF(A1698="","",IF(E1698="",A1698,E1698)&amp;"."&amp;IF(F1698="",B1698,F1698))</f>
        <v/>
      </c>
      <c r="I1698" s="7" t="str">
        <f aca="false">IF(A1698="","",IFERROR(INDEX('Campos Growths'!$F:$F,MATCH(H1698,'Campos Growths'!$A:$A,0)),""))</f>
        <v/>
      </c>
      <c r="J1698" s="7" t="str">
        <f aca="false">IF(A1698="","",IFERROR(VLOOKUP(IF(ISNUMBER(SEARCH("(",C1698)),LEFT(C1698,SEARCH("(",C1698)-1),C1698),Tipos!$A:$B,2,FALSE()),"outro"))</f>
        <v/>
      </c>
      <c r="K1698" s="7" t="str">
        <f aca="false">IF(I1698="","",IFERROR(INDEX('Campos Growths'!$L:$L,MATCH(H1698,'Campos Growths'!$A:$A,0)),""))</f>
        <v/>
      </c>
      <c r="L1698" s="7" t="str">
        <f aca="false">IF(A1698="","",IF(G1698="não","Sem tabela no Growths",IF(I1698="","Sem campo no Growths",IF(J1698=K1698,"Importa direto","Ajustar tipo"))))</f>
        <v/>
      </c>
      <c r="M1698" s="9"/>
    </row>
    <row r="1699" customFormat="false" ht="15" hidden="false" customHeight="false" outlineLevel="0" collapsed="false">
      <c r="A1699" s="7" t="str">
        <f aca="false">IF('Outro banco'!A1699="","",IF(LEFT('Outro banco'!A1699,1)="(","",'Outro banco'!A1699))</f>
        <v/>
      </c>
      <c r="B1699" s="7" t="str">
        <f aca="false">IF(A1699="","",'Outro banco'!B1699)</f>
        <v/>
      </c>
      <c r="C1699" s="7" t="str">
        <f aca="false">IF(A1699="","",'Outro banco'!C1699)</f>
        <v/>
      </c>
      <c r="D1699" s="7" t="str">
        <f aca="false">IF(A1699="","",'Outro banco'!D1699)</f>
        <v/>
      </c>
      <c r="E1699" s="9"/>
      <c r="F1699" s="9"/>
      <c r="G1699" s="7" t="str">
        <f aca="false">IF(A1699="","",IF(COUNTIF(Tabelas!$A:$A,IF(E1699="",A1699,E1699))&gt;0,"sim","não"))</f>
        <v/>
      </c>
      <c r="H1699" s="7" t="str">
        <f aca="false">IF(A1699="","",IF(E1699="",A1699,E1699)&amp;"."&amp;IF(F1699="",B1699,F1699))</f>
        <v/>
      </c>
      <c r="I1699" s="7" t="str">
        <f aca="false">IF(A1699="","",IFERROR(INDEX('Campos Growths'!$F:$F,MATCH(H1699,'Campos Growths'!$A:$A,0)),""))</f>
        <v/>
      </c>
      <c r="J1699" s="7" t="str">
        <f aca="false">IF(A1699="","",IFERROR(VLOOKUP(IF(ISNUMBER(SEARCH("(",C1699)),LEFT(C1699,SEARCH("(",C1699)-1),C1699),Tipos!$A:$B,2,FALSE()),"outro"))</f>
        <v/>
      </c>
      <c r="K1699" s="7" t="str">
        <f aca="false">IF(I1699="","",IFERROR(INDEX('Campos Growths'!$L:$L,MATCH(H1699,'Campos Growths'!$A:$A,0)),""))</f>
        <v/>
      </c>
      <c r="L1699" s="7" t="str">
        <f aca="false">IF(A1699="","",IF(G1699="não","Sem tabela no Growths",IF(I1699="","Sem campo no Growths",IF(J1699=K1699,"Importa direto","Ajustar tipo"))))</f>
        <v/>
      </c>
      <c r="M1699" s="9"/>
    </row>
    <row r="1700" customFormat="false" ht="15" hidden="false" customHeight="false" outlineLevel="0" collapsed="false">
      <c r="A1700" s="7" t="str">
        <f aca="false">IF('Outro banco'!A1700="","",IF(LEFT('Outro banco'!A1700,1)="(","",'Outro banco'!A1700))</f>
        <v/>
      </c>
      <c r="B1700" s="7" t="str">
        <f aca="false">IF(A1700="","",'Outro banco'!B1700)</f>
        <v/>
      </c>
      <c r="C1700" s="7" t="str">
        <f aca="false">IF(A1700="","",'Outro banco'!C1700)</f>
        <v/>
      </c>
      <c r="D1700" s="7" t="str">
        <f aca="false">IF(A1700="","",'Outro banco'!D1700)</f>
        <v/>
      </c>
      <c r="E1700" s="9"/>
      <c r="F1700" s="9"/>
      <c r="G1700" s="7" t="str">
        <f aca="false">IF(A1700="","",IF(COUNTIF(Tabelas!$A:$A,IF(E1700="",A1700,E1700))&gt;0,"sim","não"))</f>
        <v/>
      </c>
      <c r="H1700" s="7" t="str">
        <f aca="false">IF(A1700="","",IF(E1700="",A1700,E1700)&amp;"."&amp;IF(F1700="",B1700,F1700))</f>
        <v/>
      </c>
      <c r="I1700" s="7" t="str">
        <f aca="false">IF(A1700="","",IFERROR(INDEX('Campos Growths'!$F:$F,MATCH(H1700,'Campos Growths'!$A:$A,0)),""))</f>
        <v/>
      </c>
      <c r="J1700" s="7" t="str">
        <f aca="false">IF(A1700="","",IFERROR(VLOOKUP(IF(ISNUMBER(SEARCH("(",C1700)),LEFT(C1700,SEARCH("(",C1700)-1),C1700),Tipos!$A:$B,2,FALSE()),"outro"))</f>
        <v/>
      </c>
      <c r="K1700" s="7" t="str">
        <f aca="false">IF(I1700="","",IFERROR(INDEX('Campos Growths'!$L:$L,MATCH(H1700,'Campos Growths'!$A:$A,0)),""))</f>
        <v/>
      </c>
      <c r="L1700" s="7" t="str">
        <f aca="false">IF(A1700="","",IF(G1700="não","Sem tabela no Growths",IF(I1700="","Sem campo no Growths",IF(J1700=K1700,"Importa direto","Ajustar tipo"))))</f>
        <v/>
      </c>
      <c r="M1700" s="9"/>
    </row>
    <row r="1701" customFormat="false" ht="15" hidden="false" customHeight="false" outlineLevel="0" collapsed="false">
      <c r="A1701" s="7" t="str">
        <f aca="false">IF('Outro banco'!A1701="","",IF(LEFT('Outro banco'!A1701,1)="(","",'Outro banco'!A1701))</f>
        <v/>
      </c>
      <c r="B1701" s="7" t="str">
        <f aca="false">IF(A1701="","",'Outro banco'!B1701)</f>
        <v/>
      </c>
      <c r="C1701" s="7" t="str">
        <f aca="false">IF(A1701="","",'Outro banco'!C1701)</f>
        <v/>
      </c>
      <c r="D1701" s="7" t="str">
        <f aca="false">IF(A1701="","",'Outro banco'!D1701)</f>
        <v/>
      </c>
      <c r="E1701" s="9"/>
      <c r="F1701" s="9"/>
      <c r="G1701" s="7" t="str">
        <f aca="false">IF(A1701="","",IF(COUNTIF(Tabelas!$A:$A,IF(E1701="",A1701,E1701))&gt;0,"sim","não"))</f>
        <v/>
      </c>
      <c r="H1701" s="7" t="str">
        <f aca="false">IF(A1701="","",IF(E1701="",A1701,E1701)&amp;"."&amp;IF(F1701="",B1701,F1701))</f>
        <v/>
      </c>
      <c r="I1701" s="7" t="str">
        <f aca="false">IF(A1701="","",IFERROR(INDEX('Campos Growths'!$F:$F,MATCH(H1701,'Campos Growths'!$A:$A,0)),""))</f>
        <v/>
      </c>
      <c r="J1701" s="7" t="str">
        <f aca="false">IF(A1701="","",IFERROR(VLOOKUP(IF(ISNUMBER(SEARCH("(",C1701)),LEFT(C1701,SEARCH("(",C1701)-1),C1701),Tipos!$A:$B,2,FALSE()),"outro"))</f>
        <v/>
      </c>
      <c r="K1701" s="7" t="str">
        <f aca="false">IF(I1701="","",IFERROR(INDEX('Campos Growths'!$L:$L,MATCH(H1701,'Campos Growths'!$A:$A,0)),""))</f>
        <v/>
      </c>
      <c r="L1701" s="7" t="str">
        <f aca="false">IF(A1701="","",IF(G1701="não","Sem tabela no Growths",IF(I1701="","Sem campo no Growths",IF(J1701=K1701,"Importa direto","Ajustar tipo"))))</f>
        <v/>
      </c>
      <c r="M1701" s="9"/>
    </row>
    <row r="1702" customFormat="false" ht="15" hidden="false" customHeight="false" outlineLevel="0" collapsed="false">
      <c r="A1702" s="7" t="str">
        <f aca="false">IF('Outro banco'!A1702="","",IF(LEFT('Outro banco'!A1702,1)="(","",'Outro banco'!A1702))</f>
        <v/>
      </c>
      <c r="B1702" s="7" t="str">
        <f aca="false">IF(A1702="","",'Outro banco'!B1702)</f>
        <v/>
      </c>
      <c r="C1702" s="7" t="str">
        <f aca="false">IF(A1702="","",'Outro banco'!C1702)</f>
        <v/>
      </c>
      <c r="D1702" s="7" t="str">
        <f aca="false">IF(A1702="","",'Outro banco'!D1702)</f>
        <v/>
      </c>
      <c r="E1702" s="9"/>
      <c r="F1702" s="9"/>
      <c r="G1702" s="7" t="str">
        <f aca="false">IF(A1702="","",IF(COUNTIF(Tabelas!$A:$A,IF(E1702="",A1702,E1702))&gt;0,"sim","não"))</f>
        <v/>
      </c>
      <c r="H1702" s="7" t="str">
        <f aca="false">IF(A1702="","",IF(E1702="",A1702,E1702)&amp;"."&amp;IF(F1702="",B1702,F1702))</f>
        <v/>
      </c>
      <c r="I1702" s="7" t="str">
        <f aca="false">IF(A1702="","",IFERROR(INDEX('Campos Growths'!$F:$F,MATCH(H1702,'Campos Growths'!$A:$A,0)),""))</f>
        <v/>
      </c>
      <c r="J1702" s="7" t="str">
        <f aca="false">IF(A1702="","",IFERROR(VLOOKUP(IF(ISNUMBER(SEARCH("(",C1702)),LEFT(C1702,SEARCH("(",C1702)-1),C1702),Tipos!$A:$B,2,FALSE()),"outro"))</f>
        <v/>
      </c>
      <c r="K1702" s="7" t="str">
        <f aca="false">IF(I1702="","",IFERROR(INDEX('Campos Growths'!$L:$L,MATCH(H1702,'Campos Growths'!$A:$A,0)),""))</f>
        <v/>
      </c>
      <c r="L1702" s="7" t="str">
        <f aca="false">IF(A1702="","",IF(G1702="não","Sem tabela no Growths",IF(I1702="","Sem campo no Growths",IF(J1702=K1702,"Importa direto","Ajustar tipo"))))</f>
        <v/>
      </c>
      <c r="M1702" s="9"/>
    </row>
    <row r="1703" customFormat="false" ht="15" hidden="false" customHeight="false" outlineLevel="0" collapsed="false">
      <c r="A1703" s="7" t="str">
        <f aca="false">IF('Outro banco'!A1703="","",IF(LEFT('Outro banco'!A1703,1)="(","",'Outro banco'!A1703))</f>
        <v/>
      </c>
      <c r="B1703" s="7" t="str">
        <f aca="false">IF(A1703="","",'Outro banco'!B1703)</f>
        <v/>
      </c>
      <c r="C1703" s="7" t="str">
        <f aca="false">IF(A1703="","",'Outro banco'!C1703)</f>
        <v/>
      </c>
      <c r="D1703" s="7" t="str">
        <f aca="false">IF(A1703="","",'Outro banco'!D1703)</f>
        <v/>
      </c>
      <c r="E1703" s="9"/>
      <c r="F1703" s="9"/>
      <c r="G1703" s="7" t="str">
        <f aca="false">IF(A1703="","",IF(COUNTIF(Tabelas!$A:$A,IF(E1703="",A1703,E1703))&gt;0,"sim","não"))</f>
        <v/>
      </c>
      <c r="H1703" s="7" t="str">
        <f aca="false">IF(A1703="","",IF(E1703="",A1703,E1703)&amp;"."&amp;IF(F1703="",B1703,F1703))</f>
        <v/>
      </c>
      <c r="I1703" s="7" t="str">
        <f aca="false">IF(A1703="","",IFERROR(INDEX('Campos Growths'!$F:$F,MATCH(H1703,'Campos Growths'!$A:$A,0)),""))</f>
        <v/>
      </c>
      <c r="J1703" s="7" t="str">
        <f aca="false">IF(A1703="","",IFERROR(VLOOKUP(IF(ISNUMBER(SEARCH("(",C1703)),LEFT(C1703,SEARCH("(",C1703)-1),C1703),Tipos!$A:$B,2,FALSE()),"outro"))</f>
        <v/>
      </c>
      <c r="K1703" s="7" t="str">
        <f aca="false">IF(I1703="","",IFERROR(INDEX('Campos Growths'!$L:$L,MATCH(H1703,'Campos Growths'!$A:$A,0)),""))</f>
        <v/>
      </c>
      <c r="L1703" s="7" t="str">
        <f aca="false">IF(A1703="","",IF(G1703="não","Sem tabela no Growths",IF(I1703="","Sem campo no Growths",IF(J1703=K1703,"Importa direto","Ajustar tipo"))))</f>
        <v/>
      </c>
      <c r="M1703" s="9"/>
    </row>
    <row r="1704" customFormat="false" ht="15" hidden="false" customHeight="false" outlineLevel="0" collapsed="false">
      <c r="A1704" s="7" t="str">
        <f aca="false">IF('Outro banco'!A1704="","",IF(LEFT('Outro banco'!A1704,1)="(","",'Outro banco'!A1704))</f>
        <v/>
      </c>
      <c r="B1704" s="7" t="str">
        <f aca="false">IF(A1704="","",'Outro banco'!B1704)</f>
        <v/>
      </c>
      <c r="C1704" s="7" t="str">
        <f aca="false">IF(A1704="","",'Outro banco'!C1704)</f>
        <v/>
      </c>
      <c r="D1704" s="7" t="str">
        <f aca="false">IF(A1704="","",'Outro banco'!D1704)</f>
        <v/>
      </c>
      <c r="E1704" s="9"/>
      <c r="F1704" s="9"/>
      <c r="G1704" s="7" t="str">
        <f aca="false">IF(A1704="","",IF(COUNTIF(Tabelas!$A:$A,IF(E1704="",A1704,E1704))&gt;0,"sim","não"))</f>
        <v/>
      </c>
      <c r="H1704" s="7" t="str">
        <f aca="false">IF(A1704="","",IF(E1704="",A1704,E1704)&amp;"."&amp;IF(F1704="",B1704,F1704))</f>
        <v/>
      </c>
      <c r="I1704" s="7" t="str">
        <f aca="false">IF(A1704="","",IFERROR(INDEX('Campos Growths'!$F:$F,MATCH(H1704,'Campos Growths'!$A:$A,0)),""))</f>
        <v/>
      </c>
      <c r="J1704" s="7" t="str">
        <f aca="false">IF(A1704="","",IFERROR(VLOOKUP(IF(ISNUMBER(SEARCH("(",C1704)),LEFT(C1704,SEARCH("(",C1704)-1),C1704),Tipos!$A:$B,2,FALSE()),"outro"))</f>
        <v/>
      </c>
      <c r="K1704" s="7" t="str">
        <f aca="false">IF(I1704="","",IFERROR(INDEX('Campos Growths'!$L:$L,MATCH(H1704,'Campos Growths'!$A:$A,0)),""))</f>
        <v/>
      </c>
      <c r="L1704" s="7" t="str">
        <f aca="false">IF(A1704="","",IF(G1704="não","Sem tabela no Growths",IF(I1704="","Sem campo no Growths",IF(J1704=K1704,"Importa direto","Ajustar tipo"))))</f>
        <v/>
      </c>
      <c r="M1704" s="9"/>
    </row>
    <row r="1705" customFormat="false" ht="15" hidden="false" customHeight="false" outlineLevel="0" collapsed="false">
      <c r="A1705" s="7" t="str">
        <f aca="false">IF('Outro banco'!A1705="","",IF(LEFT('Outro banco'!A1705,1)="(","",'Outro banco'!A1705))</f>
        <v/>
      </c>
      <c r="B1705" s="7" t="str">
        <f aca="false">IF(A1705="","",'Outro banco'!B1705)</f>
        <v/>
      </c>
      <c r="C1705" s="7" t="str">
        <f aca="false">IF(A1705="","",'Outro banco'!C1705)</f>
        <v/>
      </c>
      <c r="D1705" s="7" t="str">
        <f aca="false">IF(A1705="","",'Outro banco'!D1705)</f>
        <v/>
      </c>
      <c r="E1705" s="9"/>
      <c r="F1705" s="9"/>
      <c r="G1705" s="7" t="str">
        <f aca="false">IF(A1705="","",IF(COUNTIF(Tabelas!$A:$A,IF(E1705="",A1705,E1705))&gt;0,"sim","não"))</f>
        <v/>
      </c>
      <c r="H1705" s="7" t="str">
        <f aca="false">IF(A1705="","",IF(E1705="",A1705,E1705)&amp;"."&amp;IF(F1705="",B1705,F1705))</f>
        <v/>
      </c>
      <c r="I1705" s="7" t="str">
        <f aca="false">IF(A1705="","",IFERROR(INDEX('Campos Growths'!$F:$F,MATCH(H1705,'Campos Growths'!$A:$A,0)),""))</f>
        <v/>
      </c>
      <c r="J1705" s="7" t="str">
        <f aca="false">IF(A1705="","",IFERROR(VLOOKUP(IF(ISNUMBER(SEARCH("(",C1705)),LEFT(C1705,SEARCH("(",C1705)-1),C1705),Tipos!$A:$B,2,FALSE()),"outro"))</f>
        <v/>
      </c>
      <c r="K1705" s="7" t="str">
        <f aca="false">IF(I1705="","",IFERROR(INDEX('Campos Growths'!$L:$L,MATCH(H1705,'Campos Growths'!$A:$A,0)),""))</f>
        <v/>
      </c>
      <c r="L1705" s="7" t="str">
        <f aca="false">IF(A1705="","",IF(G1705="não","Sem tabela no Growths",IF(I1705="","Sem campo no Growths",IF(J1705=K1705,"Importa direto","Ajustar tipo"))))</f>
        <v/>
      </c>
      <c r="M1705" s="9"/>
    </row>
    <row r="1706" customFormat="false" ht="15" hidden="false" customHeight="false" outlineLevel="0" collapsed="false">
      <c r="A1706" s="7" t="str">
        <f aca="false">IF('Outro banco'!A1706="","",IF(LEFT('Outro banco'!A1706,1)="(","",'Outro banco'!A1706))</f>
        <v/>
      </c>
      <c r="B1706" s="7" t="str">
        <f aca="false">IF(A1706="","",'Outro banco'!B1706)</f>
        <v/>
      </c>
      <c r="C1706" s="7" t="str">
        <f aca="false">IF(A1706="","",'Outro banco'!C1706)</f>
        <v/>
      </c>
      <c r="D1706" s="7" t="str">
        <f aca="false">IF(A1706="","",'Outro banco'!D1706)</f>
        <v/>
      </c>
      <c r="E1706" s="9"/>
      <c r="F1706" s="9"/>
      <c r="G1706" s="7" t="str">
        <f aca="false">IF(A1706="","",IF(COUNTIF(Tabelas!$A:$A,IF(E1706="",A1706,E1706))&gt;0,"sim","não"))</f>
        <v/>
      </c>
      <c r="H1706" s="7" t="str">
        <f aca="false">IF(A1706="","",IF(E1706="",A1706,E1706)&amp;"."&amp;IF(F1706="",B1706,F1706))</f>
        <v/>
      </c>
      <c r="I1706" s="7" t="str">
        <f aca="false">IF(A1706="","",IFERROR(INDEX('Campos Growths'!$F:$F,MATCH(H1706,'Campos Growths'!$A:$A,0)),""))</f>
        <v/>
      </c>
      <c r="J1706" s="7" t="str">
        <f aca="false">IF(A1706="","",IFERROR(VLOOKUP(IF(ISNUMBER(SEARCH("(",C1706)),LEFT(C1706,SEARCH("(",C1706)-1),C1706),Tipos!$A:$B,2,FALSE()),"outro"))</f>
        <v/>
      </c>
      <c r="K1706" s="7" t="str">
        <f aca="false">IF(I1706="","",IFERROR(INDEX('Campos Growths'!$L:$L,MATCH(H1706,'Campos Growths'!$A:$A,0)),""))</f>
        <v/>
      </c>
      <c r="L1706" s="7" t="str">
        <f aca="false">IF(A1706="","",IF(G1706="não","Sem tabela no Growths",IF(I1706="","Sem campo no Growths",IF(J1706=K1706,"Importa direto","Ajustar tipo"))))</f>
        <v/>
      </c>
      <c r="M1706" s="9"/>
    </row>
    <row r="1707" customFormat="false" ht="15" hidden="false" customHeight="false" outlineLevel="0" collapsed="false">
      <c r="A1707" s="7" t="str">
        <f aca="false">IF('Outro banco'!A1707="","",IF(LEFT('Outro banco'!A1707,1)="(","",'Outro banco'!A1707))</f>
        <v/>
      </c>
      <c r="B1707" s="7" t="str">
        <f aca="false">IF(A1707="","",'Outro banco'!B1707)</f>
        <v/>
      </c>
      <c r="C1707" s="7" t="str">
        <f aca="false">IF(A1707="","",'Outro banco'!C1707)</f>
        <v/>
      </c>
      <c r="D1707" s="7" t="str">
        <f aca="false">IF(A1707="","",'Outro banco'!D1707)</f>
        <v/>
      </c>
      <c r="E1707" s="9"/>
      <c r="F1707" s="9"/>
      <c r="G1707" s="7" t="str">
        <f aca="false">IF(A1707="","",IF(COUNTIF(Tabelas!$A:$A,IF(E1707="",A1707,E1707))&gt;0,"sim","não"))</f>
        <v/>
      </c>
      <c r="H1707" s="7" t="str">
        <f aca="false">IF(A1707="","",IF(E1707="",A1707,E1707)&amp;"."&amp;IF(F1707="",B1707,F1707))</f>
        <v/>
      </c>
      <c r="I1707" s="7" t="str">
        <f aca="false">IF(A1707="","",IFERROR(INDEX('Campos Growths'!$F:$F,MATCH(H1707,'Campos Growths'!$A:$A,0)),""))</f>
        <v/>
      </c>
      <c r="J1707" s="7" t="str">
        <f aca="false">IF(A1707="","",IFERROR(VLOOKUP(IF(ISNUMBER(SEARCH("(",C1707)),LEFT(C1707,SEARCH("(",C1707)-1),C1707),Tipos!$A:$B,2,FALSE()),"outro"))</f>
        <v/>
      </c>
      <c r="K1707" s="7" t="str">
        <f aca="false">IF(I1707="","",IFERROR(INDEX('Campos Growths'!$L:$L,MATCH(H1707,'Campos Growths'!$A:$A,0)),""))</f>
        <v/>
      </c>
      <c r="L1707" s="7" t="str">
        <f aca="false">IF(A1707="","",IF(G1707="não","Sem tabela no Growths",IF(I1707="","Sem campo no Growths",IF(J1707=K1707,"Importa direto","Ajustar tipo"))))</f>
        <v/>
      </c>
      <c r="M1707" s="9"/>
    </row>
    <row r="1708" customFormat="false" ht="15" hidden="false" customHeight="false" outlineLevel="0" collapsed="false">
      <c r="A1708" s="7" t="str">
        <f aca="false">IF('Outro banco'!A1708="","",IF(LEFT('Outro banco'!A1708,1)="(","",'Outro banco'!A1708))</f>
        <v/>
      </c>
      <c r="B1708" s="7" t="str">
        <f aca="false">IF(A1708="","",'Outro banco'!B1708)</f>
        <v/>
      </c>
      <c r="C1708" s="7" t="str">
        <f aca="false">IF(A1708="","",'Outro banco'!C1708)</f>
        <v/>
      </c>
      <c r="D1708" s="7" t="str">
        <f aca="false">IF(A1708="","",'Outro banco'!D1708)</f>
        <v/>
      </c>
      <c r="E1708" s="9"/>
      <c r="F1708" s="9"/>
      <c r="G1708" s="7" t="str">
        <f aca="false">IF(A1708="","",IF(COUNTIF(Tabelas!$A:$A,IF(E1708="",A1708,E1708))&gt;0,"sim","não"))</f>
        <v/>
      </c>
      <c r="H1708" s="7" t="str">
        <f aca="false">IF(A1708="","",IF(E1708="",A1708,E1708)&amp;"."&amp;IF(F1708="",B1708,F1708))</f>
        <v/>
      </c>
      <c r="I1708" s="7" t="str">
        <f aca="false">IF(A1708="","",IFERROR(INDEX('Campos Growths'!$F:$F,MATCH(H1708,'Campos Growths'!$A:$A,0)),""))</f>
        <v/>
      </c>
      <c r="J1708" s="7" t="str">
        <f aca="false">IF(A1708="","",IFERROR(VLOOKUP(IF(ISNUMBER(SEARCH("(",C1708)),LEFT(C1708,SEARCH("(",C1708)-1),C1708),Tipos!$A:$B,2,FALSE()),"outro"))</f>
        <v/>
      </c>
      <c r="K1708" s="7" t="str">
        <f aca="false">IF(I1708="","",IFERROR(INDEX('Campos Growths'!$L:$L,MATCH(H1708,'Campos Growths'!$A:$A,0)),""))</f>
        <v/>
      </c>
      <c r="L1708" s="7" t="str">
        <f aca="false">IF(A1708="","",IF(G1708="não","Sem tabela no Growths",IF(I1708="","Sem campo no Growths",IF(J1708=K1708,"Importa direto","Ajustar tipo"))))</f>
        <v/>
      </c>
      <c r="M1708" s="9"/>
    </row>
    <row r="1709" customFormat="false" ht="15" hidden="false" customHeight="false" outlineLevel="0" collapsed="false">
      <c r="A1709" s="7" t="str">
        <f aca="false">IF('Outro banco'!A1709="","",IF(LEFT('Outro banco'!A1709,1)="(","",'Outro banco'!A1709))</f>
        <v/>
      </c>
      <c r="B1709" s="7" t="str">
        <f aca="false">IF(A1709="","",'Outro banco'!B1709)</f>
        <v/>
      </c>
      <c r="C1709" s="7" t="str">
        <f aca="false">IF(A1709="","",'Outro banco'!C1709)</f>
        <v/>
      </c>
      <c r="D1709" s="7" t="str">
        <f aca="false">IF(A1709="","",'Outro banco'!D1709)</f>
        <v/>
      </c>
      <c r="E1709" s="9"/>
      <c r="F1709" s="9"/>
      <c r="G1709" s="7" t="str">
        <f aca="false">IF(A1709="","",IF(COUNTIF(Tabelas!$A:$A,IF(E1709="",A1709,E1709))&gt;0,"sim","não"))</f>
        <v/>
      </c>
      <c r="H1709" s="7" t="str">
        <f aca="false">IF(A1709="","",IF(E1709="",A1709,E1709)&amp;"."&amp;IF(F1709="",B1709,F1709))</f>
        <v/>
      </c>
      <c r="I1709" s="7" t="str">
        <f aca="false">IF(A1709="","",IFERROR(INDEX('Campos Growths'!$F:$F,MATCH(H1709,'Campos Growths'!$A:$A,0)),""))</f>
        <v/>
      </c>
      <c r="J1709" s="7" t="str">
        <f aca="false">IF(A1709="","",IFERROR(VLOOKUP(IF(ISNUMBER(SEARCH("(",C1709)),LEFT(C1709,SEARCH("(",C1709)-1),C1709),Tipos!$A:$B,2,FALSE()),"outro"))</f>
        <v/>
      </c>
      <c r="K1709" s="7" t="str">
        <f aca="false">IF(I1709="","",IFERROR(INDEX('Campos Growths'!$L:$L,MATCH(H1709,'Campos Growths'!$A:$A,0)),""))</f>
        <v/>
      </c>
      <c r="L1709" s="7" t="str">
        <f aca="false">IF(A1709="","",IF(G1709="não","Sem tabela no Growths",IF(I1709="","Sem campo no Growths",IF(J1709=K1709,"Importa direto","Ajustar tipo"))))</f>
        <v/>
      </c>
      <c r="M1709" s="9"/>
    </row>
    <row r="1710" customFormat="false" ht="15" hidden="false" customHeight="false" outlineLevel="0" collapsed="false">
      <c r="A1710" s="7" t="str">
        <f aca="false">IF('Outro banco'!A1710="","",IF(LEFT('Outro banco'!A1710,1)="(","",'Outro banco'!A1710))</f>
        <v/>
      </c>
      <c r="B1710" s="7" t="str">
        <f aca="false">IF(A1710="","",'Outro banco'!B1710)</f>
        <v/>
      </c>
      <c r="C1710" s="7" t="str">
        <f aca="false">IF(A1710="","",'Outro banco'!C1710)</f>
        <v/>
      </c>
      <c r="D1710" s="7" t="str">
        <f aca="false">IF(A1710="","",'Outro banco'!D1710)</f>
        <v/>
      </c>
      <c r="E1710" s="9"/>
      <c r="F1710" s="9"/>
      <c r="G1710" s="7" t="str">
        <f aca="false">IF(A1710="","",IF(COUNTIF(Tabelas!$A:$A,IF(E1710="",A1710,E1710))&gt;0,"sim","não"))</f>
        <v/>
      </c>
      <c r="H1710" s="7" t="str">
        <f aca="false">IF(A1710="","",IF(E1710="",A1710,E1710)&amp;"."&amp;IF(F1710="",B1710,F1710))</f>
        <v/>
      </c>
      <c r="I1710" s="7" t="str">
        <f aca="false">IF(A1710="","",IFERROR(INDEX('Campos Growths'!$F:$F,MATCH(H1710,'Campos Growths'!$A:$A,0)),""))</f>
        <v/>
      </c>
      <c r="J1710" s="7" t="str">
        <f aca="false">IF(A1710="","",IFERROR(VLOOKUP(IF(ISNUMBER(SEARCH("(",C1710)),LEFT(C1710,SEARCH("(",C1710)-1),C1710),Tipos!$A:$B,2,FALSE()),"outro"))</f>
        <v/>
      </c>
      <c r="K1710" s="7" t="str">
        <f aca="false">IF(I1710="","",IFERROR(INDEX('Campos Growths'!$L:$L,MATCH(H1710,'Campos Growths'!$A:$A,0)),""))</f>
        <v/>
      </c>
      <c r="L1710" s="7" t="str">
        <f aca="false">IF(A1710="","",IF(G1710="não","Sem tabela no Growths",IF(I1710="","Sem campo no Growths",IF(J1710=K1710,"Importa direto","Ajustar tipo"))))</f>
        <v/>
      </c>
      <c r="M1710" s="9"/>
    </row>
    <row r="1711" customFormat="false" ht="15" hidden="false" customHeight="false" outlineLevel="0" collapsed="false">
      <c r="A1711" s="7" t="str">
        <f aca="false">IF('Outro banco'!A1711="","",IF(LEFT('Outro banco'!A1711,1)="(","",'Outro banco'!A1711))</f>
        <v/>
      </c>
      <c r="B1711" s="7" t="str">
        <f aca="false">IF(A1711="","",'Outro banco'!B1711)</f>
        <v/>
      </c>
      <c r="C1711" s="7" t="str">
        <f aca="false">IF(A1711="","",'Outro banco'!C1711)</f>
        <v/>
      </c>
      <c r="D1711" s="7" t="str">
        <f aca="false">IF(A1711="","",'Outro banco'!D1711)</f>
        <v/>
      </c>
      <c r="E1711" s="9"/>
      <c r="F1711" s="9"/>
      <c r="G1711" s="7" t="str">
        <f aca="false">IF(A1711="","",IF(COUNTIF(Tabelas!$A:$A,IF(E1711="",A1711,E1711))&gt;0,"sim","não"))</f>
        <v/>
      </c>
      <c r="H1711" s="7" t="str">
        <f aca="false">IF(A1711="","",IF(E1711="",A1711,E1711)&amp;"."&amp;IF(F1711="",B1711,F1711))</f>
        <v/>
      </c>
      <c r="I1711" s="7" t="str">
        <f aca="false">IF(A1711="","",IFERROR(INDEX('Campos Growths'!$F:$F,MATCH(H1711,'Campos Growths'!$A:$A,0)),""))</f>
        <v/>
      </c>
      <c r="J1711" s="7" t="str">
        <f aca="false">IF(A1711="","",IFERROR(VLOOKUP(IF(ISNUMBER(SEARCH("(",C1711)),LEFT(C1711,SEARCH("(",C1711)-1),C1711),Tipos!$A:$B,2,FALSE()),"outro"))</f>
        <v/>
      </c>
      <c r="K1711" s="7" t="str">
        <f aca="false">IF(I1711="","",IFERROR(INDEX('Campos Growths'!$L:$L,MATCH(H1711,'Campos Growths'!$A:$A,0)),""))</f>
        <v/>
      </c>
      <c r="L1711" s="7" t="str">
        <f aca="false">IF(A1711="","",IF(G1711="não","Sem tabela no Growths",IF(I1711="","Sem campo no Growths",IF(J1711=K1711,"Importa direto","Ajustar tipo"))))</f>
        <v/>
      </c>
      <c r="M1711" s="9"/>
    </row>
    <row r="1712" customFormat="false" ht="15" hidden="false" customHeight="false" outlineLevel="0" collapsed="false">
      <c r="A1712" s="7" t="str">
        <f aca="false">IF('Outro banco'!A1712="","",IF(LEFT('Outro banco'!A1712,1)="(","",'Outro banco'!A1712))</f>
        <v/>
      </c>
      <c r="B1712" s="7" t="str">
        <f aca="false">IF(A1712="","",'Outro banco'!B1712)</f>
        <v/>
      </c>
      <c r="C1712" s="7" t="str">
        <f aca="false">IF(A1712="","",'Outro banco'!C1712)</f>
        <v/>
      </c>
      <c r="D1712" s="7" t="str">
        <f aca="false">IF(A1712="","",'Outro banco'!D1712)</f>
        <v/>
      </c>
      <c r="E1712" s="9"/>
      <c r="F1712" s="9"/>
      <c r="G1712" s="7" t="str">
        <f aca="false">IF(A1712="","",IF(COUNTIF(Tabelas!$A:$A,IF(E1712="",A1712,E1712))&gt;0,"sim","não"))</f>
        <v/>
      </c>
      <c r="H1712" s="7" t="str">
        <f aca="false">IF(A1712="","",IF(E1712="",A1712,E1712)&amp;"."&amp;IF(F1712="",B1712,F1712))</f>
        <v/>
      </c>
      <c r="I1712" s="7" t="str">
        <f aca="false">IF(A1712="","",IFERROR(INDEX('Campos Growths'!$F:$F,MATCH(H1712,'Campos Growths'!$A:$A,0)),""))</f>
        <v/>
      </c>
      <c r="J1712" s="7" t="str">
        <f aca="false">IF(A1712="","",IFERROR(VLOOKUP(IF(ISNUMBER(SEARCH("(",C1712)),LEFT(C1712,SEARCH("(",C1712)-1),C1712),Tipos!$A:$B,2,FALSE()),"outro"))</f>
        <v/>
      </c>
      <c r="K1712" s="7" t="str">
        <f aca="false">IF(I1712="","",IFERROR(INDEX('Campos Growths'!$L:$L,MATCH(H1712,'Campos Growths'!$A:$A,0)),""))</f>
        <v/>
      </c>
      <c r="L1712" s="7" t="str">
        <f aca="false">IF(A1712="","",IF(G1712="não","Sem tabela no Growths",IF(I1712="","Sem campo no Growths",IF(J1712=K1712,"Importa direto","Ajustar tipo"))))</f>
        <v/>
      </c>
      <c r="M1712" s="9"/>
    </row>
    <row r="1713" customFormat="false" ht="15" hidden="false" customHeight="false" outlineLevel="0" collapsed="false">
      <c r="A1713" s="7" t="str">
        <f aca="false">IF('Outro banco'!A1713="","",IF(LEFT('Outro banco'!A1713,1)="(","",'Outro banco'!A1713))</f>
        <v/>
      </c>
      <c r="B1713" s="7" t="str">
        <f aca="false">IF(A1713="","",'Outro banco'!B1713)</f>
        <v/>
      </c>
      <c r="C1713" s="7" t="str">
        <f aca="false">IF(A1713="","",'Outro banco'!C1713)</f>
        <v/>
      </c>
      <c r="D1713" s="7" t="str">
        <f aca="false">IF(A1713="","",'Outro banco'!D1713)</f>
        <v/>
      </c>
      <c r="E1713" s="9"/>
      <c r="F1713" s="9"/>
      <c r="G1713" s="7" t="str">
        <f aca="false">IF(A1713="","",IF(COUNTIF(Tabelas!$A:$A,IF(E1713="",A1713,E1713))&gt;0,"sim","não"))</f>
        <v/>
      </c>
      <c r="H1713" s="7" t="str">
        <f aca="false">IF(A1713="","",IF(E1713="",A1713,E1713)&amp;"."&amp;IF(F1713="",B1713,F1713))</f>
        <v/>
      </c>
      <c r="I1713" s="7" t="str">
        <f aca="false">IF(A1713="","",IFERROR(INDEX('Campos Growths'!$F:$F,MATCH(H1713,'Campos Growths'!$A:$A,0)),""))</f>
        <v/>
      </c>
      <c r="J1713" s="7" t="str">
        <f aca="false">IF(A1713="","",IFERROR(VLOOKUP(IF(ISNUMBER(SEARCH("(",C1713)),LEFT(C1713,SEARCH("(",C1713)-1),C1713),Tipos!$A:$B,2,FALSE()),"outro"))</f>
        <v/>
      </c>
      <c r="K1713" s="7" t="str">
        <f aca="false">IF(I1713="","",IFERROR(INDEX('Campos Growths'!$L:$L,MATCH(H1713,'Campos Growths'!$A:$A,0)),""))</f>
        <v/>
      </c>
      <c r="L1713" s="7" t="str">
        <f aca="false">IF(A1713="","",IF(G1713="não","Sem tabela no Growths",IF(I1713="","Sem campo no Growths",IF(J1713=K1713,"Importa direto","Ajustar tipo"))))</f>
        <v/>
      </c>
      <c r="M1713" s="9"/>
    </row>
    <row r="1714" customFormat="false" ht="15" hidden="false" customHeight="false" outlineLevel="0" collapsed="false">
      <c r="A1714" s="7" t="str">
        <f aca="false">IF('Outro banco'!A1714="","",IF(LEFT('Outro banco'!A1714,1)="(","",'Outro banco'!A1714))</f>
        <v/>
      </c>
      <c r="B1714" s="7" t="str">
        <f aca="false">IF(A1714="","",'Outro banco'!B1714)</f>
        <v/>
      </c>
      <c r="C1714" s="7" t="str">
        <f aca="false">IF(A1714="","",'Outro banco'!C1714)</f>
        <v/>
      </c>
      <c r="D1714" s="7" t="str">
        <f aca="false">IF(A1714="","",'Outro banco'!D1714)</f>
        <v/>
      </c>
      <c r="E1714" s="9"/>
      <c r="F1714" s="9"/>
      <c r="G1714" s="7" t="str">
        <f aca="false">IF(A1714="","",IF(COUNTIF(Tabelas!$A:$A,IF(E1714="",A1714,E1714))&gt;0,"sim","não"))</f>
        <v/>
      </c>
      <c r="H1714" s="7" t="str">
        <f aca="false">IF(A1714="","",IF(E1714="",A1714,E1714)&amp;"."&amp;IF(F1714="",B1714,F1714))</f>
        <v/>
      </c>
      <c r="I1714" s="7" t="str">
        <f aca="false">IF(A1714="","",IFERROR(INDEX('Campos Growths'!$F:$F,MATCH(H1714,'Campos Growths'!$A:$A,0)),""))</f>
        <v/>
      </c>
      <c r="J1714" s="7" t="str">
        <f aca="false">IF(A1714="","",IFERROR(VLOOKUP(IF(ISNUMBER(SEARCH("(",C1714)),LEFT(C1714,SEARCH("(",C1714)-1),C1714),Tipos!$A:$B,2,FALSE()),"outro"))</f>
        <v/>
      </c>
      <c r="K1714" s="7" t="str">
        <f aca="false">IF(I1714="","",IFERROR(INDEX('Campos Growths'!$L:$L,MATCH(H1714,'Campos Growths'!$A:$A,0)),""))</f>
        <v/>
      </c>
      <c r="L1714" s="7" t="str">
        <f aca="false">IF(A1714="","",IF(G1714="não","Sem tabela no Growths",IF(I1714="","Sem campo no Growths",IF(J1714=K1714,"Importa direto","Ajustar tipo"))))</f>
        <v/>
      </c>
      <c r="M1714" s="9"/>
    </row>
    <row r="1715" customFormat="false" ht="15" hidden="false" customHeight="false" outlineLevel="0" collapsed="false">
      <c r="A1715" s="7" t="str">
        <f aca="false">IF('Outro banco'!A1715="","",IF(LEFT('Outro banco'!A1715,1)="(","",'Outro banco'!A1715))</f>
        <v/>
      </c>
      <c r="B1715" s="7" t="str">
        <f aca="false">IF(A1715="","",'Outro banco'!B1715)</f>
        <v/>
      </c>
      <c r="C1715" s="7" t="str">
        <f aca="false">IF(A1715="","",'Outro banco'!C1715)</f>
        <v/>
      </c>
      <c r="D1715" s="7" t="str">
        <f aca="false">IF(A1715="","",'Outro banco'!D1715)</f>
        <v/>
      </c>
      <c r="E1715" s="9"/>
      <c r="F1715" s="9"/>
      <c r="G1715" s="7" t="str">
        <f aca="false">IF(A1715="","",IF(COUNTIF(Tabelas!$A:$A,IF(E1715="",A1715,E1715))&gt;0,"sim","não"))</f>
        <v/>
      </c>
      <c r="H1715" s="7" t="str">
        <f aca="false">IF(A1715="","",IF(E1715="",A1715,E1715)&amp;"."&amp;IF(F1715="",B1715,F1715))</f>
        <v/>
      </c>
      <c r="I1715" s="7" t="str">
        <f aca="false">IF(A1715="","",IFERROR(INDEX('Campos Growths'!$F:$F,MATCH(H1715,'Campos Growths'!$A:$A,0)),""))</f>
        <v/>
      </c>
      <c r="J1715" s="7" t="str">
        <f aca="false">IF(A1715="","",IFERROR(VLOOKUP(IF(ISNUMBER(SEARCH("(",C1715)),LEFT(C1715,SEARCH("(",C1715)-1),C1715),Tipos!$A:$B,2,FALSE()),"outro"))</f>
        <v/>
      </c>
      <c r="K1715" s="7" t="str">
        <f aca="false">IF(I1715="","",IFERROR(INDEX('Campos Growths'!$L:$L,MATCH(H1715,'Campos Growths'!$A:$A,0)),""))</f>
        <v/>
      </c>
      <c r="L1715" s="7" t="str">
        <f aca="false">IF(A1715="","",IF(G1715="não","Sem tabela no Growths",IF(I1715="","Sem campo no Growths",IF(J1715=K1715,"Importa direto","Ajustar tipo"))))</f>
        <v/>
      </c>
      <c r="M1715" s="9"/>
    </row>
    <row r="1716" customFormat="false" ht="15" hidden="false" customHeight="false" outlineLevel="0" collapsed="false">
      <c r="A1716" s="7" t="str">
        <f aca="false">IF('Outro banco'!A1716="","",IF(LEFT('Outro banco'!A1716,1)="(","",'Outro banco'!A1716))</f>
        <v/>
      </c>
      <c r="B1716" s="7" t="str">
        <f aca="false">IF(A1716="","",'Outro banco'!B1716)</f>
        <v/>
      </c>
      <c r="C1716" s="7" t="str">
        <f aca="false">IF(A1716="","",'Outro banco'!C1716)</f>
        <v/>
      </c>
      <c r="D1716" s="7" t="str">
        <f aca="false">IF(A1716="","",'Outro banco'!D1716)</f>
        <v/>
      </c>
      <c r="E1716" s="9"/>
      <c r="F1716" s="9"/>
      <c r="G1716" s="7" t="str">
        <f aca="false">IF(A1716="","",IF(COUNTIF(Tabelas!$A:$A,IF(E1716="",A1716,E1716))&gt;0,"sim","não"))</f>
        <v/>
      </c>
      <c r="H1716" s="7" t="str">
        <f aca="false">IF(A1716="","",IF(E1716="",A1716,E1716)&amp;"."&amp;IF(F1716="",B1716,F1716))</f>
        <v/>
      </c>
      <c r="I1716" s="7" t="str">
        <f aca="false">IF(A1716="","",IFERROR(INDEX('Campos Growths'!$F:$F,MATCH(H1716,'Campos Growths'!$A:$A,0)),""))</f>
        <v/>
      </c>
      <c r="J1716" s="7" t="str">
        <f aca="false">IF(A1716="","",IFERROR(VLOOKUP(IF(ISNUMBER(SEARCH("(",C1716)),LEFT(C1716,SEARCH("(",C1716)-1),C1716),Tipos!$A:$B,2,FALSE()),"outro"))</f>
        <v/>
      </c>
      <c r="K1716" s="7" t="str">
        <f aca="false">IF(I1716="","",IFERROR(INDEX('Campos Growths'!$L:$L,MATCH(H1716,'Campos Growths'!$A:$A,0)),""))</f>
        <v/>
      </c>
      <c r="L1716" s="7" t="str">
        <f aca="false">IF(A1716="","",IF(G1716="não","Sem tabela no Growths",IF(I1716="","Sem campo no Growths",IF(J1716=K1716,"Importa direto","Ajustar tipo"))))</f>
        <v/>
      </c>
      <c r="M1716" s="9"/>
    </row>
    <row r="1717" customFormat="false" ht="15" hidden="false" customHeight="false" outlineLevel="0" collapsed="false">
      <c r="A1717" s="7" t="str">
        <f aca="false">IF('Outro banco'!A1717="","",IF(LEFT('Outro banco'!A1717,1)="(","",'Outro banco'!A1717))</f>
        <v/>
      </c>
      <c r="B1717" s="7" t="str">
        <f aca="false">IF(A1717="","",'Outro banco'!B1717)</f>
        <v/>
      </c>
      <c r="C1717" s="7" t="str">
        <f aca="false">IF(A1717="","",'Outro banco'!C1717)</f>
        <v/>
      </c>
      <c r="D1717" s="7" t="str">
        <f aca="false">IF(A1717="","",'Outro banco'!D1717)</f>
        <v/>
      </c>
      <c r="E1717" s="9"/>
      <c r="F1717" s="9"/>
      <c r="G1717" s="7" t="str">
        <f aca="false">IF(A1717="","",IF(COUNTIF(Tabelas!$A:$A,IF(E1717="",A1717,E1717))&gt;0,"sim","não"))</f>
        <v/>
      </c>
      <c r="H1717" s="7" t="str">
        <f aca="false">IF(A1717="","",IF(E1717="",A1717,E1717)&amp;"."&amp;IF(F1717="",B1717,F1717))</f>
        <v/>
      </c>
      <c r="I1717" s="7" t="str">
        <f aca="false">IF(A1717="","",IFERROR(INDEX('Campos Growths'!$F:$F,MATCH(H1717,'Campos Growths'!$A:$A,0)),""))</f>
        <v/>
      </c>
      <c r="J1717" s="7" t="str">
        <f aca="false">IF(A1717="","",IFERROR(VLOOKUP(IF(ISNUMBER(SEARCH("(",C1717)),LEFT(C1717,SEARCH("(",C1717)-1),C1717),Tipos!$A:$B,2,FALSE()),"outro"))</f>
        <v/>
      </c>
      <c r="K1717" s="7" t="str">
        <f aca="false">IF(I1717="","",IFERROR(INDEX('Campos Growths'!$L:$L,MATCH(H1717,'Campos Growths'!$A:$A,0)),""))</f>
        <v/>
      </c>
      <c r="L1717" s="7" t="str">
        <f aca="false">IF(A1717="","",IF(G1717="não","Sem tabela no Growths",IF(I1717="","Sem campo no Growths",IF(J1717=K1717,"Importa direto","Ajustar tipo"))))</f>
        <v/>
      </c>
      <c r="M1717" s="9"/>
    </row>
    <row r="1718" customFormat="false" ht="15" hidden="false" customHeight="false" outlineLevel="0" collapsed="false">
      <c r="A1718" s="7" t="str">
        <f aca="false">IF('Outro banco'!A1718="","",IF(LEFT('Outro banco'!A1718,1)="(","",'Outro banco'!A1718))</f>
        <v/>
      </c>
      <c r="B1718" s="7" t="str">
        <f aca="false">IF(A1718="","",'Outro banco'!B1718)</f>
        <v/>
      </c>
      <c r="C1718" s="7" t="str">
        <f aca="false">IF(A1718="","",'Outro banco'!C1718)</f>
        <v/>
      </c>
      <c r="D1718" s="7" t="str">
        <f aca="false">IF(A1718="","",'Outro banco'!D1718)</f>
        <v/>
      </c>
      <c r="E1718" s="9"/>
      <c r="F1718" s="9"/>
      <c r="G1718" s="7" t="str">
        <f aca="false">IF(A1718="","",IF(COUNTIF(Tabelas!$A:$A,IF(E1718="",A1718,E1718))&gt;0,"sim","não"))</f>
        <v/>
      </c>
      <c r="H1718" s="7" t="str">
        <f aca="false">IF(A1718="","",IF(E1718="",A1718,E1718)&amp;"."&amp;IF(F1718="",B1718,F1718))</f>
        <v/>
      </c>
      <c r="I1718" s="7" t="str">
        <f aca="false">IF(A1718="","",IFERROR(INDEX('Campos Growths'!$F:$F,MATCH(H1718,'Campos Growths'!$A:$A,0)),""))</f>
        <v/>
      </c>
      <c r="J1718" s="7" t="str">
        <f aca="false">IF(A1718="","",IFERROR(VLOOKUP(IF(ISNUMBER(SEARCH("(",C1718)),LEFT(C1718,SEARCH("(",C1718)-1),C1718),Tipos!$A:$B,2,FALSE()),"outro"))</f>
        <v/>
      </c>
      <c r="K1718" s="7" t="str">
        <f aca="false">IF(I1718="","",IFERROR(INDEX('Campos Growths'!$L:$L,MATCH(H1718,'Campos Growths'!$A:$A,0)),""))</f>
        <v/>
      </c>
      <c r="L1718" s="7" t="str">
        <f aca="false">IF(A1718="","",IF(G1718="não","Sem tabela no Growths",IF(I1718="","Sem campo no Growths",IF(J1718=K1718,"Importa direto","Ajustar tipo"))))</f>
        <v/>
      </c>
      <c r="M1718" s="9"/>
    </row>
    <row r="1719" customFormat="false" ht="15" hidden="false" customHeight="false" outlineLevel="0" collapsed="false">
      <c r="A1719" s="7" t="str">
        <f aca="false">IF('Outro banco'!A1719="","",IF(LEFT('Outro banco'!A1719,1)="(","",'Outro banco'!A1719))</f>
        <v/>
      </c>
      <c r="B1719" s="7" t="str">
        <f aca="false">IF(A1719="","",'Outro banco'!B1719)</f>
        <v/>
      </c>
      <c r="C1719" s="7" t="str">
        <f aca="false">IF(A1719="","",'Outro banco'!C1719)</f>
        <v/>
      </c>
      <c r="D1719" s="7" t="str">
        <f aca="false">IF(A1719="","",'Outro banco'!D1719)</f>
        <v/>
      </c>
      <c r="E1719" s="9"/>
      <c r="F1719" s="9"/>
      <c r="G1719" s="7" t="str">
        <f aca="false">IF(A1719="","",IF(COUNTIF(Tabelas!$A:$A,IF(E1719="",A1719,E1719))&gt;0,"sim","não"))</f>
        <v/>
      </c>
      <c r="H1719" s="7" t="str">
        <f aca="false">IF(A1719="","",IF(E1719="",A1719,E1719)&amp;"."&amp;IF(F1719="",B1719,F1719))</f>
        <v/>
      </c>
      <c r="I1719" s="7" t="str">
        <f aca="false">IF(A1719="","",IFERROR(INDEX('Campos Growths'!$F:$F,MATCH(H1719,'Campos Growths'!$A:$A,0)),""))</f>
        <v/>
      </c>
      <c r="J1719" s="7" t="str">
        <f aca="false">IF(A1719="","",IFERROR(VLOOKUP(IF(ISNUMBER(SEARCH("(",C1719)),LEFT(C1719,SEARCH("(",C1719)-1),C1719),Tipos!$A:$B,2,FALSE()),"outro"))</f>
        <v/>
      </c>
      <c r="K1719" s="7" t="str">
        <f aca="false">IF(I1719="","",IFERROR(INDEX('Campos Growths'!$L:$L,MATCH(H1719,'Campos Growths'!$A:$A,0)),""))</f>
        <v/>
      </c>
      <c r="L1719" s="7" t="str">
        <f aca="false">IF(A1719="","",IF(G1719="não","Sem tabela no Growths",IF(I1719="","Sem campo no Growths",IF(J1719=K1719,"Importa direto","Ajustar tipo"))))</f>
        <v/>
      </c>
      <c r="M1719" s="9"/>
    </row>
    <row r="1720" customFormat="false" ht="15" hidden="false" customHeight="false" outlineLevel="0" collapsed="false">
      <c r="A1720" s="7" t="str">
        <f aca="false">IF('Outro banco'!A1720="","",IF(LEFT('Outro banco'!A1720,1)="(","",'Outro banco'!A1720))</f>
        <v/>
      </c>
      <c r="B1720" s="7" t="str">
        <f aca="false">IF(A1720="","",'Outro banco'!B1720)</f>
        <v/>
      </c>
      <c r="C1720" s="7" t="str">
        <f aca="false">IF(A1720="","",'Outro banco'!C1720)</f>
        <v/>
      </c>
      <c r="D1720" s="7" t="str">
        <f aca="false">IF(A1720="","",'Outro banco'!D1720)</f>
        <v/>
      </c>
      <c r="E1720" s="9"/>
      <c r="F1720" s="9"/>
      <c r="G1720" s="7" t="str">
        <f aca="false">IF(A1720="","",IF(COUNTIF(Tabelas!$A:$A,IF(E1720="",A1720,E1720))&gt;0,"sim","não"))</f>
        <v/>
      </c>
      <c r="H1720" s="7" t="str">
        <f aca="false">IF(A1720="","",IF(E1720="",A1720,E1720)&amp;"."&amp;IF(F1720="",B1720,F1720))</f>
        <v/>
      </c>
      <c r="I1720" s="7" t="str">
        <f aca="false">IF(A1720="","",IFERROR(INDEX('Campos Growths'!$F:$F,MATCH(H1720,'Campos Growths'!$A:$A,0)),""))</f>
        <v/>
      </c>
      <c r="J1720" s="7" t="str">
        <f aca="false">IF(A1720="","",IFERROR(VLOOKUP(IF(ISNUMBER(SEARCH("(",C1720)),LEFT(C1720,SEARCH("(",C1720)-1),C1720),Tipos!$A:$B,2,FALSE()),"outro"))</f>
        <v/>
      </c>
      <c r="K1720" s="7" t="str">
        <f aca="false">IF(I1720="","",IFERROR(INDEX('Campos Growths'!$L:$L,MATCH(H1720,'Campos Growths'!$A:$A,0)),""))</f>
        <v/>
      </c>
      <c r="L1720" s="7" t="str">
        <f aca="false">IF(A1720="","",IF(G1720="não","Sem tabela no Growths",IF(I1720="","Sem campo no Growths",IF(J1720=K1720,"Importa direto","Ajustar tipo"))))</f>
        <v/>
      </c>
      <c r="M1720" s="9"/>
    </row>
    <row r="1721" customFormat="false" ht="15" hidden="false" customHeight="false" outlineLevel="0" collapsed="false">
      <c r="A1721" s="7" t="str">
        <f aca="false">IF('Outro banco'!A1721="","",IF(LEFT('Outro banco'!A1721,1)="(","",'Outro banco'!A1721))</f>
        <v/>
      </c>
      <c r="B1721" s="7" t="str">
        <f aca="false">IF(A1721="","",'Outro banco'!B1721)</f>
        <v/>
      </c>
      <c r="C1721" s="7" t="str">
        <f aca="false">IF(A1721="","",'Outro banco'!C1721)</f>
        <v/>
      </c>
      <c r="D1721" s="7" t="str">
        <f aca="false">IF(A1721="","",'Outro banco'!D1721)</f>
        <v/>
      </c>
      <c r="E1721" s="9"/>
      <c r="F1721" s="9"/>
      <c r="G1721" s="7" t="str">
        <f aca="false">IF(A1721="","",IF(COUNTIF(Tabelas!$A:$A,IF(E1721="",A1721,E1721))&gt;0,"sim","não"))</f>
        <v/>
      </c>
      <c r="H1721" s="7" t="str">
        <f aca="false">IF(A1721="","",IF(E1721="",A1721,E1721)&amp;"."&amp;IF(F1721="",B1721,F1721))</f>
        <v/>
      </c>
      <c r="I1721" s="7" t="str">
        <f aca="false">IF(A1721="","",IFERROR(INDEX('Campos Growths'!$F:$F,MATCH(H1721,'Campos Growths'!$A:$A,0)),""))</f>
        <v/>
      </c>
      <c r="J1721" s="7" t="str">
        <f aca="false">IF(A1721="","",IFERROR(VLOOKUP(IF(ISNUMBER(SEARCH("(",C1721)),LEFT(C1721,SEARCH("(",C1721)-1),C1721),Tipos!$A:$B,2,FALSE()),"outro"))</f>
        <v/>
      </c>
      <c r="K1721" s="7" t="str">
        <f aca="false">IF(I1721="","",IFERROR(INDEX('Campos Growths'!$L:$L,MATCH(H1721,'Campos Growths'!$A:$A,0)),""))</f>
        <v/>
      </c>
      <c r="L1721" s="7" t="str">
        <f aca="false">IF(A1721="","",IF(G1721="não","Sem tabela no Growths",IF(I1721="","Sem campo no Growths",IF(J1721=K1721,"Importa direto","Ajustar tipo"))))</f>
        <v/>
      </c>
      <c r="M1721" s="9"/>
    </row>
    <row r="1722" customFormat="false" ht="15" hidden="false" customHeight="false" outlineLevel="0" collapsed="false">
      <c r="A1722" s="7" t="str">
        <f aca="false">IF('Outro banco'!A1722="","",IF(LEFT('Outro banco'!A1722,1)="(","",'Outro banco'!A1722))</f>
        <v/>
      </c>
      <c r="B1722" s="7" t="str">
        <f aca="false">IF(A1722="","",'Outro banco'!B1722)</f>
        <v/>
      </c>
      <c r="C1722" s="7" t="str">
        <f aca="false">IF(A1722="","",'Outro banco'!C1722)</f>
        <v/>
      </c>
      <c r="D1722" s="7" t="str">
        <f aca="false">IF(A1722="","",'Outro banco'!D1722)</f>
        <v/>
      </c>
      <c r="E1722" s="9"/>
      <c r="F1722" s="9"/>
      <c r="G1722" s="7" t="str">
        <f aca="false">IF(A1722="","",IF(COUNTIF(Tabelas!$A:$A,IF(E1722="",A1722,E1722))&gt;0,"sim","não"))</f>
        <v/>
      </c>
      <c r="H1722" s="7" t="str">
        <f aca="false">IF(A1722="","",IF(E1722="",A1722,E1722)&amp;"."&amp;IF(F1722="",B1722,F1722))</f>
        <v/>
      </c>
      <c r="I1722" s="7" t="str">
        <f aca="false">IF(A1722="","",IFERROR(INDEX('Campos Growths'!$F:$F,MATCH(H1722,'Campos Growths'!$A:$A,0)),""))</f>
        <v/>
      </c>
      <c r="J1722" s="7" t="str">
        <f aca="false">IF(A1722="","",IFERROR(VLOOKUP(IF(ISNUMBER(SEARCH("(",C1722)),LEFT(C1722,SEARCH("(",C1722)-1),C1722),Tipos!$A:$B,2,FALSE()),"outro"))</f>
        <v/>
      </c>
      <c r="K1722" s="7" t="str">
        <f aca="false">IF(I1722="","",IFERROR(INDEX('Campos Growths'!$L:$L,MATCH(H1722,'Campos Growths'!$A:$A,0)),""))</f>
        <v/>
      </c>
      <c r="L1722" s="7" t="str">
        <f aca="false">IF(A1722="","",IF(G1722="não","Sem tabela no Growths",IF(I1722="","Sem campo no Growths",IF(J1722=K1722,"Importa direto","Ajustar tipo"))))</f>
        <v/>
      </c>
      <c r="M1722" s="9"/>
    </row>
    <row r="1723" customFormat="false" ht="15" hidden="false" customHeight="false" outlineLevel="0" collapsed="false">
      <c r="A1723" s="7" t="str">
        <f aca="false">IF('Outro banco'!A1723="","",IF(LEFT('Outro banco'!A1723,1)="(","",'Outro banco'!A1723))</f>
        <v/>
      </c>
      <c r="B1723" s="7" t="str">
        <f aca="false">IF(A1723="","",'Outro banco'!B1723)</f>
        <v/>
      </c>
      <c r="C1723" s="7" t="str">
        <f aca="false">IF(A1723="","",'Outro banco'!C1723)</f>
        <v/>
      </c>
      <c r="D1723" s="7" t="str">
        <f aca="false">IF(A1723="","",'Outro banco'!D1723)</f>
        <v/>
      </c>
      <c r="E1723" s="9"/>
      <c r="F1723" s="9"/>
      <c r="G1723" s="7" t="str">
        <f aca="false">IF(A1723="","",IF(COUNTIF(Tabelas!$A:$A,IF(E1723="",A1723,E1723))&gt;0,"sim","não"))</f>
        <v/>
      </c>
      <c r="H1723" s="7" t="str">
        <f aca="false">IF(A1723="","",IF(E1723="",A1723,E1723)&amp;"."&amp;IF(F1723="",B1723,F1723))</f>
        <v/>
      </c>
      <c r="I1723" s="7" t="str">
        <f aca="false">IF(A1723="","",IFERROR(INDEX('Campos Growths'!$F:$F,MATCH(H1723,'Campos Growths'!$A:$A,0)),""))</f>
        <v/>
      </c>
      <c r="J1723" s="7" t="str">
        <f aca="false">IF(A1723="","",IFERROR(VLOOKUP(IF(ISNUMBER(SEARCH("(",C1723)),LEFT(C1723,SEARCH("(",C1723)-1),C1723),Tipos!$A:$B,2,FALSE()),"outro"))</f>
        <v/>
      </c>
      <c r="K1723" s="7" t="str">
        <f aca="false">IF(I1723="","",IFERROR(INDEX('Campos Growths'!$L:$L,MATCH(H1723,'Campos Growths'!$A:$A,0)),""))</f>
        <v/>
      </c>
      <c r="L1723" s="7" t="str">
        <f aca="false">IF(A1723="","",IF(G1723="não","Sem tabela no Growths",IF(I1723="","Sem campo no Growths",IF(J1723=K1723,"Importa direto","Ajustar tipo"))))</f>
        <v/>
      </c>
      <c r="M1723" s="9"/>
    </row>
    <row r="1724" customFormat="false" ht="15" hidden="false" customHeight="false" outlineLevel="0" collapsed="false">
      <c r="A1724" s="7" t="str">
        <f aca="false">IF('Outro banco'!A1724="","",IF(LEFT('Outro banco'!A1724,1)="(","",'Outro banco'!A1724))</f>
        <v/>
      </c>
      <c r="B1724" s="7" t="str">
        <f aca="false">IF(A1724="","",'Outro banco'!B1724)</f>
        <v/>
      </c>
      <c r="C1724" s="7" t="str">
        <f aca="false">IF(A1724="","",'Outro banco'!C1724)</f>
        <v/>
      </c>
      <c r="D1724" s="7" t="str">
        <f aca="false">IF(A1724="","",'Outro banco'!D1724)</f>
        <v/>
      </c>
      <c r="E1724" s="9"/>
      <c r="F1724" s="9"/>
      <c r="G1724" s="7" t="str">
        <f aca="false">IF(A1724="","",IF(COUNTIF(Tabelas!$A:$A,IF(E1724="",A1724,E1724))&gt;0,"sim","não"))</f>
        <v/>
      </c>
      <c r="H1724" s="7" t="str">
        <f aca="false">IF(A1724="","",IF(E1724="",A1724,E1724)&amp;"."&amp;IF(F1724="",B1724,F1724))</f>
        <v/>
      </c>
      <c r="I1724" s="7" t="str">
        <f aca="false">IF(A1724="","",IFERROR(INDEX('Campos Growths'!$F:$F,MATCH(H1724,'Campos Growths'!$A:$A,0)),""))</f>
        <v/>
      </c>
      <c r="J1724" s="7" t="str">
        <f aca="false">IF(A1724="","",IFERROR(VLOOKUP(IF(ISNUMBER(SEARCH("(",C1724)),LEFT(C1724,SEARCH("(",C1724)-1),C1724),Tipos!$A:$B,2,FALSE()),"outro"))</f>
        <v/>
      </c>
      <c r="K1724" s="7" t="str">
        <f aca="false">IF(I1724="","",IFERROR(INDEX('Campos Growths'!$L:$L,MATCH(H1724,'Campos Growths'!$A:$A,0)),""))</f>
        <v/>
      </c>
      <c r="L1724" s="7" t="str">
        <f aca="false">IF(A1724="","",IF(G1724="não","Sem tabela no Growths",IF(I1724="","Sem campo no Growths",IF(J1724=K1724,"Importa direto","Ajustar tipo"))))</f>
        <v/>
      </c>
      <c r="M1724" s="9"/>
    </row>
    <row r="1725" customFormat="false" ht="15" hidden="false" customHeight="false" outlineLevel="0" collapsed="false">
      <c r="A1725" s="7" t="str">
        <f aca="false">IF('Outro banco'!A1725="","",IF(LEFT('Outro banco'!A1725,1)="(","",'Outro banco'!A1725))</f>
        <v/>
      </c>
      <c r="B1725" s="7" t="str">
        <f aca="false">IF(A1725="","",'Outro banco'!B1725)</f>
        <v/>
      </c>
      <c r="C1725" s="7" t="str">
        <f aca="false">IF(A1725="","",'Outro banco'!C1725)</f>
        <v/>
      </c>
      <c r="D1725" s="7" t="str">
        <f aca="false">IF(A1725="","",'Outro banco'!D1725)</f>
        <v/>
      </c>
      <c r="E1725" s="9"/>
      <c r="F1725" s="9"/>
      <c r="G1725" s="7" t="str">
        <f aca="false">IF(A1725="","",IF(COUNTIF(Tabelas!$A:$A,IF(E1725="",A1725,E1725))&gt;0,"sim","não"))</f>
        <v/>
      </c>
      <c r="H1725" s="7" t="str">
        <f aca="false">IF(A1725="","",IF(E1725="",A1725,E1725)&amp;"."&amp;IF(F1725="",B1725,F1725))</f>
        <v/>
      </c>
      <c r="I1725" s="7" t="str">
        <f aca="false">IF(A1725="","",IFERROR(INDEX('Campos Growths'!$F:$F,MATCH(H1725,'Campos Growths'!$A:$A,0)),""))</f>
        <v/>
      </c>
      <c r="J1725" s="7" t="str">
        <f aca="false">IF(A1725="","",IFERROR(VLOOKUP(IF(ISNUMBER(SEARCH("(",C1725)),LEFT(C1725,SEARCH("(",C1725)-1),C1725),Tipos!$A:$B,2,FALSE()),"outro"))</f>
        <v/>
      </c>
      <c r="K1725" s="7" t="str">
        <f aca="false">IF(I1725="","",IFERROR(INDEX('Campos Growths'!$L:$L,MATCH(H1725,'Campos Growths'!$A:$A,0)),""))</f>
        <v/>
      </c>
      <c r="L1725" s="7" t="str">
        <f aca="false">IF(A1725="","",IF(G1725="não","Sem tabela no Growths",IF(I1725="","Sem campo no Growths",IF(J1725=K1725,"Importa direto","Ajustar tipo"))))</f>
        <v/>
      </c>
      <c r="M1725" s="9"/>
    </row>
    <row r="1726" customFormat="false" ht="15" hidden="false" customHeight="false" outlineLevel="0" collapsed="false">
      <c r="A1726" s="7" t="str">
        <f aca="false">IF('Outro banco'!A1726="","",IF(LEFT('Outro banco'!A1726,1)="(","",'Outro banco'!A1726))</f>
        <v/>
      </c>
      <c r="B1726" s="7" t="str">
        <f aca="false">IF(A1726="","",'Outro banco'!B1726)</f>
        <v/>
      </c>
      <c r="C1726" s="7" t="str">
        <f aca="false">IF(A1726="","",'Outro banco'!C1726)</f>
        <v/>
      </c>
      <c r="D1726" s="7" t="str">
        <f aca="false">IF(A1726="","",'Outro banco'!D1726)</f>
        <v/>
      </c>
      <c r="E1726" s="9"/>
      <c r="F1726" s="9"/>
      <c r="G1726" s="7" t="str">
        <f aca="false">IF(A1726="","",IF(COUNTIF(Tabelas!$A:$A,IF(E1726="",A1726,E1726))&gt;0,"sim","não"))</f>
        <v/>
      </c>
      <c r="H1726" s="7" t="str">
        <f aca="false">IF(A1726="","",IF(E1726="",A1726,E1726)&amp;"."&amp;IF(F1726="",B1726,F1726))</f>
        <v/>
      </c>
      <c r="I1726" s="7" t="str">
        <f aca="false">IF(A1726="","",IFERROR(INDEX('Campos Growths'!$F:$F,MATCH(H1726,'Campos Growths'!$A:$A,0)),""))</f>
        <v/>
      </c>
      <c r="J1726" s="7" t="str">
        <f aca="false">IF(A1726="","",IFERROR(VLOOKUP(IF(ISNUMBER(SEARCH("(",C1726)),LEFT(C1726,SEARCH("(",C1726)-1),C1726),Tipos!$A:$B,2,FALSE()),"outro"))</f>
        <v/>
      </c>
      <c r="K1726" s="7" t="str">
        <f aca="false">IF(I1726="","",IFERROR(INDEX('Campos Growths'!$L:$L,MATCH(H1726,'Campos Growths'!$A:$A,0)),""))</f>
        <v/>
      </c>
      <c r="L1726" s="7" t="str">
        <f aca="false">IF(A1726="","",IF(G1726="não","Sem tabela no Growths",IF(I1726="","Sem campo no Growths",IF(J1726=K1726,"Importa direto","Ajustar tipo"))))</f>
        <v/>
      </c>
      <c r="M1726" s="9"/>
    </row>
    <row r="1727" customFormat="false" ht="15" hidden="false" customHeight="false" outlineLevel="0" collapsed="false">
      <c r="A1727" s="7" t="str">
        <f aca="false">IF('Outro banco'!A1727="","",IF(LEFT('Outro banco'!A1727,1)="(","",'Outro banco'!A1727))</f>
        <v/>
      </c>
      <c r="B1727" s="7" t="str">
        <f aca="false">IF(A1727="","",'Outro banco'!B1727)</f>
        <v/>
      </c>
      <c r="C1727" s="7" t="str">
        <f aca="false">IF(A1727="","",'Outro banco'!C1727)</f>
        <v/>
      </c>
      <c r="D1727" s="7" t="str">
        <f aca="false">IF(A1727="","",'Outro banco'!D1727)</f>
        <v/>
      </c>
      <c r="E1727" s="9"/>
      <c r="F1727" s="9"/>
      <c r="G1727" s="7" t="str">
        <f aca="false">IF(A1727="","",IF(COUNTIF(Tabelas!$A:$A,IF(E1727="",A1727,E1727))&gt;0,"sim","não"))</f>
        <v/>
      </c>
      <c r="H1727" s="7" t="str">
        <f aca="false">IF(A1727="","",IF(E1727="",A1727,E1727)&amp;"."&amp;IF(F1727="",B1727,F1727))</f>
        <v/>
      </c>
      <c r="I1727" s="7" t="str">
        <f aca="false">IF(A1727="","",IFERROR(INDEX('Campos Growths'!$F:$F,MATCH(H1727,'Campos Growths'!$A:$A,0)),""))</f>
        <v/>
      </c>
      <c r="J1727" s="7" t="str">
        <f aca="false">IF(A1727="","",IFERROR(VLOOKUP(IF(ISNUMBER(SEARCH("(",C1727)),LEFT(C1727,SEARCH("(",C1727)-1),C1727),Tipos!$A:$B,2,FALSE()),"outro"))</f>
        <v/>
      </c>
      <c r="K1727" s="7" t="str">
        <f aca="false">IF(I1727="","",IFERROR(INDEX('Campos Growths'!$L:$L,MATCH(H1727,'Campos Growths'!$A:$A,0)),""))</f>
        <v/>
      </c>
      <c r="L1727" s="7" t="str">
        <f aca="false">IF(A1727="","",IF(G1727="não","Sem tabela no Growths",IF(I1727="","Sem campo no Growths",IF(J1727=K1727,"Importa direto","Ajustar tipo"))))</f>
        <v/>
      </c>
      <c r="M1727" s="9"/>
    </row>
    <row r="1728" customFormat="false" ht="15" hidden="false" customHeight="false" outlineLevel="0" collapsed="false">
      <c r="A1728" s="7" t="str">
        <f aca="false">IF('Outro banco'!A1728="","",IF(LEFT('Outro banco'!A1728,1)="(","",'Outro banco'!A1728))</f>
        <v/>
      </c>
      <c r="B1728" s="7" t="str">
        <f aca="false">IF(A1728="","",'Outro banco'!B1728)</f>
        <v/>
      </c>
      <c r="C1728" s="7" t="str">
        <f aca="false">IF(A1728="","",'Outro banco'!C1728)</f>
        <v/>
      </c>
      <c r="D1728" s="7" t="str">
        <f aca="false">IF(A1728="","",'Outro banco'!D1728)</f>
        <v/>
      </c>
      <c r="E1728" s="9"/>
      <c r="F1728" s="9"/>
      <c r="G1728" s="7" t="str">
        <f aca="false">IF(A1728="","",IF(COUNTIF(Tabelas!$A:$A,IF(E1728="",A1728,E1728))&gt;0,"sim","não"))</f>
        <v/>
      </c>
      <c r="H1728" s="7" t="str">
        <f aca="false">IF(A1728="","",IF(E1728="",A1728,E1728)&amp;"."&amp;IF(F1728="",B1728,F1728))</f>
        <v/>
      </c>
      <c r="I1728" s="7" t="str">
        <f aca="false">IF(A1728="","",IFERROR(INDEX('Campos Growths'!$F:$F,MATCH(H1728,'Campos Growths'!$A:$A,0)),""))</f>
        <v/>
      </c>
      <c r="J1728" s="7" t="str">
        <f aca="false">IF(A1728="","",IFERROR(VLOOKUP(IF(ISNUMBER(SEARCH("(",C1728)),LEFT(C1728,SEARCH("(",C1728)-1),C1728),Tipos!$A:$B,2,FALSE()),"outro"))</f>
        <v/>
      </c>
      <c r="K1728" s="7" t="str">
        <f aca="false">IF(I1728="","",IFERROR(INDEX('Campos Growths'!$L:$L,MATCH(H1728,'Campos Growths'!$A:$A,0)),""))</f>
        <v/>
      </c>
      <c r="L1728" s="7" t="str">
        <f aca="false">IF(A1728="","",IF(G1728="não","Sem tabela no Growths",IF(I1728="","Sem campo no Growths",IF(J1728=K1728,"Importa direto","Ajustar tipo"))))</f>
        <v/>
      </c>
      <c r="M1728" s="9"/>
    </row>
    <row r="1729" customFormat="false" ht="15" hidden="false" customHeight="false" outlineLevel="0" collapsed="false">
      <c r="A1729" s="7" t="str">
        <f aca="false">IF('Outro banco'!A1729="","",IF(LEFT('Outro banco'!A1729,1)="(","",'Outro banco'!A1729))</f>
        <v/>
      </c>
      <c r="B1729" s="7" t="str">
        <f aca="false">IF(A1729="","",'Outro banco'!B1729)</f>
        <v/>
      </c>
      <c r="C1729" s="7" t="str">
        <f aca="false">IF(A1729="","",'Outro banco'!C1729)</f>
        <v/>
      </c>
      <c r="D1729" s="7" t="str">
        <f aca="false">IF(A1729="","",'Outro banco'!D1729)</f>
        <v/>
      </c>
      <c r="E1729" s="9"/>
      <c r="F1729" s="9"/>
      <c r="G1729" s="7" t="str">
        <f aca="false">IF(A1729="","",IF(COUNTIF(Tabelas!$A:$A,IF(E1729="",A1729,E1729))&gt;0,"sim","não"))</f>
        <v/>
      </c>
      <c r="H1729" s="7" t="str">
        <f aca="false">IF(A1729="","",IF(E1729="",A1729,E1729)&amp;"."&amp;IF(F1729="",B1729,F1729))</f>
        <v/>
      </c>
      <c r="I1729" s="7" t="str">
        <f aca="false">IF(A1729="","",IFERROR(INDEX('Campos Growths'!$F:$F,MATCH(H1729,'Campos Growths'!$A:$A,0)),""))</f>
        <v/>
      </c>
      <c r="J1729" s="7" t="str">
        <f aca="false">IF(A1729="","",IFERROR(VLOOKUP(IF(ISNUMBER(SEARCH("(",C1729)),LEFT(C1729,SEARCH("(",C1729)-1),C1729),Tipos!$A:$B,2,FALSE()),"outro"))</f>
        <v/>
      </c>
      <c r="K1729" s="7" t="str">
        <f aca="false">IF(I1729="","",IFERROR(INDEX('Campos Growths'!$L:$L,MATCH(H1729,'Campos Growths'!$A:$A,0)),""))</f>
        <v/>
      </c>
      <c r="L1729" s="7" t="str">
        <f aca="false">IF(A1729="","",IF(G1729="não","Sem tabela no Growths",IF(I1729="","Sem campo no Growths",IF(J1729=K1729,"Importa direto","Ajustar tipo"))))</f>
        <v/>
      </c>
      <c r="M1729" s="9"/>
    </row>
    <row r="1730" customFormat="false" ht="15" hidden="false" customHeight="false" outlineLevel="0" collapsed="false">
      <c r="A1730" s="7" t="str">
        <f aca="false">IF('Outro banco'!A1730="","",IF(LEFT('Outro banco'!A1730,1)="(","",'Outro banco'!A1730))</f>
        <v/>
      </c>
      <c r="B1730" s="7" t="str">
        <f aca="false">IF(A1730="","",'Outro banco'!B1730)</f>
        <v/>
      </c>
      <c r="C1730" s="7" t="str">
        <f aca="false">IF(A1730="","",'Outro banco'!C1730)</f>
        <v/>
      </c>
      <c r="D1730" s="7" t="str">
        <f aca="false">IF(A1730="","",'Outro banco'!D1730)</f>
        <v/>
      </c>
      <c r="E1730" s="9"/>
      <c r="F1730" s="9"/>
      <c r="G1730" s="7" t="str">
        <f aca="false">IF(A1730="","",IF(COUNTIF(Tabelas!$A:$A,IF(E1730="",A1730,E1730))&gt;0,"sim","não"))</f>
        <v/>
      </c>
      <c r="H1730" s="7" t="str">
        <f aca="false">IF(A1730="","",IF(E1730="",A1730,E1730)&amp;"."&amp;IF(F1730="",B1730,F1730))</f>
        <v/>
      </c>
      <c r="I1730" s="7" t="str">
        <f aca="false">IF(A1730="","",IFERROR(INDEX('Campos Growths'!$F:$F,MATCH(H1730,'Campos Growths'!$A:$A,0)),""))</f>
        <v/>
      </c>
      <c r="J1730" s="7" t="str">
        <f aca="false">IF(A1730="","",IFERROR(VLOOKUP(IF(ISNUMBER(SEARCH("(",C1730)),LEFT(C1730,SEARCH("(",C1730)-1),C1730),Tipos!$A:$B,2,FALSE()),"outro"))</f>
        <v/>
      </c>
      <c r="K1730" s="7" t="str">
        <f aca="false">IF(I1730="","",IFERROR(INDEX('Campos Growths'!$L:$L,MATCH(H1730,'Campos Growths'!$A:$A,0)),""))</f>
        <v/>
      </c>
      <c r="L1730" s="7" t="str">
        <f aca="false">IF(A1730="","",IF(G1730="não","Sem tabela no Growths",IF(I1730="","Sem campo no Growths",IF(J1730=K1730,"Importa direto","Ajustar tipo"))))</f>
        <v/>
      </c>
      <c r="M1730" s="9"/>
    </row>
    <row r="1731" customFormat="false" ht="15" hidden="false" customHeight="false" outlineLevel="0" collapsed="false">
      <c r="A1731" s="7" t="str">
        <f aca="false">IF('Outro banco'!A1731="","",IF(LEFT('Outro banco'!A1731,1)="(","",'Outro banco'!A1731))</f>
        <v/>
      </c>
      <c r="B1731" s="7" t="str">
        <f aca="false">IF(A1731="","",'Outro banco'!B1731)</f>
        <v/>
      </c>
      <c r="C1731" s="7" t="str">
        <f aca="false">IF(A1731="","",'Outro banco'!C1731)</f>
        <v/>
      </c>
      <c r="D1731" s="7" t="str">
        <f aca="false">IF(A1731="","",'Outro banco'!D1731)</f>
        <v/>
      </c>
      <c r="E1731" s="9"/>
      <c r="F1731" s="9"/>
      <c r="G1731" s="7" t="str">
        <f aca="false">IF(A1731="","",IF(COUNTIF(Tabelas!$A:$A,IF(E1731="",A1731,E1731))&gt;0,"sim","não"))</f>
        <v/>
      </c>
      <c r="H1731" s="7" t="str">
        <f aca="false">IF(A1731="","",IF(E1731="",A1731,E1731)&amp;"."&amp;IF(F1731="",B1731,F1731))</f>
        <v/>
      </c>
      <c r="I1731" s="7" t="str">
        <f aca="false">IF(A1731="","",IFERROR(INDEX('Campos Growths'!$F:$F,MATCH(H1731,'Campos Growths'!$A:$A,0)),""))</f>
        <v/>
      </c>
      <c r="J1731" s="7" t="str">
        <f aca="false">IF(A1731="","",IFERROR(VLOOKUP(IF(ISNUMBER(SEARCH("(",C1731)),LEFT(C1731,SEARCH("(",C1731)-1),C1731),Tipos!$A:$B,2,FALSE()),"outro"))</f>
        <v/>
      </c>
      <c r="K1731" s="7" t="str">
        <f aca="false">IF(I1731="","",IFERROR(INDEX('Campos Growths'!$L:$L,MATCH(H1731,'Campos Growths'!$A:$A,0)),""))</f>
        <v/>
      </c>
      <c r="L1731" s="7" t="str">
        <f aca="false">IF(A1731="","",IF(G1731="não","Sem tabela no Growths",IF(I1731="","Sem campo no Growths",IF(J1731=K1731,"Importa direto","Ajustar tipo"))))</f>
        <v/>
      </c>
      <c r="M1731" s="9"/>
    </row>
    <row r="1732" customFormat="false" ht="15" hidden="false" customHeight="false" outlineLevel="0" collapsed="false">
      <c r="A1732" s="7" t="str">
        <f aca="false">IF('Outro banco'!A1732="","",IF(LEFT('Outro banco'!A1732,1)="(","",'Outro banco'!A1732))</f>
        <v/>
      </c>
      <c r="B1732" s="7" t="str">
        <f aca="false">IF(A1732="","",'Outro banco'!B1732)</f>
        <v/>
      </c>
      <c r="C1732" s="7" t="str">
        <f aca="false">IF(A1732="","",'Outro banco'!C1732)</f>
        <v/>
      </c>
      <c r="D1732" s="7" t="str">
        <f aca="false">IF(A1732="","",'Outro banco'!D1732)</f>
        <v/>
      </c>
      <c r="E1732" s="9"/>
      <c r="F1732" s="9"/>
      <c r="G1732" s="7" t="str">
        <f aca="false">IF(A1732="","",IF(COUNTIF(Tabelas!$A:$A,IF(E1732="",A1732,E1732))&gt;0,"sim","não"))</f>
        <v/>
      </c>
      <c r="H1732" s="7" t="str">
        <f aca="false">IF(A1732="","",IF(E1732="",A1732,E1732)&amp;"."&amp;IF(F1732="",B1732,F1732))</f>
        <v/>
      </c>
      <c r="I1732" s="7" t="str">
        <f aca="false">IF(A1732="","",IFERROR(INDEX('Campos Growths'!$F:$F,MATCH(H1732,'Campos Growths'!$A:$A,0)),""))</f>
        <v/>
      </c>
      <c r="J1732" s="7" t="str">
        <f aca="false">IF(A1732="","",IFERROR(VLOOKUP(IF(ISNUMBER(SEARCH("(",C1732)),LEFT(C1732,SEARCH("(",C1732)-1),C1732),Tipos!$A:$B,2,FALSE()),"outro"))</f>
        <v/>
      </c>
      <c r="K1732" s="7" t="str">
        <f aca="false">IF(I1732="","",IFERROR(INDEX('Campos Growths'!$L:$L,MATCH(H1732,'Campos Growths'!$A:$A,0)),""))</f>
        <v/>
      </c>
      <c r="L1732" s="7" t="str">
        <f aca="false">IF(A1732="","",IF(G1732="não","Sem tabela no Growths",IF(I1732="","Sem campo no Growths",IF(J1732=K1732,"Importa direto","Ajustar tipo"))))</f>
        <v/>
      </c>
      <c r="M1732" s="9"/>
    </row>
    <row r="1733" customFormat="false" ht="15" hidden="false" customHeight="false" outlineLevel="0" collapsed="false">
      <c r="A1733" s="7" t="str">
        <f aca="false">IF('Outro banco'!A1733="","",IF(LEFT('Outro banco'!A1733,1)="(","",'Outro banco'!A1733))</f>
        <v/>
      </c>
      <c r="B1733" s="7" t="str">
        <f aca="false">IF(A1733="","",'Outro banco'!B1733)</f>
        <v/>
      </c>
      <c r="C1733" s="7" t="str">
        <f aca="false">IF(A1733="","",'Outro banco'!C1733)</f>
        <v/>
      </c>
      <c r="D1733" s="7" t="str">
        <f aca="false">IF(A1733="","",'Outro banco'!D1733)</f>
        <v/>
      </c>
      <c r="E1733" s="9"/>
      <c r="F1733" s="9"/>
      <c r="G1733" s="7" t="str">
        <f aca="false">IF(A1733="","",IF(COUNTIF(Tabelas!$A:$A,IF(E1733="",A1733,E1733))&gt;0,"sim","não"))</f>
        <v/>
      </c>
      <c r="H1733" s="7" t="str">
        <f aca="false">IF(A1733="","",IF(E1733="",A1733,E1733)&amp;"."&amp;IF(F1733="",B1733,F1733))</f>
        <v/>
      </c>
      <c r="I1733" s="7" t="str">
        <f aca="false">IF(A1733="","",IFERROR(INDEX('Campos Growths'!$F:$F,MATCH(H1733,'Campos Growths'!$A:$A,0)),""))</f>
        <v/>
      </c>
      <c r="J1733" s="7" t="str">
        <f aca="false">IF(A1733="","",IFERROR(VLOOKUP(IF(ISNUMBER(SEARCH("(",C1733)),LEFT(C1733,SEARCH("(",C1733)-1),C1733),Tipos!$A:$B,2,FALSE()),"outro"))</f>
        <v/>
      </c>
      <c r="K1733" s="7" t="str">
        <f aca="false">IF(I1733="","",IFERROR(INDEX('Campos Growths'!$L:$L,MATCH(H1733,'Campos Growths'!$A:$A,0)),""))</f>
        <v/>
      </c>
      <c r="L1733" s="7" t="str">
        <f aca="false">IF(A1733="","",IF(G1733="não","Sem tabela no Growths",IF(I1733="","Sem campo no Growths",IF(J1733=K1733,"Importa direto","Ajustar tipo"))))</f>
        <v/>
      </c>
      <c r="M1733" s="9"/>
    </row>
    <row r="1734" customFormat="false" ht="15" hidden="false" customHeight="false" outlineLevel="0" collapsed="false">
      <c r="A1734" s="7" t="str">
        <f aca="false">IF('Outro banco'!A1734="","",IF(LEFT('Outro banco'!A1734,1)="(","",'Outro banco'!A1734))</f>
        <v/>
      </c>
      <c r="B1734" s="7" t="str">
        <f aca="false">IF(A1734="","",'Outro banco'!B1734)</f>
        <v/>
      </c>
      <c r="C1734" s="7" t="str">
        <f aca="false">IF(A1734="","",'Outro banco'!C1734)</f>
        <v/>
      </c>
      <c r="D1734" s="7" t="str">
        <f aca="false">IF(A1734="","",'Outro banco'!D1734)</f>
        <v/>
      </c>
      <c r="E1734" s="9"/>
      <c r="F1734" s="9"/>
      <c r="G1734" s="7" t="str">
        <f aca="false">IF(A1734="","",IF(COUNTIF(Tabelas!$A:$A,IF(E1734="",A1734,E1734))&gt;0,"sim","não"))</f>
        <v/>
      </c>
      <c r="H1734" s="7" t="str">
        <f aca="false">IF(A1734="","",IF(E1734="",A1734,E1734)&amp;"."&amp;IF(F1734="",B1734,F1734))</f>
        <v/>
      </c>
      <c r="I1734" s="7" t="str">
        <f aca="false">IF(A1734="","",IFERROR(INDEX('Campos Growths'!$F:$F,MATCH(H1734,'Campos Growths'!$A:$A,0)),""))</f>
        <v/>
      </c>
      <c r="J1734" s="7" t="str">
        <f aca="false">IF(A1734="","",IFERROR(VLOOKUP(IF(ISNUMBER(SEARCH("(",C1734)),LEFT(C1734,SEARCH("(",C1734)-1),C1734),Tipos!$A:$B,2,FALSE()),"outro"))</f>
        <v/>
      </c>
      <c r="K1734" s="7" t="str">
        <f aca="false">IF(I1734="","",IFERROR(INDEX('Campos Growths'!$L:$L,MATCH(H1734,'Campos Growths'!$A:$A,0)),""))</f>
        <v/>
      </c>
      <c r="L1734" s="7" t="str">
        <f aca="false">IF(A1734="","",IF(G1734="não","Sem tabela no Growths",IF(I1734="","Sem campo no Growths",IF(J1734=K1734,"Importa direto","Ajustar tipo"))))</f>
        <v/>
      </c>
      <c r="M1734" s="9"/>
    </row>
    <row r="1735" customFormat="false" ht="15" hidden="false" customHeight="false" outlineLevel="0" collapsed="false">
      <c r="A1735" s="7" t="str">
        <f aca="false">IF('Outro banco'!A1735="","",IF(LEFT('Outro banco'!A1735,1)="(","",'Outro banco'!A1735))</f>
        <v/>
      </c>
      <c r="B1735" s="7" t="str">
        <f aca="false">IF(A1735="","",'Outro banco'!B1735)</f>
        <v/>
      </c>
      <c r="C1735" s="7" t="str">
        <f aca="false">IF(A1735="","",'Outro banco'!C1735)</f>
        <v/>
      </c>
      <c r="D1735" s="7" t="str">
        <f aca="false">IF(A1735="","",'Outro banco'!D1735)</f>
        <v/>
      </c>
      <c r="E1735" s="9"/>
      <c r="F1735" s="9"/>
      <c r="G1735" s="7" t="str">
        <f aca="false">IF(A1735="","",IF(COUNTIF(Tabelas!$A:$A,IF(E1735="",A1735,E1735))&gt;0,"sim","não"))</f>
        <v/>
      </c>
      <c r="H1735" s="7" t="str">
        <f aca="false">IF(A1735="","",IF(E1735="",A1735,E1735)&amp;"."&amp;IF(F1735="",B1735,F1735))</f>
        <v/>
      </c>
      <c r="I1735" s="7" t="str">
        <f aca="false">IF(A1735="","",IFERROR(INDEX('Campos Growths'!$F:$F,MATCH(H1735,'Campos Growths'!$A:$A,0)),""))</f>
        <v/>
      </c>
      <c r="J1735" s="7" t="str">
        <f aca="false">IF(A1735="","",IFERROR(VLOOKUP(IF(ISNUMBER(SEARCH("(",C1735)),LEFT(C1735,SEARCH("(",C1735)-1),C1735),Tipos!$A:$B,2,FALSE()),"outro"))</f>
        <v/>
      </c>
      <c r="K1735" s="7" t="str">
        <f aca="false">IF(I1735="","",IFERROR(INDEX('Campos Growths'!$L:$L,MATCH(H1735,'Campos Growths'!$A:$A,0)),""))</f>
        <v/>
      </c>
      <c r="L1735" s="7" t="str">
        <f aca="false">IF(A1735="","",IF(G1735="não","Sem tabela no Growths",IF(I1735="","Sem campo no Growths",IF(J1735=K1735,"Importa direto","Ajustar tipo"))))</f>
        <v/>
      </c>
      <c r="M1735" s="9"/>
    </row>
    <row r="1736" customFormat="false" ht="15" hidden="false" customHeight="false" outlineLevel="0" collapsed="false">
      <c r="A1736" s="7" t="str">
        <f aca="false">IF('Outro banco'!A1736="","",IF(LEFT('Outro banco'!A1736,1)="(","",'Outro banco'!A1736))</f>
        <v/>
      </c>
      <c r="B1736" s="7" t="str">
        <f aca="false">IF(A1736="","",'Outro banco'!B1736)</f>
        <v/>
      </c>
      <c r="C1736" s="7" t="str">
        <f aca="false">IF(A1736="","",'Outro banco'!C1736)</f>
        <v/>
      </c>
      <c r="D1736" s="7" t="str">
        <f aca="false">IF(A1736="","",'Outro banco'!D1736)</f>
        <v/>
      </c>
      <c r="E1736" s="9"/>
      <c r="F1736" s="9"/>
      <c r="G1736" s="7" t="str">
        <f aca="false">IF(A1736="","",IF(COUNTIF(Tabelas!$A:$A,IF(E1736="",A1736,E1736))&gt;0,"sim","não"))</f>
        <v/>
      </c>
      <c r="H1736" s="7" t="str">
        <f aca="false">IF(A1736="","",IF(E1736="",A1736,E1736)&amp;"."&amp;IF(F1736="",B1736,F1736))</f>
        <v/>
      </c>
      <c r="I1736" s="7" t="str">
        <f aca="false">IF(A1736="","",IFERROR(INDEX('Campos Growths'!$F:$F,MATCH(H1736,'Campos Growths'!$A:$A,0)),""))</f>
        <v/>
      </c>
      <c r="J1736" s="7" t="str">
        <f aca="false">IF(A1736="","",IFERROR(VLOOKUP(IF(ISNUMBER(SEARCH("(",C1736)),LEFT(C1736,SEARCH("(",C1736)-1),C1736),Tipos!$A:$B,2,FALSE()),"outro"))</f>
        <v/>
      </c>
      <c r="K1736" s="7" t="str">
        <f aca="false">IF(I1736="","",IFERROR(INDEX('Campos Growths'!$L:$L,MATCH(H1736,'Campos Growths'!$A:$A,0)),""))</f>
        <v/>
      </c>
      <c r="L1736" s="7" t="str">
        <f aca="false">IF(A1736="","",IF(G1736="não","Sem tabela no Growths",IF(I1736="","Sem campo no Growths",IF(J1736=K1736,"Importa direto","Ajustar tipo"))))</f>
        <v/>
      </c>
      <c r="M1736" s="9"/>
    </row>
    <row r="1737" customFormat="false" ht="15" hidden="false" customHeight="false" outlineLevel="0" collapsed="false">
      <c r="A1737" s="7" t="str">
        <f aca="false">IF('Outro banco'!A1737="","",IF(LEFT('Outro banco'!A1737,1)="(","",'Outro banco'!A1737))</f>
        <v/>
      </c>
      <c r="B1737" s="7" t="str">
        <f aca="false">IF(A1737="","",'Outro banco'!B1737)</f>
        <v/>
      </c>
      <c r="C1737" s="7" t="str">
        <f aca="false">IF(A1737="","",'Outro banco'!C1737)</f>
        <v/>
      </c>
      <c r="D1737" s="7" t="str">
        <f aca="false">IF(A1737="","",'Outro banco'!D1737)</f>
        <v/>
      </c>
      <c r="E1737" s="9"/>
      <c r="F1737" s="9"/>
      <c r="G1737" s="7" t="str">
        <f aca="false">IF(A1737="","",IF(COUNTIF(Tabelas!$A:$A,IF(E1737="",A1737,E1737))&gt;0,"sim","não"))</f>
        <v/>
      </c>
      <c r="H1737" s="7" t="str">
        <f aca="false">IF(A1737="","",IF(E1737="",A1737,E1737)&amp;"."&amp;IF(F1737="",B1737,F1737))</f>
        <v/>
      </c>
      <c r="I1737" s="7" t="str">
        <f aca="false">IF(A1737="","",IFERROR(INDEX('Campos Growths'!$F:$F,MATCH(H1737,'Campos Growths'!$A:$A,0)),""))</f>
        <v/>
      </c>
      <c r="J1737" s="7" t="str">
        <f aca="false">IF(A1737="","",IFERROR(VLOOKUP(IF(ISNUMBER(SEARCH("(",C1737)),LEFT(C1737,SEARCH("(",C1737)-1),C1737),Tipos!$A:$B,2,FALSE()),"outro"))</f>
        <v/>
      </c>
      <c r="K1737" s="7" t="str">
        <f aca="false">IF(I1737="","",IFERROR(INDEX('Campos Growths'!$L:$L,MATCH(H1737,'Campos Growths'!$A:$A,0)),""))</f>
        <v/>
      </c>
      <c r="L1737" s="7" t="str">
        <f aca="false">IF(A1737="","",IF(G1737="não","Sem tabela no Growths",IF(I1737="","Sem campo no Growths",IF(J1737=K1737,"Importa direto","Ajustar tipo"))))</f>
        <v/>
      </c>
      <c r="M1737" s="9"/>
    </row>
    <row r="1738" customFormat="false" ht="15" hidden="false" customHeight="false" outlineLevel="0" collapsed="false">
      <c r="A1738" s="7" t="str">
        <f aca="false">IF('Outro banco'!A1738="","",IF(LEFT('Outro banco'!A1738,1)="(","",'Outro banco'!A1738))</f>
        <v/>
      </c>
      <c r="B1738" s="7" t="str">
        <f aca="false">IF(A1738="","",'Outro banco'!B1738)</f>
        <v/>
      </c>
      <c r="C1738" s="7" t="str">
        <f aca="false">IF(A1738="","",'Outro banco'!C1738)</f>
        <v/>
      </c>
      <c r="D1738" s="7" t="str">
        <f aca="false">IF(A1738="","",'Outro banco'!D1738)</f>
        <v/>
      </c>
      <c r="E1738" s="9"/>
      <c r="F1738" s="9"/>
      <c r="G1738" s="7" t="str">
        <f aca="false">IF(A1738="","",IF(COUNTIF(Tabelas!$A:$A,IF(E1738="",A1738,E1738))&gt;0,"sim","não"))</f>
        <v/>
      </c>
      <c r="H1738" s="7" t="str">
        <f aca="false">IF(A1738="","",IF(E1738="",A1738,E1738)&amp;"."&amp;IF(F1738="",B1738,F1738))</f>
        <v/>
      </c>
      <c r="I1738" s="7" t="str">
        <f aca="false">IF(A1738="","",IFERROR(INDEX('Campos Growths'!$F:$F,MATCH(H1738,'Campos Growths'!$A:$A,0)),""))</f>
        <v/>
      </c>
      <c r="J1738" s="7" t="str">
        <f aca="false">IF(A1738="","",IFERROR(VLOOKUP(IF(ISNUMBER(SEARCH("(",C1738)),LEFT(C1738,SEARCH("(",C1738)-1),C1738),Tipos!$A:$B,2,FALSE()),"outro"))</f>
        <v/>
      </c>
      <c r="K1738" s="7" t="str">
        <f aca="false">IF(I1738="","",IFERROR(INDEX('Campos Growths'!$L:$L,MATCH(H1738,'Campos Growths'!$A:$A,0)),""))</f>
        <v/>
      </c>
      <c r="L1738" s="7" t="str">
        <f aca="false">IF(A1738="","",IF(G1738="não","Sem tabela no Growths",IF(I1738="","Sem campo no Growths",IF(J1738=K1738,"Importa direto","Ajustar tipo"))))</f>
        <v/>
      </c>
      <c r="M1738" s="9"/>
    </row>
    <row r="1739" customFormat="false" ht="15" hidden="false" customHeight="false" outlineLevel="0" collapsed="false">
      <c r="A1739" s="7" t="str">
        <f aca="false">IF('Outro banco'!A1739="","",IF(LEFT('Outro banco'!A1739,1)="(","",'Outro banco'!A1739))</f>
        <v/>
      </c>
      <c r="B1739" s="7" t="str">
        <f aca="false">IF(A1739="","",'Outro banco'!B1739)</f>
        <v/>
      </c>
      <c r="C1739" s="7" t="str">
        <f aca="false">IF(A1739="","",'Outro banco'!C1739)</f>
        <v/>
      </c>
      <c r="D1739" s="7" t="str">
        <f aca="false">IF(A1739="","",'Outro banco'!D1739)</f>
        <v/>
      </c>
      <c r="E1739" s="9"/>
      <c r="F1739" s="9"/>
      <c r="G1739" s="7" t="str">
        <f aca="false">IF(A1739="","",IF(COUNTIF(Tabelas!$A:$A,IF(E1739="",A1739,E1739))&gt;0,"sim","não"))</f>
        <v/>
      </c>
      <c r="H1739" s="7" t="str">
        <f aca="false">IF(A1739="","",IF(E1739="",A1739,E1739)&amp;"."&amp;IF(F1739="",B1739,F1739))</f>
        <v/>
      </c>
      <c r="I1739" s="7" t="str">
        <f aca="false">IF(A1739="","",IFERROR(INDEX('Campos Growths'!$F:$F,MATCH(H1739,'Campos Growths'!$A:$A,0)),""))</f>
        <v/>
      </c>
      <c r="J1739" s="7" t="str">
        <f aca="false">IF(A1739="","",IFERROR(VLOOKUP(IF(ISNUMBER(SEARCH("(",C1739)),LEFT(C1739,SEARCH("(",C1739)-1),C1739),Tipos!$A:$B,2,FALSE()),"outro"))</f>
        <v/>
      </c>
      <c r="K1739" s="7" t="str">
        <f aca="false">IF(I1739="","",IFERROR(INDEX('Campos Growths'!$L:$L,MATCH(H1739,'Campos Growths'!$A:$A,0)),""))</f>
        <v/>
      </c>
      <c r="L1739" s="7" t="str">
        <f aca="false">IF(A1739="","",IF(G1739="não","Sem tabela no Growths",IF(I1739="","Sem campo no Growths",IF(J1739=K1739,"Importa direto","Ajustar tipo"))))</f>
        <v/>
      </c>
      <c r="M1739" s="9"/>
    </row>
    <row r="1740" customFormat="false" ht="15" hidden="false" customHeight="false" outlineLevel="0" collapsed="false">
      <c r="A1740" s="7" t="str">
        <f aca="false">IF('Outro banco'!A1740="","",IF(LEFT('Outro banco'!A1740,1)="(","",'Outro banco'!A1740))</f>
        <v/>
      </c>
      <c r="B1740" s="7" t="str">
        <f aca="false">IF(A1740="","",'Outro banco'!B1740)</f>
        <v/>
      </c>
      <c r="C1740" s="7" t="str">
        <f aca="false">IF(A1740="","",'Outro banco'!C1740)</f>
        <v/>
      </c>
      <c r="D1740" s="7" t="str">
        <f aca="false">IF(A1740="","",'Outro banco'!D1740)</f>
        <v/>
      </c>
      <c r="E1740" s="9"/>
      <c r="F1740" s="9"/>
      <c r="G1740" s="7" t="str">
        <f aca="false">IF(A1740="","",IF(COUNTIF(Tabelas!$A:$A,IF(E1740="",A1740,E1740))&gt;0,"sim","não"))</f>
        <v/>
      </c>
      <c r="H1740" s="7" t="str">
        <f aca="false">IF(A1740="","",IF(E1740="",A1740,E1740)&amp;"."&amp;IF(F1740="",B1740,F1740))</f>
        <v/>
      </c>
      <c r="I1740" s="7" t="str">
        <f aca="false">IF(A1740="","",IFERROR(INDEX('Campos Growths'!$F:$F,MATCH(H1740,'Campos Growths'!$A:$A,0)),""))</f>
        <v/>
      </c>
      <c r="J1740" s="7" t="str">
        <f aca="false">IF(A1740="","",IFERROR(VLOOKUP(IF(ISNUMBER(SEARCH("(",C1740)),LEFT(C1740,SEARCH("(",C1740)-1),C1740),Tipos!$A:$B,2,FALSE()),"outro"))</f>
        <v/>
      </c>
      <c r="K1740" s="7" t="str">
        <f aca="false">IF(I1740="","",IFERROR(INDEX('Campos Growths'!$L:$L,MATCH(H1740,'Campos Growths'!$A:$A,0)),""))</f>
        <v/>
      </c>
      <c r="L1740" s="7" t="str">
        <f aca="false">IF(A1740="","",IF(G1740="não","Sem tabela no Growths",IF(I1740="","Sem campo no Growths",IF(J1740=K1740,"Importa direto","Ajustar tipo"))))</f>
        <v/>
      </c>
      <c r="M1740" s="9"/>
    </row>
    <row r="1741" customFormat="false" ht="15" hidden="false" customHeight="false" outlineLevel="0" collapsed="false">
      <c r="A1741" s="7" t="str">
        <f aca="false">IF('Outro banco'!A1741="","",IF(LEFT('Outro banco'!A1741,1)="(","",'Outro banco'!A1741))</f>
        <v/>
      </c>
      <c r="B1741" s="7" t="str">
        <f aca="false">IF(A1741="","",'Outro banco'!B1741)</f>
        <v/>
      </c>
      <c r="C1741" s="7" t="str">
        <f aca="false">IF(A1741="","",'Outro banco'!C1741)</f>
        <v/>
      </c>
      <c r="D1741" s="7" t="str">
        <f aca="false">IF(A1741="","",'Outro banco'!D1741)</f>
        <v/>
      </c>
      <c r="E1741" s="9"/>
      <c r="F1741" s="9"/>
      <c r="G1741" s="7" t="str">
        <f aca="false">IF(A1741="","",IF(COUNTIF(Tabelas!$A:$A,IF(E1741="",A1741,E1741))&gt;0,"sim","não"))</f>
        <v/>
      </c>
      <c r="H1741" s="7" t="str">
        <f aca="false">IF(A1741="","",IF(E1741="",A1741,E1741)&amp;"."&amp;IF(F1741="",B1741,F1741))</f>
        <v/>
      </c>
      <c r="I1741" s="7" t="str">
        <f aca="false">IF(A1741="","",IFERROR(INDEX('Campos Growths'!$F:$F,MATCH(H1741,'Campos Growths'!$A:$A,0)),""))</f>
        <v/>
      </c>
      <c r="J1741" s="7" t="str">
        <f aca="false">IF(A1741="","",IFERROR(VLOOKUP(IF(ISNUMBER(SEARCH("(",C1741)),LEFT(C1741,SEARCH("(",C1741)-1),C1741),Tipos!$A:$B,2,FALSE()),"outro"))</f>
        <v/>
      </c>
      <c r="K1741" s="7" t="str">
        <f aca="false">IF(I1741="","",IFERROR(INDEX('Campos Growths'!$L:$L,MATCH(H1741,'Campos Growths'!$A:$A,0)),""))</f>
        <v/>
      </c>
      <c r="L1741" s="7" t="str">
        <f aca="false">IF(A1741="","",IF(G1741="não","Sem tabela no Growths",IF(I1741="","Sem campo no Growths",IF(J1741=K1741,"Importa direto","Ajustar tipo"))))</f>
        <v/>
      </c>
      <c r="M1741" s="9"/>
    </row>
    <row r="1742" customFormat="false" ht="15" hidden="false" customHeight="false" outlineLevel="0" collapsed="false">
      <c r="A1742" s="7" t="str">
        <f aca="false">IF('Outro banco'!A1742="","",IF(LEFT('Outro banco'!A1742,1)="(","",'Outro banco'!A1742))</f>
        <v/>
      </c>
      <c r="B1742" s="7" t="str">
        <f aca="false">IF(A1742="","",'Outro banco'!B1742)</f>
        <v/>
      </c>
      <c r="C1742" s="7" t="str">
        <f aca="false">IF(A1742="","",'Outro banco'!C1742)</f>
        <v/>
      </c>
      <c r="D1742" s="7" t="str">
        <f aca="false">IF(A1742="","",'Outro banco'!D1742)</f>
        <v/>
      </c>
      <c r="E1742" s="9"/>
      <c r="F1742" s="9"/>
      <c r="G1742" s="7" t="str">
        <f aca="false">IF(A1742="","",IF(COUNTIF(Tabelas!$A:$A,IF(E1742="",A1742,E1742))&gt;0,"sim","não"))</f>
        <v/>
      </c>
      <c r="H1742" s="7" t="str">
        <f aca="false">IF(A1742="","",IF(E1742="",A1742,E1742)&amp;"."&amp;IF(F1742="",B1742,F1742))</f>
        <v/>
      </c>
      <c r="I1742" s="7" t="str">
        <f aca="false">IF(A1742="","",IFERROR(INDEX('Campos Growths'!$F:$F,MATCH(H1742,'Campos Growths'!$A:$A,0)),""))</f>
        <v/>
      </c>
      <c r="J1742" s="7" t="str">
        <f aca="false">IF(A1742="","",IFERROR(VLOOKUP(IF(ISNUMBER(SEARCH("(",C1742)),LEFT(C1742,SEARCH("(",C1742)-1),C1742),Tipos!$A:$B,2,FALSE()),"outro"))</f>
        <v/>
      </c>
      <c r="K1742" s="7" t="str">
        <f aca="false">IF(I1742="","",IFERROR(INDEX('Campos Growths'!$L:$L,MATCH(H1742,'Campos Growths'!$A:$A,0)),""))</f>
        <v/>
      </c>
      <c r="L1742" s="7" t="str">
        <f aca="false">IF(A1742="","",IF(G1742="não","Sem tabela no Growths",IF(I1742="","Sem campo no Growths",IF(J1742=K1742,"Importa direto","Ajustar tipo"))))</f>
        <v/>
      </c>
      <c r="M1742" s="9"/>
    </row>
    <row r="1743" customFormat="false" ht="15" hidden="false" customHeight="false" outlineLevel="0" collapsed="false">
      <c r="A1743" s="7" t="str">
        <f aca="false">IF('Outro banco'!A1743="","",IF(LEFT('Outro banco'!A1743,1)="(","",'Outro banco'!A1743))</f>
        <v/>
      </c>
      <c r="B1743" s="7" t="str">
        <f aca="false">IF(A1743="","",'Outro banco'!B1743)</f>
        <v/>
      </c>
      <c r="C1743" s="7" t="str">
        <f aca="false">IF(A1743="","",'Outro banco'!C1743)</f>
        <v/>
      </c>
      <c r="D1743" s="7" t="str">
        <f aca="false">IF(A1743="","",'Outro banco'!D1743)</f>
        <v/>
      </c>
      <c r="E1743" s="9"/>
      <c r="F1743" s="9"/>
      <c r="G1743" s="7" t="str">
        <f aca="false">IF(A1743="","",IF(COUNTIF(Tabelas!$A:$A,IF(E1743="",A1743,E1743))&gt;0,"sim","não"))</f>
        <v/>
      </c>
      <c r="H1743" s="7" t="str">
        <f aca="false">IF(A1743="","",IF(E1743="",A1743,E1743)&amp;"."&amp;IF(F1743="",B1743,F1743))</f>
        <v/>
      </c>
      <c r="I1743" s="7" t="str">
        <f aca="false">IF(A1743="","",IFERROR(INDEX('Campos Growths'!$F:$F,MATCH(H1743,'Campos Growths'!$A:$A,0)),""))</f>
        <v/>
      </c>
      <c r="J1743" s="7" t="str">
        <f aca="false">IF(A1743="","",IFERROR(VLOOKUP(IF(ISNUMBER(SEARCH("(",C1743)),LEFT(C1743,SEARCH("(",C1743)-1),C1743),Tipos!$A:$B,2,FALSE()),"outro"))</f>
        <v/>
      </c>
      <c r="K1743" s="7" t="str">
        <f aca="false">IF(I1743="","",IFERROR(INDEX('Campos Growths'!$L:$L,MATCH(H1743,'Campos Growths'!$A:$A,0)),""))</f>
        <v/>
      </c>
      <c r="L1743" s="7" t="str">
        <f aca="false">IF(A1743="","",IF(G1743="não","Sem tabela no Growths",IF(I1743="","Sem campo no Growths",IF(J1743=K1743,"Importa direto","Ajustar tipo"))))</f>
        <v/>
      </c>
      <c r="M1743" s="9"/>
    </row>
    <row r="1744" customFormat="false" ht="15" hidden="false" customHeight="false" outlineLevel="0" collapsed="false">
      <c r="A1744" s="7" t="str">
        <f aca="false">IF('Outro banco'!A1744="","",IF(LEFT('Outro banco'!A1744,1)="(","",'Outro banco'!A1744))</f>
        <v/>
      </c>
      <c r="B1744" s="7" t="str">
        <f aca="false">IF(A1744="","",'Outro banco'!B1744)</f>
        <v/>
      </c>
      <c r="C1744" s="7" t="str">
        <f aca="false">IF(A1744="","",'Outro banco'!C1744)</f>
        <v/>
      </c>
      <c r="D1744" s="7" t="str">
        <f aca="false">IF(A1744="","",'Outro banco'!D1744)</f>
        <v/>
      </c>
      <c r="E1744" s="9"/>
      <c r="F1744" s="9"/>
      <c r="G1744" s="7" t="str">
        <f aca="false">IF(A1744="","",IF(COUNTIF(Tabelas!$A:$A,IF(E1744="",A1744,E1744))&gt;0,"sim","não"))</f>
        <v/>
      </c>
      <c r="H1744" s="7" t="str">
        <f aca="false">IF(A1744="","",IF(E1744="",A1744,E1744)&amp;"."&amp;IF(F1744="",B1744,F1744))</f>
        <v/>
      </c>
      <c r="I1744" s="7" t="str">
        <f aca="false">IF(A1744="","",IFERROR(INDEX('Campos Growths'!$F:$F,MATCH(H1744,'Campos Growths'!$A:$A,0)),""))</f>
        <v/>
      </c>
      <c r="J1744" s="7" t="str">
        <f aca="false">IF(A1744="","",IFERROR(VLOOKUP(IF(ISNUMBER(SEARCH("(",C1744)),LEFT(C1744,SEARCH("(",C1744)-1),C1744),Tipos!$A:$B,2,FALSE()),"outro"))</f>
        <v/>
      </c>
      <c r="K1744" s="7" t="str">
        <f aca="false">IF(I1744="","",IFERROR(INDEX('Campos Growths'!$L:$L,MATCH(H1744,'Campos Growths'!$A:$A,0)),""))</f>
        <v/>
      </c>
      <c r="L1744" s="7" t="str">
        <f aca="false">IF(A1744="","",IF(G1744="não","Sem tabela no Growths",IF(I1744="","Sem campo no Growths",IF(J1744=K1744,"Importa direto","Ajustar tipo"))))</f>
        <v/>
      </c>
      <c r="M1744" s="9"/>
    </row>
    <row r="1745" customFormat="false" ht="15" hidden="false" customHeight="false" outlineLevel="0" collapsed="false">
      <c r="A1745" s="7" t="str">
        <f aca="false">IF('Outro banco'!A1745="","",IF(LEFT('Outro banco'!A1745,1)="(","",'Outro banco'!A1745))</f>
        <v/>
      </c>
      <c r="B1745" s="7" t="str">
        <f aca="false">IF(A1745="","",'Outro banco'!B1745)</f>
        <v/>
      </c>
      <c r="C1745" s="7" t="str">
        <f aca="false">IF(A1745="","",'Outro banco'!C1745)</f>
        <v/>
      </c>
      <c r="D1745" s="7" t="str">
        <f aca="false">IF(A1745="","",'Outro banco'!D1745)</f>
        <v/>
      </c>
      <c r="E1745" s="9"/>
      <c r="F1745" s="9"/>
      <c r="G1745" s="7" t="str">
        <f aca="false">IF(A1745="","",IF(COUNTIF(Tabelas!$A:$A,IF(E1745="",A1745,E1745))&gt;0,"sim","não"))</f>
        <v/>
      </c>
      <c r="H1745" s="7" t="str">
        <f aca="false">IF(A1745="","",IF(E1745="",A1745,E1745)&amp;"."&amp;IF(F1745="",B1745,F1745))</f>
        <v/>
      </c>
      <c r="I1745" s="7" t="str">
        <f aca="false">IF(A1745="","",IFERROR(INDEX('Campos Growths'!$F:$F,MATCH(H1745,'Campos Growths'!$A:$A,0)),""))</f>
        <v/>
      </c>
      <c r="J1745" s="7" t="str">
        <f aca="false">IF(A1745="","",IFERROR(VLOOKUP(IF(ISNUMBER(SEARCH("(",C1745)),LEFT(C1745,SEARCH("(",C1745)-1),C1745),Tipos!$A:$B,2,FALSE()),"outro"))</f>
        <v/>
      </c>
      <c r="K1745" s="7" t="str">
        <f aca="false">IF(I1745="","",IFERROR(INDEX('Campos Growths'!$L:$L,MATCH(H1745,'Campos Growths'!$A:$A,0)),""))</f>
        <v/>
      </c>
      <c r="L1745" s="7" t="str">
        <f aca="false">IF(A1745="","",IF(G1745="não","Sem tabela no Growths",IF(I1745="","Sem campo no Growths",IF(J1745=K1745,"Importa direto","Ajustar tipo"))))</f>
        <v/>
      </c>
      <c r="M1745" s="9"/>
    </row>
    <row r="1746" customFormat="false" ht="15" hidden="false" customHeight="false" outlineLevel="0" collapsed="false">
      <c r="A1746" s="7" t="str">
        <f aca="false">IF('Outro banco'!A1746="","",IF(LEFT('Outro banco'!A1746,1)="(","",'Outro banco'!A1746))</f>
        <v/>
      </c>
      <c r="B1746" s="7" t="str">
        <f aca="false">IF(A1746="","",'Outro banco'!B1746)</f>
        <v/>
      </c>
      <c r="C1746" s="7" t="str">
        <f aca="false">IF(A1746="","",'Outro banco'!C1746)</f>
        <v/>
      </c>
      <c r="D1746" s="7" t="str">
        <f aca="false">IF(A1746="","",'Outro banco'!D1746)</f>
        <v/>
      </c>
      <c r="E1746" s="9"/>
      <c r="F1746" s="9"/>
      <c r="G1746" s="7" t="str">
        <f aca="false">IF(A1746="","",IF(COUNTIF(Tabelas!$A:$A,IF(E1746="",A1746,E1746))&gt;0,"sim","não"))</f>
        <v/>
      </c>
      <c r="H1746" s="7" t="str">
        <f aca="false">IF(A1746="","",IF(E1746="",A1746,E1746)&amp;"."&amp;IF(F1746="",B1746,F1746))</f>
        <v/>
      </c>
      <c r="I1746" s="7" t="str">
        <f aca="false">IF(A1746="","",IFERROR(INDEX('Campos Growths'!$F:$F,MATCH(H1746,'Campos Growths'!$A:$A,0)),""))</f>
        <v/>
      </c>
      <c r="J1746" s="7" t="str">
        <f aca="false">IF(A1746="","",IFERROR(VLOOKUP(IF(ISNUMBER(SEARCH("(",C1746)),LEFT(C1746,SEARCH("(",C1746)-1),C1746),Tipos!$A:$B,2,FALSE()),"outro"))</f>
        <v/>
      </c>
      <c r="K1746" s="7" t="str">
        <f aca="false">IF(I1746="","",IFERROR(INDEX('Campos Growths'!$L:$L,MATCH(H1746,'Campos Growths'!$A:$A,0)),""))</f>
        <v/>
      </c>
      <c r="L1746" s="7" t="str">
        <f aca="false">IF(A1746="","",IF(G1746="não","Sem tabela no Growths",IF(I1746="","Sem campo no Growths",IF(J1746=K1746,"Importa direto","Ajustar tipo"))))</f>
        <v/>
      </c>
      <c r="M1746" s="9"/>
    </row>
    <row r="1747" customFormat="false" ht="15" hidden="false" customHeight="false" outlineLevel="0" collapsed="false">
      <c r="A1747" s="7" t="str">
        <f aca="false">IF('Outro banco'!A1747="","",IF(LEFT('Outro banco'!A1747,1)="(","",'Outro banco'!A1747))</f>
        <v/>
      </c>
      <c r="B1747" s="7" t="str">
        <f aca="false">IF(A1747="","",'Outro banco'!B1747)</f>
        <v/>
      </c>
      <c r="C1747" s="7" t="str">
        <f aca="false">IF(A1747="","",'Outro banco'!C1747)</f>
        <v/>
      </c>
      <c r="D1747" s="7" t="str">
        <f aca="false">IF(A1747="","",'Outro banco'!D1747)</f>
        <v/>
      </c>
      <c r="E1747" s="9"/>
      <c r="F1747" s="9"/>
      <c r="G1747" s="7" t="str">
        <f aca="false">IF(A1747="","",IF(COUNTIF(Tabelas!$A:$A,IF(E1747="",A1747,E1747))&gt;0,"sim","não"))</f>
        <v/>
      </c>
      <c r="H1747" s="7" t="str">
        <f aca="false">IF(A1747="","",IF(E1747="",A1747,E1747)&amp;"."&amp;IF(F1747="",B1747,F1747))</f>
        <v/>
      </c>
      <c r="I1747" s="7" t="str">
        <f aca="false">IF(A1747="","",IFERROR(INDEX('Campos Growths'!$F:$F,MATCH(H1747,'Campos Growths'!$A:$A,0)),""))</f>
        <v/>
      </c>
      <c r="J1747" s="7" t="str">
        <f aca="false">IF(A1747="","",IFERROR(VLOOKUP(IF(ISNUMBER(SEARCH("(",C1747)),LEFT(C1747,SEARCH("(",C1747)-1),C1747),Tipos!$A:$B,2,FALSE()),"outro"))</f>
        <v/>
      </c>
      <c r="K1747" s="7" t="str">
        <f aca="false">IF(I1747="","",IFERROR(INDEX('Campos Growths'!$L:$L,MATCH(H1747,'Campos Growths'!$A:$A,0)),""))</f>
        <v/>
      </c>
      <c r="L1747" s="7" t="str">
        <f aca="false">IF(A1747="","",IF(G1747="não","Sem tabela no Growths",IF(I1747="","Sem campo no Growths",IF(J1747=K1747,"Importa direto","Ajustar tipo"))))</f>
        <v/>
      </c>
      <c r="M1747" s="9"/>
    </row>
    <row r="1748" customFormat="false" ht="15" hidden="false" customHeight="false" outlineLevel="0" collapsed="false">
      <c r="A1748" s="7" t="str">
        <f aca="false">IF('Outro banco'!A1748="","",IF(LEFT('Outro banco'!A1748,1)="(","",'Outro banco'!A1748))</f>
        <v/>
      </c>
      <c r="B1748" s="7" t="str">
        <f aca="false">IF(A1748="","",'Outro banco'!B1748)</f>
        <v/>
      </c>
      <c r="C1748" s="7" t="str">
        <f aca="false">IF(A1748="","",'Outro banco'!C1748)</f>
        <v/>
      </c>
      <c r="D1748" s="7" t="str">
        <f aca="false">IF(A1748="","",'Outro banco'!D1748)</f>
        <v/>
      </c>
      <c r="E1748" s="9"/>
      <c r="F1748" s="9"/>
      <c r="G1748" s="7" t="str">
        <f aca="false">IF(A1748="","",IF(COUNTIF(Tabelas!$A:$A,IF(E1748="",A1748,E1748))&gt;0,"sim","não"))</f>
        <v/>
      </c>
      <c r="H1748" s="7" t="str">
        <f aca="false">IF(A1748="","",IF(E1748="",A1748,E1748)&amp;"."&amp;IF(F1748="",B1748,F1748))</f>
        <v/>
      </c>
      <c r="I1748" s="7" t="str">
        <f aca="false">IF(A1748="","",IFERROR(INDEX('Campos Growths'!$F:$F,MATCH(H1748,'Campos Growths'!$A:$A,0)),""))</f>
        <v/>
      </c>
      <c r="J1748" s="7" t="str">
        <f aca="false">IF(A1748="","",IFERROR(VLOOKUP(IF(ISNUMBER(SEARCH("(",C1748)),LEFT(C1748,SEARCH("(",C1748)-1),C1748),Tipos!$A:$B,2,FALSE()),"outro"))</f>
        <v/>
      </c>
      <c r="K1748" s="7" t="str">
        <f aca="false">IF(I1748="","",IFERROR(INDEX('Campos Growths'!$L:$L,MATCH(H1748,'Campos Growths'!$A:$A,0)),""))</f>
        <v/>
      </c>
      <c r="L1748" s="7" t="str">
        <f aca="false">IF(A1748="","",IF(G1748="não","Sem tabela no Growths",IF(I1748="","Sem campo no Growths",IF(J1748=K1748,"Importa direto","Ajustar tipo"))))</f>
        <v/>
      </c>
      <c r="M1748" s="9"/>
    </row>
    <row r="1749" customFormat="false" ht="15" hidden="false" customHeight="false" outlineLevel="0" collapsed="false">
      <c r="A1749" s="7" t="str">
        <f aca="false">IF('Outro banco'!A1749="","",IF(LEFT('Outro banco'!A1749,1)="(","",'Outro banco'!A1749))</f>
        <v/>
      </c>
      <c r="B1749" s="7" t="str">
        <f aca="false">IF(A1749="","",'Outro banco'!B1749)</f>
        <v/>
      </c>
      <c r="C1749" s="7" t="str">
        <f aca="false">IF(A1749="","",'Outro banco'!C1749)</f>
        <v/>
      </c>
      <c r="D1749" s="7" t="str">
        <f aca="false">IF(A1749="","",'Outro banco'!D1749)</f>
        <v/>
      </c>
      <c r="E1749" s="9"/>
      <c r="F1749" s="9"/>
      <c r="G1749" s="7" t="str">
        <f aca="false">IF(A1749="","",IF(COUNTIF(Tabelas!$A:$A,IF(E1749="",A1749,E1749))&gt;0,"sim","não"))</f>
        <v/>
      </c>
      <c r="H1749" s="7" t="str">
        <f aca="false">IF(A1749="","",IF(E1749="",A1749,E1749)&amp;"."&amp;IF(F1749="",B1749,F1749))</f>
        <v/>
      </c>
      <c r="I1749" s="7" t="str">
        <f aca="false">IF(A1749="","",IFERROR(INDEX('Campos Growths'!$F:$F,MATCH(H1749,'Campos Growths'!$A:$A,0)),""))</f>
        <v/>
      </c>
      <c r="J1749" s="7" t="str">
        <f aca="false">IF(A1749="","",IFERROR(VLOOKUP(IF(ISNUMBER(SEARCH("(",C1749)),LEFT(C1749,SEARCH("(",C1749)-1),C1749),Tipos!$A:$B,2,FALSE()),"outro"))</f>
        <v/>
      </c>
      <c r="K1749" s="7" t="str">
        <f aca="false">IF(I1749="","",IFERROR(INDEX('Campos Growths'!$L:$L,MATCH(H1749,'Campos Growths'!$A:$A,0)),""))</f>
        <v/>
      </c>
      <c r="L1749" s="7" t="str">
        <f aca="false">IF(A1749="","",IF(G1749="não","Sem tabela no Growths",IF(I1749="","Sem campo no Growths",IF(J1749=K1749,"Importa direto","Ajustar tipo"))))</f>
        <v/>
      </c>
      <c r="M1749" s="9"/>
    </row>
    <row r="1750" customFormat="false" ht="15" hidden="false" customHeight="false" outlineLevel="0" collapsed="false">
      <c r="A1750" s="7" t="str">
        <f aca="false">IF('Outro banco'!A1750="","",IF(LEFT('Outro banco'!A1750,1)="(","",'Outro banco'!A1750))</f>
        <v/>
      </c>
      <c r="B1750" s="7" t="str">
        <f aca="false">IF(A1750="","",'Outro banco'!B1750)</f>
        <v/>
      </c>
      <c r="C1750" s="7" t="str">
        <f aca="false">IF(A1750="","",'Outro banco'!C1750)</f>
        <v/>
      </c>
      <c r="D1750" s="7" t="str">
        <f aca="false">IF(A1750="","",'Outro banco'!D1750)</f>
        <v/>
      </c>
      <c r="E1750" s="9"/>
      <c r="F1750" s="9"/>
      <c r="G1750" s="7" t="str">
        <f aca="false">IF(A1750="","",IF(COUNTIF(Tabelas!$A:$A,IF(E1750="",A1750,E1750))&gt;0,"sim","não"))</f>
        <v/>
      </c>
      <c r="H1750" s="7" t="str">
        <f aca="false">IF(A1750="","",IF(E1750="",A1750,E1750)&amp;"."&amp;IF(F1750="",B1750,F1750))</f>
        <v/>
      </c>
      <c r="I1750" s="7" t="str">
        <f aca="false">IF(A1750="","",IFERROR(INDEX('Campos Growths'!$F:$F,MATCH(H1750,'Campos Growths'!$A:$A,0)),""))</f>
        <v/>
      </c>
      <c r="J1750" s="7" t="str">
        <f aca="false">IF(A1750="","",IFERROR(VLOOKUP(IF(ISNUMBER(SEARCH("(",C1750)),LEFT(C1750,SEARCH("(",C1750)-1),C1750),Tipos!$A:$B,2,FALSE()),"outro"))</f>
        <v/>
      </c>
      <c r="K1750" s="7" t="str">
        <f aca="false">IF(I1750="","",IFERROR(INDEX('Campos Growths'!$L:$L,MATCH(H1750,'Campos Growths'!$A:$A,0)),""))</f>
        <v/>
      </c>
      <c r="L1750" s="7" t="str">
        <f aca="false">IF(A1750="","",IF(G1750="não","Sem tabela no Growths",IF(I1750="","Sem campo no Growths",IF(J1750=K1750,"Importa direto","Ajustar tipo"))))</f>
        <v/>
      </c>
      <c r="M1750" s="9"/>
    </row>
    <row r="1751" customFormat="false" ht="15" hidden="false" customHeight="false" outlineLevel="0" collapsed="false">
      <c r="A1751" s="7" t="str">
        <f aca="false">IF('Outro banco'!A1751="","",IF(LEFT('Outro banco'!A1751,1)="(","",'Outro banco'!A1751))</f>
        <v/>
      </c>
      <c r="B1751" s="7" t="str">
        <f aca="false">IF(A1751="","",'Outro banco'!B1751)</f>
        <v/>
      </c>
      <c r="C1751" s="7" t="str">
        <f aca="false">IF(A1751="","",'Outro banco'!C1751)</f>
        <v/>
      </c>
      <c r="D1751" s="7" t="str">
        <f aca="false">IF(A1751="","",'Outro banco'!D1751)</f>
        <v/>
      </c>
      <c r="E1751" s="9"/>
      <c r="F1751" s="9"/>
      <c r="G1751" s="7" t="str">
        <f aca="false">IF(A1751="","",IF(COUNTIF(Tabelas!$A:$A,IF(E1751="",A1751,E1751))&gt;0,"sim","não"))</f>
        <v/>
      </c>
      <c r="H1751" s="7" t="str">
        <f aca="false">IF(A1751="","",IF(E1751="",A1751,E1751)&amp;"."&amp;IF(F1751="",B1751,F1751))</f>
        <v/>
      </c>
      <c r="I1751" s="7" t="str">
        <f aca="false">IF(A1751="","",IFERROR(INDEX('Campos Growths'!$F:$F,MATCH(H1751,'Campos Growths'!$A:$A,0)),""))</f>
        <v/>
      </c>
      <c r="J1751" s="7" t="str">
        <f aca="false">IF(A1751="","",IFERROR(VLOOKUP(IF(ISNUMBER(SEARCH("(",C1751)),LEFT(C1751,SEARCH("(",C1751)-1),C1751),Tipos!$A:$B,2,FALSE()),"outro"))</f>
        <v/>
      </c>
      <c r="K1751" s="7" t="str">
        <f aca="false">IF(I1751="","",IFERROR(INDEX('Campos Growths'!$L:$L,MATCH(H1751,'Campos Growths'!$A:$A,0)),""))</f>
        <v/>
      </c>
      <c r="L1751" s="7" t="str">
        <f aca="false">IF(A1751="","",IF(G1751="não","Sem tabela no Growths",IF(I1751="","Sem campo no Growths",IF(J1751=K1751,"Importa direto","Ajustar tipo"))))</f>
        <v/>
      </c>
      <c r="M1751" s="9"/>
    </row>
    <row r="1752" customFormat="false" ht="15" hidden="false" customHeight="false" outlineLevel="0" collapsed="false">
      <c r="A1752" s="7" t="str">
        <f aca="false">IF('Outro banco'!A1752="","",IF(LEFT('Outro banco'!A1752,1)="(","",'Outro banco'!A1752))</f>
        <v/>
      </c>
      <c r="B1752" s="7" t="str">
        <f aca="false">IF(A1752="","",'Outro banco'!B1752)</f>
        <v/>
      </c>
      <c r="C1752" s="7" t="str">
        <f aca="false">IF(A1752="","",'Outro banco'!C1752)</f>
        <v/>
      </c>
      <c r="D1752" s="7" t="str">
        <f aca="false">IF(A1752="","",'Outro banco'!D1752)</f>
        <v/>
      </c>
      <c r="E1752" s="9"/>
      <c r="F1752" s="9"/>
      <c r="G1752" s="7" t="str">
        <f aca="false">IF(A1752="","",IF(COUNTIF(Tabelas!$A:$A,IF(E1752="",A1752,E1752))&gt;0,"sim","não"))</f>
        <v/>
      </c>
      <c r="H1752" s="7" t="str">
        <f aca="false">IF(A1752="","",IF(E1752="",A1752,E1752)&amp;"."&amp;IF(F1752="",B1752,F1752))</f>
        <v/>
      </c>
      <c r="I1752" s="7" t="str">
        <f aca="false">IF(A1752="","",IFERROR(INDEX('Campos Growths'!$F:$F,MATCH(H1752,'Campos Growths'!$A:$A,0)),""))</f>
        <v/>
      </c>
      <c r="J1752" s="7" t="str">
        <f aca="false">IF(A1752="","",IFERROR(VLOOKUP(IF(ISNUMBER(SEARCH("(",C1752)),LEFT(C1752,SEARCH("(",C1752)-1),C1752),Tipos!$A:$B,2,FALSE()),"outro"))</f>
        <v/>
      </c>
      <c r="K1752" s="7" t="str">
        <f aca="false">IF(I1752="","",IFERROR(INDEX('Campos Growths'!$L:$L,MATCH(H1752,'Campos Growths'!$A:$A,0)),""))</f>
        <v/>
      </c>
      <c r="L1752" s="7" t="str">
        <f aca="false">IF(A1752="","",IF(G1752="não","Sem tabela no Growths",IF(I1752="","Sem campo no Growths",IF(J1752=K1752,"Importa direto","Ajustar tipo"))))</f>
        <v/>
      </c>
      <c r="M1752" s="9"/>
    </row>
    <row r="1753" customFormat="false" ht="15" hidden="false" customHeight="false" outlineLevel="0" collapsed="false">
      <c r="A1753" s="7" t="str">
        <f aca="false">IF('Outro banco'!A1753="","",IF(LEFT('Outro banco'!A1753,1)="(","",'Outro banco'!A1753))</f>
        <v/>
      </c>
      <c r="B1753" s="7" t="str">
        <f aca="false">IF(A1753="","",'Outro banco'!B1753)</f>
        <v/>
      </c>
      <c r="C1753" s="7" t="str">
        <f aca="false">IF(A1753="","",'Outro banco'!C1753)</f>
        <v/>
      </c>
      <c r="D1753" s="7" t="str">
        <f aca="false">IF(A1753="","",'Outro banco'!D1753)</f>
        <v/>
      </c>
      <c r="E1753" s="9"/>
      <c r="F1753" s="9"/>
      <c r="G1753" s="7" t="str">
        <f aca="false">IF(A1753="","",IF(COUNTIF(Tabelas!$A:$A,IF(E1753="",A1753,E1753))&gt;0,"sim","não"))</f>
        <v/>
      </c>
      <c r="H1753" s="7" t="str">
        <f aca="false">IF(A1753="","",IF(E1753="",A1753,E1753)&amp;"."&amp;IF(F1753="",B1753,F1753))</f>
        <v/>
      </c>
      <c r="I1753" s="7" t="str">
        <f aca="false">IF(A1753="","",IFERROR(INDEX('Campos Growths'!$F:$F,MATCH(H1753,'Campos Growths'!$A:$A,0)),""))</f>
        <v/>
      </c>
      <c r="J1753" s="7" t="str">
        <f aca="false">IF(A1753="","",IFERROR(VLOOKUP(IF(ISNUMBER(SEARCH("(",C1753)),LEFT(C1753,SEARCH("(",C1753)-1),C1753),Tipos!$A:$B,2,FALSE()),"outro"))</f>
        <v/>
      </c>
      <c r="K1753" s="7" t="str">
        <f aca="false">IF(I1753="","",IFERROR(INDEX('Campos Growths'!$L:$L,MATCH(H1753,'Campos Growths'!$A:$A,0)),""))</f>
        <v/>
      </c>
      <c r="L1753" s="7" t="str">
        <f aca="false">IF(A1753="","",IF(G1753="não","Sem tabela no Growths",IF(I1753="","Sem campo no Growths",IF(J1753=K1753,"Importa direto","Ajustar tipo"))))</f>
        <v/>
      </c>
      <c r="M1753" s="9"/>
    </row>
    <row r="1754" customFormat="false" ht="15" hidden="false" customHeight="false" outlineLevel="0" collapsed="false">
      <c r="A1754" s="7" t="str">
        <f aca="false">IF('Outro banco'!A1754="","",IF(LEFT('Outro banco'!A1754,1)="(","",'Outro banco'!A1754))</f>
        <v/>
      </c>
      <c r="B1754" s="7" t="str">
        <f aca="false">IF(A1754="","",'Outro banco'!B1754)</f>
        <v/>
      </c>
      <c r="C1754" s="7" t="str">
        <f aca="false">IF(A1754="","",'Outro banco'!C1754)</f>
        <v/>
      </c>
      <c r="D1754" s="7" t="str">
        <f aca="false">IF(A1754="","",'Outro banco'!D1754)</f>
        <v/>
      </c>
      <c r="E1754" s="9"/>
      <c r="F1754" s="9"/>
      <c r="G1754" s="7" t="str">
        <f aca="false">IF(A1754="","",IF(COUNTIF(Tabelas!$A:$A,IF(E1754="",A1754,E1754))&gt;0,"sim","não"))</f>
        <v/>
      </c>
      <c r="H1754" s="7" t="str">
        <f aca="false">IF(A1754="","",IF(E1754="",A1754,E1754)&amp;"."&amp;IF(F1754="",B1754,F1754))</f>
        <v/>
      </c>
      <c r="I1754" s="7" t="str">
        <f aca="false">IF(A1754="","",IFERROR(INDEX('Campos Growths'!$F:$F,MATCH(H1754,'Campos Growths'!$A:$A,0)),""))</f>
        <v/>
      </c>
      <c r="J1754" s="7" t="str">
        <f aca="false">IF(A1754="","",IFERROR(VLOOKUP(IF(ISNUMBER(SEARCH("(",C1754)),LEFT(C1754,SEARCH("(",C1754)-1),C1754),Tipos!$A:$B,2,FALSE()),"outro"))</f>
        <v/>
      </c>
      <c r="K1754" s="7" t="str">
        <f aca="false">IF(I1754="","",IFERROR(INDEX('Campos Growths'!$L:$L,MATCH(H1754,'Campos Growths'!$A:$A,0)),""))</f>
        <v/>
      </c>
      <c r="L1754" s="7" t="str">
        <f aca="false">IF(A1754="","",IF(G1754="não","Sem tabela no Growths",IF(I1754="","Sem campo no Growths",IF(J1754=K1754,"Importa direto","Ajustar tipo"))))</f>
        <v/>
      </c>
      <c r="M1754" s="9"/>
    </row>
    <row r="1755" customFormat="false" ht="15" hidden="false" customHeight="false" outlineLevel="0" collapsed="false">
      <c r="A1755" s="7" t="str">
        <f aca="false">IF('Outro banco'!A1755="","",IF(LEFT('Outro banco'!A1755,1)="(","",'Outro banco'!A1755))</f>
        <v/>
      </c>
      <c r="B1755" s="7" t="str">
        <f aca="false">IF(A1755="","",'Outro banco'!B1755)</f>
        <v/>
      </c>
      <c r="C1755" s="7" t="str">
        <f aca="false">IF(A1755="","",'Outro banco'!C1755)</f>
        <v/>
      </c>
      <c r="D1755" s="7" t="str">
        <f aca="false">IF(A1755="","",'Outro banco'!D1755)</f>
        <v/>
      </c>
      <c r="E1755" s="9"/>
      <c r="F1755" s="9"/>
      <c r="G1755" s="7" t="str">
        <f aca="false">IF(A1755="","",IF(COUNTIF(Tabelas!$A:$A,IF(E1755="",A1755,E1755))&gt;0,"sim","não"))</f>
        <v/>
      </c>
      <c r="H1755" s="7" t="str">
        <f aca="false">IF(A1755="","",IF(E1755="",A1755,E1755)&amp;"."&amp;IF(F1755="",B1755,F1755))</f>
        <v/>
      </c>
      <c r="I1755" s="7" t="str">
        <f aca="false">IF(A1755="","",IFERROR(INDEX('Campos Growths'!$F:$F,MATCH(H1755,'Campos Growths'!$A:$A,0)),""))</f>
        <v/>
      </c>
      <c r="J1755" s="7" t="str">
        <f aca="false">IF(A1755="","",IFERROR(VLOOKUP(IF(ISNUMBER(SEARCH("(",C1755)),LEFT(C1755,SEARCH("(",C1755)-1),C1755),Tipos!$A:$B,2,FALSE()),"outro"))</f>
        <v/>
      </c>
      <c r="K1755" s="7" t="str">
        <f aca="false">IF(I1755="","",IFERROR(INDEX('Campos Growths'!$L:$L,MATCH(H1755,'Campos Growths'!$A:$A,0)),""))</f>
        <v/>
      </c>
      <c r="L1755" s="7" t="str">
        <f aca="false">IF(A1755="","",IF(G1755="não","Sem tabela no Growths",IF(I1755="","Sem campo no Growths",IF(J1755=K1755,"Importa direto","Ajustar tipo"))))</f>
        <v/>
      </c>
      <c r="M1755" s="9"/>
    </row>
    <row r="1756" customFormat="false" ht="15" hidden="false" customHeight="false" outlineLevel="0" collapsed="false">
      <c r="A1756" s="7" t="str">
        <f aca="false">IF('Outro banco'!A1756="","",IF(LEFT('Outro banco'!A1756,1)="(","",'Outro banco'!A1756))</f>
        <v/>
      </c>
      <c r="B1756" s="7" t="str">
        <f aca="false">IF(A1756="","",'Outro banco'!B1756)</f>
        <v/>
      </c>
      <c r="C1756" s="7" t="str">
        <f aca="false">IF(A1756="","",'Outro banco'!C1756)</f>
        <v/>
      </c>
      <c r="D1756" s="7" t="str">
        <f aca="false">IF(A1756="","",'Outro banco'!D1756)</f>
        <v/>
      </c>
      <c r="E1756" s="9"/>
      <c r="F1756" s="9"/>
      <c r="G1756" s="7" t="str">
        <f aca="false">IF(A1756="","",IF(COUNTIF(Tabelas!$A:$A,IF(E1756="",A1756,E1756))&gt;0,"sim","não"))</f>
        <v/>
      </c>
      <c r="H1756" s="7" t="str">
        <f aca="false">IF(A1756="","",IF(E1756="",A1756,E1756)&amp;"."&amp;IF(F1756="",B1756,F1756))</f>
        <v/>
      </c>
      <c r="I1756" s="7" t="str">
        <f aca="false">IF(A1756="","",IFERROR(INDEX('Campos Growths'!$F:$F,MATCH(H1756,'Campos Growths'!$A:$A,0)),""))</f>
        <v/>
      </c>
      <c r="J1756" s="7" t="str">
        <f aca="false">IF(A1756="","",IFERROR(VLOOKUP(IF(ISNUMBER(SEARCH("(",C1756)),LEFT(C1756,SEARCH("(",C1756)-1),C1756),Tipos!$A:$B,2,FALSE()),"outro"))</f>
        <v/>
      </c>
      <c r="K1756" s="7" t="str">
        <f aca="false">IF(I1756="","",IFERROR(INDEX('Campos Growths'!$L:$L,MATCH(H1756,'Campos Growths'!$A:$A,0)),""))</f>
        <v/>
      </c>
      <c r="L1756" s="7" t="str">
        <f aca="false">IF(A1756="","",IF(G1756="não","Sem tabela no Growths",IF(I1756="","Sem campo no Growths",IF(J1756=K1756,"Importa direto","Ajustar tipo"))))</f>
        <v/>
      </c>
      <c r="M1756" s="9"/>
    </row>
    <row r="1757" customFormat="false" ht="15" hidden="false" customHeight="false" outlineLevel="0" collapsed="false">
      <c r="A1757" s="7" t="str">
        <f aca="false">IF('Outro banco'!A1757="","",IF(LEFT('Outro banco'!A1757,1)="(","",'Outro banco'!A1757))</f>
        <v/>
      </c>
      <c r="B1757" s="7" t="str">
        <f aca="false">IF(A1757="","",'Outro banco'!B1757)</f>
        <v/>
      </c>
      <c r="C1757" s="7" t="str">
        <f aca="false">IF(A1757="","",'Outro banco'!C1757)</f>
        <v/>
      </c>
      <c r="D1757" s="7" t="str">
        <f aca="false">IF(A1757="","",'Outro banco'!D1757)</f>
        <v/>
      </c>
      <c r="E1757" s="9"/>
      <c r="F1757" s="9"/>
      <c r="G1757" s="7" t="str">
        <f aca="false">IF(A1757="","",IF(COUNTIF(Tabelas!$A:$A,IF(E1757="",A1757,E1757))&gt;0,"sim","não"))</f>
        <v/>
      </c>
      <c r="H1757" s="7" t="str">
        <f aca="false">IF(A1757="","",IF(E1757="",A1757,E1757)&amp;"."&amp;IF(F1757="",B1757,F1757))</f>
        <v/>
      </c>
      <c r="I1757" s="7" t="str">
        <f aca="false">IF(A1757="","",IFERROR(INDEX('Campos Growths'!$F:$F,MATCH(H1757,'Campos Growths'!$A:$A,0)),""))</f>
        <v/>
      </c>
      <c r="J1757" s="7" t="str">
        <f aca="false">IF(A1757="","",IFERROR(VLOOKUP(IF(ISNUMBER(SEARCH("(",C1757)),LEFT(C1757,SEARCH("(",C1757)-1),C1757),Tipos!$A:$B,2,FALSE()),"outro"))</f>
        <v/>
      </c>
      <c r="K1757" s="7" t="str">
        <f aca="false">IF(I1757="","",IFERROR(INDEX('Campos Growths'!$L:$L,MATCH(H1757,'Campos Growths'!$A:$A,0)),""))</f>
        <v/>
      </c>
      <c r="L1757" s="7" t="str">
        <f aca="false">IF(A1757="","",IF(G1757="não","Sem tabela no Growths",IF(I1757="","Sem campo no Growths",IF(J1757=K1757,"Importa direto","Ajustar tipo"))))</f>
        <v/>
      </c>
      <c r="M1757" s="9"/>
    </row>
    <row r="1758" customFormat="false" ht="15" hidden="false" customHeight="false" outlineLevel="0" collapsed="false">
      <c r="A1758" s="7" t="str">
        <f aca="false">IF('Outro banco'!A1758="","",IF(LEFT('Outro banco'!A1758,1)="(","",'Outro banco'!A1758))</f>
        <v/>
      </c>
      <c r="B1758" s="7" t="str">
        <f aca="false">IF(A1758="","",'Outro banco'!B1758)</f>
        <v/>
      </c>
      <c r="C1758" s="7" t="str">
        <f aca="false">IF(A1758="","",'Outro banco'!C1758)</f>
        <v/>
      </c>
      <c r="D1758" s="7" t="str">
        <f aca="false">IF(A1758="","",'Outro banco'!D1758)</f>
        <v/>
      </c>
      <c r="E1758" s="9"/>
      <c r="F1758" s="9"/>
      <c r="G1758" s="7" t="str">
        <f aca="false">IF(A1758="","",IF(COUNTIF(Tabelas!$A:$A,IF(E1758="",A1758,E1758))&gt;0,"sim","não"))</f>
        <v/>
      </c>
      <c r="H1758" s="7" t="str">
        <f aca="false">IF(A1758="","",IF(E1758="",A1758,E1758)&amp;"."&amp;IF(F1758="",B1758,F1758))</f>
        <v/>
      </c>
      <c r="I1758" s="7" t="str">
        <f aca="false">IF(A1758="","",IFERROR(INDEX('Campos Growths'!$F:$F,MATCH(H1758,'Campos Growths'!$A:$A,0)),""))</f>
        <v/>
      </c>
      <c r="J1758" s="7" t="str">
        <f aca="false">IF(A1758="","",IFERROR(VLOOKUP(IF(ISNUMBER(SEARCH("(",C1758)),LEFT(C1758,SEARCH("(",C1758)-1),C1758),Tipos!$A:$B,2,FALSE()),"outro"))</f>
        <v/>
      </c>
      <c r="K1758" s="7" t="str">
        <f aca="false">IF(I1758="","",IFERROR(INDEX('Campos Growths'!$L:$L,MATCH(H1758,'Campos Growths'!$A:$A,0)),""))</f>
        <v/>
      </c>
      <c r="L1758" s="7" t="str">
        <f aca="false">IF(A1758="","",IF(G1758="não","Sem tabela no Growths",IF(I1758="","Sem campo no Growths",IF(J1758=K1758,"Importa direto","Ajustar tipo"))))</f>
        <v/>
      </c>
      <c r="M1758" s="9"/>
    </row>
    <row r="1759" customFormat="false" ht="15" hidden="false" customHeight="false" outlineLevel="0" collapsed="false">
      <c r="A1759" s="7" t="str">
        <f aca="false">IF('Outro banco'!A1759="","",IF(LEFT('Outro banco'!A1759,1)="(","",'Outro banco'!A1759))</f>
        <v/>
      </c>
      <c r="B1759" s="7" t="str">
        <f aca="false">IF(A1759="","",'Outro banco'!B1759)</f>
        <v/>
      </c>
      <c r="C1759" s="7" t="str">
        <f aca="false">IF(A1759="","",'Outro banco'!C1759)</f>
        <v/>
      </c>
      <c r="D1759" s="7" t="str">
        <f aca="false">IF(A1759="","",'Outro banco'!D1759)</f>
        <v/>
      </c>
      <c r="E1759" s="9"/>
      <c r="F1759" s="9"/>
      <c r="G1759" s="7" t="str">
        <f aca="false">IF(A1759="","",IF(COUNTIF(Tabelas!$A:$A,IF(E1759="",A1759,E1759))&gt;0,"sim","não"))</f>
        <v/>
      </c>
      <c r="H1759" s="7" t="str">
        <f aca="false">IF(A1759="","",IF(E1759="",A1759,E1759)&amp;"."&amp;IF(F1759="",B1759,F1759))</f>
        <v/>
      </c>
      <c r="I1759" s="7" t="str">
        <f aca="false">IF(A1759="","",IFERROR(INDEX('Campos Growths'!$F:$F,MATCH(H1759,'Campos Growths'!$A:$A,0)),""))</f>
        <v/>
      </c>
      <c r="J1759" s="7" t="str">
        <f aca="false">IF(A1759="","",IFERROR(VLOOKUP(IF(ISNUMBER(SEARCH("(",C1759)),LEFT(C1759,SEARCH("(",C1759)-1),C1759),Tipos!$A:$B,2,FALSE()),"outro"))</f>
        <v/>
      </c>
      <c r="K1759" s="7" t="str">
        <f aca="false">IF(I1759="","",IFERROR(INDEX('Campos Growths'!$L:$L,MATCH(H1759,'Campos Growths'!$A:$A,0)),""))</f>
        <v/>
      </c>
      <c r="L1759" s="7" t="str">
        <f aca="false">IF(A1759="","",IF(G1759="não","Sem tabela no Growths",IF(I1759="","Sem campo no Growths",IF(J1759=K1759,"Importa direto","Ajustar tipo"))))</f>
        <v/>
      </c>
      <c r="M1759" s="9"/>
    </row>
    <row r="1760" customFormat="false" ht="15" hidden="false" customHeight="false" outlineLevel="0" collapsed="false">
      <c r="A1760" s="7" t="str">
        <f aca="false">IF('Outro banco'!A1760="","",IF(LEFT('Outro banco'!A1760,1)="(","",'Outro banco'!A1760))</f>
        <v/>
      </c>
      <c r="B1760" s="7" t="str">
        <f aca="false">IF(A1760="","",'Outro banco'!B1760)</f>
        <v/>
      </c>
      <c r="C1760" s="7" t="str">
        <f aca="false">IF(A1760="","",'Outro banco'!C1760)</f>
        <v/>
      </c>
      <c r="D1760" s="7" t="str">
        <f aca="false">IF(A1760="","",'Outro banco'!D1760)</f>
        <v/>
      </c>
      <c r="E1760" s="9"/>
      <c r="F1760" s="9"/>
      <c r="G1760" s="7" t="str">
        <f aca="false">IF(A1760="","",IF(COUNTIF(Tabelas!$A:$A,IF(E1760="",A1760,E1760))&gt;0,"sim","não"))</f>
        <v/>
      </c>
      <c r="H1760" s="7" t="str">
        <f aca="false">IF(A1760="","",IF(E1760="",A1760,E1760)&amp;"."&amp;IF(F1760="",B1760,F1760))</f>
        <v/>
      </c>
      <c r="I1760" s="7" t="str">
        <f aca="false">IF(A1760="","",IFERROR(INDEX('Campos Growths'!$F:$F,MATCH(H1760,'Campos Growths'!$A:$A,0)),""))</f>
        <v/>
      </c>
      <c r="J1760" s="7" t="str">
        <f aca="false">IF(A1760="","",IFERROR(VLOOKUP(IF(ISNUMBER(SEARCH("(",C1760)),LEFT(C1760,SEARCH("(",C1760)-1),C1760),Tipos!$A:$B,2,FALSE()),"outro"))</f>
        <v/>
      </c>
      <c r="K1760" s="7" t="str">
        <f aca="false">IF(I1760="","",IFERROR(INDEX('Campos Growths'!$L:$L,MATCH(H1760,'Campos Growths'!$A:$A,0)),""))</f>
        <v/>
      </c>
      <c r="L1760" s="7" t="str">
        <f aca="false">IF(A1760="","",IF(G1760="não","Sem tabela no Growths",IF(I1760="","Sem campo no Growths",IF(J1760=K1760,"Importa direto","Ajustar tipo"))))</f>
        <v/>
      </c>
      <c r="M1760" s="9"/>
    </row>
    <row r="1761" customFormat="false" ht="15" hidden="false" customHeight="false" outlineLevel="0" collapsed="false">
      <c r="A1761" s="7" t="str">
        <f aca="false">IF('Outro banco'!A1761="","",IF(LEFT('Outro banco'!A1761,1)="(","",'Outro banco'!A1761))</f>
        <v/>
      </c>
      <c r="B1761" s="7" t="str">
        <f aca="false">IF(A1761="","",'Outro banco'!B1761)</f>
        <v/>
      </c>
      <c r="C1761" s="7" t="str">
        <f aca="false">IF(A1761="","",'Outro banco'!C1761)</f>
        <v/>
      </c>
      <c r="D1761" s="7" t="str">
        <f aca="false">IF(A1761="","",'Outro banco'!D1761)</f>
        <v/>
      </c>
      <c r="E1761" s="9"/>
      <c r="F1761" s="9"/>
      <c r="G1761" s="7" t="str">
        <f aca="false">IF(A1761="","",IF(COUNTIF(Tabelas!$A:$A,IF(E1761="",A1761,E1761))&gt;0,"sim","não"))</f>
        <v/>
      </c>
      <c r="H1761" s="7" t="str">
        <f aca="false">IF(A1761="","",IF(E1761="",A1761,E1761)&amp;"."&amp;IF(F1761="",B1761,F1761))</f>
        <v/>
      </c>
      <c r="I1761" s="7" t="str">
        <f aca="false">IF(A1761="","",IFERROR(INDEX('Campos Growths'!$F:$F,MATCH(H1761,'Campos Growths'!$A:$A,0)),""))</f>
        <v/>
      </c>
      <c r="J1761" s="7" t="str">
        <f aca="false">IF(A1761="","",IFERROR(VLOOKUP(IF(ISNUMBER(SEARCH("(",C1761)),LEFT(C1761,SEARCH("(",C1761)-1),C1761),Tipos!$A:$B,2,FALSE()),"outro"))</f>
        <v/>
      </c>
      <c r="K1761" s="7" t="str">
        <f aca="false">IF(I1761="","",IFERROR(INDEX('Campos Growths'!$L:$L,MATCH(H1761,'Campos Growths'!$A:$A,0)),""))</f>
        <v/>
      </c>
      <c r="L1761" s="7" t="str">
        <f aca="false">IF(A1761="","",IF(G1761="não","Sem tabela no Growths",IF(I1761="","Sem campo no Growths",IF(J1761=K1761,"Importa direto","Ajustar tipo"))))</f>
        <v/>
      </c>
      <c r="M1761" s="9"/>
    </row>
    <row r="1762" customFormat="false" ht="15" hidden="false" customHeight="false" outlineLevel="0" collapsed="false">
      <c r="A1762" s="7" t="str">
        <f aca="false">IF('Outro banco'!A1762="","",IF(LEFT('Outro banco'!A1762,1)="(","",'Outro banco'!A1762))</f>
        <v/>
      </c>
      <c r="B1762" s="7" t="str">
        <f aca="false">IF(A1762="","",'Outro banco'!B1762)</f>
        <v/>
      </c>
      <c r="C1762" s="7" t="str">
        <f aca="false">IF(A1762="","",'Outro banco'!C1762)</f>
        <v/>
      </c>
      <c r="D1762" s="7" t="str">
        <f aca="false">IF(A1762="","",'Outro banco'!D1762)</f>
        <v/>
      </c>
      <c r="E1762" s="9"/>
      <c r="F1762" s="9"/>
      <c r="G1762" s="7" t="str">
        <f aca="false">IF(A1762="","",IF(COUNTIF(Tabelas!$A:$A,IF(E1762="",A1762,E1762))&gt;0,"sim","não"))</f>
        <v/>
      </c>
      <c r="H1762" s="7" t="str">
        <f aca="false">IF(A1762="","",IF(E1762="",A1762,E1762)&amp;"."&amp;IF(F1762="",B1762,F1762))</f>
        <v/>
      </c>
      <c r="I1762" s="7" t="str">
        <f aca="false">IF(A1762="","",IFERROR(INDEX('Campos Growths'!$F:$F,MATCH(H1762,'Campos Growths'!$A:$A,0)),""))</f>
        <v/>
      </c>
      <c r="J1762" s="7" t="str">
        <f aca="false">IF(A1762="","",IFERROR(VLOOKUP(IF(ISNUMBER(SEARCH("(",C1762)),LEFT(C1762,SEARCH("(",C1762)-1),C1762),Tipos!$A:$B,2,FALSE()),"outro"))</f>
        <v/>
      </c>
      <c r="K1762" s="7" t="str">
        <f aca="false">IF(I1762="","",IFERROR(INDEX('Campos Growths'!$L:$L,MATCH(H1762,'Campos Growths'!$A:$A,0)),""))</f>
        <v/>
      </c>
      <c r="L1762" s="7" t="str">
        <f aca="false">IF(A1762="","",IF(G1762="não","Sem tabela no Growths",IF(I1762="","Sem campo no Growths",IF(J1762=K1762,"Importa direto","Ajustar tipo"))))</f>
        <v/>
      </c>
      <c r="M1762" s="9"/>
    </row>
    <row r="1763" customFormat="false" ht="15" hidden="false" customHeight="false" outlineLevel="0" collapsed="false">
      <c r="A1763" s="7" t="str">
        <f aca="false">IF('Outro banco'!A1763="","",IF(LEFT('Outro banco'!A1763,1)="(","",'Outro banco'!A1763))</f>
        <v/>
      </c>
      <c r="B1763" s="7" t="str">
        <f aca="false">IF(A1763="","",'Outro banco'!B1763)</f>
        <v/>
      </c>
      <c r="C1763" s="7" t="str">
        <f aca="false">IF(A1763="","",'Outro banco'!C1763)</f>
        <v/>
      </c>
      <c r="D1763" s="7" t="str">
        <f aca="false">IF(A1763="","",'Outro banco'!D1763)</f>
        <v/>
      </c>
      <c r="E1763" s="9"/>
      <c r="F1763" s="9"/>
      <c r="G1763" s="7" t="str">
        <f aca="false">IF(A1763="","",IF(COUNTIF(Tabelas!$A:$A,IF(E1763="",A1763,E1763))&gt;0,"sim","não"))</f>
        <v/>
      </c>
      <c r="H1763" s="7" t="str">
        <f aca="false">IF(A1763="","",IF(E1763="",A1763,E1763)&amp;"."&amp;IF(F1763="",B1763,F1763))</f>
        <v/>
      </c>
      <c r="I1763" s="7" t="str">
        <f aca="false">IF(A1763="","",IFERROR(INDEX('Campos Growths'!$F:$F,MATCH(H1763,'Campos Growths'!$A:$A,0)),""))</f>
        <v/>
      </c>
      <c r="J1763" s="7" t="str">
        <f aca="false">IF(A1763="","",IFERROR(VLOOKUP(IF(ISNUMBER(SEARCH("(",C1763)),LEFT(C1763,SEARCH("(",C1763)-1),C1763),Tipos!$A:$B,2,FALSE()),"outro"))</f>
        <v/>
      </c>
      <c r="K1763" s="7" t="str">
        <f aca="false">IF(I1763="","",IFERROR(INDEX('Campos Growths'!$L:$L,MATCH(H1763,'Campos Growths'!$A:$A,0)),""))</f>
        <v/>
      </c>
      <c r="L1763" s="7" t="str">
        <f aca="false">IF(A1763="","",IF(G1763="não","Sem tabela no Growths",IF(I1763="","Sem campo no Growths",IF(J1763=K1763,"Importa direto","Ajustar tipo"))))</f>
        <v/>
      </c>
      <c r="M1763" s="9"/>
    </row>
    <row r="1764" customFormat="false" ht="15" hidden="false" customHeight="false" outlineLevel="0" collapsed="false">
      <c r="A1764" s="7" t="str">
        <f aca="false">IF('Outro banco'!A1764="","",IF(LEFT('Outro banco'!A1764,1)="(","",'Outro banco'!A1764))</f>
        <v/>
      </c>
      <c r="B1764" s="7" t="str">
        <f aca="false">IF(A1764="","",'Outro banco'!B1764)</f>
        <v/>
      </c>
      <c r="C1764" s="7" t="str">
        <f aca="false">IF(A1764="","",'Outro banco'!C1764)</f>
        <v/>
      </c>
      <c r="D1764" s="7" t="str">
        <f aca="false">IF(A1764="","",'Outro banco'!D1764)</f>
        <v/>
      </c>
      <c r="E1764" s="9"/>
      <c r="F1764" s="9"/>
      <c r="G1764" s="7" t="str">
        <f aca="false">IF(A1764="","",IF(COUNTIF(Tabelas!$A:$A,IF(E1764="",A1764,E1764))&gt;0,"sim","não"))</f>
        <v/>
      </c>
      <c r="H1764" s="7" t="str">
        <f aca="false">IF(A1764="","",IF(E1764="",A1764,E1764)&amp;"."&amp;IF(F1764="",B1764,F1764))</f>
        <v/>
      </c>
      <c r="I1764" s="7" t="str">
        <f aca="false">IF(A1764="","",IFERROR(INDEX('Campos Growths'!$F:$F,MATCH(H1764,'Campos Growths'!$A:$A,0)),""))</f>
        <v/>
      </c>
      <c r="J1764" s="7" t="str">
        <f aca="false">IF(A1764="","",IFERROR(VLOOKUP(IF(ISNUMBER(SEARCH("(",C1764)),LEFT(C1764,SEARCH("(",C1764)-1),C1764),Tipos!$A:$B,2,FALSE()),"outro"))</f>
        <v/>
      </c>
      <c r="K1764" s="7" t="str">
        <f aca="false">IF(I1764="","",IFERROR(INDEX('Campos Growths'!$L:$L,MATCH(H1764,'Campos Growths'!$A:$A,0)),""))</f>
        <v/>
      </c>
      <c r="L1764" s="7" t="str">
        <f aca="false">IF(A1764="","",IF(G1764="não","Sem tabela no Growths",IF(I1764="","Sem campo no Growths",IF(J1764=K1764,"Importa direto","Ajustar tipo"))))</f>
        <v/>
      </c>
      <c r="M1764" s="9"/>
    </row>
    <row r="1765" customFormat="false" ht="15" hidden="false" customHeight="false" outlineLevel="0" collapsed="false">
      <c r="A1765" s="7" t="str">
        <f aca="false">IF('Outro banco'!A1765="","",IF(LEFT('Outro banco'!A1765,1)="(","",'Outro banco'!A1765))</f>
        <v/>
      </c>
      <c r="B1765" s="7" t="str">
        <f aca="false">IF(A1765="","",'Outro banco'!B1765)</f>
        <v/>
      </c>
      <c r="C1765" s="7" t="str">
        <f aca="false">IF(A1765="","",'Outro banco'!C1765)</f>
        <v/>
      </c>
      <c r="D1765" s="7" t="str">
        <f aca="false">IF(A1765="","",'Outro banco'!D1765)</f>
        <v/>
      </c>
      <c r="E1765" s="9"/>
      <c r="F1765" s="9"/>
      <c r="G1765" s="7" t="str">
        <f aca="false">IF(A1765="","",IF(COUNTIF(Tabelas!$A:$A,IF(E1765="",A1765,E1765))&gt;0,"sim","não"))</f>
        <v/>
      </c>
      <c r="H1765" s="7" t="str">
        <f aca="false">IF(A1765="","",IF(E1765="",A1765,E1765)&amp;"."&amp;IF(F1765="",B1765,F1765))</f>
        <v/>
      </c>
      <c r="I1765" s="7" t="str">
        <f aca="false">IF(A1765="","",IFERROR(INDEX('Campos Growths'!$F:$F,MATCH(H1765,'Campos Growths'!$A:$A,0)),""))</f>
        <v/>
      </c>
      <c r="J1765" s="7" t="str">
        <f aca="false">IF(A1765="","",IFERROR(VLOOKUP(IF(ISNUMBER(SEARCH("(",C1765)),LEFT(C1765,SEARCH("(",C1765)-1),C1765),Tipos!$A:$B,2,FALSE()),"outro"))</f>
        <v/>
      </c>
      <c r="K1765" s="7" t="str">
        <f aca="false">IF(I1765="","",IFERROR(INDEX('Campos Growths'!$L:$L,MATCH(H1765,'Campos Growths'!$A:$A,0)),""))</f>
        <v/>
      </c>
      <c r="L1765" s="7" t="str">
        <f aca="false">IF(A1765="","",IF(G1765="não","Sem tabela no Growths",IF(I1765="","Sem campo no Growths",IF(J1765=K1765,"Importa direto","Ajustar tipo"))))</f>
        <v/>
      </c>
      <c r="M1765" s="9"/>
    </row>
    <row r="1766" customFormat="false" ht="15" hidden="false" customHeight="false" outlineLevel="0" collapsed="false">
      <c r="A1766" s="7" t="str">
        <f aca="false">IF('Outro banco'!A1766="","",IF(LEFT('Outro banco'!A1766,1)="(","",'Outro banco'!A1766))</f>
        <v/>
      </c>
      <c r="B1766" s="7" t="str">
        <f aca="false">IF(A1766="","",'Outro banco'!B1766)</f>
        <v/>
      </c>
      <c r="C1766" s="7" t="str">
        <f aca="false">IF(A1766="","",'Outro banco'!C1766)</f>
        <v/>
      </c>
      <c r="D1766" s="7" t="str">
        <f aca="false">IF(A1766="","",'Outro banco'!D1766)</f>
        <v/>
      </c>
      <c r="E1766" s="9"/>
      <c r="F1766" s="9"/>
      <c r="G1766" s="7" t="str">
        <f aca="false">IF(A1766="","",IF(COUNTIF(Tabelas!$A:$A,IF(E1766="",A1766,E1766))&gt;0,"sim","não"))</f>
        <v/>
      </c>
      <c r="H1766" s="7" t="str">
        <f aca="false">IF(A1766="","",IF(E1766="",A1766,E1766)&amp;"."&amp;IF(F1766="",B1766,F1766))</f>
        <v/>
      </c>
      <c r="I1766" s="7" t="str">
        <f aca="false">IF(A1766="","",IFERROR(INDEX('Campos Growths'!$F:$F,MATCH(H1766,'Campos Growths'!$A:$A,0)),""))</f>
        <v/>
      </c>
      <c r="J1766" s="7" t="str">
        <f aca="false">IF(A1766="","",IFERROR(VLOOKUP(IF(ISNUMBER(SEARCH("(",C1766)),LEFT(C1766,SEARCH("(",C1766)-1),C1766),Tipos!$A:$B,2,FALSE()),"outro"))</f>
        <v/>
      </c>
      <c r="K1766" s="7" t="str">
        <f aca="false">IF(I1766="","",IFERROR(INDEX('Campos Growths'!$L:$L,MATCH(H1766,'Campos Growths'!$A:$A,0)),""))</f>
        <v/>
      </c>
      <c r="L1766" s="7" t="str">
        <f aca="false">IF(A1766="","",IF(G1766="não","Sem tabela no Growths",IF(I1766="","Sem campo no Growths",IF(J1766=K1766,"Importa direto","Ajustar tipo"))))</f>
        <v/>
      </c>
      <c r="M1766" s="9"/>
    </row>
    <row r="1767" customFormat="false" ht="15" hidden="false" customHeight="false" outlineLevel="0" collapsed="false">
      <c r="A1767" s="7" t="str">
        <f aca="false">IF('Outro banco'!A1767="","",IF(LEFT('Outro banco'!A1767,1)="(","",'Outro banco'!A1767))</f>
        <v/>
      </c>
      <c r="B1767" s="7" t="str">
        <f aca="false">IF(A1767="","",'Outro banco'!B1767)</f>
        <v/>
      </c>
      <c r="C1767" s="7" t="str">
        <f aca="false">IF(A1767="","",'Outro banco'!C1767)</f>
        <v/>
      </c>
      <c r="D1767" s="7" t="str">
        <f aca="false">IF(A1767="","",'Outro banco'!D1767)</f>
        <v/>
      </c>
      <c r="E1767" s="9"/>
      <c r="F1767" s="9"/>
      <c r="G1767" s="7" t="str">
        <f aca="false">IF(A1767="","",IF(COUNTIF(Tabelas!$A:$A,IF(E1767="",A1767,E1767))&gt;0,"sim","não"))</f>
        <v/>
      </c>
      <c r="H1767" s="7" t="str">
        <f aca="false">IF(A1767="","",IF(E1767="",A1767,E1767)&amp;"."&amp;IF(F1767="",B1767,F1767))</f>
        <v/>
      </c>
      <c r="I1767" s="7" t="str">
        <f aca="false">IF(A1767="","",IFERROR(INDEX('Campos Growths'!$F:$F,MATCH(H1767,'Campos Growths'!$A:$A,0)),""))</f>
        <v/>
      </c>
      <c r="J1767" s="7" t="str">
        <f aca="false">IF(A1767="","",IFERROR(VLOOKUP(IF(ISNUMBER(SEARCH("(",C1767)),LEFT(C1767,SEARCH("(",C1767)-1),C1767),Tipos!$A:$B,2,FALSE()),"outro"))</f>
        <v/>
      </c>
      <c r="K1767" s="7" t="str">
        <f aca="false">IF(I1767="","",IFERROR(INDEX('Campos Growths'!$L:$L,MATCH(H1767,'Campos Growths'!$A:$A,0)),""))</f>
        <v/>
      </c>
      <c r="L1767" s="7" t="str">
        <f aca="false">IF(A1767="","",IF(G1767="não","Sem tabela no Growths",IF(I1767="","Sem campo no Growths",IF(J1767=K1767,"Importa direto","Ajustar tipo"))))</f>
        <v/>
      </c>
      <c r="M1767" s="9"/>
    </row>
    <row r="1768" customFormat="false" ht="15" hidden="false" customHeight="false" outlineLevel="0" collapsed="false">
      <c r="A1768" s="7" t="str">
        <f aca="false">IF('Outro banco'!A1768="","",IF(LEFT('Outro banco'!A1768,1)="(","",'Outro banco'!A1768))</f>
        <v/>
      </c>
      <c r="B1768" s="7" t="str">
        <f aca="false">IF(A1768="","",'Outro banco'!B1768)</f>
        <v/>
      </c>
      <c r="C1768" s="7" t="str">
        <f aca="false">IF(A1768="","",'Outro banco'!C1768)</f>
        <v/>
      </c>
      <c r="D1768" s="7" t="str">
        <f aca="false">IF(A1768="","",'Outro banco'!D1768)</f>
        <v/>
      </c>
      <c r="E1768" s="9"/>
      <c r="F1768" s="9"/>
      <c r="G1768" s="7" t="str">
        <f aca="false">IF(A1768="","",IF(COUNTIF(Tabelas!$A:$A,IF(E1768="",A1768,E1768))&gt;0,"sim","não"))</f>
        <v/>
      </c>
      <c r="H1768" s="7" t="str">
        <f aca="false">IF(A1768="","",IF(E1768="",A1768,E1768)&amp;"."&amp;IF(F1768="",B1768,F1768))</f>
        <v/>
      </c>
      <c r="I1768" s="7" t="str">
        <f aca="false">IF(A1768="","",IFERROR(INDEX('Campos Growths'!$F:$F,MATCH(H1768,'Campos Growths'!$A:$A,0)),""))</f>
        <v/>
      </c>
      <c r="J1768" s="7" t="str">
        <f aca="false">IF(A1768="","",IFERROR(VLOOKUP(IF(ISNUMBER(SEARCH("(",C1768)),LEFT(C1768,SEARCH("(",C1768)-1),C1768),Tipos!$A:$B,2,FALSE()),"outro"))</f>
        <v/>
      </c>
      <c r="K1768" s="7" t="str">
        <f aca="false">IF(I1768="","",IFERROR(INDEX('Campos Growths'!$L:$L,MATCH(H1768,'Campos Growths'!$A:$A,0)),""))</f>
        <v/>
      </c>
      <c r="L1768" s="7" t="str">
        <f aca="false">IF(A1768="","",IF(G1768="não","Sem tabela no Growths",IF(I1768="","Sem campo no Growths",IF(J1768=K1768,"Importa direto","Ajustar tipo"))))</f>
        <v/>
      </c>
      <c r="M1768" s="9"/>
    </row>
    <row r="1769" customFormat="false" ht="15" hidden="false" customHeight="false" outlineLevel="0" collapsed="false">
      <c r="A1769" s="7" t="str">
        <f aca="false">IF('Outro banco'!A1769="","",IF(LEFT('Outro banco'!A1769,1)="(","",'Outro banco'!A1769))</f>
        <v/>
      </c>
      <c r="B1769" s="7" t="str">
        <f aca="false">IF(A1769="","",'Outro banco'!B1769)</f>
        <v/>
      </c>
      <c r="C1769" s="7" t="str">
        <f aca="false">IF(A1769="","",'Outro banco'!C1769)</f>
        <v/>
      </c>
      <c r="D1769" s="7" t="str">
        <f aca="false">IF(A1769="","",'Outro banco'!D1769)</f>
        <v/>
      </c>
      <c r="E1769" s="9"/>
      <c r="F1769" s="9"/>
      <c r="G1769" s="7" t="str">
        <f aca="false">IF(A1769="","",IF(COUNTIF(Tabelas!$A:$A,IF(E1769="",A1769,E1769))&gt;0,"sim","não"))</f>
        <v/>
      </c>
      <c r="H1769" s="7" t="str">
        <f aca="false">IF(A1769="","",IF(E1769="",A1769,E1769)&amp;"."&amp;IF(F1769="",B1769,F1769))</f>
        <v/>
      </c>
      <c r="I1769" s="7" t="str">
        <f aca="false">IF(A1769="","",IFERROR(INDEX('Campos Growths'!$F:$F,MATCH(H1769,'Campos Growths'!$A:$A,0)),""))</f>
        <v/>
      </c>
      <c r="J1769" s="7" t="str">
        <f aca="false">IF(A1769="","",IFERROR(VLOOKUP(IF(ISNUMBER(SEARCH("(",C1769)),LEFT(C1769,SEARCH("(",C1769)-1),C1769),Tipos!$A:$B,2,FALSE()),"outro"))</f>
        <v/>
      </c>
      <c r="K1769" s="7" t="str">
        <f aca="false">IF(I1769="","",IFERROR(INDEX('Campos Growths'!$L:$L,MATCH(H1769,'Campos Growths'!$A:$A,0)),""))</f>
        <v/>
      </c>
      <c r="L1769" s="7" t="str">
        <f aca="false">IF(A1769="","",IF(G1769="não","Sem tabela no Growths",IF(I1769="","Sem campo no Growths",IF(J1769=K1769,"Importa direto","Ajustar tipo"))))</f>
        <v/>
      </c>
      <c r="M1769" s="9"/>
    </row>
    <row r="1770" customFormat="false" ht="15" hidden="false" customHeight="false" outlineLevel="0" collapsed="false">
      <c r="A1770" s="7" t="str">
        <f aca="false">IF('Outro banco'!A1770="","",IF(LEFT('Outro banco'!A1770,1)="(","",'Outro banco'!A1770))</f>
        <v/>
      </c>
      <c r="B1770" s="7" t="str">
        <f aca="false">IF(A1770="","",'Outro banco'!B1770)</f>
        <v/>
      </c>
      <c r="C1770" s="7" t="str">
        <f aca="false">IF(A1770="","",'Outro banco'!C1770)</f>
        <v/>
      </c>
      <c r="D1770" s="7" t="str">
        <f aca="false">IF(A1770="","",'Outro banco'!D1770)</f>
        <v/>
      </c>
      <c r="E1770" s="9"/>
      <c r="F1770" s="9"/>
      <c r="G1770" s="7" t="str">
        <f aca="false">IF(A1770="","",IF(COUNTIF(Tabelas!$A:$A,IF(E1770="",A1770,E1770))&gt;0,"sim","não"))</f>
        <v/>
      </c>
      <c r="H1770" s="7" t="str">
        <f aca="false">IF(A1770="","",IF(E1770="",A1770,E1770)&amp;"."&amp;IF(F1770="",B1770,F1770))</f>
        <v/>
      </c>
      <c r="I1770" s="7" t="str">
        <f aca="false">IF(A1770="","",IFERROR(INDEX('Campos Growths'!$F:$F,MATCH(H1770,'Campos Growths'!$A:$A,0)),""))</f>
        <v/>
      </c>
      <c r="J1770" s="7" t="str">
        <f aca="false">IF(A1770="","",IFERROR(VLOOKUP(IF(ISNUMBER(SEARCH("(",C1770)),LEFT(C1770,SEARCH("(",C1770)-1),C1770),Tipos!$A:$B,2,FALSE()),"outro"))</f>
        <v/>
      </c>
      <c r="K1770" s="7" t="str">
        <f aca="false">IF(I1770="","",IFERROR(INDEX('Campos Growths'!$L:$L,MATCH(H1770,'Campos Growths'!$A:$A,0)),""))</f>
        <v/>
      </c>
      <c r="L1770" s="7" t="str">
        <f aca="false">IF(A1770="","",IF(G1770="não","Sem tabela no Growths",IF(I1770="","Sem campo no Growths",IF(J1770=K1770,"Importa direto","Ajustar tipo"))))</f>
        <v/>
      </c>
      <c r="M1770" s="9"/>
    </row>
    <row r="1771" customFormat="false" ht="15" hidden="false" customHeight="false" outlineLevel="0" collapsed="false">
      <c r="A1771" s="7" t="str">
        <f aca="false">IF('Outro banco'!A1771="","",IF(LEFT('Outro banco'!A1771,1)="(","",'Outro banco'!A1771))</f>
        <v/>
      </c>
      <c r="B1771" s="7" t="str">
        <f aca="false">IF(A1771="","",'Outro banco'!B1771)</f>
        <v/>
      </c>
      <c r="C1771" s="7" t="str">
        <f aca="false">IF(A1771="","",'Outro banco'!C1771)</f>
        <v/>
      </c>
      <c r="D1771" s="7" t="str">
        <f aca="false">IF(A1771="","",'Outro banco'!D1771)</f>
        <v/>
      </c>
      <c r="E1771" s="9"/>
      <c r="F1771" s="9"/>
      <c r="G1771" s="7" t="str">
        <f aca="false">IF(A1771="","",IF(COUNTIF(Tabelas!$A:$A,IF(E1771="",A1771,E1771))&gt;0,"sim","não"))</f>
        <v/>
      </c>
      <c r="H1771" s="7" t="str">
        <f aca="false">IF(A1771="","",IF(E1771="",A1771,E1771)&amp;"."&amp;IF(F1771="",B1771,F1771))</f>
        <v/>
      </c>
      <c r="I1771" s="7" t="str">
        <f aca="false">IF(A1771="","",IFERROR(INDEX('Campos Growths'!$F:$F,MATCH(H1771,'Campos Growths'!$A:$A,0)),""))</f>
        <v/>
      </c>
      <c r="J1771" s="7" t="str">
        <f aca="false">IF(A1771="","",IFERROR(VLOOKUP(IF(ISNUMBER(SEARCH("(",C1771)),LEFT(C1771,SEARCH("(",C1771)-1),C1771),Tipos!$A:$B,2,FALSE()),"outro"))</f>
        <v/>
      </c>
      <c r="K1771" s="7" t="str">
        <f aca="false">IF(I1771="","",IFERROR(INDEX('Campos Growths'!$L:$L,MATCH(H1771,'Campos Growths'!$A:$A,0)),""))</f>
        <v/>
      </c>
      <c r="L1771" s="7" t="str">
        <f aca="false">IF(A1771="","",IF(G1771="não","Sem tabela no Growths",IF(I1771="","Sem campo no Growths",IF(J1771=K1771,"Importa direto","Ajustar tipo"))))</f>
        <v/>
      </c>
      <c r="M1771" s="9"/>
    </row>
    <row r="1772" customFormat="false" ht="15" hidden="false" customHeight="false" outlineLevel="0" collapsed="false">
      <c r="A1772" s="7" t="str">
        <f aca="false">IF('Outro banco'!A1772="","",IF(LEFT('Outro banco'!A1772,1)="(","",'Outro banco'!A1772))</f>
        <v/>
      </c>
      <c r="B1772" s="7" t="str">
        <f aca="false">IF(A1772="","",'Outro banco'!B1772)</f>
        <v/>
      </c>
      <c r="C1772" s="7" t="str">
        <f aca="false">IF(A1772="","",'Outro banco'!C1772)</f>
        <v/>
      </c>
      <c r="D1772" s="7" t="str">
        <f aca="false">IF(A1772="","",'Outro banco'!D1772)</f>
        <v/>
      </c>
      <c r="E1772" s="9"/>
      <c r="F1772" s="9"/>
      <c r="G1772" s="7" t="str">
        <f aca="false">IF(A1772="","",IF(COUNTIF(Tabelas!$A:$A,IF(E1772="",A1772,E1772))&gt;0,"sim","não"))</f>
        <v/>
      </c>
      <c r="H1772" s="7" t="str">
        <f aca="false">IF(A1772="","",IF(E1772="",A1772,E1772)&amp;"."&amp;IF(F1772="",B1772,F1772))</f>
        <v/>
      </c>
      <c r="I1772" s="7" t="str">
        <f aca="false">IF(A1772="","",IFERROR(INDEX('Campos Growths'!$F:$F,MATCH(H1772,'Campos Growths'!$A:$A,0)),""))</f>
        <v/>
      </c>
      <c r="J1772" s="7" t="str">
        <f aca="false">IF(A1772="","",IFERROR(VLOOKUP(IF(ISNUMBER(SEARCH("(",C1772)),LEFT(C1772,SEARCH("(",C1772)-1),C1772),Tipos!$A:$B,2,FALSE()),"outro"))</f>
        <v/>
      </c>
      <c r="K1772" s="7" t="str">
        <f aca="false">IF(I1772="","",IFERROR(INDEX('Campos Growths'!$L:$L,MATCH(H1772,'Campos Growths'!$A:$A,0)),""))</f>
        <v/>
      </c>
      <c r="L1772" s="7" t="str">
        <f aca="false">IF(A1772="","",IF(G1772="não","Sem tabela no Growths",IF(I1772="","Sem campo no Growths",IF(J1772=K1772,"Importa direto","Ajustar tipo"))))</f>
        <v/>
      </c>
      <c r="M1772" s="9"/>
    </row>
    <row r="1773" customFormat="false" ht="15" hidden="false" customHeight="false" outlineLevel="0" collapsed="false">
      <c r="A1773" s="7" t="str">
        <f aca="false">IF('Outro banco'!A1773="","",IF(LEFT('Outro banco'!A1773,1)="(","",'Outro banco'!A1773))</f>
        <v/>
      </c>
      <c r="B1773" s="7" t="str">
        <f aca="false">IF(A1773="","",'Outro banco'!B1773)</f>
        <v/>
      </c>
      <c r="C1773" s="7" t="str">
        <f aca="false">IF(A1773="","",'Outro banco'!C1773)</f>
        <v/>
      </c>
      <c r="D1773" s="7" t="str">
        <f aca="false">IF(A1773="","",'Outro banco'!D1773)</f>
        <v/>
      </c>
      <c r="E1773" s="9"/>
      <c r="F1773" s="9"/>
      <c r="G1773" s="7" t="str">
        <f aca="false">IF(A1773="","",IF(COUNTIF(Tabelas!$A:$A,IF(E1773="",A1773,E1773))&gt;0,"sim","não"))</f>
        <v/>
      </c>
      <c r="H1773" s="7" t="str">
        <f aca="false">IF(A1773="","",IF(E1773="",A1773,E1773)&amp;"."&amp;IF(F1773="",B1773,F1773))</f>
        <v/>
      </c>
      <c r="I1773" s="7" t="str">
        <f aca="false">IF(A1773="","",IFERROR(INDEX('Campos Growths'!$F:$F,MATCH(H1773,'Campos Growths'!$A:$A,0)),""))</f>
        <v/>
      </c>
      <c r="J1773" s="7" t="str">
        <f aca="false">IF(A1773="","",IFERROR(VLOOKUP(IF(ISNUMBER(SEARCH("(",C1773)),LEFT(C1773,SEARCH("(",C1773)-1),C1773),Tipos!$A:$B,2,FALSE()),"outro"))</f>
        <v/>
      </c>
      <c r="K1773" s="7" t="str">
        <f aca="false">IF(I1773="","",IFERROR(INDEX('Campos Growths'!$L:$L,MATCH(H1773,'Campos Growths'!$A:$A,0)),""))</f>
        <v/>
      </c>
      <c r="L1773" s="7" t="str">
        <f aca="false">IF(A1773="","",IF(G1773="não","Sem tabela no Growths",IF(I1773="","Sem campo no Growths",IF(J1773=K1773,"Importa direto","Ajustar tipo"))))</f>
        <v/>
      </c>
      <c r="M1773" s="9"/>
    </row>
    <row r="1774" customFormat="false" ht="15" hidden="false" customHeight="false" outlineLevel="0" collapsed="false">
      <c r="A1774" s="7" t="str">
        <f aca="false">IF('Outro banco'!A1774="","",IF(LEFT('Outro banco'!A1774,1)="(","",'Outro banco'!A1774))</f>
        <v/>
      </c>
      <c r="B1774" s="7" t="str">
        <f aca="false">IF(A1774="","",'Outro banco'!B1774)</f>
        <v/>
      </c>
      <c r="C1774" s="7" t="str">
        <f aca="false">IF(A1774="","",'Outro banco'!C1774)</f>
        <v/>
      </c>
      <c r="D1774" s="7" t="str">
        <f aca="false">IF(A1774="","",'Outro banco'!D1774)</f>
        <v/>
      </c>
      <c r="E1774" s="9"/>
      <c r="F1774" s="9"/>
      <c r="G1774" s="7" t="str">
        <f aca="false">IF(A1774="","",IF(COUNTIF(Tabelas!$A:$A,IF(E1774="",A1774,E1774))&gt;0,"sim","não"))</f>
        <v/>
      </c>
      <c r="H1774" s="7" t="str">
        <f aca="false">IF(A1774="","",IF(E1774="",A1774,E1774)&amp;"."&amp;IF(F1774="",B1774,F1774))</f>
        <v/>
      </c>
      <c r="I1774" s="7" t="str">
        <f aca="false">IF(A1774="","",IFERROR(INDEX('Campos Growths'!$F:$F,MATCH(H1774,'Campos Growths'!$A:$A,0)),""))</f>
        <v/>
      </c>
      <c r="J1774" s="7" t="str">
        <f aca="false">IF(A1774="","",IFERROR(VLOOKUP(IF(ISNUMBER(SEARCH("(",C1774)),LEFT(C1774,SEARCH("(",C1774)-1),C1774),Tipos!$A:$B,2,FALSE()),"outro"))</f>
        <v/>
      </c>
      <c r="K1774" s="7" t="str">
        <f aca="false">IF(I1774="","",IFERROR(INDEX('Campos Growths'!$L:$L,MATCH(H1774,'Campos Growths'!$A:$A,0)),""))</f>
        <v/>
      </c>
      <c r="L1774" s="7" t="str">
        <f aca="false">IF(A1774="","",IF(G1774="não","Sem tabela no Growths",IF(I1774="","Sem campo no Growths",IF(J1774=K1774,"Importa direto","Ajustar tipo"))))</f>
        <v/>
      </c>
      <c r="M1774" s="9"/>
    </row>
    <row r="1775" customFormat="false" ht="15" hidden="false" customHeight="false" outlineLevel="0" collapsed="false">
      <c r="A1775" s="7" t="str">
        <f aca="false">IF('Outro banco'!A1775="","",IF(LEFT('Outro banco'!A1775,1)="(","",'Outro banco'!A1775))</f>
        <v/>
      </c>
      <c r="B1775" s="7" t="str">
        <f aca="false">IF(A1775="","",'Outro banco'!B1775)</f>
        <v/>
      </c>
      <c r="C1775" s="7" t="str">
        <f aca="false">IF(A1775="","",'Outro banco'!C1775)</f>
        <v/>
      </c>
      <c r="D1775" s="7" t="str">
        <f aca="false">IF(A1775="","",'Outro banco'!D1775)</f>
        <v/>
      </c>
      <c r="E1775" s="9"/>
      <c r="F1775" s="9"/>
      <c r="G1775" s="7" t="str">
        <f aca="false">IF(A1775="","",IF(COUNTIF(Tabelas!$A:$A,IF(E1775="",A1775,E1775))&gt;0,"sim","não"))</f>
        <v/>
      </c>
      <c r="H1775" s="7" t="str">
        <f aca="false">IF(A1775="","",IF(E1775="",A1775,E1775)&amp;"."&amp;IF(F1775="",B1775,F1775))</f>
        <v/>
      </c>
      <c r="I1775" s="7" t="str">
        <f aca="false">IF(A1775="","",IFERROR(INDEX('Campos Growths'!$F:$F,MATCH(H1775,'Campos Growths'!$A:$A,0)),""))</f>
        <v/>
      </c>
      <c r="J1775" s="7" t="str">
        <f aca="false">IF(A1775="","",IFERROR(VLOOKUP(IF(ISNUMBER(SEARCH("(",C1775)),LEFT(C1775,SEARCH("(",C1775)-1),C1775),Tipos!$A:$B,2,FALSE()),"outro"))</f>
        <v/>
      </c>
      <c r="K1775" s="7" t="str">
        <f aca="false">IF(I1775="","",IFERROR(INDEX('Campos Growths'!$L:$L,MATCH(H1775,'Campos Growths'!$A:$A,0)),""))</f>
        <v/>
      </c>
      <c r="L1775" s="7" t="str">
        <f aca="false">IF(A1775="","",IF(G1775="não","Sem tabela no Growths",IF(I1775="","Sem campo no Growths",IF(J1775=K1775,"Importa direto","Ajustar tipo"))))</f>
        <v/>
      </c>
      <c r="M1775" s="9"/>
    </row>
    <row r="1776" customFormat="false" ht="15" hidden="false" customHeight="false" outlineLevel="0" collapsed="false">
      <c r="A1776" s="7" t="str">
        <f aca="false">IF('Outro banco'!A1776="","",IF(LEFT('Outro banco'!A1776,1)="(","",'Outro banco'!A1776))</f>
        <v/>
      </c>
      <c r="B1776" s="7" t="str">
        <f aca="false">IF(A1776="","",'Outro banco'!B1776)</f>
        <v/>
      </c>
      <c r="C1776" s="7" t="str">
        <f aca="false">IF(A1776="","",'Outro banco'!C1776)</f>
        <v/>
      </c>
      <c r="D1776" s="7" t="str">
        <f aca="false">IF(A1776="","",'Outro banco'!D1776)</f>
        <v/>
      </c>
      <c r="E1776" s="9"/>
      <c r="F1776" s="9"/>
      <c r="G1776" s="7" t="str">
        <f aca="false">IF(A1776="","",IF(COUNTIF(Tabelas!$A:$A,IF(E1776="",A1776,E1776))&gt;0,"sim","não"))</f>
        <v/>
      </c>
      <c r="H1776" s="7" t="str">
        <f aca="false">IF(A1776="","",IF(E1776="",A1776,E1776)&amp;"."&amp;IF(F1776="",B1776,F1776))</f>
        <v/>
      </c>
      <c r="I1776" s="7" t="str">
        <f aca="false">IF(A1776="","",IFERROR(INDEX('Campos Growths'!$F:$F,MATCH(H1776,'Campos Growths'!$A:$A,0)),""))</f>
        <v/>
      </c>
      <c r="J1776" s="7" t="str">
        <f aca="false">IF(A1776="","",IFERROR(VLOOKUP(IF(ISNUMBER(SEARCH("(",C1776)),LEFT(C1776,SEARCH("(",C1776)-1),C1776),Tipos!$A:$B,2,FALSE()),"outro"))</f>
        <v/>
      </c>
      <c r="K1776" s="7" t="str">
        <f aca="false">IF(I1776="","",IFERROR(INDEX('Campos Growths'!$L:$L,MATCH(H1776,'Campos Growths'!$A:$A,0)),""))</f>
        <v/>
      </c>
      <c r="L1776" s="7" t="str">
        <f aca="false">IF(A1776="","",IF(G1776="não","Sem tabela no Growths",IF(I1776="","Sem campo no Growths",IF(J1776=K1776,"Importa direto","Ajustar tipo"))))</f>
        <v/>
      </c>
      <c r="M1776" s="9"/>
    </row>
    <row r="1777" customFormat="false" ht="15" hidden="false" customHeight="false" outlineLevel="0" collapsed="false">
      <c r="A1777" s="7" t="str">
        <f aca="false">IF('Outro banco'!A1777="","",IF(LEFT('Outro banco'!A1777,1)="(","",'Outro banco'!A1777))</f>
        <v/>
      </c>
      <c r="B1777" s="7" t="str">
        <f aca="false">IF(A1777="","",'Outro banco'!B1777)</f>
        <v/>
      </c>
      <c r="C1777" s="7" t="str">
        <f aca="false">IF(A1777="","",'Outro banco'!C1777)</f>
        <v/>
      </c>
      <c r="D1777" s="7" t="str">
        <f aca="false">IF(A1777="","",'Outro banco'!D1777)</f>
        <v/>
      </c>
      <c r="E1777" s="9"/>
      <c r="F1777" s="9"/>
      <c r="G1777" s="7" t="str">
        <f aca="false">IF(A1777="","",IF(COUNTIF(Tabelas!$A:$A,IF(E1777="",A1777,E1777))&gt;0,"sim","não"))</f>
        <v/>
      </c>
      <c r="H1777" s="7" t="str">
        <f aca="false">IF(A1777="","",IF(E1777="",A1777,E1777)&amp;"."&amp;IF(F1777="",B1777,F1777))</f>
        <v/>
      </c>
      <c r="I1777" s="7" t="str">
        <f aca="false">IF(A1777="","",IFERROR(INDEX('Campos Growths'!$F:$F,MATCH(H1777,'Campos Growths'!$A:$A,0)),""))</f>
        <v/>
      </c>
      <c r="J1777" s="7" t="str">
        <f aca="false">IF(A1777="","",IFERROR(VLOOKUP(IF(ISNUMBER(SEARCH("(",C1777)),LEFT(C1777,SEARCH("(",C1777)-1),C1777),Tipos!$A:$B,2,FALSE()),"outro"))</f>
        <v/>
      </c>
      <c r="K1777" s="7" t="str">
        <f aca="false">IF(I1777="","",IFERROR(INDEX('Campos Growths'!$L:$L,MATCH(H1777,'Campos Growths'!$A:$A,0)),""))</f>
        <v/>
      </c>
      <c r="L1777" s="7" t="str">
        <f aca="false">IF(A1777="","",IF(G1777="não","Sem tabela no Growths",IF(I1777="","Sem campo no Growths",IF(J1777=K1777,"Importa direto","Ajustar tipo"))))</f>
        <v/>
      </c>
      <c r="M1777" s="9"/>
    </row>
    <row r="1778" customFormat="false" ht="15" hidden="false" customHeight="false" outlineLevel="0" collapsed="false">
      <c r="A1778" s="7" t="str">
        <f aca="false">IF('Outro banco'!A1778="","",IF(LEFT('Outro banco'!A1778,1)="(","",'Outro banco'!A1778))</f>
        <v/>
      </c>
      <c r="B1778" s="7" t="str">
        <f aca="false">IF(A1778="","",'Outro banco'!B1778)</f>
        <v/>
      </c>
      <c r="C1778" s="7" t="str">
        <f aca="false">IF(A1778="","",'Outro banco'!C1778)</f>
        <v/>
      </c>
      <c r="D1778" s="7" t="str">
        <f aca="false">IF(A1778="","",'Outro banco'!D1778)</f>
        <v/>
      </c>
      <c r="E1778" s="9"/>
      <c r="F1778" s="9"/>
      <c r="G1778" s="7" t="str">
        <f aca="false">IF(A1778="","",IF(COUNTIF(Tabelas!$A:$A,IF(E1778="",A1778,E1778))&gt;0,"sim","não"))</f>
        <v/>
      </c>
      <c r="H1778" s="7" t="str">
        <f aca="false">IF(A1778="","",IF(E1778="",A1778,E1778)&amp;"."&amp;IF(F1778="",B1778,F1778))</f>
        <v/>
      </c>
      <c r="I1778" s="7" t="str">
        <f aca="false">IF(A1778="","",IFERROR(INDEX('Campos Growths'!$F:$F,MATCH(H1778,'Campos Growths'!$A:$A,0)),""))</f>
        <v/>
      </c>
      <c r="J1778" s="7" t="str">
        <f aca="false">IF(A1778="","",IFERROR(VLOOKUP(IF(ISNUMBER(SEARCH("(",C1778)),LEFT(C1778,SEARCH("(",C1778)-1),C1778),Tipos!$A:$B,2,FALSE()),"outro"))</f>
        <v/>
      </c>
      <c r="K1778" s="7" t="str">
        <f aca="false">IF(I1778="","",IFERROR(INDEX('Campos Growths'!$L:$L,MATCH(H1778,'Campos Growths'!$A:$A,0)),""))</f>
        <v/>
      </c>
      <c r="L1778" s="7" t="str">
        <f aca="false">IF(A1778="","",IF(G1778="não","Sem tabela no Growths",IF(I1778="","Sem campo no Growths",IF(J1778=K1778,"Importa direto","Ajustar tipo"))))</f>
        <v/>
      </c>
      <c r="M1778" s="9"/>
    </row>
    <row r="1779" customFormat="false" ht="15" hidden="false" customHeight="false" outlineLevel="0" collapsed="false">
      <c r="A1779" s="7" t="str">
        <f aca="false">IF('Outro banco'!A1779="","",IF(LEFT('Outro banco'!A1779,1)="(","",'Outro banco'!A1779))</f>
        <v/>
      </c>
      <c r="B1779" s="7" t="str">
        <f aca="false">IF(A1779="","",'Outro banco'!B1779)</f>
        <v/>
      </c>
      <c r="C1779" s="7" t="str">
        <f aca="false">IF(A1779="","",'Outro banco'!C1779)</f>
        <v/>
      </c>
      <c r="D1779" s="7" t="str">
        <f aca="false">IF(A1779="","",'Outro banco'!D1779)</f>
        <v/>
      </c>
      <c r="E1779" s="9"/>
      <c r="F1779" s="9"/>
      <c r="G1779" s="7" t="str">
        <f aca="false">IF(A1779="","",IF(COUNTIF(Tabelas!$A:$A,IF(E1779="",A1779,E1779))&gt;0,"sim","não"))</f>
        <v/>
      </c>
      <c r="H1779" s="7" t="str">
        <f aca="false">IF(A1779="","",IF(E1779="",A1779,E1779)&amp;"."&amp;IF(F1779="",B1779,F1779))</f>
        <v/>
      </c>
      <c r="I1779" s="7" t="str">
        <f aca="false">IF(A1779="","",IFERROR(INDEX('Campos Growths'!$F:$F,MATCH(H1779,'Campos Growths'!$A:$A,0)),""))</f>
        <v/>
      </c>
      <c r="J1779" s="7" t="str">
        <f aca="false">IF(A1779="","",IFERROR(VLOOKUP(IF(ISNUMBER(SEARCH("(",C1779)),LEFT(C1779,SEARCH("(",C1779)-1),C1779),Tipos!$A:$B,2,FALSE()),"outro"))</f>
        <v/>
      </c>
      <c r="K1779" s="7" t="str">
        <f aca="false">IF(I1779="","",IFERROR(INDEX('Campos Growths'!$L:$L,MATCH(H1779,'Campos Growths'!$A:$A,0)),""))</f>
        <v/>
      </c>
      <c r="L1779" s="7" t="str">
        <f aca="false">IF(A1779="","",IF(G1779="não","Sem tabela no Growths",IF(I1779="","Sem campo no Growths",IF(J1779=K1779,"Importa direto","Ajustar tipo"))))</f>
        <v/>
      </c>
      <c r="M1779" s="9"/>
    </row>
    <row r="1780" customFormat="false" ht="15" hidden="false" customHeight="false" outlineLevel="0" collapsed="false">
      <c r="A1780" s="7" t="str">
        <f aca="false">IF('Outro banco'!A1780="","",IF(LEFT('Outro banco'!A1780,1)="(","",'Outro banco'!A1780))</f>
        <v/>
      </c>
      <c r="B1780" s="7" t="str">
        <f aca="false">IF(A1780="","",'Outro banco'!B1780)</f>
        <v/>
      </c>
      <c r="C1780" s="7" t="str">
        <f aca="false">IF(A1780="","",'Outro banco'!C1780)</f>
        <v/>
      </c>
      <c r="D1780" s="7" t="str">
        <f aca="false">IF(A1780="","",'Outro banco'!D1780)</f>
        <v/>
      </c>
      <c r="E1780" s="9"/>
      <c r="F1780" s="9"/>
      <c r="G1780" s="7" t="str">
        <f aca="false">IF(A1780="","",IF(COUNTIF(Tabelas!$A:$A,IF(E1780="",A1780,E1780))&gt;0,"sim","não"))</f>
        <v/>
      </c>
      <c r="H1780" s="7" t="str">
        <f aca="false">IF(A1780="","",IF(E1780="",A1780,E1780)&amp;"."&amp;IF(F1780="",B1780,F1780))</f>
        <v/>
      </c>
      <c r="I1780" s="7" t="str">
        <f aca="false">IF(A1780="","",IFERROR(INDEX('Campos Growths'!$F:$F,MATCH(H1780,'Campos Growths'!$A:$A,0)),""))</f>
        <v/>
      </c>
      <c r="J1780" s="7" t="str">
        <f aca="false">IF(A1780="","",IFERROR(VLOOKUP(IF(ISNUMBER(SEARCH("(",C1780)),LEFT(C1780,SEARCH("(",C1780)-1),C1780),Tipos!$A:$B,2,FALSE()),"outro"))</f>
        <v/>
      </c>
      <c r="K1780" s="7" t="str">
        <f aca="false">IF(I1780="","",IFERROR(INDEX('Campos Growths'!$L:$L,MATCH(H1780,'Campos Growths'!$A:$A,0)),""))</f>
        <v/>
      </c>
      <c r="L1780" s="7" t="str">
        <f aca="false">IF(A1780="","",IF(G1780="não","Sem tabela no Growths",IF(I1780="","Sem campo no Growths",IF(J1780=K1780,"Importa direto","Ajustar tipo"))))</f>
        <v/>
      </c>
      <c r="M1780" s="9"/>
    </row>
    <row r="1781" customFormat="false" ht="15" hidden="false" customHeight="false" outlineLevel="0" collapsed="false">
      <c r="A1781" s="7" t="str">
        <f aca="false">IF('Outro banco'!A1781="","",IF(LEFT('Outro banco'!A1781,1)="(","",'Outro banco'!A1781))</f>
        <v/>
      </c>
      <c r="B1781" s="7" t="str">
        <f aca="false">IF(A1781="","",'Outro banco'!B1781)</f>
        <v/>
      </c>
      <c r="C1781" s="7" t="str">
        <f aca="false">IF(A1781="","",'Outro banco'!C1781)</f>
        <v/>
      </c>
      <c r="D1781" s="7" t="str">
        <f aca="false">IF(A1781="","",'Outro banco'!D1781)</f>
        <v/>
      </c>
      <c r="E1781" s="9"/>
      <c r="F1781" s="9"/>
      <c r="G1781" s="7" t="str">
        <f aca="false">IF(A1781="","",IF(COUNTIF(Tabelas!$A:$A,IF(E1781="",A1781,E1781))&gt;0,"sim","não"))</f>
        <v/>
      </c>
      <c r="H1781" s="7" t="str">
        <f aca="false">IF(A1781="","",IF(E1781="",A1781,E1781)&amp;"."&amp;IF(F1781="",B1781,F1781))</f>
        <v/>
      </c>
      <c r="I1781" s="7" t="str">
        <f aca="false">IF(A1781="","",IFERROR(INDEX('Campos Growths'!$F:$F,MATCH(H1781,'Campos Growths'!$A:$A,0)),""))</f>
        <v/>
      </c>
      <c r="J1781" s="7" t="str">
        <f aca="false">IF(A1781="","",IFERROR(VLOOKUP(IF(ISNUMBER(SEARCH("(",C1781)),LEFT(C1781,SEARCH("(",C1781)-1),C1781),Tipos!$A:$B,2,FALSE()),"outro"))</f>
        <v/>
      </c>
      <c r="K1781" s="7" t="str">
        <f aca="false">IF(I1781="","",IFERROR(INDEX('Campos Growths'!$L:$L,MATCH(H1781,'Campos Growths'!$A:$A,0)),""))</f>
        <v/>
      </c>
      <c r="L1781" s="7" t="str">
        <f aca="false">IF(A1781="","",IF(G1781="não","Sem tabela no Growths",IF(I1781="","Sem campo no Growths",IF(J1781=K1781,"Importa direto","Ajustar tipo"))))</f>
        <v/>
      </c>
      <c r="M1781" s="9"/>
    </row>
    <row r="1782" customFormat="false" ht="15" hidden="false" customHeight="false" outlineLevel="0" collapsed="false">
      <c r="A1782" s="7" t="str">
        <f aca="false">IF('Outro banco'!A1782="","",IF(LEFT('Outro banco'!A1782,1)="(","",'Outro banco'!A1782))</f>
        <v/>
      </c>
      <c r="B1782" s="7" t="str">
        <f aca="false">IF(A1782="","",'Outro banco'!B1782)</f>
        <v/>
      </c>
      <c r="C1782" s="7" t="str">
        <f aca="false">IF(A1782="","",'Outro banco'!C1782)</f>
        <v/>
      </c>
      <c r="D1782" s="7" t="str">
        <f aca="false">IF(A1782="","",'Outro banco'!D1782)</f>
        <v/>
      </c>
      <c r="E1782" s="9"/>
      <c r="F1782" s="9"/>
      <c r="G1782" s="7" t="str">
        <f aca="false">IF(A1782="","",IF(COUNTIF(Tabelas!$A:$A,IF(E1782="",A1782,E1782))&gt;0,"sim","não"))</f>
        <v/>
      </c>
      <c r="H1782" s="7" t="str">
        <f aca="false">IF(A1782="","",IF(E1782="",A1782,E1782)&amp;"."&amp;IF(F1782="",B1782,F1782))</f>
        <v/>
      </c>
      <c r="I1782" s="7" t="str">
        <f aca="false">IF(A1782="","",IFERROR(INDEX('Campos Growths'!$F:$F,MATCH(H1782,'Campos Growths'!$A:$A,0)),""))</f>
        <v/>
      </c>
      <c r="J1782" s="7" t="str">
        <f aca="false">IF(A1782="","",IFERROR(VLOOKUP(IF(ISNUMBER(SEARCH("(",C1782)),LEFT(C1782,SEARCH("(",C1782)-1),C1782),Tipos!$A:$B,2,FALSE()),"outro"))</f>
        <v/>
      </c>
      <c r="K1782" s="7" t="str">
        <f aca="false">IF(I1782="","",IFERROR(INDEX('Campos Growths'!$L:$L,MATCH(H1782,'Campos Growths'!$A:$A,0)),""))</f>
        <v/>
      </c>
      <c r="L1782" s="7" t="str">
        <f aca="false">IF(A1782="","",IF(G1782="não","Sem tabela no Growths",IF(I1782="","Sem campo no Growths",IF(J1782=K1782,"Importa direto","Ajustar tipo"))))</f>
        <v/>
      </c>
      <c r="M1782" s="9"/>
    </row>
    <row r="1783" customFormat="false" ht="15" hidden="false" customHeight="false" outlineLevel="0" collapsed="false">
      <c r="A1783" s="7" t="str">
        <f aca="false">IF('Outro banco'!A1783="","",IF(LEFT('Outro banco'!A1783,1)="(","",'Outro banco'!A1783))</f>
        <v/>
      </c>
      <c r="B1783" s="7" t="str">
        <f aca="false">IF(A1783="","",'Outro banco'!B1783)</f>
        <v/>
      </c>
      <c r="C1783" s="7" t="str">
        <f aca="false">IF(A1783="","",'Outro banco'!C1783)</f>
        <v/>
      </c>
      <c r="D1783" s="7" t="str">
        <f aca="false">IF(A1783="","",'Outro banco'!D1783)</f>
        <v/>
      </c>
      <c r="E1783" s="9"/>
      <c r="F1783" s="9"/>
      <c r="G1783" s="7" t="str">
        <f aca="false">IF(A1783="","",IF(COUNTIF(Tabelas!$A:$A,IF(E1783="",A1783,E1783))&gt;0,"sim","não"))</f>
        <v/>
      </c>
      <c r="H1783" s="7" t="str">
        <f aca="false">IF(A1783="","",IF(E1783="",A1783,E1783)&amp;"."&amp;IF(F1783="",B1783,F1783))</f>
        <v/>
      </c>
      <c r="I1783" s="7" t="str">
        <f aca="false">IF(A1783="","",IFERROR(INDEX('Campos Growths'!$F:$F,MATCH(H1783,'Campos Growths'!$A:$A,0)),""))</f>
        <v/>
      </c>
      <c r="J1783" s="7" t="str">
        <f aca="false">IF(A1783="","",IFERROR(VLOOKUP(IF(ISNUMBER(SEARCH("(",C1783)),LEFT(C1783,SEARCH("(",C1783)-1),C1783),Tipos!$A:$B,2,FALSE()),"outro"))</f>
        <v/>
      </c>
      <c r="K1783" s="7" t="str">
        <f aca="false">IF(I1783="","",IFERROR(INDEX('Campos Growths'!$L:$L,MATCH(H1783,'Campos Growths'!$A:$A,0)),""))</f>
        <v/>
      </c>
      <c r="L1783" s="7" t="str">
        <f aca="false">IF(A1783="","",IF(G1783="não","Sem tabela no Growths",IF(I1783="","Sem campo no Growths",IF(J1783=K1783,"Importa direto","Ajustar tipo"))))</f>
        <v/>
      </c>
      <c r="M1783" s="9"/>
    </row>
    <row r="1784" customFormat="false" ht="15" hidden="false" customHeight="false" outlineLevel="0" collapsed="false">
      <c r="A1784" s="7" t="str">
        <f aca="false">IF('Outro banco'!A1784="","",IF(LEFT('Outro banco'!A1784,1)="(","",'Outro banco'!A1784))</f>
        <v/>
      </c>
      <c r="B1784" s="7" t="str">
        <f aca="false">IF(A1784="","",'Outro banco'!B1784)</f>
        <v/>
      </c>
      <c r="C1784" s="7" t="str">
        <f aca="false">IF(A1784="","",'Outro banco'!C1784)</f>
        <v/>
      </c>
      <c r="D1784" s="7" t="str">
        <f aca="false">IF(A1784="","",'Outro banco'!D1784)</f>
        <v/>
      </c>
      <c r="E1784" s="9"/>
      <c r="F1784" s="9"/>
      <c r="G1784" s="7" t="str">
        <f aca="false">IF(A1784="","",IF(COUNTIF(Tabelas!$A:$A,IF(E1784="",A1784,E1784))&gt;0,"sim","não"))</f>
        <v/>
      </c>
      <c r="H1784" s="7" t="str">
        <f aca="false">IF(A1784="","",IF(E1784="",A1784,E1784)&amp;"."&amp;IF(F1784="",B1784,F1784))</f>
        <v/>
      </c>
      <c r="I1784" s="7" t="str">
        <f aca="false">IF(A1784="","",IFERROR(INDEX('Campos Growths'!$F:$F,MATCH(H1784,'Campos Growths'!$A:$A,0)),""))</f>
        <v/>
      </c>
      <c r="J1784" s="7" t="str">
        <f aca="false">IF(A1784="","",IFERROR(VLOOKUP(IF(ISNUMBER(SEARCH("(",C1784)),LEFT(C1784,SEARCH("(",C1784)-1),C1784),Tipos!$A:$B,2,FALSE()),"outro"))</f>
        <v/>
      </c>
      <c r="K1784" s="7" t="str">
        <f aca="false">IF(I1784="","",IFERROR(INDEX('Campos Growths'!$L:$L,MATCH(H1784,'Campos Growths'!$A:$A,0)),""))</f>
        <v/>
      </c>
      <c r="L1784" s="7" t="str">
        <f aca="false">IF(A1784="","",IF(G1784="não","Sem tabela no Growths",IF(I1784="","Sem campo no Growths",IF(J1784=K1784,"Importa direto","Ajustar tipo"))))</f>
        <v/>
      </c>
      <c r="M1784" s="9"/>
    </row>
    <row r="1785" customFormat="false" ht="15" hidden="false" customHeight="false" outlineLevel="0" collapsed="false">
      <c r="A1785" s="7" t="str">
        <f aca="false">IF('Outro banco'!A1785="","",IF(LEFT('Outro banco'!A1785,1)="(","",'Outro banco'!A1785))</f>
        <v/>
      </c>
      <c r="B1785" s="7" t="str">
        <f aca="false">IF(A1785="","",'Outro banco'!B1785)</f>
        <v/>
      </c>
      <c r="C1785" s="7" t="str">
        <f aca="false">IF(A1785="","",'Outro banco'!C1785)</f>
        <v/>
      </c>
      <c r="D1785" s="7" t="str">
        <f aca="false">IF(A1785="","",'Outro banco'!D1785)</f>
        <v/>
      </c>
      <c r="E1785" s="9"/>
      <c r="F1785" s="9"/>
      <c r="G1785" s="7" t="str">
        <f aca="false">IF(A1785="","",IF(COUNTIF(Tabelas!$A:$A,IF(E1785="",A1785,E1785))&gt;0,"sim","não"))</f>
        <v/>
      </c>
      <c r="H1785" s="7" t="str">
        <f aca="false">IF(A1785="","",IF(E1785="",A1785,E1785)&amp;"."&amp;IF(F1785="",B1785,F1785))</f>
        <v/>
      </c>
      <c r="I1785" s="7" t="str">
        <f aca="false">IF(A1785="","",IFERROR(INDEX('Campos Growths'!$F:$F,MATCH(H1785,'Campos Growths'!$A:$A,0)),""))</f>
        <v/>
      </c>
      <c r="J1785" s="7" t="str">
        <f aca="false">IF(A1785="","",IFERROR(VLOOKUP(IF(ISNUMBER(SEARCH("(",C1785)),LEFT(C1785,SEARCH("(",C1785)-1),C1785),Tipos!$A:$B,2,FALSE()),"outro"))</f>
        <v/>
      </c>
      <c r="K1785" s="7" t="str">
        <f aca="false">IF(I1785="","",IFERROR(INDEX('Campos Growths'!$L:$L,MATCH(H1785,'Campos Growths'!$A:$A,0)),""))</f>
        <v/>
      </c>
      <c r="L1785" s="7" t="str">
        <f aca="false">IF(A1785="","",IF(G1785="não","Sem tabela no Growths",IF(I1785="","Sem campo no Growths",IF(J1785=K1785,"Importa direto","Ajustar tipo"))))</f>
        <v/>
      </c>
      <c r="M1785" s="9"/>
    </row>
    <row r="1786" customFormat="false" ht="15" hidden="false" customHeight="false" outlineLevel="0" collapsed="false">
      <c r="A1786" s="7" t="str">
        <f aca="false">IF('Outro banco'!A1786="","",IF(LEFT('Outro banco'!A1786,1)="(","",'Outro banco'!A1786))</f>
        <v/>
      </c>
      <c r="B1786" s="7" t="str">
        <f aca="false">IF(A1786="","",'Outro banco'!B1786)</f>
        <v/>
      </c>
      <c r="C1786" s="7" t="str">
        <f aca="false">IF(A1786="","",'Outro banco'!C1786)</f>
        <v/>
      </c>
      <c r="D1786" s="7" t="str">
        <f aca="false">IF(A1786="","",'Outro banco'!D1786)</f>
        <v/>
      </c>
      <c r="E1786" s="9"/>
      <c r="F1786" s="9"/>
      <c r="G1786" s="7" t="str">
        <f aca="false">IF(A1786="","",IF(COUNTIF(Tabelas!$A:$A,IF(E1786="",A1786,E1786))&gt;0,"sim","não"))</f>
        <v/>
      </c>
      <c r="H1786" s="7" t="str">
        <f aca="false">IF(A1786="","",IF(E1786="",A1786,E1786)&amp;"."&amp;IF(F1786="",B1786,F1786))</f>
        <v/>
      </c>
      <c r="I1786" s="7" t="str">
        <f aca="false">IF(A1786="","",IFERROR(INDEX('Campos Growths'!$F:$F,MATCH(H1786,'Campos Growths'!$A:$A,0)),""))</f>
        <v/>
      </c>
      <c r="J1786" s="7" t="str">
        <f aca="false">IF(A1786="","",IFERROR(VLOOKUP(IF(ISNUMBER(SEARCH("(",C1786)),LEFT(C1786,SEARCH("(",C1786)-1),C1786),Tipos!$A:$B,2,FALSE()),"outro"))</f>
        <v/>
      </c>
      <c r="K1786" s="7" t="str">
        <f aca="false">IF(I1786="","",IFERROR(INDEX('Campos Growths'!$L:$L,MATCH(H1786,'Campos Growths'!$A:$A,0)),""))</f>
        <v/>
      </c>
      <c r="L1786" s="7" t="str">
        <f aca="false">IF(A1786="","",IF(G1786="não","Sem tabela no Growths",IF(I1786="","Sem campo no Growths",IF(J1786=K1786,"Importa direto","Ajustar tipo"))))</f>
        <v/>
      </c>
      <c r="M1786" s="9"/>
    </row>
    <row r="1787" customFormat="false" ht="15" hidden="false" customHeight="false" outlineLevel="0" collapsed="false">
      <c r="A1787" s="7" t="str">
        <f aca="false">IF('Outro banco'!A1787="","",IF(LEFT('Outro banco'!A1787,1)="(","",'Outro banco'!A1787))</f>
        <v/>
      </c>
      <c r="B1787" s="7" t="str">
        <f aca="false">IF(A1787="","",'Outro banco'!B1787)</f>
        <v/>
      </c>
      <c r="C1787" s="7" t="str">
        <f aca="false">IF(A1787="","",'Outro banco'!C1787)</f>
        <v/>
      </c>
      <c r="D1787" s="7" t="str">
        <f aca="false">IF(A1787="","",'Outro banco'!D1787)</f>
        <v/>
      </c>
      <c r="E1787" s="9"/>
      <c r="F1787" s="9"/>
      <c r="G1787" s="7" t="str">
        <f aca="false">IF(A1787="","",IF(COUNTIF(Tabelas!$A:$A,IF(E1787="",A1787,E1787))&gt;0,"sim","não"))</f>
        <v/>
      </c>
      <c r="H1787" s="7" t="str">
        <f aca="false">IF(A1787="","",IF(E1787="",A1787,E1787)&amp;"."&amp;IF(F1787="",B1787,F1787))</f>
        <v/>
      </c>
      <c r="I1787" s="7" t="str">
        <f aca="false">IF(A1787="","",IFERROR(INDEX('Campos Growths'!$F:$F,MATCH(H1787,'Campos Growths'!$A:$A,0)),""))</f>
        <v/>
      </c>
      <c r="J1787" s="7" t="str">
        <f aca="false">IF(A1787="","",IFERROR(VLOOKUP(IF(ISNUMBER(SEARCH("(",C1787)),LEFT(C1787,SEARCH("(",C1787)-1),C1787),Tipos!$A:$B,2,FALSE()),"outro"))</f>
        <v/>
      </c>
      <c r="K1787" s="7" t="str">
        <f aca="false">IF(I1787="","",IFERROR(INDEX('Campos Growths'!$L:$L,MATCH(H1787,'Campos Growths'!$A:$A,0)),""))</f>
        <v/>
      </c>
      <c r="L1787" s="7" t="str">
        <f aca="false">IF(A1787="","",IF(G1787="não","Sem tabela no Growths",IF(I1787="","Sem campo no Growths",IF(J1787=K1787,"Importa direto","Ajustar tipo"))))</f>
        <v/>
      </c>
      <c r="M1787" s="9"/>
    </row>
    <row r="1788" customFormat="false" ht="15" hidden="false" customHeight="false" outlineLevel="0" collapsed="false">
      <c r="A1788" s="7" t="str">
        <f aca="false">IF('Outro banco'!A1788="","",IF(LEFT('Outro banco'!A1788,1)="(","",'Outro banco'!A1788))</f>
        <v/>
      </c>
      <c r="B1788" s="7" t="str">
        <f aca="false">IF(A1788="","",'Outro banco'!B1788)</f>
        <v/>
      </c>
      <c r="C1788" s="7" t="str">
        <f aca="false">IF(A1788="","",'Outro banco'!C1788)</f>
        <v/>
      </c>
      <c r="D1788" s="7" t="str">
        <f aca="false">IF(A1788="","",'Outro banco'!D1788)</f>
        <v/>
      </c>
      <c r="E1788" s="9"/>
      <c r="F1788" s="9"/>
      <c r="G1788" s="7" t="str">
        <f aca="false">IF(A1788="","",IF(COUNTIF(Tabelas!$A:$A,IF(E1788="",A1788,E1788))&gt;0,"sim","não"))</f>
        <v/>
      </c>
      <c r="H1788" s="7" t="str">
        <f aca="false">IF(A1788="","",IF(E1788="",A1788,E1788)&amp;"."&amp;IF(F1788="",B1788,F1788))</f>
        <v/>
      </c>
      <c r="I1788" s="7" t="str">
        <f aca="false">IF(A1788="","",IFERROR(INDEX('Campos Growths'!$F:$F,MATCH(H1788,'Campos Growths'!$A:$A,0)),""))</f>
        <v/>
      </c>
      <c r="J1788" s="7" t="str">
        <f aca="false">IF(A1788="","",IFERROR(VLOOKUP(IF(ISNUMBER(SEARCH("(",C1788)),LEFT(C1788,SEARCH("(",C1788)-1),C1788),Tipos!$A:$B,2,FALSE()),"outro"))</f>
        <v/>
      </c>
      <c r="K1788" s="7" t="str">
        <f aca="false">IF(I1788="","",IFERROR(INDEX('Campos Growths'!$L:$L,MATCH(H1788,'Campos Growths'!$A:$A,0)),""))</f>
        <v/>
      </c>
      <c r="L1788" s="7" t="str">
        <f aca="false">IF(A1788="","",IF(G1788="não","Sem tabela no Growths",IF(I1788="","Sem campo no Growths",IF(J1788=K1788,"Importa direto","Ajustar tipo"))))</f>
        <v/>
      </c>
      <c r="M1788" s="9"/>
    </row>
    <row r="1789" customFormat="false" ht="15" hidden="false" customHeight="false" outlineLevel="0" collapsed="false">
      <c r="A1789" s="7" t="str">
        <f aca="false">IF('Outro banco'!A1789="","",IF(LEFT('Outro banco'!A1789,1)="(","",'Outro banco'!A1789))</f>
        <v/>
      </c>
      <c r="B1789" s="7" t="str">
        <f aca="false">IF(A1789="","",'Outro banco'!B1789)</f>
        <v/>
      </c>
      <c r="C1789" s="7" t="str">
        <f aca="false">IF(A1789="","",'Outro banco'!C1789)</f>
        <v/>
      </c>
      <c r="D1789" s="7" t="str">
        <f aca="false">IF(A1789="","",'Outro banco'!D1789)</f>
        <v/>
      </c>
      <c r="E1789" s="9"/>
      <c r="F1789" s="9"/>
      <c r="G1789" s="7" t="str">
        <f aca="false">IF(A1789="","",IF(COUNTIF(Tabelas!$A:$A,IF(E1789="",A1789,E1789))&gt;0,"sim","não"))</f>
        <v/>
      </c>
      <c r="H1789" s="7" t="str">
        <f aca="false">IF(A1789="","",IF(E1789="",A1789,E1789)&amp;"."&amp;IF(F1789="",B1789,F1789))</f>
        <v/>
      </c>
      <c r="I1789" s="7" t="str">
        <f aca="false">IF(A1789="","",IFERROR(INDEX('Campos Growths'!$F:$F,MATCH(H1789,'Campos Growths'!$A:$A,0)),""))</f>
        <v/>
      </c>
      <c r="J1789" s="7" t="str">
        <f aca="false">IF(A1789="","",IFERROR(VLOOKUP(IF(ISNUMBER(SEARCH("(",C1789)),LEFT(C1789,SEARCH("(",C1789)-1),C1789),Tipos!$A:$B,2,FALSE()),"outro"))</f>
        <v/>
      </c>
      <c r="K1789" s="7" t="str">
        <f aca="false">IF(I1789="","",IFERROR(INDEX('Campos Growths'!$L:$L,MATCH(H1789,'Campos Growths'!$A:$A,0)),""))</f>
        <v/>
      </c>
      <c r="L1789" s="7" t="str">
        <f aca="false">IF(A1789="","",IF(G1789="não","Sem tabela no Growths",IF(I1789="","Sem campo no Growths",IF(J1789=K1789,"Importa direto","Ajustar tipo"))))</f>
        <v/>
      </c>
      <c r="M1789" s="9"/>
    </row>
    <row r="1790" customFormat="false" ht="15" hidden="false" customHeight="false" outlineLevel="0" collapsed="false">
      <c r="A1790" s="7" t="str">
        <f aca="false">IF('Outro banco'!A1790="","",IF(LEFT('Outro banco'!A1790,1)="(","",'Outro banco'!A1790))</f>
        <v/>
      </c>
      <c r="B1790" s="7" t="str">
        <f aca="false">IF(A1790="","",'Outro banco'!B1790)</f>
        <v/>
      </c>
      <c r="C1790" s="7" t="str">
        <f aca="false">IF(A1790="","",'Outro banco'!C1790)</f>
        <v/>
      </c>
      <c r="D1790" s="7" t="str">
        <f aca="false">IF(A1790="","",'Outro banco'!D1790)</f>
        <v/>
      </c>
      <c r="E1790" s="9"/>
      <c r="F1790" s="9"/>
      <c r="G1790" s="7" t="str">
        <f aca="false">IF(A1790="","",IF(COUNTIF(Tabelas!$A:$A,IF(E1790="",A1790,E1790))&gt;0,"sim","não"))</f>
        <v/>
      </c>
      <c r="H1790" s="7" t="str">
        <f aca="false">IF(A1790="","",IF(E1790="",A1790,E1790)&amp;"."&amp;IF(F1790="",B1790,F1790))</f>
        <v/>
      </c>
      <c r="I1790" s="7" t="str">
        <f aca="false">IF(A1790="","",IFERROR(INDEX('Campos Growths'!$F:$F,MATCH(H1790,'Campos Growths'!$A:$A,0)),""))</f>
        <v/>
      </c>
      <c r="J1790" s="7" t="str">
        <f aca="false">IF(A1790="","",IFERROR(VLOOKUP(IF(ISNUMBER(SEARCH("(",C1790)),LEFT(C1790,SEARCH("(",C1790)-1),C1790),Tipos!$A:$B,2,FALSE()),"outro"))</f>
        <v/>
      </c>
      <c r="K1790" s="7" t="str">
        <f aca="false">IF(I1790="","",IFERROR(INDEX('Campos Growths'!$L:$L,MATCH(H1790,'Campos Growths'!$A:$A,0)),""))</f>
        <v/>
      </c>
      <c r="L1790" s="7" t="str">
        <f aca="false">IF(A1790="","",IF(G1790="não","Sem tabela no Growths",IF(I1790="","Sem campo no Growths",IF(J1790=K1790,"Importa direto","Ajustar tipo"))))</f>
        <v/>
      </c>
      <c r="M1790" s="9"/>
    </row>
    <row r="1791" customFormat="false" ht="15" hidden="false" customHeight="false" outlineLevel="0" collapsed="false">
      <c r="A1791" s="7" t="str">
        <f aca="false">IF('Outro banco'!A1791="","",IF(LEFT('Outro banco'!A1791,1)="(","",'Outro banco'!A1791))</f>
        <v/>
      </c>
      <c r="B1791" s="7" t="str">
        <f aca="false">IF(A1791="","",'Outro banco'!B1791)</f>
        <v/>
      </c>
      <c r="C1791" s="7" t="str">
        <f aca="false">IF(A1791="","",'Outro banco'!C1791)</f>
        <v/>
      </c>
      <c r="D1791" s="7" t="str">
        <f aca="false">IF(A1791="","",'Outro banco'!D1791)</f>
        <v/>
      </c>
      <c r="E1791" s="9"/>
      <c r="F1791" s="9"/>
      <c r="G1791" s="7" t="str">
        <f aca="false">IF(A1791="","",IF(COUNTIF(Tabelas!$A:$A,IF(E1791="",A1791,E1791))&gt;0,"sim","não"))</f>
        <v/>
      </c>
      <c r="H1791" s="7" t="str">
        <f aca="false">IF(A1791="","",IF(E1791="",A1791,E1791)&amp;"."&amp;IF(F1791="",B1791,F1791))</f>
        <v/>
      </c>
      <c r="I1791" s="7" t="str">
        <f aca="false">IF(A1791="","",IFERROR(INDEX('Campos Growths'!$F:$F,MATCH(H1791,'Campos Growths'!$A:$A,0)),""))</f>
        <v/>
      </c>
      <c r="J1791" s="7" t="str">
        <f aca="false">IF(A1791="","",IFERROR(VLOOKUP(IF(ISNUMBER(SEARCH("(",C1791)),LEFT(C1791,SEARCH("(",C1791)-1),C1791),Tipos!$A:$B,2,FALSE()),"outro"))</f>
        <v/>
      </c>
      <c r="K1791" s="7" t="str">
        <f aca="false">IF(I1791="","",IFERROR(INDEX('Campos Growths'!$L:$L,MATCH(H1791,'Campos Growths'!$A:$A,0)),""))</f>
        <v/>
      </c>
      <c r="L1791" s="7" t="str">
        <f aca="false">IF(A1791="","",IF(G1791="não","Sem tabela no Growths",IF(I1791="","Sem campo no Growths",IF(J1791=K1791,"Importa direto","Ajustar tipo"))))</f>
        <v/>
      </c>
      <c r="M1791" s="9"/>
    </row>
    <row r="1792" customFormat="false" ht="15" hidden="false" customHeight="false" outlineLevel="0" collapsed="false">
      <c r="A1792" s="7" t="str">
        <f aca="false">IF('Outro banco'!A1792="","",IF(LEFT('Outro banco'!A1792,1)="(","",'Outro banco'!A1792))</f>
        <v/>
      </c>
      <c r="B1792" s="7" t="str">
        <f aca="false">IF(A1792="","",'Outro banco'!B1792)</f>
        <v/>
      </c>
      <c r="C1792" s="7" t="str">
        <f aca="false">IF(A1792="","",'Outro banco'!C1792)</f>
        <v/>
      </c>
      <c r="D1792" s="7" t="str">
        <f aca="false">IF(A1792="","",'Outro banco'!D1792)</f>
        <v/>
      </c>
      <c r="E1792" s="9"/>
      <c r="F1792" s="9"/>
      <c r="G1792" s="7" t="str">
        <f aca="false">IF(A1792="","",IF(COUNTIF(Tabelas!$A:$A,IF(E1792="",A1792,E1792))&gt;0,"sim","não"))</f>
        <v/>
      </c>
      <c r="H1792" s="7" t="str">
        <f aca="false">IF(A1792="","",IF(E1792="",A1792,E1792)&amp;"."&amp;IF(F1792="",B1792,F1792))</f>
        <v/>
      </c>
      <c r="I1792" s="7" t="str">
        <f aca="false">IF(A1792="","",IFERROR(INDEX('Campos Growths'!$F:$F,MATCH(H1792,'Campos Growths'!$A:$A,0)),""))</f>
        <v/>
      </c>
      <c r="J1792" s="7" t="str">
        <f aca="false">IF(A1792="","",IFERROR(VLOOKUP(IF(ISNUMBER(SEARCH("(",C1792)),LEFT(C1792,SEARCH("(",C1792)-1),C1792),Tipos!$A:$B,2,FALSE()),"outro"))</f>
        <v/>
      </c>
      <c r="K1792" s="7" t="str">
        <f aca="false">IF(I1792="","",IFERROR(INDEX('Campos Growths'!$L:$L,MATCH(H1792,'Campos Growths'!$A:$A,0)),""))</f>
        <v/>
      </c>
      <c r="L1792" s="7" t="str">
        <f aca="false">IF(A1792="","",IF(G1792="não","Sem tabela no Growths",IF(I1792="","Sem campo no Growths",IF(J1792=K1792,"Importa direto","Ajustar tipo"))))</f>
        <v/>
      </c>
      <c r="M1792" s="9"/>
    </row>
    <row r="1793" customFormat="false" ht="15" hidden="false" customHeight="false" outlineLevel="0" collapsed="false">
      <c r="A1793" s="7" t="str">
        <f aca="false">IF('Outro banco'!A1793="","",IF(LEFT('Outro banco'!A1793,1)="(","",'Outro banco'!A1793))</f>
        <v/>
      </c>
      <c r="B1793" s="7" t="str">
        <f aca="false">IF(A1793="","",'Outro banco'!B1793)</f>
        <v/>
      </c>
      <c r="C1793" s="7" t="str">
        <f aca="false">IF(A1793="","",'Outro banco'!C1793)</f>
        <v/>
      </c>
      <c r="D1793" s="7" t="str">
        <f aca="false">IF(A1793="","",'Outro banco'!D1793)</f>
        <v/>
      </c>
      <c r="E1793" s="9"/>
      <c r="F1793" s="9"/>
      <c r="G1793" s="7" t="str">
        <f aca="false">IF(A1793="","",IF(COUNTIF(Tabelas!$A:$A,IF(E1793="",A1793,E1793))&gt;0,"sim","não"))</f>
        <v/>
      </c>
      <c r="H1793" s="7" t="str">
        <f aca="false">IF(A1793="","",IF(E1793="",A1793,E1793)&amp;"."&amp;IF(F1793="",B1793,F1793))</f>
        <v/>
      </c>
      <c r="I1793" s="7" t="str">
        <f aca="false">IF(A1793="","",IFERROR(INDEX('Campos Growths'!$F:$F,MATCH(H1793,'Campos Growths'!$A:$A,0)),""))</f>
        <v/>
      </c>
      <c r="J1793" s="7" t="str">
        <f aca="false">IF(A1793="","",IFERROR(VLOOKUP(IF(ISNUMBER(SEARCH("(",C1793)),LEFT(C1793,SEARCH("(",C1793)-1),C1793),Tipos!$A:$B,2,FALSE()),"outro"))</f>
        <v/>
      </c>
      <c r="K1793" s="7" t="str">
        <f aca="false">IF(I1793="","",IFERROR(INDEX('Campos Growths'!$L:$L,MATCH(H1793,'Campos Growths'!$A:$A,0)),""))</f>
        <v/>
      </c>
      <c r="L1793" s="7" t="str">
        <f aca="false">IF(A1793="","",IF(G1793="não","Sem tabela no Growths",IF(I1793="","Sem campo no Growths",IF(J1793=K1793,"Importa direto","Ajustar tipo"))))</f>
        <v/>
      </c>
      <c r="M1793" s="9"/>
    </row>
    <row r="1794" customFormat="false" ht="15" hidden="false" customHeight="false" outlineLevel="0" collapsed="false">
      <c r="A1794" s="7" t="str">
        <f aca="false">IF('Outro banco'!A1794="","",IF(LEFT('Outro banco'!A1794,1)="(","",'Outro banco'!A1794))</f>
        <v/>
      </c>
      <c r="B1794" s="7" t="str">
        <f aca="false">IF(A1794="","",'Outro banco'!B1794)</f>
        <v/>
      </c>
      <c r="C1794" s="7" t="str">
        <f aca="false">IF(A1794="","",'Outro banco'!C1794)</f>
        <v/>
      </c>
      <c r="D1794" s="7" t="str">
        <f aca="false">IF(A1794="","",'Outro banco'!D1794)</f>
        <v/>
      </c>
      <c r="E1794" s="9"/>
      <c r="F1794" s="9"/>
      <c r="G1794" s="7" t="str">
        <f aca="false">IF(A1794="","",IF(COUNTIF(Tabelas!$A:$A,IF(E1794="",A1794,E1794))&gt;0,"sim","não"))</f>
        <v/>
      </c>
      <c r="H1794" s="7" t="str">
        <f aca="false">IF(A1794="","",IF(E1794="",A1794,E1794)&amp;"."&amp;IF(F1794="",B1794,F1794))</f>
        <v/>
      </c>
      <c r="I1794" s="7" t="str">
        <f aca="false">IF(A1794="","",IFERROR(INDEX('Campos Growths'!$F:$F,MATCH(H1794,'Campos Growths'!$A:$A,0)),""))</f>
        <v/>
      </c>
      <c r="J1794" s="7" t="str">
        <f aca="false">IF(A1794="","",IFERROR(VLOOKUP(IF(ISNUMBER(SEARCH("(",C1794)),LEFT(C1794,SEARCH("(",C1794)-1),C1794),Tipos!$A:$B,2,FALSE()),"outro"))</f>
        <v/>
      </c>
      <c r="K1794" s="7" t="str">
        <f aca="false">IF(I1794="","",IFERROR(INDEX('Campos Growths'!$L:$L,MATCH(H1794,'Campos Growths'!$A:$A,0)),""))</f>
        <v/>
      </c>
      <c r="L1794" s="7" t="str">
        <f aca="false">IF(A1794="","",IF(G1794="não","Sem tabela no Growths",IF(I1794="","Sem campo no Growths",IF(J1794=K1794,"Importa direto","Ajustar tipo"))))</f>
        <v/>
      </c>
      <c r="M1794" s="9"/>
    </row>
    <row r="1795" customFormat="false" ht="15" hidden="false" customHeight="false" outlineLevel="0" collapsed="false">
      <c r="A1795" s="7" t="str">
        <f aca="false">IF('Outro banco'!A1795="","",IF(LEFT('Outro banco'!A1795,1)="(","",'Outro banco'!A1795))</f>
        <v/>
      </c>
      <c r="B1795" s="7" t="str">
        <f aca="false">IF(A1795="","",'Outro banco'!B1795)</f>
        <v/>
      </c>
      <c r="C1795" s="7" t="str">
        <f aca="false">IF(A1795="","",'Outro banco'!C1795)</f>
        <v/>
      </c>
      <c r="D1795" s="7" t="str">
        <f aca="false">IF(A1795="","",'Outro banco'!D1795)</f>
        <v/>
      </c>
      <c r="E1795" s="9"/>
      <c r="F1795" s="9"/>
      <c r="G1795" s="7" t="str">
        <f aca="false">IF(A1795="","",IF(COUNTIF(Tabelas!$A:$A,IF(E1795="",A1795,E1795))&gt;0,"sim","não"))</f>
        <v/>
      </c>
      <c r="H1795" s="7" t="str">
        <f aca="false">IF(A1795="","",IF(E1795="",A1795,E1795)&amp;"."&amp;IF(F1795="",B1795,F1795))</f>
        <v/>
      </c>
      <c r="I1795" s="7" t="str">
        <f aca="false">IF(A1795="","",IFERROR(INDEX('Campos Growths'!$F:$F,MATCH(H1795,'Campos Growths'!$A:$A,0)),""))</f>
        <v/>
      </c>
      <c r="J1795" s="7" t="str">
        <f aca="false">IF(A1795="","",IFERROR(VLOOKUP(IF(ISNUMBER(SEARCH("(",C1795)),LEFT(C1795,SEARCH("(",C1795)-1),C1795),Tipos!$A:$B,2,FALSE()),"outro"))</f>
        <v/>
      </c>
      <c r="K1795" s="7" t="str">
        <f aca="false">IF(I1795="","",IFERROR(INDEX('Campos Growths'!$L:$L,MATCH(H1795,'Campos Growths'!$A:$A,0)),""))</f>
        <v/>
      </c>
      <c r="L1795" s="7" t="str">
        <f aca="false">IF(A1795="","",IF(G1795="não","Sem tabela no Growths",IF(I1795="","Sem campo no Growths",IF(J1795=K1795,"Importa direto","Ajustar tipo"))))</f>
        <v/>
      </c>
      <c r="M1795" s="9"/>
    </row>
    <row r="1796" customFormat="false" ht="15" hidden="false" customHeight="false" outlineLevel="0" collapsed="false">
      <c r="A1796" s="7" t="str">
        <f aca="false">IF('Outro banco'!A1796="","",IF(LEFT('Outro banco'!A1796,1)="(","",'Outro banco'!A1796))</f>
        <v/>
      </c>
      <c r="B1796" s="7" t="str">
        <f aca="false">IF(A1796="","",'Outro banco'!B1796)</f>
        <v/>
      </c>
      <c r="C1796" s="7" t="str">
        <f aca="false">IF(A1796="","",'Outro banco'!C1796)</f>
        <v/>
      </c>
      <c r="D1796" s="7" t="str">
        <f aca="false">IF(A1796="","",'Outro banco'!D1796)</f>
        <v/>
      </c>
      <c r="E1796" s="9"/>
      <c r="F1796" s="9"/>
      <c r="G1796" s="7" t="str">
        <f aca="false">IF(A1796="","",IF(COUNTIF(Tabelas!$A:$A,IF(E1796="",A1796,E1796))&gt;0,"sim","não"))</f>
        <v/>
      </c>
      <c r="H1796" s="7" t="str">
        <f aca="false">IF(A1796="","",IF(E1796="",A1796,E1796)&amp;"."&amp;IF(F1796="",B1796,F1796))</f>
        <v/>
      </c>
      <c r="I1796" s="7" t="str">
        <f aca="false">IF(A1796="","",IFERROR(INDEX('Campos Growths'!$F:$F,MATCH(H1796,'Campos Growths'!$A:$A,0)),""))</f>
        <v/>
      </c>
      <c r="J1796" s="7" t="str">
        <f aca="false">IF(A1796="","",IFERROR(VLOOKUP(IF(ISNUMBER(SEARCH("(",C1796)),LEFT(C1796,SEARCH("(",C1796)-1),C1796),Tipos!$A:$B,2,FALSE()),"outro"))</f>
        <v/>
      </c>
      <c r="K1796" s="7" t="str">
        <f aca="false">IF(I1796="","",IFERROR(INDEX('Campos Growths'!$L:$L,MATCH(H1796,'Campos Growths'!$A:$A,0)),""))</f>
        <v/>
      </c>
      <c r="L1796" s="7" t="str">
        <f aca="false">IF(A1796="","",IF(G1796="não","Sem tabela no Growths",IF(I1796="","Sem campo no Growths",IF(J1796=K1796,"Importa direto","Ajustar tipo"))))</f>
        <v/>
      </c>
      <c r="M1796" s="9"/>
    </row>
    <row r="1797" customFormat="false" ht="15" hidden="false" customHeight="false" outlineLevel="0" collapsed="false">
      <c r="A1797" s="7" t="str">
        <f aca="false">IF('Outro banco'!A1797="","",IF(LEFT('Outro banco'!A1797,1)="(","",'Outro banco'!A1797))</f>
        <v/>
      </c>
      <c r="B1797" s="7" t="str">
        <f aca="false">IF(A1797="","",'Outro banco'!B1797)</f>
        <v/>
      </c>
      <c r="C1797" s="7" t="str">
        <f aca="false">IF(A1797="","",'Outro banco'!C1797)</f>
        <v/>
      </c>
      <c r="D1797" s="7" t="str">
        <f aca="false">IF(A1797="","",'Outro banco'!D1797)</f>
        <v/>
      </c>
      <c r="E1797" s="9"/>
      <c r="F1797" s="9"/>
      <c r="G1797" s="7" t="str">
        <f aca="false">IF(A1797="","",IF(COUNTIF(Tabelas!$A:$A,IF(E1797="",A1797,E1797))&gt;0,"sim","não"))</f>
        <v/>
      </c>
      <c r="H1797" s="7" t="str">
        <f aca="false">IF(A1797="","",IF(E1797="",A1797,E1797)&amp;"."&amp;IF(F1797="",B1797,F1797))</f>
        <v/>
      </c>
      <c r="I1797" s="7" t="str">
        <f aca="false">IF(A1797="","",IFERROR(INDEX('Campos Growths'!$F:$F,MATCH(H1797,'Campos Growths'!$A:$A,0)),""))</f>
        <v/>
      </c>
      <c r="J1797" s="7" t="str">
        <f aca="false">IF(A1797="","",IFERROR(VLOOKUP(IF(ISNUMBER(SEARCH("(",C1797)),LEFT(C1797,SEARCH("(",C1797)-1),C1797),Tipos!$A:$B,2,FALSE()),"outro"))</f>
        <v/>
      </c>
      <c r="K1797" s="7" t="str">
        <f aca="false">IF(I1797="","",IFERROR(INDEX('Campos Growths'!$L:$L,MATCH(H1797,'Campos Growths'!$A:$A,0)),""))</f>
        <v/>
      </c>
      <c r="L1797" s="7" t="str">
        <f aca="false">IF(A1797="","",IF(G1797="não","Sem tabela no Growths",IF(I1797="","Sem campo no Growths",IF(J1797=K1797,"Importa direto","Ajustar tipo"))))</f>
        <v/>
      </c>
      <c r="M1797" s="9"/>
    </row>
    <row r="1798" customFormat="false" ht="15" hidden="false" customHeight="false" outlineLevel="0" collapsed="false">
      <c r="A1798" s="7" t="str">
        <f aca="false">IF('Outro banco'!A1798="","",IF(LEFT('Outro banco'!A1798,1)="(","",'Outro banco'!A1798))</f>
        <v/>
      </c>
      <c r="B1798" s="7" t="str">
        <f aca="false">IF(A1798="","",'Outro banco'!B1798)</f>
        <v/>
      </c>
      <c r="C1798" s="7" t="str">
        <f aca="false">IF(A1798="","",'Outro banco'!C1798)</f>
        <v/>
      </c>
      <c r="D1798" s="7" t="str">
        <f aca="false">IF(A1798="","",'Outro banco'!D1798)</f>
        <v/>
      </c>
      <c r="E1798" s="9"/>
      <c r="F1798" s="9"/>
      <c r="G1798" s="7" t="str">
        <f aca="false">IF(A1798="","",IF(COUNTIF(Tabelas!$A:$A,IF(E1798="",A1798,E1798))&gt;0,"sim","não"))</f>
        <v/>
      </c>
      <c r="H1798" s="7" t="str">
        <f aca="false">IF(A1798="","",IF(E1798="",A1798,E1798)&amp;"."&amp;IF(F1798="",B1798,F1798))</f>
        <v/>
      </c>
      <c r="I1798" s="7" t="str">
        <f aca="false">IF(A1798="","",IFERROR(INDEX('Campos Growths'!$F:$F,MATCH(H1798,'Campos Growths'!$A:$A,0)),""))</f>
        <v/>
      </c>
      <c r="J1798" s="7" t="str">
        <f aca="false">IF(A1798="","",IFERROR(VLOOKUP(IF(ISNUMBER(SEARCH("(",C1798)),LEFT(C1798,SEARCH("(",C1798)-1),C1798),Tipos!$A:$B,2,FALSE()),"outro"))</f>
        <v/>
      </c>
      <c r="K1798" s="7" t="str">
        <f aca="false">IF(I1798="","",IFERROR(INDEX('Campos Growths'!$L:$L,MATCH(H1798,'Campos Growths'!$A:$A,0)),""))</f>
        <v/>
      </c>
      <c r="L1798" s="7" t="str">
        <f aca="false">IF(A1798="","",IF(G1798="não","Sem tabela no Growths",IF(I1798="","Sem campo no Growths",IF(J1798=K1798,"Importa direto","Ajustar tipo"))))</f>
        <v/>
      </c>
      <c r="M1798" s="9"/>
    </row>
    <row r="1799" customFormat="false" ht="15" hidden="false" customHeight="false" outlineLevel="0" collapsed="false">
      <c r="A1799" s="7" t="str">
        <f aca="false">IF('Outro banco'!A1799="","",IF(LEFT('Outro banco'!A1799,1)="(","",'Outro banco'!A1799))</f>
        <v/>
      </c>
      <c r="B1799" s="7" t="str">
        <f aca="false">IF(A1799="","",'Outro banco'!B1799)</f>
        <v/>
      </c>
      <c r="C1799" s="7" t="str">
        <f aca="false">IF(A1799="","",'Outro banco'!C1799)</f>
        <v/>
      </c>
      <c r="D1799" s="7" t="str">
        <f aca="false">IF(A1799="","",'Outro banco'!D1799)</f>
        <v/>
      </c>
      <c r="E1799" s="9"/>
      <c r="F1799" s="9"/>
      <c r="G1799" s="7" t="str">
        <f aca="false">IF(A1799="","",IF(COUNTIF(Tabelas!$A:$A,IF(E1799="",A1799,E1799))&gt;0,"sim","não"))</f>
        <v/>
      </c>
      <c r="H1799" s="7" t="str">
        <f aca="false">IF(A1799="","",IF(E1799="",A1799,E1799)&amp;"."&amp;IF(F1799="",B1799,F1799))</f>
        <v/>
      </c>
      <c r="I1799" s="7" t="str">
        <f aca="false">IF(A1799="","",IFERROR(INDEX('Campos Growths'!$F:$F,MATCH(H1799,'Campos Growths'!$A:$A,0)),""))</f>
        <v/>
      </c>
      <c r="J1799" s="7" t="str">
        <f aca="false">IF(A1799="","",IFERROR(VLOOKUP(IF(ISNUMBER(SEARCH("(",C1799)),LEFT(C1799,SEARCH("(",C1799)-1),C1799),Tipos!$A:$B,2,FALSE()),"outro"))</f>
        <v/>
      </c>
      <c r="K1799" s="7" t="str">
        <f aca="false">IF(I1799="","",IFERROR(INDEX('Campos Growths'!$L:$L,MATCH(H1799,'Campos Growths'!$A:$A,0)),""))</f>
        <v/>
      </c>
      <c r="L1799" s="7" t="str">
        <f aca="false">IF(A1799="","",IF(G1799="não","Sem tabela no Growths",IF(I1799="","Sem campo no Growths",IF(J1799=K1799,"Importa direto","Ajustar tipo"))))</f>
        <v/>
      </c>
      <c r="M1799" s="9"/>
    </row>
    <row r="1800" customFormat="false" ht="15" hidden="false" customHeight="false" outlineLevel="0" collapsed="false">
      <c r="A1800" s="7" t="str">
        <f aca="false">IF('Outro banco'!A1800="","",IF(LEFT('Outro banco'!A1800,1)="(","",'Outro banco'!A1800))</f>
        <v/>
      </c>
      <c r="B1800" s="7" t="str">
        <f aca="false">IF(A1800="","",'Outro banco'!B1800)</f>
        <v/>
      </c>
      <c r="C1800" s="7" t="str">
        <f aca="false">IF(A1800="","",'Outro banco'!C1800)</f>
        <v/>
      </c>
      <c r="D1800" s="7" t="str">
        <f aca="false">IF(A1800="","",'Outro banco'!D1800)</f>
        <v/>
      </c>
      <c r="E1800" s="9"/>
      <c r="F1800" s="9"/>
      <c r="G1800" s="7" t="str">
        <f aca="false">IF(A1800="","",IF(COUNTIF(Tabelas!$A:$A,IF(E1800="",A1800,E1800))&gt;0,"sim","não"))</f>
        <v/>
      </c>
      <c r="H1800" s="7" t="str">
        <f aca="false">IF(A1800="","",IF(E1800="",A1800,E1800)&amp;"."&amp;IF(F1800="",B1800,F1800))</f>
        <v/>
      </c>
      <c r="I1800" s="7" t="str">
        <f aca="false">IF(A1800="","",IFERROR(INDEX('Campos Growths'!$F:$F,MATCH(H1800,'Campos Growths'!$A:$A,0)),""))</f>
        <v/>
      </c>
      <c r="J1800" s="7" t="str">
        <f aca="false">IF(A1800="","",IFERROR(VLOOKUP(IF(ISNUMBER(SEARCH("(",C1800)),LEFT(C1800,SEARCH("(",C1800)-1),C1800),Tipos!$A:$B,2,FALSE()),"outro"))</f>
        <v/>
      </c>
      <c r="K1800" s="7" t="str">
        <f aca="false">IF(I1800="","",IFERROR(INDEX('Campos Growths'!$L:$L,MATCH(H1800,'Campos Growths'!$A:$A,0)),""))</f>
        <v/>
      </c>
      <c r="L1800" s="7" t="str">
        <f aca="false">IF(A1800="","",IF(G1800="não","Sem tabela no Growths",IF(I1800="","Sem campo no Growths",IF(J1800=K1800,"Importa direto","Ajustar tipo"))))</f>
        <v/>
      </c>
      <c r="M1800" s="9"/>
    </row>
    <row r="1801" customFormat="false" ht="15" hidden="false" customHeight="false" outlineLevel="0" collapsed="false">
      <c r="A1801" s="7" t="str">
        <f aca="false">IF('Outro banco'!A1801="","",IF(LEFT('Outro banco'!A1801,1)="(","",'Outro banco'!A1801))</f>
        <v/>
      </c>
      <c r="B1801" s="7" t="str">
        <f aca="false">IF(A1801="","",'Outro banco'!B1801)</f>
        <v/>
      </c>
      <c r="C1801" s="7" t="str">
        <f aca="false">IF(A1801="","",'Outro banco'!C1801)</f>
        <v/>
      </c>
      <c r="D1801" s="7" t="str">
        <f aca="false">IF(A1801="","",'Outro banco'!D1801)</f>
        <v/>
      </c>
      <c r="E1801" s="9"/>
      <c r="F1801" s="9"/>
      <c r="G1801" s="7" t="str">
        <f aca="false">IF(A1801="","",IF(COUNTIF(Tabelas!$A:$A,IF(E1801="",A1801,E1801))&gt;0,"sim","não"))</f>
        <v/>
      </c>
      <c r="H1801" s="7" t="str">
        <f aca="false">IF(A1801="","",IF(E1801="",A1801,E1801)&amp;"."&amp;IF(F1801="",B1801,F1801))</f>
        <v/>
      </c>
      <c r="I1801" s="7" t="str">
        <f aca="false">IF(A1801="","",IFERROR(INDEX('Campos Growths'!$F:$F,MATCH(H1801,'Campos Growths'!$A:$A,0)),""))</f>
        <v/>
      </c>
      <c r="J1801" s="7" t="str">
        <f aca="false">IF(A1801="","",IFERROR(VLOOKUP(IF(ISNUMBER(SEARCH("(",C1801)),LEFT(C1801,SEARCH("(",C1801)-1),C1801),Tipos!$A:$B,2,FALSE()),"outro"))</f>
        <v/>
      </c>
      <c r="K1801" s="7" t="str">
        <f aca="false">IF(I1801="","",IFERROR(INDEX('Campos Growths'!$L:$L,MATCH(H1801,'Campos Growths'!$A:$A,0)),""))</f>
        <v/>
      </c>
      <c r="L1801" s="7" t="str">
        <f aca="false">IF(A1801="","",IF(G1801="não","Sem tabela no Growths",IF(I1801="","Sem campo no Growths",IF(J1801=K1801,"Importa direto","Ajustar tipo"))))</f>
        <v/>
      </c>
      <c r="M1801" s="9"/>
    </row>
    <row r="1802" customFormat="false" ht="15" hidden="false" customHeight="false" outlineLevel="0" collapsed="false">
      <c r="A1802" s="7" t="str">
        <f aca="false">IF('Outro banco'!A1802="","",IF(LEFT('Outro banco'!A1802,1)="(","",'Outro banco'!A1802))</f>
        <v/>
      </c>
      <c r="B1802" s="7" t="str">
        <f aca="false">IF(A1802="","",'Outro banco'!B1802)</f>
        <v/>
      </c>
      <c r="C1802" s="7" t="str">
        <f aca="false">IF(A1802="","",'Outro banco'!C1802)</f>
        <v/>
      </c>
      <c r="D1802" s="7" t="str">
        <f aca="false">IF(A1802="","",'Outro banco'!D1802)</f>
        <v/>
      </c>
      <c r="E1802" s="9"/>
      <c r="F1802" s="9"/>
      <c r="G1802" s="7" t="str">
        <f aca="false">IF(A1802="","",IF(COUNTIF(Tabelas!$A:$A,IF(E1802="",A1802,E1802))&gt;0,"sim","não"))</f>
        <v/>
      </c>
      <c r="H1802" s="7" t="str">
        <f aca="false">IF(A1802="","",IF(E1802="",A1802,E1802)&amp;"."&amp;IF(F1802="",B1802,F1802))</f>
        <v/>
      </c>
      <c r="I1802" s="7" t="str">
        <f aca="false">IF(A1802="","",IFERROR(INDEX('Campos Growths'!$F:$F,MATCH(H1802,'Campos Growths'!$A:$A,0)),""))</f>
        <v/>
      </c>
      <c r="J1802" s="7" t="str">
        <f aca="false">IF(A1802="","",IFERROR(VLOOKUP(IF(ISNUMBER(SEARCH("(",C1802)),LEFT(C1802,SEARCH("(",C1802)-1),C1802),Tipos!$A:$B,2,FALSE()),"outro"))</f>
        <v/>
      </c>
      <c r="K1802" s="7" t="str">
        <f aca="false">IF(I1802="","",IFERROR(INDEX('Campos Growths'!$L:$L,MATCH(H1802,'Campos Growths'!$A:$A,0)),""))</f>
        <v/>
      </c>
      <c r="L1802" s="7" t="str">
        <f aca="false">IF(A1802="","",IF(G1802="não","Sem tabela no Growths",IF(I1802="","Sem campo no Growths",IF(J1802=K1802,"Importa direto","Ajustar tipo"))))</f>
        <v/>
      </c>
      <c r="M1802" s="9"/>
    </row>
    <row r="1803" customFormat="false" ht="15" hidden="false" customHeight="false" outlineLevel="0" collapsed="false">
      <c r="A1803" s="7" t="str">
        <f aca="false">IF('Outro banco'!A1803="","",IF(LEFT('Outro banco'!A1803,1)="(","",'Outro banco'!A1803))</f>
        <v/>
      </c>
      <c r="B1803" s="7" t="str">
        <f aca="false">IF(A1803="","",'Outro banco'!B1803)</f>
        <v/>
      </c>
      <c r="C1803" s="7" t="str">
        <f aca="false">IF(A1803="","",'Outro banco'!C1803)</f>
        <v/>
      </c>
      <c r="D1803" s="7" t="str">
        <f aca="false">IF(A1803="","",'Outro banco'!D1803)</f>
        <v/>
      </c>
      <c r="E1803" s="9"/>
      <c r="F1803" s="9"/>
      <c r="G1803" s="7" t="str">
        <f aca="false">IF(A1803="","",IF(COUNTIF(Tabelas!$A:$A,IF(E1803="",A1803,E1803))&gt;0,"sim","não"))</f>
        <v/>
      </c>
      <c r="H1803" s="7" t="str">
        <f aca="false">IF(A1803="","",IF(E1803="",A1803,E1803)&amp;"."&amp;IF(F1803="",B1803,F1803))</f>
        <v/>
      </c>
      <c r="I1803" s="7" t="str">
        <f aca="false">IF(A1803="","",IFERROR(INDEX('Campos Growths'!$F:$F,MATCH(H1803,'Campos Growths'!$A:$A,0)),""))</f>
        <v/>
      </c>
      <c r="J1803" s="7" t="str">
        <f aca="false">IF(A1803="","",IFERROR(VLOOKUP(IF(ISNUMBER(SEARCH("(",C1803)),LEFT(C1803,SEARCH("(",C1803)-1),C1803),Tipos!$A:$B,2,FALSE()),"outro"))</f>
        <v/>
      </c>
      <c r="K1803" s="7" t="str">
        <f aca="false">IF(I1803="","",IFERROR(INDEX('Campos Growths'!$L:$L,MATCH(H1803,'Campos Growths'!$A:$A,0)),""))</f>
        <v/>
      </c>
      <c r="L1803" s="7" t="str">
        <f aca="false">IF(A1803="","",IF(G1803="não","Sem tabela no Growths",IF(I1803="","Sem campo no Growths",IF(J1803=K1803,"Importa direto","Ajustar tipo"))))</f>
        <v/>
      </c>
      <c r="M1803" s="9"/>
    </row>
    <row r="1804" customFormat="false" ht="15" hidden="false" customHeight="false" outlineLevel="0" collapsed="false">
      <c r="A1804" s="7" t="str">
        <f aca="false">IF('Outro banco'!A1804="","",IF(LEFT('Outro banco'!A1804,1)="(","",'Outro banco'!A1804))</f>
        <v/>
      </c>
      <c r="B1804" s="7" t="str">
        <f aca="false">IF(A1804="","",'Outro banco'!B1804)</f>
        <v/>
      </c>
      <c r="C1804" s="7" t="str">
        <f aca="false">IF(A1804="","",'Outro banco'!C1804)</f>
        <v/>
      </c>
      <c r="D1804" s="7" t="str">
        <f aca="false">IF(A1804="","",'Outro banco'!D1804)</f>
        <v/>
      </c>
      <c r="E1804" s="9"/>
      <c r="F1804" s="9"/>
      <c r="G1804" s="7" t="str">
        <f aca="false">IF(A1804="","",IF(COUNTIF(Tabelas!$A:$A,IF(E1804="",A1804,E1804))&gt;0,"sim","não"))</f>
        <v/>
      </c>
      <c r="H1804" s="7" t="str">
        <f aca="false">IF(A1804="","",IF(E1804="",A1804,E1804)&amp;"."&amp;IF(F1804="",B1804,F1804))</f>
        <v/>
      </c>
      <c r="I1804" s="7" t="str">
        <f aca="false">IF(A1804="","",IFERROR(INDEX('Campos Growths'!$F:$F,MATCH(H1804,'Campos Growths'!$A:$A,0)),""))</f>
        <v/>
      </c>
      <c r="J1804" s="7" t="str">
        <f aca="false">IF(A1804="","",IFERROR(VLOOKUP(IF(ISNUMBER(SEARCH("(",C1804)),LEFT(C1804,SEARCH("(",C1804)-1),C1804),Tipos!$A:$B,2,FALSE()),"outro"))</f>
        <v/>
      </c>
      <c r="K1804" s="7" t="str">
        <f aca="false">IF(I1804="","",IFERROR(INDEX('Campos Growths'!$L:$L,MATCH(H1804,'Campos Growths'!$A:$A,0)),""))</f>
        <v/>
      </c>
      <c r="L1804" s="7" t="str">
        <f aca="false">IF(A1804="","",IF(G1804="não","Sem tabela no Growths",IF(I1804="","Sem campo no Growths",IF(J1804=K1804,"Importa direto","Ajustar tipo"))))</f>
        <v/>
      </c>
      <c r="M1804" s="9"/>
    </row>
    <row r="1805" customFormat="false" ht="15" hidden="false" customHeight="false" outlineLevel="0" collapsed="false">
      <c r="A1805" s="7" t="str">
        <f aca="false">IF('Outro banco'!A1805="","",IF(LEFT('Outro banco'!A1805,1)="(","",'Outro banco'!A1805))</f>
        <v/>
      </c>
      <c r="B1805" s="7" t="str">
        <f aca="false">IF(A1805="","",'Outro banco'!B1805)</f>
        <v/>
      </c>
      <c r="C1805" s="7" t="str">
        <f aca="false">IF(A1805="","",'Outro banco'!C1805)</f>
        <v/>
      </c>
      <c r="D1805" s="7" t="str">
        <f aca="false">IF(A1805="","",'Outro banco'!D1805)</f>
        <v/>
      </c>
      <c r="E1805" s="9"/>
      <c r="F1805" s="9"/>
      <c r="G1805" s="7" t="str">
        <f aca="false">IF(A1805="","",IF(COUNTIF(Tabelas!$A:$A,IF(E1805="",A1805,E1805))&gt;0,"sim","não"))</f>
        <v/>
      </c>
      <c r="H1805" s="7" t="str">
        <f aca="false">IF(A1805="","",IF(E1805="",A1805,E1805)&amp;"."&amp;IF(F1805="",B1805,F1805))</f>
        <v/>
      </c>
      <c r="I1805" s="7" t="str">
        <f aca="false">IF(A1805="","",IFERROR(INDEX('Campos Growths'!$F:$F,MATCH(H1805,'Campos Growths'!$A:$A,0)),""))</f>
        <v/>
      </c>
      <c r="J1805" s="7" t="str">
        <f aca="false">IF(A1805="","",IFERROR(VLOOKUP(IF(ISNUMBER(SEARCH("(",C1805)),LEFT(C1805,SEARCH("(",C1805)-1),C1805),Tipos!$A:$B,2,FALSE()),"outro"))</f>
        <v/>
      </c>
      <c r="K1805" s="7" t="str">
        <f aca="false">IF(I1805="","",IFERROR(INDEX('Campos Growths'!$L:$L,MATCH(H1805,'Campos Growths'!$A:$A,0)),""))</f>
        <v/>
      </c>
      <c r="L1805" s="7" t="str">
        <f aca="false">IF(A1805="","",IF(G1805="não","Sem tabela no Growths",IF(I1805="","Sem campo no Growths",IF(J1805=K1805,"Importa direto","Ajustar tipo"))))</f>
        <v/>
      </c>
      <c r="M1805" s="9"/>
    </row>
    <row r="1806" customFormat="false" ht="15" hidden="false" customHeight="false" outlineLevel="0" collapsed="false">
      <c r="A1806" s="7" t="str">
        <f aca="false">IF('Outro banco'!A1806="","",IF(LEFT('Outro banco'!A1806,1)="(","",'Outro banco'!A1806))</f>
        <v/>
      </c>
      <c r="B1806" s="7" t="str">
        <f aca="false">IF(A1806="","",'Outro banco'!B1806)</f>
        <v/>
      </c>
      <c r="C1806" s="7" t="str">
        <f aca="false">IF(A1806="","",'Outro banco'!C1806)</f>
        <v/>
      </c>
      <c r="D1806" s="7" t="str">
        <f aca="false">IF(A1806="","",'Outro banco'!D1806)</f>
        <v/>
      </c>
      <c r="E1806" s="9"/>
      <c r="F1806" s="9"/>
      <c r="G1806" s="7" t="str">
        <f aca="false">IF(A1806="","",IF(COUNTIF(Tabelas!$A:$A,IF(E1806="",A1806,E1806))&gt;0,"sim","não"))</f>
        <v/>
      </c>
      <c r="H1806" s="7" t="str">
        <f aca="false">IF(A1806="","",IF(E1806="",A1806,E1806)&amp;"."&amp;IF(F1806="",B1806,F1806))</f>
        <v/>
      </c>
      <c r="I1806" s="7" t="str">
        <f aca="false">IF(A1806="","",IFERROR(INDEX('Campos Growths'!$F:$F,MATCH(H1806,'Campos Growths'!$A:$A,0)),""))</f>
        <v/>
      </c>
      <c r="J1806" s="7" t="str">
        <f aca="false">IF(A1806="","",IFERROR(VLOOKUP(IF(ISNUMBER(SEARCH("(",C1806)),LEFT(C1806,SEARCH("(",C1806)-1),C1806),Tipos!$A:$B,2,FALSE()),"outro"))</f>
        <v/>
      </c>
      <c r="K1806" s="7" t="str">
        <f aca="false">IF(I1806="","",IFERROR(INDEX('Campos Growths'!$L:$L,MATCH(H1806,'Campos Growths'!$A:$A,0)),""))</f>
        <v/>
      </c>
      <c r="L1806" s="7" t="str">
        <f aca="false">IF(A1806="","",IF(G1806="não","Sem tabela no Growths",IF(I1806="","Sem campo no Growths",IF(J1806=K1806,"Importa direto","Ajustar tipo"))))</f>
        <v/>
      </c>
      <c r="M1806" s="9"/>
    </row>
    <row r="1807" customFormat="false" ht="15" hidden="false" customHeight="false" outlineLevel="0" collapsed="false">
      <c r="A1807" s="7" t="str">
        <f aca="false">IF('Outro banco'!A1807="","",IF(LEFT('Outro banco'!A1807,1)="(","",'Outro banco'!A1807))</f>
        <v/>
      </c>
      <c r="B1807" s="7" t="str">
        <f aca="false">IF(A1807="","",'Outro banco'!B1807)</f>
        <v/>
      </c>
      <c r="C1807" s="7" t="str">
        <f aca="false">IF(A1807="","",'Outro banco'!C1807)</f>
        <v/>
      </c>
      <c r="D1807" s="7" t="str">
        <f aca="false">IF(A1807="","",'Outro banco'!D1807)</f>
        <v/>
      </c>
      <c r="E1807" s="9"/>
      <c r="F1807" s="9"/>
      <c r="G1807" s="7" t="str">
        <f aca="false">IF(A1807="","",IF(COUNTIF(Tabelas!$A:$A,IF(E1807="",A1807,E1807))&gt;0,"sim","não"))</f>
        <v/>
      </c>
      <c r="H1807" s="7" t="str">
        <f aca="false">IF(A1807="","",IF(E1807="",A1807,E1807)&amp;"."&amp;IF(F1807="",B1807,F1807))</f>
        <v/>
      </c>
      <c r="I1807" s="7" t="str">
        <f aca="false">IF(A1807="","",IFERROR(INDEX('Campos Growths'!$F:$F,MATCH(H1807,'Campos Growths'!$A:$A,0)),""))</f>
        <v/>
      </c>
      <c r="J1807" s="7" t="str">
        <f aca="false">IF(A1807="","",IFERROR(VLOOKUP(IF(ISNUMBER(SEARCH("(",C1807)),LEFT(C1807,SEARCH("(",C1807)-1),C1807),Tipos!$A:$B,2,FALSE()),"outro"))</f>
        <v/>
      </c>
      <c r="K1807" s="7" t="str">
        <f aca="false">IF(I1807="","",IFERROR(INDEX('Campos Growths'!$L:$L,MATCH(H1807,'Campos Growths'!$A:$A,0)),""))</f>
        <v/>
      </c>
      <c r="L1807" s="7" t="str">
        <f aca="false">IF(A1807="","",IF(G1807="não","Sem tabela no Growths",IF(I1807="","Sem campo no Growths",IF(J1807=K1807,"Importa direto","Ajustar tipo"))))</f>
        <v/>
      </c>
      <c r="M1807" s="9"/>
    </row>
    <row r="1808" customFormat="false" ht="15" hidden="false" customHeight="false" outlineLevel="0" collapsed="false">
      <c r="A1808" s="7" t="str">
        <f aca="false">IF('Outro banco'!A1808="","",IF(LEFT('Outro banco'!A1808,1)="(","",'Outro banco'!A1808))</f>
        <v/>
      </c>
      <c r="B1808" s="7" t="str">
        <f aca="false">IF(A1808="","",'Outro banco'!B1808)</f>
        <v/>
      </c>
      <c r="C1808" s="7" t="str">
        <f aca="false">IF(A1808="","",'Outro banco'!C1808)</f>
        <v/>
      </c>
      <c r="D1808" s="7" t="str">
        <f aca="false">IF(A1808="","",'Outro banco'!D1808)</f>
        <v/>
      </c>
      <c r="E1808" s="9"/>
      <c r="F1808" s="9"/>
      <c r="G1808" s="7" t="str">
        <f aca="false">IF(A1808="","",IF(COUNTIF(Tabelas!$A:$A,IF(E1808="",A1808,E1808))&gt;0,"sim","não"))</f>
        <v/>
      </c>
      <c r="H1808" s="7" t="str">
        <f aca="false">IF(A1808="","",IF(E1808="",A1808,E1808)&amp;"."&amp;IF(F1808="",B1808,F1808))</f>
        <v/>
      </c>
      <c r="I1808" s="7" t="str">
        <f aca="false">IF(A1808="","",IFERROR(INDEX('Campos Growths'!$F:$F,MATCH(H1808,'Campos Growths'!$A:$A,0)),""))</f>
        <v/>
      </c>
      <c r="J1808" s="7" t="str">
        <f aca="false">IF(A1808="","",IFERROR(VLOOKUP(IF(ISNUMBER(SEARCH("(",C1808)),LEFT(C1808,SEARCH("(",C1808)-1),C1808),Tipos!$A:$B,2,FALSE()),"outro"))</f>
        <v/>
      </c>
      <c r="K1808" s="7" t="str">
        <f aca="false">IF(I1808="","",IFERROR(INDEX('Campos Growths'!$L:$L,MATCH(H1808,'Campos Growths'!$A:$A,0)),""))</f>
        <v/>
      </c>
      <c r="L1808" s="7" t="str">
        <f aca="false">IF(A1808="","",IF(G1808="não","Sem tabela no Growths",IF(I1808="","Sem campo no Growths",IF(J1808=K1808,"Importa direto","Ajustar tipo"))))</f>
        <v/>
      </c>
      <c r="M1808" s="9"/>
    </row>
    <row r="1809" customFormat="false" ht="15" hidden="false" customHeight="false" outlineLevel="0" collapsed="false">
      <c r="A1809" s="7" t="str">
        <f aca="false">IF('Outro banco'!A1809="","",IF(LEFT('Outro banco'!A1809,1)="(","",'Outro banco'!A1809))</f>
        <v/>
      </c>
      <c r="B1809" s="7" t="str">
        <f aca="false">IF(A1809="","",'Outro banco'!B1809)</f>
        <v/>
      </c>
      <c r="C1809" s="7" t="str">
        <f aca="false">IF(A1809="","",'Outro banco'!C1809)</f>
        <v/>
      </c>
      <c r="D1809" s="7" t="str">
        <f aca="false">IF(A1809="","",'Outro banco'!D1809)</f>
        <v/>
      </c>
      <c r="E1809" s="9"/>
      <c r="F1809" s="9"/>
      <c r="G1809" s="7" t="str">
        <f aca="false">IF(A1809="","",IF(COUNTIF(Tabelas!$A:$A,IF(E1809="",A1809,E1809))&gt;0,"sim","não"))</f>
        <v/>
      </c>
      <c r="H1809" s="7" t="str">
        <f aca="false">IF(A1809="","",IF(E1809="",A1809,E1809)&amp;"."&amp;IF(F1809="",B1809,F1809))</f>
        <v/>
      </c>
      <c r="I1809" s="7" t="str">
        <f aca="false">IF(A1809="","",IFERROR(INDEX('Campos Growths'!$F:$F,MATCH(H1809,'Campos Growths'!$A:$A,0)),""))</f>
        <v/>
      </c>
      <c r="J1809" s="7" t="str">
        <f aca="false">IF(A1809="","",IFERROR(VLOOKUP(IF(ISNUMBER(SEARCH("(",C1809)),LEFT(C1809,SEARCH("(",C1809)-1),C1809),Tipos!$A:$B,2,FALSE()),"outro"))</f>
        <v/>
      </c>
      <c r="K1809" s="7" t="str">
        <f aca="false">IF(I1809="","",IFERROR(INDEX('Campos Growths'!$L:$L,MATCH(H1809,'Campos Growths'!$A:$A,0)),""))</f>
        <v/>
      </c>
      <c r="L1809" s="7" t="str">
        <f aca="false">IF(A1809="","",IF(G1809="não","Sem tabela no Growths",IF(I1809="","Sem campo no Growths",IF(J1809=K1809,"Importa direto","Ajustar tipo"))))</f>
        <v/>
      </c>
      <c r="M1809" s="9"/>
    </row>
    <row r="1810" customFormat="false" ht="15" hidden="false" customHeight="false" outlineLevel="0" collapsed="false">
      <c r="A1810" s="7" t="str">
        <f aca="false">IF('Outro banco'!A1810="","",IF(LEFT('Outro banco'!A1810,1)="(","",'Outro banco'!A1810))</f>
        <v/>
      </c>
      <c r="B1810" s="7" t="str">
        <f aca="false">IF(A1810="","",'Outro banco'!B1810)</f>
        <v/>
      </c>
      <c r="C1810" s="7" t="str">
        <f aca="false">IF(A1810="","",'Outro banco'!C1810)</f>
        <v/>
      </c>
      <c r="D1810" s="7" t="str">
        <f aca="false">IF(A1810="","",'Outro banco'!D1810)</f>
        <v/>
      </c>
      <c r="E1810" s="9"/>
      <c r="F1810" s="9"/>
      <c r="G1810" s="7" t="str">
        <f aca="false">IF(A1810="","",IF(COUNTIF(Tabelas!$A:$A,IF(E1810="",A1810,E1810))&gt;0,"sim","não"))</f>
        <v/>
      </c>
      <c r="H1810" s="7" t="str">
        <f aca="false">IF(A1810="","",IF(E1810="",A1810,E1810)&amp;"."&amp;IF(F1810="",B1810,F1810))</f>
        <v/>
      </c>
      <c r="I1810" s="7" t="str">
        <f aca="false">IF(A1810="","",IFERROR(INDEX('Campos Growths'!$F:$F,MATCH(H1810,'Campos Growths'!$A:$A,0)),""))</f>
        <v/>
      </c>
      <c r="J1810" s="7" t="str">
        <f aca="false">IF(A1810="","",IFERROR(VLOOKUP(IF(ISNUMBER(SEARCH("(",C1810)),LEFT(C1810,SEARCH("(",C1810)-1),C1810),Tipos!$A:$B,2,FALSE()),"outro"))</f>
        <v/>
      </c>
      <c r="K1810" s="7" t="str">
        <f aca="false">IF(I1810="","",IFERROR(INDEX('Campos Growths'!$L:$L,MATCH(H1810,'Campos Growths'!$A:$A,0)),""))</f>
        <v/>
      </c>
      <c r="L1810" s="7" t="str">
        <f aca="false">IF(A1810="","",IF(G1810="não","Sem tabela no Growths",IF(I1810="","Sem campo no Growths",IF(J1810=K1810,"Importa direto","Ajustar tipo"))))</f>
        <v/>
      </c>
      <c r="M1810" s="9"/>
    </row>
    <row r="1811" customFormat="false" ht="15" hidden="false" customHeight="false" outlineLevel="0" collapsed="false">
      <c r="A1811" s="7" t="str">
        <f aca="false">IF('Outro banco'!A1811="","",IF(LEFT('Outro banco'!A1811,1)="(","",'Outro banco'!A1811))</f>
        <v/>
      </c>
      <c r="B1811" s="7" t="str">
        <f aca="false">IF(A1811="","",'Outro banco'!B1811)</f>
        <v/>
      </c>
      <c r="C1811" s="7" t="str">
        <f aca="false">IF(A1811="","",'Outro banco'!C1811)</f>
        <v/>
      </c>
      <c r="D1811" s="7" t="str">
        <f aca="false">IF(A1811="","",'Outro banco'!D1811)</f>
        <v/>
      </c>
      <c r="E1811" s="9"/>
      <c r="F1811" s="9"/>
      <c r="G1811" s="7" t="str">
        <f aca="false">IF(A1811="","",IF(COUNTIF(Tabelas!$A:$A,IF(E1811="",A1811,E1811))&gt;0,"sim","não"))</f>
        <v/>
      </c>
      <c r="H1811" s="7" t="str">
        <f aca="false">IF(A1811="","",IF(E1811="",A1811,E1811)&amp;"."&amp;IF(F1811="",B1811,F1811))</f>
        <v/>
      </c>
      <c r="I1811" s="7" t="str">
        <f aca="false">IF(A1811="","",IFERROR(INDEX('Campos Growths'!$F:$F,MATCH(H1811,'Campos Growths'!$A:$A,0)),""))</f>
        <v/>
      </c>
      <c r="J1811" s="7" t="str">
        <f aca="false">IF(A1811="","",IFERROR(VLOOKUP(IF(ISNUMBER(SEARCH("(",C1811)),LEFT(C1811,SEARCH("(",C1811)-1),C1811),Tipos!$A:$B,2,FALSE()),"outro"))</f>
        <v/>
      </c>
      <c r="K1811" s="7" t="str">
        <f aca="false">IF(I1811="","",IFERROR(INDEX('Campos Growths'!$L:$L,MATCH(H1811,'Campos Growths'!$A:$A,0)),""))</f>
        <v/>
      </c>
      <c r="L1811" s="7" t="str">
        <f aca="false">IF(A1811="","",IF(G1811="não","Sem tabela no Growths",IF(I1811="","Sem campo no Growths",IF(J1811=K1811,"Importa direto","Ajustar tipo"))))</f>
        <v/>
      </c>
      <c r="M1811" s="9"/>
    </row>
    <row r="1812" customFormat="false" ht="15" hidden="false" customHeight="false" outlineLevel="0" collapsed="false">
      <c r="A1812" s="7" t="str">
        <f aca="false">IF('Outro banco'!A1812="","",IF(LEFT('Outro banco'!A1812,1)="(","",'Outro banco'!A1812))</f>
        <v/>
      </c>
      <c r="B1812" s="7" t="str">
        <f aca="false">IF(A1812="","",'Outro banco'!B1812)</f>
        <v/>
      </c>
      <c r="C1812" s="7" t="str">
        <f aca="false">IF(A1812="","",'Outro banco'!C1812)</f>
        <v/>
      </c>
      <c r="D1812" s="7" t="str">
        <f aca="false">IF(A1812="","",'Outro banco'!D1812)</f>
        <v/>
      </c>
      <c r="E1812" s="9"/>
      <c r="F1812" s="9"/>
      <c r="G1812" s="7" t="str">
        <f aca="false">IF(A1812="","",IF(COUNTIF(Tabelas!$A:$A,IF(E1812="",A1812,E1812))&gt;0,"sim","não"))</f>
        <v/>
      </c>
      <c r="H1812" s="7" t="str">
        <f aca="false">IF(A1812="","",IF(E1812="",A1812,E1812)&amp;"."&amp;IF(F1812="",B1812,F1812))</f>
        <v/>
      </c>
      <c r="I1812" s="7" t="str">
        <f aca="false">IF(A1812="","",IFERROR(INDEX('Campos Growths'!$F:$F,MATCH(H1812,'Campos Growths'!$A:$A,0)),""))</f>
        <v/>
      </c>
      <c r="J1812" s="7" t="str">
        <f aca="false">IF(A1812="","",IFERROR(VLOOKUP(IF(ISNUMBER(SEARCH("(",C1812)),LEFT(C1812,SEARCH("(",C1812)-1),C1812),Tipos!$A:$B,2,FALSE()),"outro"))</f>
        <v/>
      </c>
      <c r="K1812" s="7" t="str">
        <f aca="false">IF(I1812="","",IFERROR(INDEX('Campos Growths'!$L:$L,MATCH(H1812,'Campos Growths'!$A:$A,0)),""))</f>
        <v/>
      </c>
      <c r="L1812" s="7" t="str">
        <f aca="false">IF(A1812="","",IF(G1812="não","Sem tabela no Growths",IF(I1812="","Sem campo no Growths",IF(J1812=K1812,"Importa direto","Ajustar tipo"))))</f>
        <v/>
      </c>
      <c r="M1812" s="9"/>
    </row>
    <row r="1813" customFormat="false" ht="15" hidden="false" customHeight="false" outlineLevel="0" collapsed="false">
      <c r="A1813" s="7" t="str">
        <f aca="false">IF('Outro banco'!A1813="","",IF(LEFT('Outro banco'!A1813,1)="(","",'Outro banco'!A1813))</f>
        <v/>
      </c>
      <c r="B1813" s="7" t="str">
        <f aca="false">IF(A1813="","",'Outro banco'!B1813)</f>
        <v/>
      </c>
      <c r="C1813" s="7" t="str">
        <f aca="false">IF(A1813="","",'Outro banco'!C1813)</f>
        <v/>
      </c>
      <c r="D1813" s="7" t="str">
        <f aca="false">IF(A1813="","",'Outro banco'!D1813)</f>
        <v/>
      </c>
      <c r="E1813" s="9"/>
      <c r="F1813" s="9"/>
      <c r="G1813" s="7" t="str">
        <f aca="false">IF(A1813="","",IF(COUNTIF(Tabelas!$A:$A,IF(E1813="",A1813,E1813))&gt;0,"sim","não"))</f>
        <v/>
      </c>
      <c r="H1813" s="7" t="str">
        <f aca="false">IF(A1813="","",IF(E1813="",A1813,E1813)&amp;"."&amp;IF(F1813="",B1813,F1813))</f>
        <v/>
      </c>
      <c r="I1813" s="7" t="str">
        <f aca="false">IF(A1813="","",IFERROR(INDEX('Campos Growths'!$F:$F,MATCH(H1813,'Campos Growths'!$A:$A,0)),""))</f>
        <v/>
      </c>
      <c r="J1813" s="7" t="str">
        <f aca="false">IF(A1813="","",IFERROR(VLOOKUP(IF(ISNUMBER(SEARCH("(",C1813)),LEFT(C1813,SEARCH("(",C1813)-1),C1813),Tipos!$A:$B,2,FALSE()),"outro"))</f>
        <v/>
      </c>
      <c r="K1813" s="7" t="str">
        <f aca="false">IF(I1813="","",IFERROR(INDEX('Campos Growths'!$L:$L,MATCH(H1813,'Campos Growths'!$A:$A,0)),""))</f>
        <v/>
      </c>
      <c r="L1813" s="7" t="str">
        <f aca="false">IF(A1813="","",IF(G1813="não","Sem tabela no Growths",IF(I1813="","Sem campo no Growths",IF(J1813=K1813,"Importa direto","Ajustar tipo"))))</f>
        <v/>
      </c>
      <c r="M1813" s="9"/>
    </row>
    <row r="1814" customFormat="false" ht="15" hidden="false" customHeight="false" outlineLevel="0" collapsed="false">
      <c r="A1814" s="7" t="str">
        <f aca="false">IF('Outro banco'!A1814="","",IF(LEFT('Outro banco'!A1814,1)="(","",'Outro banco'!A1814))</f>
        <v/>
      </c>
      <c r="B1814" s="7" t="str">
        <f aca="false">IF(A1814="","",'Outro banco'!B1814)</f>
        <v/>
      </c>
      <c r="C1814" s="7" t="str">
        <f aca="false">IF(A1814="","",'Outro banco'!C1814)</f>
        <v/>
      </c>
      <c r="D1814" s="7" t="str">
        <f aca="false">IF(A1814="","",'Outro banco'!D1814)</f>
        <v/>
      </c>
      <c r="E1814" s="9"/>
      <c r="F1814" s="9"/>
      <c r="G1814" s="7" t="str">
        <f aca="false">IF(A1814="","",IF(COUNTIF(Tabelas!$A:$A,IF(E1814="",A1814,E1814))&gt;0,"sim","não"))</f>
        <v/>
      </c>
      <c r="H1814" s="7" t="str">
        <f aca="false">IF(A1814="","",IF(E1814="",A1814,E1814)&amp;"."&amp;IF(F1814="",B1814,F1814))</f>
        <v/>
      </c>
      <c r="I1814" s="7" t="str">
        <f aca="false">IF(A1814="","",IFERROR(INDEX('Campos Growths'!$F:$F,MATCH(H1814,'Campos Growths'!$A:$A,0)),""))</f>
        <v/>
      </c>
      <c r="J1814" s="7" t="str">
        <f aca="false">IF(A1814="","",IFERROR(VLOOKUP(IF(ISNUMBER(SEARCH("(",C1814)),LEFT(C1814,SEARCH("(",C1814)-1),C1814),Tipos!$A:$B,2,FALSE()),"outro"))</f>
        <v/>
      </c>
      <c r="K1814" s="7" t="str">
        <f aca="false">IF(I1814="","",IFERROR(INDEX('Campos Growths'!$L:$L,MATCH(H1814,'Campos Growths'!$A:$A,0)),""))</f>
        <v/>
      </c>
      <c r="L1814" s="7" t="str">
        <f aca="false">IF(A1814="","",IF(G1814="não","Sem tabela no Growths",IF(I1814="","Sem campo no Growths",IF(J1814=K1814,"Importa direto","Ajustar tipo"))))</f>
        <v/>
      </c>
      <c r="M1814" s="9"/>
    </row>
    <row r="1815" customFormat="false" ht="15" hidden="false" customHeight="false" outlineLevel="0" collapsed="false">
      <c r="A1815" s="7" t="str">
        <f aca="false">IF('Outro banco'!A1815="","",IF(LEFT('Outro banco'!A1815,1)="(","",'Outro banco'!A1815))</f>
        <v/>
      </c>
      <c r="B1815" s="7" t="str">
        <f aca="false">IF(A1815="","",'Outro banco'!B1815)</f>
        <v/>
      </c>
      <c r="C1815" s="7" t="str">
        <f aca="false">IF(A1815="","",'Outro banco'!C1815)</f>
        <v/>
      </c>
      <c r="D1815" s="7" t="str">
        <f aca="false">IF(A1815="","",'Outro banco'!D1815)</f>
        <v/>
      </c>
      <c r="E1815" s="9"/>
      <c r="F1815" s="9"/>
      <c r="G1815" s="7" t="str">
        <f aca="false">IF(A1815="","",IF(COUNTIF(Tabelas!$A:$A,IF(E1815="",A1815,E1815))&gt;0,"sim","não"))</f>
        <v/>
      </c>
      <c r="H1815" s="7" t="str">
        <f aca="false">IF(A1815="","",IF(E1815="",A1815,E1815)&amp;"."&amp;IF(F1815="",B1815,F1815))</f>
        <v/>
      </c>
      <c r="I1815" s="7" t="str">
        <f aca="false">IF(A1815="","",IFERROR(INDEX('Campos Growths'!$F:$F,MATCH(H1815,'Campos Growths'!$A:$A,0)),""))</f>
        <v/>
      </c>
      <c r="J1815" s="7" t="str">
        <f aca="false">IF(A1815="","",IFERROR(VLOOKUP(IF(ISNUMBER(SEARCH("(",C1815)),LEFT(C1815,SEARCH("(",C1815)-1),C1815),Tipos!$A:$B,2,FALSE()),"outro"))</f>
        <v/>
      </c>
      <c r="K1815" s="7" t="str">
        <f aca="false">IF(I1815="","",IFERROR(INDEX('Campos Growths'!$L:$L,MATCH(H1815,'Campos Growths'!$A:$A,0)),""))</f>
        <v/>
      </c>
      <c r="L1815" s="7" t="str">
        <f aca="false">IF(A1815="","",IF(G1815="não","Sem tabela no Growths",IF(I1815="","Sem campo no Growths",IF(J1815=K1815,"Importa direto","Ajustar tipo"))))</f>
        <v/>
      </c>
      <c r="M1815" s="9"/>
    </row>
    <row r="1816" customFormat="false" ht="15" hidden="false" customHeight="false" outlineLevel="0" collapsed="false">
      <c r="A1816" s="7" t="str">
        <f aca="false">IF('Outro banco'!A1816="","",IF(LEFT('Outro banco'!A1816,1)="(","",'Outro banco'!A1816))</f>
        <v/>
      </c>
      <c r="B1816" s="7" t="str">
        <f aca="false">IF(A1816="","",'Outro banco'!B1816)</f>
        <v/>
      </c>
      <c r="C1816" s="7" t="str">
        <f aca="false">IF(A1816="","",'Outro banco'!C1816)</f>
        <v/>
      </c>
      <c r="D1816" s="7" t="str">
        <f aca="false">IF(A1816="","",'Outro banco'!D1816)</f>
        <v/>
      </c>
      <c r="E1816" s="9"/>
      <c r="F1816" s="9"/>
      <c r="G1816" s="7" t="str">
        <f aca="false">IF(A1816="","",IF(COUNTIF(Tabelas!$A:$A,IF(E1816="",A1816,E1816))&gt;0,"sim","não"))</f>
        <v/>
      </c>
      <c r="H1816" s="7" t="str">
        <f aca="false">IF(A1816="","",IF(E1816="",A1816,E1816)&amp;"."&amp;IF(F1816="",B1816,F1816))</f>
        <v/>
      </c>
      <c r="I1816" s="7" t="str">
        <f aca="false">IF(A1816="","",IFERROR(INDEX('Campos Growths'!$F:$F,MATCH(H1816,'Campos Growths'!$A:$A,0)),""))</f>
        <v/>
      </c>
      <c r="J1816" s="7" t="str">
        <f aca="false">IF(A1816="","",IFERROR(VLOOKUP(IF(ISNUMBER(SEARCH("(",C1816)),LEFT(C1816,SEARCH("(",C1816)-1),C1816),Tipos!$A:$B,2,FALSE()),"outro"))</f>
        <v/>
      </c>
      <c r="K1816" s="7" t="str">
        <f aca="false">IF(I1816="","",IFERROR(INDEX('Campos Growths'!$L:$L,MATCH(H1816,'Campos Growths'!$A:$A,0)),""))</f>
        <v/>
      </c>
      <c r="L1816" s="7" t="str">
        <f aca="false">IF(A1816="","",IF(G1816="não","Sem tabela no Growths",IF(I1816="","Sem campo no Growths",IF(J1816=K1816,"Importa direto","Ajustar tipo"))))</f>
        <v/>
      </c>
      <c r="M1816" s="9"/>
    </row>
    <row r="1817" customFormat="false" ht="15" hidden="false" customHeight="false" outlineLevel="0" collapsed="false">
      <c r="A1817" s="7" t="str">
        <f aca="false">IF('Outro banco'!A1817="","",IF(LEFT('Outro banco'!A1817,1)="(","",'Outro banco'!A1817))</f>
        <v/>
      </c>
      <c r="B1817" s="7" t="str">
        <f aca="false">IF(A1817="","",'Outro banco'!B1817)</f>
        <v/>
      </c>
      <c r="C1817" s="7" t="str">
        <f aca="false">IF(A1817="","",'Outro banco'!C1817)</f>
        <v/>
      </c>
      <c r="D1817" s="7" t="str">
        <f aca="false">IF(A1817="","",'Outro banco'!D1817)</f>
        <v/>
      </c>
      <c r="E1817" s="9"/>
      <c r="F1817" s="9"/>
      <c r="G1817" s="7" t="str">
        <f aca="false">IF(A1817="","",IF(COUNTIF(Tabelas!$A:$A,IF(E1817="",A1817,E1817))&gt;0,"sim","não"))</f>
        <v/>
      </c>
      <c r="H1817" s="7" t="str">
        <f aca="false">IF(A1817="","",IF(E1817="",A1817,E1817)&amp;"."&amp;IF(F1817="",B1817,F1817))</f>
        <v/>
      </c>
      <c r="I1817" s="7" t="str">
        <f aca="false">IF(A1817="","",IFERROR(INDEX('Campos Growths'!$F:$F,MATCH(H1817,'Campos Growths'!$A:$A,0)),""))</f>
        <v/>
      </c>
      <c r="J1817" s="7" t="str">
        <f aca="false">IF(A1817="","",IFERROR(VLOOKUP(IF(ISNUMBER(SEARCH("(",C1817)),LEFT(C1817,SEARCH("(",C1817)-1),C1817),Tipos!$A:$B,2,FALSE()),"outro"))</f>
        <v/>
      </c>
      <c r="K1817" s="7" t="str">
        <f aca="false">IF(I1817="","",IFERROR(INDEX('Campos Growths'!$L:$L,MATCH(H1817,'Campos Growths'!$A:$A,0)),""))</f>
        <v/>
      </c>
      <c r="L1817" s="7" t="str">
        <f aca="false">IF(A1817="","",IF(G1817="não","Sem tabela no Growths",IF(I1817="","Sem campo no Growths",IF(J1817=K1817,"Importa direto","Ajustar tipo"))))</f>
        <v/>
      </c>
      <c r="M1817" s="9"/>
    </row>
    <row r="1818" customFormat="false" ht="15" hidden="false" customHeight="false" outlineLevel="0" collapsed="false">
      <c r="A1818" s="7" t="str">
        <f aca="false">IF('Outro banco'!A1818="","",IF(LEFT('Outro banco'!A1818,1)="(","",'Outro banco'!A1818))</f>
        <v/>
      </c>
      <c r="B1818" s="7" t="str">
        <f aca="false">IF(A1818="","",'Outro banco'!B1818)</f>
        <v/>
      </c>
      <c r="C1818" s="7" t="str">
        <f aca="false">IF(A1818="","",'Outro banco'!C1818)</f>
        <v/>
      </c>
      <c r="D1818" s="7" t="str">
        <f aca="false">IF(A1818="","",'Outro banco'!D1818)</f>
        <v/>
      </c>
      <c r="E1818" s="9"/>
      <c r="F1818" s="9"/>
      <c r="G1818" s="7" t="str">
        <f aca="false">IF(A1818="","",IF(COUNTIF(Tabelas!$A:$A,IF(E1818="",A1818,E1818))&gt;0,"sim","não"))</f>
        <v/>
      </c>
      <c r="H1818" s="7" t="str">
        <f aca="false">IF(A1818="","",IF(E1818="",A1818,E1818)&amp;"."&amp;IF(F1818="",B1818,F1818))</f>
        <v/>
      </c>
      <c r="I1818" s="7" t="str">
        <f aca="false">IF(A1818="","",IFERROR(INDEX('Campos Growths'!$F:$F,MATCH(H1818,'Campos Growths'!$A:$A,0)),""))</f>
        <v/>
      </c>
      <c r="J1818" s="7" t="str">
        <f aca="false">IF(A1818="","",IFERROR(VLOOKUP(IF(ISNUMBER(SEARCH("(",C1818)),LEFT(C1818,SEARCH("(",C1818)-1),C1818),Tipos!$A:$B,2,FALSE()),"outro"))</f>
        <v/>
      </c>
      <c r="K1818" s="7" t="str">
        <f aca="false">IF(I1818="","",IFERROR(INDEX('Campos Growths'!$L:$L,MATCH(H1818,'Campos Growths'!$A:$A,0)),""))</f>
        <v/>
      </c>
      <c r="L1818" s="7" t="str">
        <f aca="false">IF(A1818="","",IF(G1818="não","Sem tabela no Growths",IF(I1818="","Sem campo no Growths",IF(J1818=K1818,"Importa direto","Ajustar tipo"))))</f>
        <v/>
      </c>
      <c r="M1818" s="9"/>
    </row>
    <row r="1819" customFormat="false" ht="15" hidden="false" customHeight="false" outlineLevel="0" collapsed="false">
      <c r="A1819" s="7" t="str">
        <f aca="false">IF('Outro banco'!A1819="","",IF(LEFT('Outro banco'!A1819,1)="(","",'Outro banco'!A1819))</f>
        <v/>
      </c>
      <c r="B1819" s="7" t="str">
        <f aca="false">IF(A1819="","",'Outro banco'!B1819)</f>
        <v/>
      </c>
      <c r="C1819" s="7" t="str">
        <f aca="false">IF(A1819="","",'Outro banco'!C1819)</f>
        <v/>
      </c>
      <c r="D1819" s="7" t="str">
        <f aca="false">IF(A1819="","",'Outro banco'!D1819)</f>
        <v/>
      </c>
      <c r="E1819" s="9"/>
      <c r="F1819" s="9"/>
      <c r="G1819" s="7" t="str">
        <f aca="false">IF(A1819="","",IF(COUNTIF(Tabelas!$A:$A,IF(E1819="",A1819,E1819))&gt;0,"sim","não"))</f>
        <v/>
      </c>
      <c r="H1819" s="7" t="str">
        <f aca="false">IF(A1819="","",IF(E1819="",A1819,E1819)&amp;"."&amp;IF(F1819="",B1819,F1819))</f>
        <v/>
      </c>
      <c r="I1819" s="7" t="str">
        <f aca="false">IF(A1819="","",IFERROR(INDEX('Campos Growths'!$F:$F,MATCH(H1819,'Campos Growths'!$A:$A,0)),""))</f>
        <v/>
      </c>
      <c r="J1819" s="7" t="str">
        <f aca="false">IF(A1819="","",IFERROR(VLOOKUP(IF(ISNUMBER(SEARCH("(",C1819)),LEFT(C1819,SEARCH("(",C1819)-1),C1819),Tipos!$A:$B,2,FALSE()),"outro"))</f>
        <v/>
      </c>
      <c r="K1819" s="7" t="str">
        <f aca="false">IF(I1819="","",IFERROR(INDEX('Campos Growths'!$L:$L,MATCH(H1819,'Campos Growths'!$A:$A,0)),""))</f>
        <v/>
      </c>
      <c r="L1819" s="7" t="str">
        <f aca="false">IF(A1819="","",IF(G1819="não","Sem tabela no Growths",IF(I1819="","Sem campo no Growths",IF(J1819=K1819,"Importa direto","Ajustar tipo"))))</f>
        <v/>
      </c>
      <c r="M1819" s="9"/>
    </row>
    <row r="1820" customFormat="false" ht="15" hidden="false" customHeight="false" outlineLevel="0" collapsed="false">
      <c r="A1820" s="7" t="str">
        <f aca="false">IF('Outro banco'!A1820="","",IF(LEFT('Outro banco'!A1820,1)="(","",'Outro banco'!A1820))</f>
        <v/>
      </c>
      <c r="B1820" s="7" t="str">
        <f aca="false">IF(A1820="","",'Outro banco'!B1820)</f>
        <v/>
      </c>
      <c r="C1820" s="7" t="str">
        <f aca="false">IF(A1820="","",'Outro banco'!C1820)</f>
        <v/>
      </c>
      <c r="D1820" s="7" t="str">
        <f aca="false">IF(A1820="","",'Outro banco'!D1820)</f>
        <v/>
      </c>
      <c r="E1820" s="9"/>
      <c r="F1820" s="9"/>
      <c r="G1820" s="7" t="str">
        <f aca="false">IF(A1820="","",IF(COUNTIF(Tabelas!$A:$A,IF(E1820="",A1820,E1820))&gt;0,"sim","não"))</f>
        <v/>
      </c>
      <c r="H1820" s="7" t="str">
        <f aca="false">IF(A1820="","",IF(E1820="",A1820,E1820)&amp;"."&amp;IF(F1820="",B1820,F1820))</f>
        <v/>
      </c>
      <c r="I1820" s="7" t="str">
        <f aca="false">IF(A1820="","",IFERROR(INDEX('Campos Growths'!$F:$F,MATCH(H1820,'Campos Growths'!$A:$A,0)),""))</f>
        <v/>
      </c>
      <c r="J1820" s="7" t="str">
        <f aca="false">IF(A1820="","",IFERROR(VLOOKUP(IF(ISNUMBER(SEARCH("(",C1820)),LEFT(C1820,SEARCH("(",C1820)-1),C1820),Tipos!$A:$B,2,FALSE()),"outro"))</f>
        <v/>
      </c>
      <c r="K1820" s="7" t="str">
        <f aca="false">IF(I1820="","",IFERROR(INDEX('Campos Growths'!$L:$L,MATCH(H1820,'Campos Growths'!$A:$A,0)),""))</f>
        <v/>
      </c>
      <c r="L1820" s="7" t="str">
        <f aca="false">IF(A1820="","",IF(G1820="não","Sem tabela no Growths",IF(I1820="","Sem campo no Growths",IF(J1820=K1820,"Importa direto","Ajustar tipo"))))</f>
        <v/>
      </c>
      <c r="M1820" s="9"/>
    </row>
    <row r="1821" customFormat="false" ht="15" hidden="false" customHeight="false" outlineLevel="0" collapsed="false">
      <c r="A1821" s="7" t="str">
        <f aca="false">IF('Outro banco'!A1821="","",IF(LEFT('Outro banco'!A1821,1)="(","",'Outro banco'!A1821))</f>
        <v/>
      </c>
      <c r="B1821" s="7" t="str">
        <f aca="false">IF(A1821="","",'Outro banco'!B1821)</f>
        <v/>
      </c>
      <c r="C1821" s="7" t="str">
        <f aca="false">IF(A1821="","",'Outro banco'!C1821)</f>
        <v/>
      </c>
      <c r="D1821" s="7" t="str">
        <f aca="false">IF(A1821="","",'Outro banco'!D1821)</f>
        <v/>
      </c>
      <c r="E1821" s="9"/>
      <c r="F1821" s="9"/>
      <c r="G1821" s="7" t="str">
        <f aca="false">IF(A1821="","",IF(COUNTIF(Tabelas!$A:$A,IF(E1821="",A1821,E1821))&gt;0,"sim","não"))</f>
        <v/>
      </c>
      <c r="H1821" s="7" t="str">
        <f aca="false">IF(A1821="","",IF(E1821="",A1821,E1821)&amp;"."&amp;IF(F1821="",B1821,F1821))</f>
        <v/>
      </c>
      <c r="I1821" s="7" t="str">
        <f aca="false">IF(A1821="","",IFERROR(INDEX('Campos Growths'!$F:$F,MATCH(H1821,'Campos Growths'!$A:$A,0)),""))</f>
        <v/>
      </c>
      <c r="J1821" s="7" t="str">
        <f aca="false">IF(A1821="","",IFERROR(VLOOKUP(IF(ISNUMBER(SEARCH("(",C1821)),LEFT(C1821,SEARCH("(",C1821)-1),C1821),Tipos!$A:$B,2,FALSE()),"outro"))</f>
        <v/>
      </c>
      <c r="K1821" s="7" t="str">
        <f aca="false">IF(I1821="","",IFERROR(INDEX('Campos Growths'!$L:$L,MATCH(H1821,'Campos Growths'!$A:$A,0)),""))</f>
        <v/>
      </c>
      <c r="L1821" s="7" t="str">
        <f aca="false">IF(A1821="","",IF(G1821="não","Sem tabela no Growths",IF(I1821="","Sem campo no Growths",IF(J1821=K1821,"Importa direto","Ajustar tipo"))))</f>
        <v/>
      </c>
      <c r="M1821" s="9"/>
    </row>
    <row r="1822" customFormat="false" ht="15" hidden="false" customHeight="false" outlineLevel="0" collapsed="false">
      <c r="A1822" s="7" t="str">
        <f aca="false">IF('Outro banco'!A1822="","",IF(LEFT('Outro banco'!A1822,1)="(","",'Outro banco'!A1822))</f>
        <v/>
      </c>
      <c r="B1822" s="7" t="str">
        <f aca="false">IF(A1822="","",'Outro banco'!B1822)</f>
        <v/>
      </c>
      <c r="C1822" s="7" t="str">
        <f aca="false">IF(A1822="","",'Outro banco'!C1822)</f>
        <v/>
      </c>
      <c r="D1822" s="7" t="str">
        <f aca="false">IF(A1822="","",'Outro banco'!D1822)</f>
        <v/>
      </c>
      <c r="E1822" s="9"/>
      <c r="F1822" s="9"/>
      <c r="G1822" s="7" t="str">
        <f aca="false">IF(A1822="","",IF(COUNTIF(Tabelas!$A:$A,IF(E1822="",A1822,E1822))&gt;0,"sim","não"))</f>
        <v/>
      </c>
      <c r="H1822" s="7" t="str">
        <f aca="false">IF(A1822="","",IF(E1822="",A1822,E1822)&amp;"."&amp;IF(F1822="",B1822,F1822))</f>
        <v/>
      </c>
      <c r="I1822" s="7" t="str">
        <f aca="false">IF(A1822="","",IFERROR(INDEX('Campos Growths'!$F:$F,MATCH(H1822,'Campos Growths'!$A:$A,0)),""))</f>
        <v/>
      </c>
      <c r="J1822" s="7" t="str">
        <f aca="false">IF(A1822="","",IFERROR(VLOOKUP(IF(ISNUMBER(SEARCH("(",C1822)),LEFT(C1822,SEARCH("(",C1822)-1),C1822),Tipos!$A:$B,2,FALSE()),"outro"))</f>
        <v/>
      </c>
      <c r="K1822" s="7" t="str">
        <f aca="false">IF(I1822="","",IFERROR(INDEX('Campos Growths'!$L:$L,MATCH(H1822,'Campos Growths'!$A:$A,0)),""))</f>
        <v/>
      </c>
      <c r="L1822" s="7" t="str">
        <f aca="false">IF(A1822="","",IF(G1822="não","Sem tabela no Growths",IF(I1822="","Sem campo no Growths",IF(J1822=K1822,"Importa direto","Ajustar tipo"))))</f>
        <v/>
      </c>
      <c r="M1822" s="9"/>
    </row>
    <row r="1823" customFormat="false" ht="15" hidden="false" customHeight="false" outlineLevel="0" collapsed="false">
      <c r="A1823" s="7" t="str">
        <f aca="false">IF('Outro banco'!A1823="","",IF(LEFT('Outro banco'!A1823,1)="(","",'Outro banco'!A1823))</f>
        <v/>
      </c>
      <c r="B1823" s="7" t="str">
        <f aca="false">IF(A1823="","",'Outro banco'!B1823)</f>
        <v/>
      </c>
      <c r="C1823" s="7" t="str">
        <f aca="false">IF(A1823="","",'Outro banco'!C1823)</f>
        <v/>
      </c>
      <c r="D1823" s="7" t="str">
        <f aca="false">IF(A1823="","",'Outro banco'!D1823)</f>
        <v/>
      </c>
      <c r="E1823" s="9"/>
      <c r="F1823" s="9"/>
      <c r="G1823" s="7" t="str">
        <f aca="false">IF(A1823="","",IF(COUNTIF(Tabelas!$A:$A,IF(E1823="",A1823,E1823))&gt;0,"sim","não"))</f>
        <v/>
      </c>
      <c r="H1823" s="7" t="str">
        <f aca="false">IF(A1823="","",IF(E1823="",A1823,E1823)&amp;"."&amp;IF(F1823="",B1823,F1823))</f>
        <v/>
      </c>
      <c r="I1823" s="7" t="str">
        <f aca="false">IF(A1823="","",IFERROR(INDEX('Campos Growths'!$F:$F,MATCH(H1823,'Campos Growths'!$A:$A,0)),""))</f>
        <v/>
      </c>
      <c r="J1823" s="7" t="str">
        <f aca="false">IF(A1823="","",IFERROR(VLOOKUP(IF(ISNUMBER(SEARCH("(",C1823)),LEFT(C1823,SEARCH("(",C1823)-1),C1823),Tipos!$A:$B,2,FALSE()),"outro"))</f>
        <v/>
      </c>
      <c r="K1823" s="7" t="str">
        <f aca="false">IF(I1823="","",IFERROR(INDEX('Campos Growths'!$L:$L,MATCH(H1823,'Campos Growths'!$A:$A,0)),""))</f>
        <v/>
      </c>
      <c r="L1823" s="7" t="str">
        <f aca="false">IF(A1823="","",IF(G1823="não","Sem tabela no Growths",IF(I1823="","Sem campo no Growths",IF(J1823=K1823,"Importa direto","Ajustar tipo"))))</f>
        <v/>
      </c>
      <c r="M1823" s="9"/>
    </row>
    <row r="1824" customFormat="false" ht="15" hidden="false" customHeight="false" outlineLevel="0" collapsed="false">
      <c r="A1824" s="7" t="str">
        <f aca="false">IF('Outro banco'!A1824="","",IF(LEFT('Outro banco'!A1824,1)="(","",'Outro banco'!A1824))</f>
        <v/>
      </c>
      <c r="B1824" s="7" t="str">
        <f aca="false">IF(A1824="","",'Outro banco'!B1824)</f>
        <v/>
      </c>
      <c r="C1824" s="7" t="str">
        <f aca="false">IF(A1824="","",'Outro banco'!C1824)</f>
        <v/>
      </c>
      <c r="D1824" s="7" t="str">
        <f aca="false">IF(A1824="","",'Outro banco'!D1824)</f>
        <v/>
      </c>
      <c r="E1824" s="9"/>
      <c r="F1824" s="9"/>
      <c r="G1824" s="7" t="str">
        <f aca="false">IF(A1824="","",IF(COUNTIF(Tabelas!$A:$A,IF(E1824="",A1824,E1824))&gt;0,"sim","não"))</f>
        <v/>
      </c>
      <c r="H1824" s="7" t="str">
        <f aca="false">IF(A1824="","",IF(E1824="",A1824,E1824)&amp;"."&amp;IF(F1824="",B1824,F1824))</f>
        <v/>
      </c>
      <c r="I1824" s="7" t="str">
        <f aca="false">IF(A1824="","",IFERROR(INDEX('Campos Growths'!$F:$F,MATCH(H1824,'Campos Growths'!$A:$A,0)),""))</f>
        <v/>
      </c>
      <c r="J1824" s="7" t="str">
        <f aca="false">IF(A1824="","",IFERROR(VLOOKUP(IF(ISNUMBER(SEARCH("(",C1824)),LEFT(C1824,SEARCH("(",C1824)-1),C1824),Tipos!$A:$B,2,FALSE()),"outro"))</f>
        <v/>
      </c>
      <c r="K1824" s="7" t="str">
        <f aca="false">IF(I1824="","",IFERROR(INDEX('Campos Growths'!$L:$L,MATCH(H1824,'Campos Growths'!$A:$A,0)),""))</f>
        <v/>
      </c>
      <c r="L1824" s="7" t="str">
        <f aca="false">IF(A1824="","",IF(G1824="não","Sem tabela no Growths",IF(I1824="","Sem campo no Growths",IF(J1824=K1824,"Importa direto","Ajustar tipo"))))</f>
        <v/>
      </c>
      <c r="M1824" s="9"/>
    </row>
    <row r="1825" customFormat="false" ht="15" hidden="false" customHeight="false" outlineLevel="0" collapsed="false">
      <c r="A1825" s="7" t="str">
        <f aca="false">IF('Outro banco'!A1825="","",IF(LEFT('Outro banco'!A1825,1)="(","",'Outro banco'!A1825))</f>
        <v/>
      </c>
      <c r="B1825" s="7" t="str">
        <f aca="false">IF(A1825="","",'Outro banco'!B1825)</f>
        <v/>
      </c>
      <c r="C1825" s="7" t="str">
        <f aca="false">IF(A1825="","",'Outro banco'!C1825)</f>
        <v/>
      </c>
      <c r="D1825" s="7" t="str">
        <f aca="false">IF(A1825="","",'Outro banco'!D1825)</f>
        <v/>
      </c>
      <c r="E1825" s="9"/>
      <c r="F1825" s="9"/>
      <c r="G1825" s="7" t="str">
        <f aca="false">IF(A1825="","",IF(COUNTIF(Tabelas!$A:$A,IF(E1825="",A1825,E1825))&gt;0,"sim","não"))</f>
        <v/>
      </c>
      <c r="H1825" s="7" t="str">
        <f aca="false">IF(A1825="","",IF(E1825="",A1825,E1825)&amp;"."&amp;IF(F1825="",B1825,F1825))</f>
        <v/>
      </c>
      <c r="I1825" s="7" t="str">
        <f aca="false">IF(A1825="","",IFERROR(INDEX('Campos Growths'!$F:$F,MATCH(H1825,'Campos Growths'!$A:$A,0)),""))</f>
        <v/>
      </c>
      <c r="J1825" s="7" t="str">
        <f aca="false">IF(A1825="","",IFERROR(VLOOKUP(IF(ISNUMBER(SEARCH("(",C1825)),LEFT(C1825,SEARCH("(",C1825)-1),C1825),Tipos!$A:$B,2,FALSE()),"outro"))</f>
        <v/>
      </c>
      <c r="K1825" s="7" t="str">
        <f aca="false">IF(I1825="","",IFERROR(INDEX('Campos Growths'!$L:$L,MATCH(H1825,'Campos Growths'!$A:$A,0)),""))</f>
        <v/>
      </c>
      <c r="L1825" s="7" t="str">
        <f aca="false">IF(A1825="","",IF(G1825="não","Sem tabela no Growths",IF(I1825="","Sem campo no Growths",IF(J1825=K1825,"Importa direto","Ajustar tipo"))))</f>
        <v/>
      </c>
      <c r="M1825" s="9"/>
    </row>
    <row r="1826" customFormat="false" ht="15" hidden="false" customHeight="false" outlineLevel="0" collapsed="false">
      <c r="A1826" s="7" t="str">
        <f aca="false">IF('Outro banco'!A1826="","",IF(LEFT('Outro banco'!A1826,1)="(","",'Outro banco'!A1826))</f>
        <v/>
      </c>
      <c r="B1826" s="7" t="str">
        <f aca="false">IF(A1826="","",'Outro banco'!B1826)</f>
        <v/>
      </c>
      <c r="C1826" s="7" t="str">
        <f aca="false">IF(A1826="","",'Outro banco'!C1826)</f>
        <v/>
      </c>
      <c r="D1826" s="7" t="str">
        <f aca="false">IF(A1826="","",'Outro banco'!D1826)</f>
        <v/>
      </c>
      <c r="E1826" s="9"/>
      <c r="F1826" s="9"/>
      <c r="G1826" s="7" t="str">
        <f aca="false">IF(A1826="","",IF(COUNTIF(Tabelas!$A:$A,IF(E1826="",A1826,E1826))&gt;0,"sim","não"))</f>
        <v/>
      </c>
      <c r="H1826" s="7" t="str">
        <f aca="false">IF(A1826="","",IF(E1826="",A1826,E1826)&amp;"."&amp;IF(F1826="",B1826,F1826))</f>
        <v/>
      </c>
      <c r="I1826" s="7" t="str">
        <f aca="false">IF(A1826="","",IFERROR(INDEX('Campos Growths'!$F:$F,MATCH(H1826,'Campos Growths'!$A:$A,0)),""))</f>
        <v/>
      </c>
      <c r="J1826" s="7" t="str">
        <f aca="false">IF(A1826="","",IFERROR(VLOOKUP(IF(ISNUMBER(SEARCH("(",C1826)),LEFT(C1826,SEARCH("(",C1826)-1),C1826),Tipos!$A:$B,2,FALSE()),"outro"))</f>
        <v/>
      </c>
      <c r="K1826" s="7" t="str">
        <f aca="false">IF(I1826="","",IFERROR(INDEX('Campos Growths'!$L:$L,MATCH(H1826,'Campos Growths'!$A:$A,0)),""))</f>
        <v/>
      </c>
      <c r="L1826" s="7" t="str">
        <f aca="false">IF(A1826="","",IF(G1826="não","Sem tabela no Growths",IF(I1826="","Sem campo no Growths",IF(J1826=K1826,"Importa direto","Ajustar tipo"))))</f>
        <v/>
      </c>
      <c r="M1826" s="9"/>
    </row>
    <row r="1827" customFormat="false" ht="15" hidden="false" customHeight="false" outlineLevel="0" collapsed="false">
      <c r="A1827" s="7" t="str">
        <f aca="false">IF('Outro banco'!A1827="","",IF(LEFT('Outro banco'!A1827,1)="(","",'Outro banco'!A1827))</f>
        <v/>
      </c>
      <c r="B1827" s="7" t="str">
        <f aca="false">IF(A1827="","",'Outro banco'!B1827)</f>
        <v/>
      </c>
      <c r="C1827" s="7" t="str">
        <f aca="false">IF(A1827="","",'Outro banco'!C1827)</f>
        <v/>
      </c>
      <c r="D1827" s="7" t="str">
        <f aca="false">IF(A1827="","",'Outro banco'!D1827)</f>
        <v/>
      </c>
      <c r="E1827" s="9"/>
      <c r="F1827" s="9"/>
      <c r="G1827" s="7" t="str">
        <f aca="false">IF(A1827="","",IF(COUNTIF(Tabelas!$A:$A,IF(E1827="",A1827,E1827))&gt;0,"sim","não"))</f>
        <v/>
      </c>
      <c r="H1827" s="7" t="str">
        <f aca="false">IF(A1827="","",IF(E1827="",A1827,E1827)&amp;"."&amp;IF(F1827="",B1827,F1827))</f>
        <v/>
      </c>
      <c r="I1827" s="7" t="str">
        <f aca="false">IF(A1827="","",IFERROR(INDEX('Campos Growths'!$F:$F,MATCH(H1827,'Campos Growths'!$A:$A,0)),""))</f>
        <v/>
      </c>
      <c r="J1827" s="7" t="str">
        <f aca="false">IF(A1827="","",IFERROR(VLOOKUP(IF(ISNUMBER(SEARCH("(",C1827)),LEFT(C1827,SEARCH("(",C1827)-1),C1827),Tipos!$A:$B,2,FALSE()),"outro"))</f>
        <v/>
      </c>
      <c r="K1827" s="7" t="str">
        <f aca="false">IF(I1827="","",IFERROR(INDEX('Campos Growths'!$L:$L,MATCH(H1827,'Campos Growths'!$A:$A,0)),""))</f>
        <v/>
      </c>
      <c r="L1827" s="7" t="str">
        <f aca="false">IF(A1827="","",IF(G1827="não","Sem tabela no Growths",IF(I1827="","Sem campo no Growths",IF(J1827=K1827,"Importa direto","Ajustar tipo"))))</f>
        <v/>
      </c>
      <c r="M1827" s="9"/>
    </row>
    <row r="1828" customFormat="false" ht="15" hidden="false" customHeight="false" outlineLevel="0" collapsed="false">
      <c r="A1828" s="7" t="str">
        <f aca="false">IF('Outro banco'!A1828="","",IF(LEFT('Outro banco'!A1828,1)="(","",'Outro banco'!A1828))</f>
        <v/>
      </c>
      <c r="B1828" s="7" t="str">
        <f aca="false">IF(A1828="","",'Outro banco'!B1828)</f>
        <v/>
      </c>
      <c r="C1828" s="7" t="str">
        <f aca="false">IF(A1828="","",'Outro banco'!C1828)</f>
        <v/>
      </c>
      <c r="D1828" s="7" t="str">
        <f aca="false">IF(A1828="","",'Outro banco'!D1828)</f>
        <v/>
      </c>
      <c r="E1828" s="9"/>
      <c r="F1828" s="9"/>
      <c r="G1828" s="7" t="str">
        <f aca="false">IF(A1828="","",IF(COUNTIF(Tabelas!$A:$A,IF(E1828="",A1828,E1828))&gt;0,"sim","não"))</f>
        <v/>
      </c>
      <c r="H1828" s="7" t="str">
        <f aca="false">IF(A1828="","",IF(E1828="",A1828,E1828)&amp;"."&amp;IF(F1828="",B1828,F1828))</f>
        <v/>
      </c>
      <c r="I1828" s="7" t="str">
        <f aca="false">IF(A1828="","",IFERROR(INDEX('Campos Growths'!$F:$F,MATCH(H1828,'Campos Growths'!$A:$A,0)),""))</f>
        <v/>
      </c>
      <c r="J1828" s="7" t="str">
        <f aca="false">IF(A1828="","",IFERROR(VLOOKUP(IF(ISNUMBER(SEARCH("(",C1828)),LEFT(C1828,SEARCH("(",C1828)-1),C1828),Tipos!$A:$B,2,FALSE()),"outro"))</f>
        <v/>
      </c>
      <c r="K1828" s="7" t="str">
        <f aca="false">IF(I1828="","",IFERROR(INDEX('Campos Growths'!$L:$L,MATCH(H1828,'Campos Growths'!$A:$A,0)),""))</f>
        <v/>
      </c>
      <c r="L1828" s="7" t="str">
        <f aca="false">IF(A1828="","",IF(G1828="não","Sem tabela no Growths",IF(I1828="","Sem campo no Growths",IF(J1828=K1828,"Importa direto","Ajustar tipo"))))</f>
        <v/>
      </c>
      <c r="M1828" s="9"/>
    </row>
    <row r="1829" customFormat="false" ht="15" hidden="false" customHeight="false" outlineLevel="0" collapsed="false">
      <c r="A1829" s="7" t="str">
        <f aca="false">IF('Outro banco'!A1829="","",IF(LEFT('Outro banco'!A1829,1)="(","",'Outro banco'!A1829))</f>
        <v/>
      </c>
      <c r="B1829" s="7" t="str">
        <f aca="false">IF(A1829="","",'Outro banco'!B1829)</f>
        <v/>
      </c>
      <c r="C1829" s="7" t="str">
        <f aca="false">IF(A1829="","",'Outro banco'!C1829)</f>
        <v/>
      </c>
      <c r="D1829" s="7" t="str">
        <f aca="false">IF(A1829="","",'Outro banco'!D1829)</f>
        <v/>
      </c>
      <c r="E1829" s="9"/>
      <c r="F1829" s="9"/>
      <c r="G1829" s="7" t="str">
        <f aca="false">IF(A1829="","",IF(COUNTIF(Tabelas!$A:$A,IF(E1829="",A1829,E1829))&gt;0,"sim","não"))</f>
        <v/>
      </c>
      <c r="H1829" s="7" t="str">
        <f aca="false">IF(A1829="","",IF(E1829="",A1829,E1829)&amp;"."&amp;IF(F1829="",B1829,F1829))</f>
        <v/>
      </c>
      <c r="I1829" s="7" t="str">
        <f aca="false">IF(A1829="","",IFERROR(INDEX('Campos Growths'!$F:$F,MATCH(H1829,'Campos Growths'!$A:$A,0)),""))</f>
        <v/>
      </c>
      <c r="J1829" s="7" t="str">
        <f aca="false">IF(A1829="","",IFERROR(VLOOKUP(IF(ISNUMBER(SEARCH("(",C1829)),LEFT(C1829,SEARCH("(",C1829)-1),C1829),Tipos!$A:$B,2,FALSE()),"outro"))</f>
        <v/>
      </c>
      <c r="K1829" s="7" t="str">
        <f aca="false">IF(I1829="","",IFERROR(INDEX('Campos Growths'!$L:$L,MATCH(H1829,'Campos Growths'!$A:$A,0)),""))</f>
        <v/>
      </c>
      <c r="L1829" s="7" t="str">
        <f aca="false">IF(A1829="","",IF(G1829="não","Sem tabela no Growths",IF(I1829="","Sem campo no Growths",IF(J1829=K1829,"Importa direto","Ajustar tipo"))))</f>
        <v/>
      </c>
      <c r="M1829" s="9"/>
    </row>
    <row r="1830" customFormat="false" ht="15" hidden="false" customHeight="false" outlineLevel="0" collapsed="false">
      <c r="A1830" s="7" t="str">
        <f aca="false">IF('Outro banco'!A1830="","",IF(LEFT('Outro banco'!A1830,1)="(","",'Outro banco'!A1830))</f>
        <v/>
      </c>
      <c r="B1830" s="7" t="str">
        <f aca="false">IF(A1830="","",'Outro banco'!B1830)</f>
        <v/>
      </c>
      <c r="C1830" s="7" t="str">
        <f aca="false">IF(A1830="","",'Outro banco'!C1830)</f>
        <v/>
      </c>
      <c r="D1830" s="7" t="str">
        <f aca="false">IF(A1830="","",'Outro banco'!D1830)</f>
        <v/>
      </c>
      <c r="E1830" s="9"/>
      <c r="F1830" s="9"/>
      <c r="G1830" s="7" t="str">
        <f aca="false">IF(A1830="","",IF(COUNTIF(Tabelas!$A:$A,IF(E1830="",A1830,E1830))&gt;0,"sim","não"))</f>
        <v/>
      </c>
      <c r="H1830" s="7" t="str">
        <f aca="false">IF(A1830="","",IF(E1830="",A1830,E1830)&amp;"."&amp;IF(F1830="",B1830,F1830))</f>
        <v/>
      </c>
      <c r="I1830" s="7" t="str">
        <f aca="false">IF(A1830="","",IFERROR(INDEX('Campos Growths'!$F:$F,MATCH(H1830,'Campos Growths'!$A:$A,0)),""))</f>
        <v/>
      </c>
      <c r="J1830" s="7" t="str">
        <f aca="false">IF(A1830="","",IFERROR(VLOOKUP(IF(ISNUMBER(SEARCH("(",C1830)),LEFT(C1830,SEARCH("(",C1830)-1),C1830),Tipos!$A:$B,2,FALSE()),"outro"))</f>
        <v/>
      </c>
      <c r="K1830" s="7" t="str">
        <f aca="false">IF(I1830="","",IFERROR(INDEX('Campos Growths'!$L:$L,MATCH(H1830,'Campos Growths'!$A:$A,0)),""))</f>
        <v/>
      </c>
      <c r="L1830" s="7" t="str">
        <f aca="false">IF(A1830="","",IF(G1830="não","Sem tabela no Growths",IF(I1830="","Sem campo no Growths",IF(J1830=K1830,"Importa direto","Ajustar tipo"))))</f>
        <v/>
      </c>
      <c r="M1830" s="9"/>
    </row>
    <row r="1831" customFormat="false" ht="15" hidden="false" customHeight="false" outlineLevel="0" collapsed="false">
      <c r="A1831" s="7" t="str">
        <f aca="false">IF('Outro banco'!A1831="","",IF(LEFT('Outro banco'!A1831,1)="(","",'Outro banco'!A1831))</f>
        <v/>
      </c>
      <c r="B1831" s="7" t="str">
        <f aca="false">IF(A1831="","",'Outro banco'!B1831)</f>
        <v/>
      </c>
      <c r="C1831" s="7" t="str">
        <f aca="false">IF(A1831="","",'Outro banco'!C1831)</f>
        <v/>
      </c>
      <c r="D1831" s="7" t="str">
        <f aca="false">IF(A1831="","",'Outro banco'!D1831)</f>
        <v/>
      </c>
      <c r="E1831" s="9"/>
      <c r="F1831" s="9"/>
      <c r="G1831" s="7" t="str">
        <f aca="false">IF(A1831="","",IF(COUNTIF(Tabelas!$A:$A,IF(E1831="",A1831,E1831))&gt;0,"sim","não"))</f>
        <v/>
      </c>
      <c r="H1831" s="7" t="str">
        <f aca="false">IF(A1831="","",IF(E1831="",A1831,E1831)&amp;"."&amp;IF(F1831="",B1831,F1831))</f>
        <v/>
      </c>
      <c r="I1831" s="7" t="str">
        <f aca="false">IF(A1831="","",IFERROR(INDEX('Campos Growths'!$F:$F,MATCH(H1831,'Campos Growths'!$A:$A,0)),""))</f>
        <v/>
      </c>
      <c r="J1831" s="7" t="str">
        <f aca="false">IF(A1831="","",IFERROR(VLOOKUP(IF(ISNUMBER(SEARCH("(",C1831)),LEFT(C1831,SEARCH("(",C1831)-1),C1831),Tipos!$A:$B,2,FALSE()),"outro"))</f>
        <v/>
      </c>
      <c r="K1831" s="7" t="str">
        <f aca="false">IF(I1831="","",IFERROR(INDEX('Campos Growths'!$L:$L,MATCH(H1831,'Campos Growths'!$A:$A,0)),""))</f>
        <v/>
      </c>
      <c r="L1831" s="7" t="str">
        <f aca="false">IF(A1831="","",IF(G1831="não","Sem tabela no Growths",IF(I1831="","Sem campo no Growths",IF(J1831=K1831,"Importa direto","Ajustar tipo"))))</f>
        <v/>
      </c>
      <c r="M1831" s="9"/>
    </row>
    <row r="1832" customFormat="false" ht="15" hidden="false" customHeight="false" outlineLevel="0" collapsed="false">
      <c r="A1832" s="7" t="str">
        <f aca="false">IF('Outro banco'!A1832="","",IF(LEFT('Outro banco'!A1832,1)="(","",'Outro banco'!A1832))</f>
        <v/>
      </c>
      <c r="B1832" s="7" t="str">
        <f aca="false">IF(A1832="","",'Outro banco'!B1832)</f>
        <v/>
      </c>
      <c r="C1832" s="7" t="str">
        <f aca="false">IF(A1832="","",'Outro banco'!C1832)</f>
        <v/>
      </c>
      <c r="D1832" s="7" t="str">
        <f aca="false">IF(A1832="","",'Outro banco'!D1832)</f>
        <v/>
      </c>
      <c r="E1832" s="9"/>
      <c r="F1832" s="9"/>
      <c r="G1832" s="7" t="str">
        <f aca="false">IF(A1832="","",IF(COUNTIF(Tabelas!$A:$A,IF(E1832="",A1832,E1832))&gt;0,"sim","não"))</f>
        <v/>
      </c>
      <c r="H1832" s="7" t="str">
        <f aca="false">IF(A1832="","",IF(E1832="",A1832,E1832)&amp;"."&amp;IF(F1832="",B1832,F1832))</f>
        <v/>
      </c>
      <c r="I1832" s="7" t="str">
        <f aca="false">IF(A1832="","",IFERROR(INDEX('Campos Growths'!$F:$F,MATCH(H1832,'Campos Growths'!$A:$A,0)),""))</f>
        <v/>
      </c>
      <c r="J1832" s="7" t="str">
        <f aca="false">IF(A1832="","",IFERROR(VLOOKUP(IF(ISNUMBER(SEARCH("(",C1832)),LEFT(C1832,SEARCH("(",C1832)-1),C1832),Tipos!$A:$B,2,FALSE()),"outro"))</f>
        <v/>
      </c>
      <c r="K1832" s="7" t="str">
        <f aca="false">IF(I1832="","",IFERROR(INDEX('Campos Growths'!$L:$L,MATCH(H1832,'Campos Growths'!$A:$A,0)),""))</f>
        <v/>
      </c>
      <c r="L1832" s="7" t="str">
        <f aca="false">IF(A1832="","",IF(G1832="não","Sem tabela no Growths",IF(I1832="","Sem campo no Growths",IF(J1832=K1832,"Importa direto","Ajustar tipo"))))</f>
        <v/>
      </c>
      <c r="M1832" s="9"/>
    </row>
    <row r="1833" customFormat="false" ht="15" hidden="false" customHeight="false" outlineLevel="0" collapsed="false">
      <c r="A1833" s="7" t="str">
        <f aca="false">IF('Outro banco'!A1833="","",IF(LEFT('Outro banco'!A1833,1)="(","",'Outro banco'!A1833))</f>
        <v/>
      </c>
      <c r="B1833" s="7" t="str">
        <f aca="false">IF(A1833="","",'Outro banco'!B1833)</f>
        <v/>
      </c>
      <c r="C1833" s="7" t="str">
        <f aca="false">IF(A1833="","",'Outro banco'!C1833)</f>
        <v/>
      </c>
      <c r="D1833" s="7" t="str">
        <f aca="false">IF(A1833="","",'Outro banco'!D1833)</f>
        <v/>
      </c>
      <c r="E1833" s="9"/>
      <c r="F1833" s="9"/>
      <c r="G1833" s="7" t="str">
        <f aca="false">IF(A1833="","",IF(COUNTIF(Tabelas!$A:$A,IF(E1833="",A1833,E1833))&gt;0,"sim","não"))</f>
        <v/>
      </c>
      <c r="H1833" s="7" t="str">
        <f aca="false">IF(A1833="","",IF(E1833="",A1833,E1833)&amp;"."&amp;IF(F1833="",B1833,F1833))</f>
        <v/>
      </c>
      <c r="I1833" s="7" t="str">
        <f aca="false">IF(A1833="","",IFERROR(INDEX('Campos Growths'!$F:$F,MATCH(H1833,'Campos Growths'!$A:$A,0)),""))</f>
        <v/>
      </c>
      <c r="J1833" s="7" t="str">
        <f aca="false">IF(A1833="","",IFERROR(VLOOKUP(IF(ISNUMBER(SEARCH("(",C1833)),LEFT(C1833,SEARCH("(",C1833)-1),C1833),Tipos!$A:$B,2,FALSE()),"outro"))</f>
        <v/>
      </c>
      <c r="K1833" s="7" t="str">
        <f aca="false">IF(I1833="","",IFERROR(INDEX('Campos Growths'!$L:$L,MATCH(H1833,'Campos Growths'!$A:$A,0)),""))</f>
        <v/>
      </c>
      <c r="L1833" s="7" t="str">
        <f aca="false">IF(A1833="","",IF(G1833="não","Sem tabela no Growths",IF(I1833="","Sem campo no Growths",IF(J1833=K1833,"Importa direto","Ajustar tipo"))))</f>
        <v/>
      </c>
      <c r="M1833" s="9"/>
    </row>
    <row r="1834" customFormat="false" ht="15" hidden="false" customHeight="false" outlineLevel="0" collapsed="false">
      <c r="A1834" s="7" t="str">
        <f aca="false">IF('Outro banco'!A1834="","",IF(LEFT('Outro banco'!A1834,1)="(","",'Outro banco'!A1834))</f>
        <v/>
      </c>
      <c r="B1834" s="7" t="str">
        <f aca="false">IF(A1834="","",'Outro banco'!B1834)</f>
        <v/>
      </c>
      <c r="C1834" s="7" t="str">
        <f aca="false">IF(A1834="","",'Outro banco'!C1834)</f>
        <v/>
      </c>
      <c r="D1834" s="7" t="str">
        <f aca="false">IF(A1834="","",'Outro banco'!D1834)</f>
        <v/>
      </c>
      <c r="E1834" s="9"/>
      <c r="F1834" s="9"/>
      <c r="G1834" s="7" t="str">
        <f aca="false">IF(A1834="","",IF(COUNTIF(Tabelas!$A:$A,IF(E1834="",A1834,E1834))&gt;0,"sim","não"))</f>
        <v/>
      </c>
      <c r="H1834" s="7" t="str">
        <f aca="false">IF(A1834="","",IF(E1834="",A1834,E1834)&amp;"."&amp;IF(F1834="",B1834,F1834))</f>
        <v/>
      </c>
      <c r="I1834" s="7" t="str">
        <f aca="false">IF(A1834="","",IFERROR(INDEX('Campos Growths'!$F:$F,MATCH(H1834,'Campos Growths'!$A:$A,0)),""))</f>
        <v/>
      </c>
      <c r="J1834" s="7" t="str">
        <f aca="false">IF(A1834="","",IFERROR(VLOOKUP(IF(ISNUMBER(SEARCH("(",C1834)),LEFT(C1834,SEARCH("(",C1834)-1),C1834),Tipos!$A:$B,2,FALSE()),"outro"))</f>
        <v/>
      </c>
      <c r="K1834" s="7" t="str">
        <f aca="false">IF(I1834="","",IFERROR(INDEX('Campos Growths'!$L:$L,MATCH(H1834,'Campos Growths'!$A:$A,0)),""))</f>
        <v/>
      </c>
      <c r="L1834" s="7" t="str">
        <f aca="false">IF(A1834="","",IF(G1834="não","Sem tabela no Growths",IF(I1834="","Sem campo no Growths",IF(J1834=K1834,"Importa direto","Ajustar tipo"))))</f>
        <v/>
      </c>
      <c r="M1834" s="9"/>
    </row>
    <row r="1835" customFormat="false" ht="15" hidden="false" customHeight="false" outlineLevel="0" collapsed="false">
      <c r="A1835" s="7" t="str">
        <f aca="false">IF('Outro banco'!A1835="","",IF(LEFT('Outro banco'!A1835,1)="(","",'Outro banco'!A1835))</f>
        <v/>
      </c>
      <c r="B1835" s="7" t="str">
        <f aca="false">IF(A1835="","",'Outro banco'!B1835)</f>
        <v/>
      </c>
      <c r="C1835" s="7" t="str">
        <f aca="false">IF(A1835="","",'Outro banco'!C1835)</f>
        <v/>
      </c>
      <c r="D1835" s="7" t="str">
        <f aca="false">IF(A1835="","",'Outro banco'!D1835)</f>
        <v/>
      </c>
      <c r="E1835" s="9"/>
      <c r="F1835" s="9"/>
      <c r="G1835" s="7" t="str">
        <f aca="false">IF(A1835="","",IF(COUNTIF(Tabelas!$A:$A,IF(E1835="",A1835,E1835))&gt;0,"sim","não"))</f>
        <v/>
      </c>
      <c r="H1835" s="7" t="str">
        <f aca="false">IF(A1835="","",IF(E1835="",A1835,E1835)&amp;"."&amp;IF(F1835="",B1835,F1835))</f>
        <v/>
      </c>
      <c r="I1835" s="7" t="str">
        <f aca="false">IF(A1835="","",IFERROR(INDEX('Campos Growths'!$F:$F,MATCH(H1835,'Campos Growths'!$A:$A,0)),""))</f>
        <v/>
      </c>
      <c r="J1835" s="7" t="str">
        <f aca="false">IF(A1835="","",IFERROR(VLOOKUP(IF(ISNUMBER(SEARCH("(",C1835)),LEFT(C1835,SEARCH("(",C1835)-1),C1835),Tipos!$A:$B,2,FALSE()),"outro"))</f>
        <v/>
      </c>
      <c r="K1835" s="7" t="str">
        <f aca="false">IF(I1835="","",IFERROR(INDEX('Campos Growths'!$L:$L,MATCH(H1835,'Campos Growths'!$A:$A,0)),""))</f>
        <v/>
      </c>
      <c r="L1835" s="7" t="str">
        <f aca="false">IF(A1835="","",IF(G1835="não","Sem tabela no Growths",IF(I1835="","Sem campo no Growths",IF(J1835=K1835,"Importa direto","Ajustar tipo"))))</f>
        <v/>
      </c>
      <c r="M1835" s="9"/>
    </row>
    <row r="1836" customFormat="false" ht="15" hidden="false" customHeight="false" outlineLevel="0" collapsed="false">
      <c r="A1836" s="7" t="str">
        <f aca="false">IF('Outro banco'!A1836="","",IF(LEFT('Outro banco'!A1836,1)="(","",'Outro banco'!A1836))</f>
        <v/>
      </c>
      <c r="B1836" s="7" t="str">
        <f aca="false">IF(A1836="","",'Outro banco'!B1836)</f>
        <v/>
      </c>
      <c r="C1836" s="7" t="str">
        <f aca="false">IF(A1836="","",'Outro banco'!C1836)</f>
        <v/>
      </c>
      <c r="D1836" s="7" t="str">
        <f aca="false">IF(A1836="","",'Outro banco'!D1836)</f>
        <v/>
      </c>
      <c r="E1836" s="9"/>
      <c r="F1836" s="9"/>
      <c r="G1836" s="7" t="str">
        <f aca="false">IF(A1836="","",IF(COUNTIF(Tabelas!$A:$A,IF(E1836="",A1836,E1836))&gt;0,"sim","não"))</f>
        <v/>
      </c>
      <c r="H1836" s="7" t="str">
        <f aca="false">IF(A1836="","",IF(E1836="",A1836,E1836)&amp;"."&amp;IF(F1836="",B1836,F1836))</f>
        <v/>
      </c>
      <c r="I1836" s="7" t="str">
        <f aca="false">IF(A1836="","",IFERROR(INDEX('Campos Growths'!$F:$F,MATCH(H1836,'Campos Growths'!$A:$A,0)),""))</f>
        <v/>
      </c>
      <c r="J1836" s="7" t="str">
        <f aca="false">IF(A1836="","",IFERROR(VLOOKUP(IF(ISNUMBER(SEARCH("(",C1836)),LEFT(C1836,SEARCH("(",C1836)-1),C1836),Tipos!$A:$B,2,FALSE()),"outro"))</f>
        <v/>
      </c>
      <c r="K1836" s="7" t="str">
        <f aca="false">IF(I1836="","",IFERROR(INDEX('Campos Growths'!$L:$L,MATCH(H1836,'Campos Growths'!$A:$A,0)),""))</f>
        <v/>
      </c>
      <c r="L1836" s="7" t="str">
        <f aca="false">IF(A1836="","",IF(G1836="não","Sem tabela no Growths",IF(I1836="","Sem campo no Growths",IF(J1836=K1836,"Importa direto","Ajustar tipo"))))</f>
        <v/>
      </c>
      <c r="M1836" s="9"/>
    </row>
    <row r="1837" customFormat="false" ht="15" hidden="false" customHeight="false" outlineLevel="0" collapsed="false">
      <c r="A1837" s="7" t="str">
        <f aca="false">IF('Outro banco'!A1837="","",IF(LEFT('Outro banco'!A1837,1)="(","",'Outro banco'!A1837))</f>
        <v/>
      </c>
      <c r="B1837" s="7" t="str">
        <f aca="false">IF(A1837="","",'Outro banco'!B1837)</f>
        <v/>
      </c>
      <c r="C1837" s="7" t="str">
        <f aca="false">IF(A1837="","",'Outro banco'!C1837)</f>
        <v/>
      </c>
      <c r="D1837" s="7" t="str">
        <f aca="false">IF(A1837="","",'Outro banco'!D1837)</f>
        <v/>
      </c>
      <c r="E1837" s="9"/>
      <c r="F1837" s="9"/>
      <c r="G1837" s="7" t="str">
        <f aca="false">IF(A1837="","",IF(COUNTIF(Tabelas!$A:$A,IF(E1837="",A1837,E1837))&gt;0,"sim","não"))</f>
        <v/>
      </c>
      <c r="H1837" s="7" t="str">
        <f aca="false">IF(A1837="","",IF(E1837="",A1837,E1837)&amp;"."&amp;IF(F1837="",B1837,F1837))</f>
        <v/>
      </c>
      <c r="I1837" s="7" t="str">
        <f aca="false">IF(A1837="","",IFERROR(INDEX('Campos Growths'!$F:$F,MATCH(H1837,'Campos Growths'!$A:$A,0)),""))</f>
        <v/>
      </c>
      <c r="J1837" s="7" t="str">
        <f aca="false">IF(A1837="","",IFERROR(VLOOKUP(IF(ISNUMBER(SEARCH("(",C1837)),LEFT(C1837,SEARCH("(",C1837)-1),C1837),Tipos!$A:$B,2,FALSE()),"outro"))</f>
        <v/>
      </c>
      <c r="K1837" s="7" t="str">
        <f aca="false">IF(I1837="","",IFERROR(INDEX('Campos Growths'!$L:$L,MATCH(H1837,'Campos Growths'!$A:$A,0)),""))</f>
        <v/>
      </c>
      <c r="L1837" s="7" t="str">
        <f aca="false">IF(A1837="","",IF(G1837="não","Sem tabela no Growths",IF(I1837="","Sem campo no Growths",IF(J1837=K1837,"Importa direto","Ajustar tipo"))))</f>
        <v/>
      </c>
      <c r="M1837" s="9"/>
    </row>
    <row r="1838" customFormat="false" ht="15" hidden="false" customHeight="false" outlineLevel="0" collapsed="false">
      <c r="A1838" s="7" t="str">
        <f aca="false">IF('Outro banco'!A1838="","",IF(LEFT('Outro banco'!A1838,1)="(","",'Outro banco'!A1838))</f>
        <v/>
      </c>
      <c r="B1838" s="7" t="str">
        <f aca="false">IF(A1838="","",'Outro banco'!B1838)</f>
        <v/>
      </c>
      <c r="C1838" s="7" t="str">
        <f aca="false">IF(A1838="","",'Outro banco'!C1838)</f>
        <v/>
      </c>
      <c r="D1838" s="7" t="str">
        <f aca="false">IF(A1838="","",'Outro banco'!D1838)</f>
        <v/>
      </c>
      <c r="E1838" s="9"/>
      <c r="F1838" s="9"/>
      <c r="G1838" s="7" t="str">
        <f aca="false">IF(A1838="","",IF(COUNTIF(Tabelas!$A:$A,IF(E1838="",A1838,E1838))&gt;0,"sim","não"))</f>
        <v/>
      </c>
      <c r="H1838" s="7" t="str">
        <f aca="false">IF(A1838="","",IF(E1838="",A1838,E1838)&amp;"."&amp;IF(F1838="",B1838,F1838))</f>
        <v/>
      </c>
      <c r="I1838" s="7" t="str">
        <f aca="false">IF(A1838="","",IFERROR(INDEX('Campos Growths'!$F:$F,MATCH(H1838,'Campos Growths'!$A:$A,0)),""))</f>
        <v/>
      </c>
      <c r="J1838" s="7" t="str">
        <f aca="false">IF(A1838="","",IFERROR(VLOOKUP(IF(ISNUMBER(SEARCH("(",C1838)),LEFT(C1838,SEARCH("(",C1838)-1),C1838),Tipos!$A:$B,2,FALSE()),"outro"))</f>
        <v/>
      </c>
      <c r="K1838" s="7" t="str">
        <f aca="false">IF(I1838="","",IFERROR(INDEX('Campos Growths'!$L:$L,MATCH(H1838,'Campos Growths'!$A:$A,0)),""))</f>
        <v/>
      </c>
      <c r="L1838" s="7" t="str">
        <f aca="false">IF(A1838="","",IF(G1838="não","Sem tabela no Growths",IF(I1838="","Sem campo no Growths",IF(J1838=K1838,"Importa direto","Ajustar tipo"))))</f>
        <v/>
      </c>
      <c r="M1838" s="9"/>
    </row>
    <row r="1839" customFormat="false" ht="15" hidden="false" customHeight="false" outlineLevel="0" collapsed="false">
      <c r="A1839" s="7" t="str">
        <f aca="false">IF('Outro banco'!A1839="","",IF(LEFT('Outro banco'!A1839,1)="(","",'Outro banco'!A1839))</f>
        <v/>
      </c>
      <c r="B1839" s="7" t="str">
        <f aca="false">IF(A1839="","",'Outro banco'!B1839)</f>
        <v/>
      </c>
      <c r="C1839" s="7" t="str">
        <f aca="false">IF(A1839="","",'Outro banco'!C1839)</f>
        <v/>
      </c>
      <c r="D1839" s="7" t="str">
        <f aca="false">IF(A1839="","",'Outro banco'!D1839)</f>
        <v/>
      </c>
      <c r="E1839" s="9"/>
      <c r="F1839" s="9"/>
      <c r="G1839" s="7" t="str">
        <f aca="false">IF(A1839="","",IF(COUNTIF(Tabelas!$A:$A,IF(E1839="",A1839,E1839))&gt;0,"sim","não"))</f>
        <v/>
      </c>
      <c r="H1839" s="7" t="str">
        <f aca="false">IF(A1839="","",IF(E1839="",A1839,E1839)&amp;"."&amp;IF(F1839="",B1839,F1839))</f>
        <v/>
      </c>
      <c r="I1839" s="7" t="str">
        <f aca="false">IF(A1839="","",IFERROR(INDEX('Campos Growths'!$F:$F,MATCH(H1839,'Campos Growths'!$A:$A,0)),""))</f>
        <v/>
      </c>
      <c r="J1839" s="7" t="str">
        <f aca="false">IF(A1839="","",IFERROR(VLOOKUP(IF(ISNUMBER(SEARCH("(",C1839)),LEFT(C1839,SEARCH("(",C1839)-1),C1839),Tipos!$A:$B,2,FALSE()),"outro"))</f>
        <v/>
      </c>
      <c r="K1839" s="7" t="str">
        <f aca="false">IF(I1839="","",IFERROR(INDEX('Campos Growths'!$L:$L,MATCH(H1839,'Campos Growths'!$A:$A,0)),""))</f>
        <v/>
      </c>
      <c r="L1839" s="7" t="str">
        <f aca="false">IF(A1839="","",IF(G1839="não","Sem tabela no Growths",IF(I1839="","Sem campo no Growths",IF(J1839=K1839,"Importa direto","Ajustar tipo"))))</f>
        <v/>
      </c>
      <c r="M1839" s="9"/>
    </row>
    <row r="1840" customFormat="false" ht="15" hidden="false" customHeight="false" outlineLevel="0" collapsed="false">
      <c r="A1840" s="7" t="str">
        <f aca="false">IF('Outro banco'!A1840="","",IF(LEFT('Outro banco'!A1840,1)="(","",'Outro banco'!A1840))</f>
        <v/>
      </c>
      <c r="B1840" s="7" t="str">
        <f aca="false">IF(A1840="","",'Outro banco'!B1840)</f>
        <v/>
      </c>
      <c r="C1840" s="7" t="str">
        <f aca="false">IF(A1840="","",'Outro banco'!C1840)</f>
        <v/>
      </c>
      <c r="D1840" s="7" t="str">
        <f aca="false">IF(A1840="","",'Outro banco'!D1840)</f>
        <v/>
      </c>
      <c r="E1840" s="9"/>
      <c r="F1840" s="9"/>
      <c r="G1840" s="7" t="str">
        <f aca="false">IF(A1840="","",IF(COUNTIF(Tabelas!$A:$A,IF(E1840="",A1840,E1840))&gt;0,"sim","não"))</f>
        <v/>
      </c>
      <c r="H1840" s="7" t="str">
        <f aca="false">IF(A1840="","",IF(E1840="",A1840,E1840)&amp;"."&amp;IF(F1840="",B1840,F1840))</f>
        <v/>
      </c>
      <c r="I1840" s="7" t="str">
        <f aca="false">IF(A1840="","",IFERROR(INDEX('Campos Growths'!$F:$F,MATCH(H1840,'Campos Growths'!$A:$A,0)),""))</f>
        <v/>
      </c>
      <c r="J1840" s="7" t="str">
        <f aca="false">IF(A1840="","",IFERROR(VLOOKUP(IF(ISNUMBER(SEARCH("(",C1840)),LEFT(C1840,SEARCH("(",C1840)-1),C1840),Tipos!$A:$B,2,FALSE()),"outro"))</f>
        <v/>
      </c>
      <c r="K1840" s="7" t="str">
        <f aca="false">IF(I1840="","",IFERROR(INDEX('Campos Growths'!$L:$L,MATCH(H1840,'Campos Growths'!$A:$A,0)),""))</f>
        <v/>
      </c>
      <c r="L1840" s="7" t="str">
        <f aca="false">IF(A1840="","",IF(G1840="não","Sem tabela no Growths",IF(I1840="","Sem campo no Growths",IF(J1840=K1840,"Importa direto","Ajustar tipo"))))</f>
        <v/>
      </c>
      <c r="M1840" s="9"/>
    </row>
    <row r="1841" customFormat="false" ht="15" hidden="false" customHeight="false" outlineLevel="0" collapsed="false">
      <c r="A1841" s="7" t="str">
        <f aca="false">IF('Outro banco'!A1841="","",IF(LEFT('Outro banco'!A1841,1)="(","",'Outro banco'!A1841))</f>
        <v/>
      </c>
      <c r="B1841" s="7" t="str">
        <f aca="false">IF(A1841="","",'Outro banco'!B1841)</f>
        <v/>
      </c>
      <c r="C1841" s="7" t="str">
        <f aca="false">IF(A1841="","",'Outro banco'!C1841)</f>
        <v/>
      </c>
      <c r="D1841" s="7" t="str">
        <f aca="false">IF(A1841="","",'Outro banco'!D1841)</f>
        <v/>
      </c>
      <c r="E1841" s="9"/>
      <c r="F1841" s="9"/>
      <c r="G1841" s="7" t="str">
        <f aca="false">IF(A1841="","",IF(COUNTIF(Tabelas!$A:$A,IF(E1841="",A1841,E1841))&gt;0,"sim","não"))</f>
        <v/>
      </c>
      <c r="H1841" s="7" t="str">
        <f aca="false">IF(A1841="","",IF(E1841="",A1841,E1841)&amp;"."&amp;IF(F1841="",B1841,F1841))</f>
        <v/>
      </c>
      <c r="I1841" s="7" t="str">
        <f aca="false">IF(A1841="","",IFERROR(INDEX('Campos Growths'!$F:$F,MATCH(H1841,'Campos Growths'!$A:$A,0)),""))</f>
        <v/>
      </c>
      <c r="J1841" s="7" t="str">
        <f aca="false">IF(A1841="","",IFERROR(VLOOKUP(IF(ISNUMBER(SEARCH("(",C1841)),LEFT(C1841,SEARCH("(",C1841)-1),C1841),Tipos!$A:$B,2,FALSE()),"outro"))</f>
        <v/>
      </c>
      <c r="K1841" s="7" t="str">
        <f aca="false">IF(I1841="","",IFERROR(INDEX('Campos Growths'!$L:$L,MATCH(H1841,'Campos Growths'!$A:$A,0)),""))</f>
        <v/>
      </c>
      <c r="L1841" s="7" t="str">
        <f aca="false">IF(A1841="","",IF(G1841="não","Sem tabela no Growths",IF(I1841="","Sem campo no Growths",IF(J1841=K1841,"Importa direto","Ajustar tipo"))))</f>
        <v/>
      </c>
      <c r="M1841" s="9"/>
    </row>
    <row r="1842" customFormat="false" ht="15" hidden="false" customHeight="false" outlineLevel="0" collapsed="false">
      <c r="A1842" s="7" t="str">
        <f aca="false">IF('Outro banco'!A1842="","",IF(LEFT('Outro banco'!A1842,1)="(","",'Outro banco'!A1842))</f>
        <v/>
      </c>
      <c r="B1842" s="7" t="str">
        <f aca="false">IF(A1842="","",'Outro banco'!B1842)</f>
        <v/>
      </c>
      <c r="C1842" s="7" t="str">
        <f aca="false">IF(A1842="","",'Outro banco'!C1842)</f>
        <v/>
      </c>
      <c r="D1842" s="7" t="str">
        <f aca="false">IF(A1842="","",'Outro banco'!D1842)</f>
        <v/>
      </c>
      <c r="E1842" s="9"/>
      <c r="F1842" s="9"/>
      <c r="G1842" s="7" t="str">
        <f aca="false">IF(A1842="","",IF(COUNTIF(Tabelas!$A:$A,IF(E1842="",A1842,E1842))&gt;0,"sim","não"))</f>
        <v/>
      </c>
      <c r="H1842" s="7" t="str">
        <f aca="false">IF(A1842="","",IF(E1842="",A1842,E1842)&amp;"."&amp;IF(F1842="",B1842,F1842))</f>
        <v/>
      </c>
      <c r="I1842" s="7" t="str">
        <f aca="false">IF(A1842="","",IFERROR(INDEX('Campos Growths'!$F:$F,MATCH(H1842,'Campos Growths'!$A:$A,0)),""))</f>
        <v/>
      </c>
      <c r="J1842" s="7" t="str">
        <f aca="false">IF(A1842="","",IFERROR(VLOOKUP(IF(ISNUMBER(SEARCH("(",C1842)),LEFT(C1842,SEARCH("(",C1842)-1),C1842),Tipos!$A:$B,2,FALSE()),"outro"))</f>
        <v/>
      </c>
      <c r="K1842" s="7" t="str">
        <f aca="false">IF(I1842="","",IFERROR(INDEX('Campos Growths'!$L:$L,MATCH(H1842,'Campos Growths'!$A:$A,0)),""))</f>
        <v/>
      </c>
      <c r="L1842" s="7" t="str">
        <f aca="false">IF(A1842="","",IF(G1842="não","Sem tabela no Growths",IF(I1842="","Sem campo no Growths",IF(J1842=K1842,"Importa direto","Ajustar tipo"))))</f>
        <v/>
      </c>
      <c r="M1842" s="9"/>
    </row>
    <row r="1843" customFormat="false" ht="15" hidden="false" customHeight="false" outlineLevel="0" collapsed="false">
      <c r="A1843" s="7" t="str">
        <f aca="false">IF('Outro banco'!A1843="","",IF(LEFT('Outro banco'!A1843,1)="(","",'Outro banco'!A1843))</f>
        <v/>
      </c>
      <c r="B1843" s="7" t="str">
        <f aca="false">IF(A1843="","",'Outro banco'!B1843)</f>
        <v/>
      </c>
      <c r="C1843" s="7" t="str">
        <f aca="false">IF(A1843="","",'Outro banco'!C1843)</f>
        <v/>
      </c>
      <c r="D1843" s="7" t="str">
        <f aca="false">IF(A1843="","",'Outro banco'!D1843)</f>
        <v/>
      </c>
      <c r="E1843" s="9"/>
      <c r="F1843" s="9"/>
      <c r="G1843" s="7" t="str">
        <f aca="false">IF(A1843="","",IF(COUNTIF(Tabelas!$A:$A,IF(E1843="",A1843,E1843))&gt;0,"sim","não"))</f>
        <v/>
      </c>
      <c r="H1843" s="7" t="str">
        <f aca="false">IF(A1843="","",IF(E1843="",A1843,E1843)&amp;"."&amp;IF(F1843="",B1843,F1843))</f>
        <v/>
      </c>
      <c r="I1843" s="7" t="str">
        <f aca="false">IF(A1843="","",IFERROR(INDEX('Campos Growths'!$F:$F,MATCH(H1843,'Campos Growths'!$A:$A,0)),""))</f>
        <v/>
      </c>
      <c r="J1843" s="7" t="str">
        <f aca="false">IF(A1843="","",IFERROR(VLOOKUP(IF(ISNUMBER(SEARCH("(",C1843)),LEFT(C1843,SEARCH("(",C1843)-1),C1843),Tipos!$A:$B,2,FALSE()),"outro"))</f>
        <v/>
      </c>
      <c r="K1843" s="7" t="str">
        <f aca="false">IF(I1843="","",IFERROR(INDEX('Campos Growths'!$L:$L,MATCH(H1843,'Campos Growths'!$A:$A,0)),""))</f>
        <v/>
      </c>
      <c r="L1843" s="7" t="str">
        <f aca="false">IF(A1843="","",IF(G1843="não","Sem tabela no Growths",IF(I1843="","Sem campo no Growths",IF(J1843=K1843,"Importa direto","Ajustar tipo"))))</f>
        <v/>
      </c>
      <c r="M1843" s="9"/>
    </row>
    <row r="1844" customFormat="false" ht="15" hidden="false" customHeight="false" outlineLevel="0" collapsed="false">
      <c r="A1844" s="7" t="str">
        <f aca="false">IF('Outro banco'!A1844="","",IF(LEFT('Outro banco'!A1844,1)="(","",'Outro banco'!A1844))</f>
        <v/>
      </c>
      <c r="B1844" s="7" t="str">
        <f aca="false">IF(A1844="","",'Outro banco'!B1844)</f>
        <v/>
      </c>
      <c r="C1844" s="7" t="str">
        <f aca="false">IF(A1844="","",'Outro banco'!C1844)</f>
        <v/>
      </c>
      <c r="D1844" s="7" t="str">
        <f aca="false">IF(A1844="","",'Outro banco'!D1844)</f>
        <v/>
      </c>
      <c r="E1844" s="9"/>
      <c r="F1844" s="9"/>
      <c r="G1844" s="7" t="str">
        <f aca="false">IF(A1844="","",IF(COUNTIF(Tabelas!$A:$A,IF(E1844="",A1844,E1844))&gt;0,"sim","não"))</f>
        <v/>
      </c>
      <c r="H1844" s="7" t="str">
        <f aca="false">IF(A1844="","",IF(E1844="",A1844,E1844)&amp;"."&amp;IF(F1844="",B1844,F1844))</f>
        <v/>
      </c>
      <c r="I1844" s="7" t="str">
        <f aca="false">IF(A1844="","",IFERROR(INDEX('Campos Growths'!$F:$F,MATCH(H1844,'Campos Growths'!$A:$A,0)),""))</f>
        <v/>
      </c>
      <c r="J1844" s="7" t="str">
        <f aca="false">IF(A1844="","",IFERROR(VLOOKUP(IF(ISNUMBER(SEARCH("(",C1844)),LEFT(C1844,SEARCH("(",C1844)-1),C1844),Tipos!$A:$B,2,FALSE()),"outro"))</f>
        <v/>
      </c>
      <c r="K1844" s="7" t="str">
        <f aca="false">IF(I1844="","",IFERROR(INDEX('Campos Growths'!$L:$L,MATCH(H1844,'Campos Growths'!$A:$A,0)),""))</f>
        <v/>
      </c>
      <c r="L1844" s="7" t="str">
        <f aca="false">IF(A1844="","",IF(G1844="não","Sem tabela no Growths",IF(I1844="","Sem campo no Growths",IF(J1844=K1844,"Importa direto","Ajustar tipo"))))</f>
        <v/>
      </c>
      <c r="M1844" s="9"/>
    </row>
    <row r="1845" customFormat="false" ht="15" hidden="false" customHeight="false" outlineLevel="0" collapsed="false">
      <c r="A1845" s="7" t="str">
        <f aca="false">IF('Outro banco'!A1845="","",IF(LEFT('Outro banco'!A1845,1)="(","",'Outro banco'!A1845))</f>
        <v/>
      </c>
      <c r="B1845" s="7" t="str">
        <f aca="false">IF(A1845="","",'Outro banco'!B1845)</f>
        <v/>
      </c>
      <c r="C1845" s="7" t="str">
        <f aca="false">IF(A1845="","",'Outro banco'!C1845)</f>
        <v/>
      </c>
      <c r="D1845" s="7" t="str">
        <f aca="false">IF(A1845="","",'Outro banco'!D1845)</f>
        <v/>
      </c>
      <c r="E1845" s="9"/>
      <c r="F1845" s="9"/>
      <c r="G1845" s="7" t="str">
        <f aca="false">IF(A1845="","",IF(COUNTIF(Tabelas!$A:$A,IF(E1845="",A1845,E1845))&gt;0,"sim","não"))</f>
        <v/>
      </c>
      <c r="H1845" s="7" t="str">
        <f aca="false">IF(A1845="","",IF(E1845="",A1845,E1845)&amp;"."&amp;IF(F1845="",B1845,F1845))</f>
        <v/>
      </c>
      <c r="I1845" s="7" t="str">
        <f aca="false">IF(A1845="","",IFERROR(INDEX('Campos Growths'!$F:$F,MATCH(H1845,'Campos Growths'!$A:$A,0)),""))</f>
        <v/>
      </c>
      <c r="J1845" s="7" t="str">
        <f aca="false">IF(A1845="","",IFERROR(VLOOKUP(IF(ISNUMBER(SEARCH("(",C1845)),LEFT(C1845,SEARCH("(",C1845)-1),C1845),Tipos!$A:$B,2,FALSE()),"outro"))</f>
        <v/>
      </c>
      <c r="K1845" s="7" t="str">
        <f aca="false">IF(I1845="","",IFERROR(INDEX('Campos Growths'!$L:$L,MATCH(H1845,'Campos Growths'!$A:$A,0)),""))</f>
        <v/>
      </c>
      <c r="L1845" s="7" t="str">
        <f aca="false">IF(A1845="","",IF(G1845="não","Sem tabela no Growths",IF(I1845="","Sem campo no Growths",IF(J1845=K1845,"Importa direto","Ajustar tipo"))))</f>
        <v/>
      </c>
      <c r="M1845" s="9"/>
    </row>
    <row r="1846" customFormat="false" ht="15" hidden="false" customHeight="false" outlineLevel="0" collapsed="false">
      <c r="A1846" s="7" t="str">
        <f aca="false">IF('Outro banco'!A1846="","",IF(LEFT('Outro banco'!A1846,1)="(","",'Outro banco'!A1846))</f>
        <v/>
      </c>
      <c r="B1846" s="7" t="str">
        <f aca="false">IF(A1846="","",'Outro banco'!B1846)</f>
        <v/>
      </c>
      <c r="C1846" s="7" t="str">
        <f aca="false">IF(A1846="","",'Outro banco'!C1846)</f>
        <v/>
      </c>
      <c r="D1846" s="7" t="str">
        <f aca="false">IF(A1846="","",'Outro banco'!D1846)</f>
        <v/>
      </c>
      <c r="E1846" s="9"/>
      <c r="F1846" s="9"/>
      <c r="G1846" s="7" t="str">
        <f aca="false">IF(A1846="","",IF(COUNTIF(Tabelas!$A:$A,IF(E1846="",A1846,E1846))&gt;0,"sim","não"))</f>
        <v/>
      </c>
      <c r="H1846" s="7" t="str">
        <f aca="false">IF(A1846="","",IF(E1846="",A1846,E1846)&amp;"."&amp;IF(F1846="",B1846,F1846))</f>
        <v/>
      </c>
      <c r="I1846" s="7" t="str">
        <f aca="false">IF(A1846="","",IFERROR(INDEX('Campos Growths'!$F:$F,MATCH(H1846,'Campos Growths'!$A:$A,0)),""))</f>
        <v/>
      </c>
      <c r="J1846" s="7" t="str">
        <f aca="false">IF(A1846="","",IFERROR(VLOOKUP(IF(ISNUMBER(SEARCH("(",C1846)),LEFT(C1846,SEARCH("(",C1846)-1),C1846),Tipos!$A:$B,2,FALSE()),"outro"))</f>
        <v/>
      </c>
      <c r="K1846" s="7" t="str">
        <f aca="false">IF(I1846="","",IFERROR(INDEX('Campos Growths'!$L:$L,MATCH(H1846,'Campos Growths'!$A:$A,0)),""))</f>
        <v/>
      </c>
      <c r="L1846" s="7" t="str">
        <f aca="false">IF(A1846="","",IF(G1846="não","Sem tabela no Growths",IF(I1846="","Sem campo no Growths",IF(J1846=K1846,"Importa direto","Ajustar tipo"))))</f>
        <v/>
      </c>
      <c r="M1846" s="9"/>
    </row>
    <row r="1847" customFormat="false" ht="15" hidden="false" customHeight="false" outlineLevel="0" collapsed="false">
      <c r="A1847" s="7" t="str">
        <f aca="false">IF('Outro banco'!A1847="","",IF(LEFT('Outro banco'!A1847,1)="(","",'Outro banco'!A1847))</f>
        <v/>
      </c>
      <c r="B1847" s="7" t="str">
        <f aca="false">IF(A1847="","",'Outro banco'!B1847)</f>
        <v/>
      </c>
      <c r="C1847" s="7" t="str">
        <f aca="false">IF(A1847="","",'Outro banco'!C1847)</f>
        <v/>
      </c>
      <c r="D1847" s="7" t="str">
        <f aca="false">IF(A1847="","",'Outro banco'!D1847)</f>
        <v/>
      </c>
      <c r="E1847" s="9"/>
      <c r="F1847" s="9"/>
      <c r="G1847" s="7" t="str">
        <f aca="false">IF(A1847="","",IF(COUNTIF(Tabelas!$A:$A,IF(E1847="",A1847,E1847))&gt;0,"sim","não"))</f>
        <v/>
      </c>
      <c r="H1847" s="7" t="str">
        <f aca="false">IF(A1847="","",IF(E1847="",A1847,E1847)&amp;"."&amp;IF(F1847="",B1847,F1847))</f>
        <v/>
      </c>
      <c r="I1847" s="7" t="str">
        <f aca="false">IF(A1847="","",IFERROR(INDEX('Campos Growths'!$F:$F,MATCH(H1847,'Campos Growths'!$A:$A,0)),""))</f>
        <v/>
      </c>
      <c r="J1847" s="7" t="str">
        <f aca="false">IF(A1847="","",IFERROR(VLOOKUP(IF(ISNUMBER(SEARCH("(",C1847)),LEFT(C1847,SEARCH("(",C1847)-1),C1847),Tipos!$A:$B,2,FALSE()),"outro"))</f>
        <v/>
      </c>
      <c r="K1847" s="7" t="str">
        <f aca="false">IF(I1847="","",IFERROR(INDEX('Campos Growths'!$L:$L,MATCH(H1847,'Campos Growths'!$A:$A,0)),""))</f>
        <v/>
      </c>
      <c r="L1847" s="7" t="str">
        <f aca="false">IF(A1847="","",IF(G1847="não","Sem tabela no Growths",IF(I1847="","Sem campo no Growths",IF(J1847=K1847,"Importa direto","Ajustar tipo"))))</f>
        <v/>
      </c>
      <c r="M1847" s="9"/>
    </row>
    <row r="1848" customFormat="false" ht="15" hidden="false" customHeight="false" outlineLevel="0" collapsed="false">
      <c r="A1848" s="7" t="str">
        <f aca="false">IF('Outro banco'!A1848="","",IF(LEFT('Outro banco'!A1848,1)="(","",'Outro banco'!A1848))</f>
        <v/>
      </c>
      <c r="B1848" s="7" t="str">
        <f aca="false">IF(A1848="","",'Outro banco'!B1848)</f>
        <v/>
      </c>
      <c r="C1848" s="7" t="str">
        <f aca="false">IF(A1848="","",'Outro banco'!C1848)</f>
        <v/>
      </c>
      <c r="D1848" s="7" t="str">
        <f aca="false">IF(A1848="","",'Outro banco'!D1848)</f>
        <v/>
      </c>
      <c r="E1848" s="9"/>
      <c r="F1848" s="9"/>
      <c r="G1848" s="7" t="str">
        <f aca="false">IF(A1848="","",IF(COUNTIF(Tabelas!$A:$A,IF(E1848="",A1848,E1848))&gt;0,"sim","não"))</f>
        <v/>
      </c>
      <c r="H1848" s="7" t="str">
        <f aca="false">IF(A1848="","",IF(E1848="",A1848,E1848)&amp;"."&amp;IF(F1848="",B1848,F1848))</f>
        <v/>
      </c>
      <c r="I1848" s="7" t="str">
        <f aca="false">IF(A1848="","",IFERROR(INDEX('Campos Growths'!$F:$F,MATCH(H1848,'Campos Growths'!$A:$A,0)),""))</f>
        <v/>
      </c>
      <c r="J1848" s="7" t="str">
        <f aca="false">IF(A1848="","",IFERROR(VLOOKUP(IF(ISNUMBER(SEARCH("(",C1848)),LEFT(C1848,SEARCH("(",C1848)-1),C1848),Tipos!$A:$B,2,FALSE()),"outro"))</f>
        <v/>
      </c>
      <c r="K1848" s="7" t="str">
        <f aca="false">IF(I1848="","",IFERROR(INDEX('Campos Growths'!$L:$L,MATCH(H1848,'Campos Growths'!$A:$A,0)),""))</f>
        <v/>
      </c>
      <c r="L1848" s="7" t="str">
        <f aca="false">IF(A1848="","",IF(G1848="não","Sem tabela no Growths",IF(I1848="","Sem campo no Growths",IF(J1848=K1848,"Importa direto","Ajustar tipo"))))</f>
        <v/>
      </c>
      <c r="M1848" s="9"/>
    </row>
    <row r="1849" customFormat="false" ht="15" hidden="false" customHeight="false" outlineLevel="0" collapsed="false">
      <c r="A1849" s="7" t="str">
        <f aca="false">IF('Outro banco'!A1849="","",IF(LEFT('Outro banco'!A1849,1)="(","",'Outro banco'!A1849))</f>
        <v/>
      </c>
      <c r="B1849" s="7" t="str">
        <f aca="false">IF(A1849="","",'Outro banco'!B1849)</f>
        <v/>
      </c>
      <c r="C1849" s="7" t="str">
        <f aca="false">IF(A1849="","",'Outro banco'!C1849)</f>
        <v/>
      </c>
      <c r="D1849" s="7" t="str">
        <f aca="false">IF(A1849="","",'Outro banco'!D1849)</f>
        <v/>
      </c>
      <c r="E1849" s="9"/>
      <c r="F1849" s="9"/>
      <c r="G1849" s="7" t="str">
        <f aca="false">IF(A1849="","",IF(COUNTIF(Tabelas!$A:$A,IF(E1849="",A1849,E1849))&gt;0,"sim","não"))</f>
        <v/>
      </c>
      <c r="H1849" s="7" t="str">
        <f aca="false">IF(A1849="","",IF(E1849="",A1849,E1849)&amp;"."&amp;IF(F1849="",B1849,F1849))</f>
        <v/>
      </c>
      <c r="I1849" s="7" t="str">
        <f aca="false">IF(A1849="","",IFERROR(INDEX('Campos Growths'!$F:$F,MATCH(H1849,'Campos Growths'!$A:$A,0)),""))</f>
        <v/>
      </c>
      <c r="J1849" s="7" t="str">
        <f aca="false">IF(A1849="","",IFERROR(VLOOKUP(IF(ISNUMBER(SEARCH("(",C1849)),LEFT(C1849,SEARCH("(",C1849)-1),C1849),Tipos!$A:$B,2,FALSE()),"outro"))</f>
        <v/>
      </c>
      <c r="K1849" s="7" t="str">
        <f aca="false">IF(I1849="","",IFERROR(INDEX('Campos Growths'!$L:$L,MATCH(H1849,'Campos Growths'!$A:$A,0)),""))</f>
        <v/>
      </c>
      <c r="L1849" s="7" t="str">
        <f aca="false">IF(A1849="","",IF(G1849="não","Sem tabela no Growths",IF(I1849="","Sem campo no Growths",IF(J1849=K1849,"Importa direto","Ajustar tipo"))))</f>
        <v/>
      </c>
      <c r="M1849" s="9"/>
    </row>
    <row r="1850" customFormat="false" ht="15" hidden="false" customHeight="false" outlineLevel="0" collapsed="false">
      <c r="A1850" s="7" t="str">
        <f aca="false">IF('Outro banco'!A1850="","",IF(LEFT('Outro banco'!A1850,1)="(","",'Outro banco'!A1850))</f>
        <v/>
      </c>
      <c r="B1850" s="7" t="str">
        <f aca="false">IF(A1850="","",'Outro banco'!B1850)</f>
        <v/>
      </c>
      <c r="C1850" s="7" t="str">
        <f aca="false">IF(A1850="","",'Outro banco'!C1850)</f>
        <v/>
      </c>
      <c r="D1850" s="7" t="str">
        <f aca="false">IF(A1850="","",'Outro banco'!D1850)</f>
        <v/>
      </c>
      <c r="E1850" s="9"/>
      <c r="F1850" s="9"/>
      <c r="G1850" s="7" t="str">
        <f aca="false">IF(A1850="","",IF(COUNTIF(Tabelas!$A:$A,IF(E1850="",A1850,E1850))&gt;0,"sim","não"))</f>
        <v/>
      </c>
      <c r="H1850" s="7" t="str">
        <f aca="false">IF(A1850="","",IF(E1850="",A1850,E1850)&amp;"."&amp;IF(F1850="",B1850,F1850))</f>
        <v/>
      </c>
      <c r="I1850" s="7" t="str">
        <f aca="false">IF(A1850="","",IFERROR(INDEX('Campos Growths'!$F:$F,MATCH(H1850,'Campos Growths'!$A:$A,0)),""))</f>
        <v/>
      </c>
      <c r="J1850" s="7" t="str">
        <f aca="false">IF(A1850="","",IFERROR(VLOOKUP(IF(ISNUMBER(SEARCH("(",C1850)),LEFT(C1850,SEARCH("(",C1850)-1),C1850),Tipos!$A:$B,2,FALSE()),"outro"))</f>
        <v/>
      </c>
      <c r="K1850" s="7" t="str">
        <f aca="false">IF(I1850="","",IFERROR(INDEX('Campos Growths'!$L:$L,MATCH(H1850,'Campos Growths'!$A:$A,0)),""))</f>
        <v/>
      </c>
      <c r="L1850" s="7" t="str">
        <f aca="false">IF(A1850="","",IF(G1850="não","Sem tabela no Growths",IF(I1850="","Sem campo no Growths",IF(J1850=K1850,"Importa direto","Ajustar tipo"))))</f>
        <v/>
      </c>
      <c r="M1850" s="9"/>
    </row>
    <row r="1851" customFormat="false" ht="15" hidden="false" customHeight="false" outlineLevel="0" collapsed="false">
      <c r="A1851" s="7" t="str">
        <f aca="false">IF('Outro banco'!A1851="","",IF(LEFT('Outro banco'!A1851,1)="(","",'Outro banco'!A1851))</f>
        <v/>
      </c>
      <c r="B1851" s="7" t="str">
        <f aca="false">IF(A1851="","",'Outro banco'!B1851)</f>
        <v/>
      </c>
      <c r="C1851" s="7" t="str">
        <f aca="false">IF(A1851="","",'Outro banco'!C1851)</f>
        <v/>
      </c>
      <c r="D1851" s="7" t="str">
        <f aca="false">IF(A1851="","",'Outro banco'!D1851)</f>
        <v/>
      </c>
      <c r="E1851" s="9"/>
      <c r="F1851" s="9"/>
      <c r="G1851" s="7" t="str">
        <f aca="false">IF(A1851="","",IF(COUNTIF(Tabelas!$A:$A,IF(E1851="",A1851,E1851))&gt;0,"sim","não"))</f>
        <v/>
      </c>
      <c r="H1851" s="7" t="str">
        <f aca="false">IF(A1851="","",IF(E1851="",A1851,E1851)&amp;"."&amp;IF(F1851="",B1851,F1851))</f>
        <v/>
      </c>
      <c r="I1851" s="7" t="str">
        <f aca="false">IF(A1851="","",IFERROR(INDEX('Campos Growths'!$F:$F,MATCH(H1851,'Campos Growths'!$A:$A,0)),""))</f>
        <v/>
      </c>
      <c r="J1851" s="7" t="str">
        <f aca="false">IF(A1851="","",IFERROR(VLOOKUP(IF(ISNUMBER(SEARCH("(",C1851)),LEFT(C1851,SEARCH("(",C1851)-1),C1851),Tipos!$A:$B,2,FALSE()),"outro"))</f>
        <v/>
      </c>
      <c r="K1851" s="7" t="str">
        <f aca="false">IF(I1851="","",IFERROR(INDEX('Campos Growths'!$L:$L,MATCH(H1851,'Campos Growths'!$A:$A,0)),""))</f>
        <v/>
      </c>
      <c r="L1851" s="7" t="str">
        <f aca="false">IF(A1851="","",IF(G1851="não","Sem tabela no Growths",IF(I1851="","Sem campo no Growths",IF(J1851=K1851,"Importa direto","Ajustar tipo"))))</f>
        <v/>
      </c>
      <c r="M1851" s="9"/>
    </row>
    <row r="1852" customFormat="false" ht="15" hidden="false" customHeight="false" outlineLevel="0" collapsed="false">
      <c r="A1852" s="7" t="str">
        <f aca="false">IF('Outro banco'!A1852="","",IF(LEFT('Outro banco'!A1852,1)="(","",'Outro banco'!A1852))</f>
        <v/>
      </c>
      <c r="B1852" s="7" t="str">
        <f aca="false">IF(A1852="","",'Outro banco'!B1852)</f>
        <v/>
      </c>
      <c r="C1852" s="7" t="str">
        <f aca="false">IF(A1852="","",'Outro banco'!C1852)</f>
        <v/>
      </c>
      <c r="D1852" s="7" t="str">
        <f aca="false">IF(A1852="","",'Outro banco'!D1852)</f>
        <v/>
      </c>
      <c r="E1852" s="9"/>
      <c r="F1852" s="9"/>
      <c r="G1852" s="7" t="str">
        <f aca="false">IF(A1852="","",IF(COUNTIF(Tabelas!$A:$A,IF(E1852="",A1852,E1852))&gt;0,"sim","não"))</f>
        <v/>
      </c>
      <c r="H1852" s="7" t="str">
        <f aca="false">IF(A1852="","",IF(E1852="",A1852,E1852)&amp;"."&amp;IF(F1852="",B1852,F1852))</f>
        <v/>
      </c>
      <c r="I1852" s="7" t="str">
        <f aca="false">IF(A1852="","",IFERROR(INDEX('Campos Growths'!$F:$F,MATCH(H1852,'Campos Growths'!$A:$A,0)),""))</f>
        <v/>
      </c>
      <c r="J1852" s="7" t="str">
        <f aca="false">IF(A1852="","",IFERROR(VLOOKUP(IF(ISNUMBER(SEARCH("(",C1852)),LEFT(C1852,SEARCH("(",C1852)-1),C1852),Tipos!$A:$B,2,FALSE()),"outro"))</f>
        <v/>
      </c>
      <c r="K1852" s="7" t="str">
        <f aca="false">IF(I1852="","",IFERROR(INDEX('Campos Growths'!$L:$L,MATCH(H1852,'Campos Growths'!$A:$A,0)),""))</f>
        <v/>
      </c>
      <c r="L1852" s="7" t="str">
        <f aca="false">IF(A1852="","",IF(G1852="não","Sem tabela no Growths",IF(I1852="","Sem campo no Growths",IF(J1852=K1852,"Importa direto","Ajustar tipo"))))</f>
        <v/>
      </c>
      <c r="M1852" s="9"/>
    </row>
    <row r="1853" customFormat="false" ht="15" hidden="false" customHeight="false" outlineLevel="0" collapsed="false">
      <c r="A1853" s="7" t="str">
        <f aca="false">IF('Outro banco'!A1853="","",IF(LEFT('Outro banco'!A1853,1)="(","",'Outro banco'!A1853))</f>
        <v/>
      </c>
      <c r="B1853" s="7" t="str">
        <f aca="false">IF(A1853="","",'Outro banco'!B1853)</f>
        <v/>
      </c>
      <c r="C1853" s="7" t="str">
        <f aca="false">IF(A1853="","",'Outro banco'!C1853)</f>
        <v/>
      </c>
      <c r="D1853" s="7" t="str">
        <f aca="false">IF(A1853="","",'Outro banco'!D1853)</f>
        <v/>
      </c>
      <c r="E1853" s="9"/>
      <c r="F1853" s="9"/>
      <c r="G1853" s="7" t="str">
        <f aca="false">IF(A1853="","",IF(COUNTIF(Tabelas!$A:$A,IF(E1853="",A1853,E1853))&gt;0,"sim","não"))</f>
        <v/>
      </c>
      <c r="H1853" s="7" t="str">
        <f aca="false">IF(A1853="","",IF(E1853="",A1853,E1853)&amp;"."&amp;IF(F1853="",B1853,F1853))</f>
        <v/>
      </c>
      <c r="I1853" s="7" t="str">
        <f aca="false">IF(A1853="","",IFERROR(INDEX('Campos Growths'!$F:$F,MATCH(H1853,'Campos Growths'!$A:$A,0)),""))</f>
        <v/>
      </c>
      <c r="J1853" s="7" t="str">
        <f aca="false">IF(A1853="","",IFERROR(VLOOKUP(IF(ISNUMBER(SEARCH("(",C1853)),LEFT(C1853,SEARCH("(",C1853)-1),C1853),Tipos!$A:$B,2,FALSE()),"outro"))</f>
        <v/>
      </c>
      <c r="K1853" s="7" t="str">
        <f aca="false">IF(I1853="","",IFERROR(INDEX('Campos Growths'!$L:$L,MATCH(H1853,'Campos Growths'!$A:$A,0)),""))</f>
        <v/>
      </c>
      <c r="L1853" s="7" t="str">
        <f aca="false">IF(A1853="","",IF(G1853="não","Sem tabela no Growths",IF(I1853="","Sem campo no Growths",IF(J1853=K1853,"Importa direto","Ajustar tipo"))))</f>
        <v/>
      </c>
      <c r="M1853" s="9"/>
    </row>
    <row r="1854" customFormat="false" ht="15" hidden="false" customHeight="false" outlineLevel="0" collapsed="false">
      <c r="A1854" s="7" t="str">
        <f aca="false">IF('Outro banco'!A1854="","",IF(LEFT('Outro banco'!A1854,1)="(","",'Outro banco'!A1854))</f>
        <v/>
      </c>
      <c r="B1854" s="7" t="str">
        <f aca="false">IF(A1854="","",'Outro banco'!B1854)</f>
        <v/>
      </c>
      <c r="C1854" s="7" t="str">
        <f aca="false">IF(A1854="","",'Outro banco'!C1854)</f>
        <v/>
      </c>
      <c r="D1854" s="7" t="str">
        <f aca="false">IF(A1854="","",'Outro banco'!D1854)</f>
        <v/>
      </c>
      <c r="E1854" s="9"/>
      <c r="F1854" s="9"/>
      <c r="G1854" s="7" t="str">
        <f aca="false">IF(A1854="","",IF(COUNTIF(Tabelas!$A:$A,IF(E1854="",A1854,E1854))&gt;0,"sim","não"))</f>
        <v/>
      </c>
      <c r="H1854" s="7" t="str">
        <f aca="false">IF(A1854="","",IF(E1854="",A1854,E1854)&amp;"."&amp;IF(F1854="",B1854,F1854))</f>
        <v/>
      </c>
      <c r="I1854" s="7" t="str">
        <f aca="false">IF(A1854="","",IFERROR(INDEX('Campos Growths'!$F:$F,MATCH(H1854,'Campos Growths'!$A:$A,0)),""))</f>
        <v/>
      </c>
      <c r="J1854" s="7" t="str">
        <f aca="false">IF(A1854="","",IFERROR(VLOOKUP(IF(ISNUMBER(SEARCH("(",C1854)),LEFT(C1854,SEARCH("(",C1854)-1),C1854),Tipos!$A:$B,2,FALSE()),"outro"))</f>
        <v/>
      </c>
      <c r="K1854" s="7" t="str">
        <f aca="false">IF(I1854="","",IFERROR(INDEX('Campos Growths'!$L:$L,MATCH(H1854,'Campos Growths'!$A:$A,0)),""))</f>
        <v/>
      </c>
      <c r="L1854" s="7" t="str">
        <f aca="false">IF(A1854="","",IF(G1854="não","Sem tabela no Growths",IF(I1854="","Sem campo no Growths",IF(J1854=K1854,"Importa direto","Ajustar tipo"))))</f>
        <v/>
      </c>
      <c r="M1854" s="9"/>
    </row>
    <row r="1855" customFormat="false" ht="15" hidden="false" customHeight="false" outlineLevel="0" collapsed="false">
      <c r="A1855" s="7" t="str">
        <f aca="false">IF('Outro banco'!A1855="","",IF(LEFT('Outro banco'!A1855,1)="(","",'Outro banco'!A1855))</f>
        <v/>
      </c>
      <c r="B1855" s="7" t="str">
        <f aca="false">IF(A1855="","",'Outro banco'!B1855)</f>
        <v/>
      </c>
      <c r="C1855" s="7" t="str">
        <f aca="false">IF(A1855="","",'Outro banco'!C1855)</f>
        <v/>
      </c>
      <c r="D1855" s="7" t="str">
        <f aca="false">IF(A1855="","",'Outro banco'!D1855)</f>
        <v/>
      </c>
      <c r="E1855" s="9"/>
      <c r="F1855" s="9"/>
      <c r="G1855" s="7" t="str">
        <f aca="false">IF(A1855="","",IF(COUNTIF(Tabelas!$A:$A,IF(E1855="",A1855,E1855))&gt;0,"sim","não"))</f>
        <v/>
      </c>
      <c r="H1855" s="7" t="str">
        <f aca="false">IF(A1855="","",IF(E1855="",A1855,E1855)&amp;"."&amp;IF(F1855="",B1855,F1855))</f>
        <v/>
      </c>
      <c r="I1855" s="7" t="str">
        <f aca="false">IF(A1855="","",IFERROR(INDEX('Campos Growths'!$F:$F,MATCH(H1855,'Campos Growths'!$A:$A,0)),""))</f>
        <v/>
      </c>
      <c r="J1855" s="7" t="str">
        <f aca="false">IF(A1855="","",IFERROR(VLOOKUP(IF(ISNUMBER(SEARCH("(",C1855)),LEFT(C1855,SEARCH("(",C1855)-1),C1855),Tipos!$A:$B,2,FALSE()),"outro"))</f>
        <v/>
      </c>
      <c r="K1855" s="7" t="str">
        <f aca="false">IF(I1855="","",IFERROR(INDEX('Campos Growths'!$L:$L,MATCH(H1855,'Campos Growths'!$A:$A,0)),""))</f>
        <v/>
      </c>
      <c r="L1855" s="7" t="str">
        <f aca="false">IF(A1855="","",IF(G1855="não","Sem tabela no Growths",IF(I1855="","Sem campo no Growths",IF(J1855=K1855,"Importa direto","Ajustar tipo"))))</f>
        <v/>
      </c>
      <c r="M1855" s="9"/>
    </row>
    <row r="1856" customFormat="false" ht="15" hidden="false" customHeight="false" outlineLevel="0" collapsed="false">
      <c r="A1856" s="7" t="str">
        <f aca="false">IF('Outro banco'!A1856="","",IF(LEFT('Outro banco'!A1856,1)="(","",'Outro banco'!A1856))</f>
        <v/>
      </c>
      <c r="B1856" s="7" t="str">
        <f aca="false">IF(A1856="","",'Outro banco'!B1856)</f>
        <v/>
      </c>
      <c r="C1856" s="7" t="str">
        <f aca="false">IF(A1856="","",'Outro banco'!C1856)</f>
        <v/>
      </c>
      <c r="D1856" s="7" t="str">
        <f aca="false">IF(A1856="","",'Outro banco'!D1856)</f>
        <v/>
      </c>
      <c r="E1856" s="9"/>
      <c r="F1856" s="9"/>
      <c r="G1856" s="7" t="str">
        <f aca="false">IF(A1856="","",IF(COUNTIF(Tabelas!$A:$A,IF(E1856="",A1856,E1856))&gt;0,"sim","não"))</f>
        <v/>
      </c>
      <c r="H1856" s="7" t="str">
        <f aca="false">IF(A1856="","",IF(E1856="",A1856,E1856)&amp;"."&amp;IF(F1856="",B1856,F1856))</f>
        <v/>
      </c>
      <c r="I1856" s="7" t="str">
        <f aca="false">IF(A1856="","",IFERROR(INDEX('Campos Growths'!$F:$F,MATCH(H1856,'Campos Growths'!$A:$A,0)),""))</f>
        <v/>
      </c>
      <c r="J1856" s="7" t="str">
        <f aca="false">IF(A1856="","",IFERROR(VLOOKUP(IF(ISNUMBER(SEARCH("(",C1856)),LEFT(C1856,SEARCH("(",C1856)-1),C1856),Tipos!$A:$B,2,FALSE()),"outro"))</f>
        <v/>
      </c>
      <c r="K1856" s="7" t="str">
        <f aca="false">IF(I1856="","",IFERROR(INDEX('Campos Growths'!$L:$L,MATCH(H1856,'Campos Growths'!$A:$A,0)),""))</f>
        <v/>
      </c>
      <c r="L1856" s="7" t="str">
        <f aca="false">IF(A1856="","",IF(G1856="não","Sem tabela no Growths",IF(I1856="","Sem campo no Growths",IF(J1856=K1856,"Importa direto","Ajustar tipo"))))</f>
        <v/>
      </c>
      <c r="M1856" s="9"/>
    </row>
    <row r="1857" customFormat="false" ht="15" hidden="false" customHeight="false" outlineLevel="0" collapsed="false">
      <c r="A1857" s="7" t="str">
        <f aca="false">IF('Outro banco'!A1857="","",IF(LEFT('Outro banco'!A1857,1)="(","",'Outro banco'!A1857))</f>
        <v/>
      </c>
      <c r="B1857" s="7" t="str">
        <f aca="false">IF(A1857="","",'Outro banco'!B1857)</f>
        <v/>
      </c>
      <c r="C1857" s="7" t="str">
        <f aca="false">IF(A1857="","",'Outro banco'!C1857)</f>
        <v/>
      </c>
      <c r="D1857" s="7" t="str">
        <f aca="false">IF(A1857="","",'Outro banco'!D1857)</f>
        <v/>
      </c>
      <c r="E1857" s="9"/>
      <c r="F1857" s="9"/>
      <c r="G1857" s="7" t="str">
        <f aca="false">IF(A1857="","",IF(COUNTIF(Tabelas!$A:$A,IF(E1857="",A1857,E1857))&gt;0,"sim","não"))</f>
        <v/>
      </c>
      <c r="H1857" s="7" t="str">
        <f aca="false">IF(A1857="","",IF(E1857="",A1857,E1857)&amp;"."&amp;IF(F1857="",B1857,F1857))</f>
        <v/>
      </c>
      <c r="I1857" s="7" t="str">
        <f aca="false">IF(A1857="","",IFERROR(INDEX('Campos Growths'!$F:$F,MATCH(H1857,'Campos Growths'!$A:$A,0)),""))</f>
        <v/>
      </c>
      <c r="J1857" s="7" t="str">
        <f aca="false">IF(A1857="","",IFERROR(VLOOKUP(IF(ISNUMBER(SEARCH("(",C1857)),LEFT(C1857,SEARCH("(",C1857)-1),C1857),Tipos!$A:$B,2,FALSE()),"outro"))</f>
        <v/>
      </c>
      <c r="K1857" s="7" t="str">
        <f aca="false">IF(I1857="","",IFERROR(INDEX('Campos Growths'!$L:$L,MATCH(H1857,'Campos Growths'!$A:$A,0)),""))</f>
        <v/>
      </c>
      <c r="L1857" s="7" t="str">
        <f aca="false">IF(A1857="","",IF(G1857="não","Sem tabela no Growths",IF(I1857="","Sem campo no Growths",IF(J1857=K1857,"Importa direto","Ajustar tipo"))))</f>
        <v/>
      </c>
      <c r="M1857" s="9"/>
    </row>
    <row r="1858" customFormat="false" ht="15" hidden="false" customHeight="false" outlineLevel="0" collapsed="false">
      <c r="A1858" s="7" t="str">
        <f aca="false">IF('Outro banco'!A1858="","",IF(LEFT('Outro banco'!A1858,1)="(","",'Outro banco'!A1858))</f>
        <v/>
      </c>
      <c r="B1858" s="7" t="str">
        <f aca="false">IF(A1858="","",'Outro banco'!B1858)</f>
        <v/>
      </c>
      <c r="C1858" s="7" t="str">
        <f aca="false">IF(A1858="","",'Outro banco'!C1858)</f>
        <v/>
      </c>
      <c r="D1858" s="7" t="str">
        <f aca="false">IF(A1858="","",'Outro banco'!D1858)</f>
        <v/>
      </c>
      <c r="E1858" s="9"/>
      <c r="F1858" s="9"/>
      <c r="G1858" s="7" t="str">
        <f aca="false">IF(A1858="","",IF(COUNTIF(Tabelas!$A:$A,IF(E1858="",A1858,E1858))&gt;0,"sim","não"))</f>
        <v/>
      </c>
      <c r="H1858" s="7" t="str">
        <f aca="false">IF(A1858="","",IF(E1858="",A1858,E1858)&amp;"."&amp;IF(F1858="",B1858,F1858))</f>
        <v/>
      </c>
      <c r="I1858" s="7" t="str">
        <f aca="false">IF(A1858="","",IFERROR(INDEX('Campos Growths'!$F:$F,MATCH(H1858,'Campos Growths'!$A:$A,0)),""))</f>
        <v/>
      </c>
      <c r="J1858" s="7" t="str">
        <f aca="false">IF(A1858="","",IFERROR(VLOOKUP(IF(ISNUMBER(SEARCH("(",C1858)),LEFT(C1858,SEARCH("(",C1858)-1),C1858),Tipos!$A:$B,2,FALSE()),"outro"))</f>
        <v/>
      </c>
      <c r="K1858" s="7" t="str">
        <f aca="false">IF(I1858="","",IFERROR(INDEX('Campos Growths'!$L:$L,MATCH(H1858,'Campos Growths'!$A:$A,0)),""))</f>
        <v/>
      </c>
      <c r="L1858" s="7" t="str">
        <f aca="false">IF(A1858="","",IF(G1858="não","Sem tabela no Growths",IF(I1858="","Sem campo no Growths",IF(J1858=K1858,"Importa direto","Ajustar tipo"))))</f>
        <v/>
      </c>
      <c r="M1858" s="9"/>
    </row>
    <row r="1859" customFormat="false" ht="15" hidden="false" customHeight="false" outlineLevel="0" collapsed="false">
      <c r="A1859" s="7" t="str">
        <f aca="false">IF('Outro banco'!A1859="","",IF(LEFT('Outro banco'!A1859,1)="(","",'Outro banco'!A1859))</f>
        <v/>
      </c>
      <c r="B1859" s="7" t="str">
        <f aca="false">IF(A1859="","",'Outro banco'!B1859)</f>
        <v/>
      </c>
      <c r="C1859" s="7" t="str">
        <f aca="false">IF(A1859="","",'Outro banco'!C1859)</f>
        <v/>
      </c>
      <c r="D1859" s="7" t="str">
        <f aca="false">IF(A1859="","",'Outro banco'!D1859)</f>
        <v/>
      </c>
      <c r="E1859" s="9"/>
      <c r="F1859" s="9"/>
      <c r="G1859" s="7" t="str">
        <f aca="false">IF(A1859="","",IF(COUNTIF(Tabelas!$A:$A,IF(E1859="",A1859,E1859))&gt;0,"sim","não"))</f>
        <v/>
      </c>
      <c r="H1859" s="7" t="str">
        <f aca="false">IF(A1859="","",IF(E1859="",A1859,E1859)&amp;"."&amp;IF(F1859="",B1859,F1859))</f>
        <v/>
      </c>
      <c r="I1859" s="7" t="str">
        <f aca="false">IF(A1859="","",IFERROR(INDEX('Campos Growths'!$F:$F,MATCH(H1859,'Campos Growths'!$A:$A,0)),""))</f>
        <v/>
      </c>
      <c r="J1859" s="7" t="str">
        <f aca="false">IF(A1859="","",IFERROR(VLOOKUP(IF(ISNUMBER(SEARCH("(",C1859)),LEFT(C1859,SEARCH("(",C1859)-1),C1859),Tipos!$A:$B,2,FALSE()),"outro"))</f>
        <v/>
      </c>
      <c r="K1859" s="7" t="str">
        <f aca="false">IF(I1859="","",IFERROR(INDEX('Campos Growths'!$L:$L,MATCH(H1859,'Campos Growths'!$A:$A,0)),""))</f>
        <v/>
      </c>
      <c r="L1859" s="7" t="str">
        <f aca="false">IF(A1859="","",IF(G1859="não","Sem tabela no Growths",IF(I1859="","Sem campo no Growths",IF(J1859=K1859,"Importa direto","Ajustar tipo"))))</f>
        <v/>
      </c>
      <c r="M1859" s="9"/>
    </row>
    <row r="1860" customFormat="false" ht="15" hidden="false" customHeight="false" outlineLevel="0" collapsed="false">
      <c r="A1860" s="7" t="str">
        <f aca="false">IF('Outro banco'!A1860="","",IF(LEFT('Outro banco'!A1860,1)="(","",'Outro banco'!A1860))</f>
        <v/>
      </c>
      <c r="B1860" s="7" t="str">
        <f aca="false">IF(A1860="","",'Outro banco'!B1860)</f>
        <v/>
      </c>
      <c r="C1860" s="7" t="str">
        <f aca="false">IF(A1860="","",'Outro banco'!C1860)</f>
        <v/>
      </c>
      <c r="D1860" s="7" t="str">
        <f aca="false">IF(A1860="","",'Outro banco'!D1860)</f>
        <v/>
      </c>
      <c r="E1860" s="9"/>
      <c r="F1860" s="9"/>
      <c r="G1860" s="7" t="str">
        <f aca="false">IF(A1860="","",IF(COUNTIF(Tabelas!$A:$A,IF(E1860="",A1860,E1860))&gt;0,"sim","não"))</f>
        <v/>
      </c>
      <c r="H1860" s="7" t="str">
        <f aca="false">IF(A1860="","",IF(E1860="",A1860,E1860)&amp;"."&amp;IF(F1860="",B1860,F1860))</f>
        <v/>
      </c>
      <c r="I1860" s="7" t="str">
        <f aca="false">IF(A1860="","",IFERROR(INDEX('Campos Growths'!$F:$F,MATCH(H1860,'Campos Growths'!$A:$A,0)),""))</f>
        <v/>
      </c>
      <c r="J1860" s="7" t="str">
        <f aca="false">IF(A1860="","",IFERROR(VLOOKUP(IF(ISNUMBER(SEARCH("(",C1860)),LEFT(C1860,SEARCH("(",C1860)-1),C1860),Tipos!$A:$B,2,FALSE()),"outro"))</f>
        <v/>
      </c>
      <c r="K1860" s="7" t="str">
        <f aca="false">IF(I1860="","",IFERROR(INDEX('Campos Growths'!$L:$L,MATCH(H1860,'Campos Growths'!$A:$A,0)),""))</f>
        <v/>
      </c>
      <c r="L1860" s="7" t="str">
        <f aca="false">IF(A1860="","",IF(G1860="não","Sem tabela no Growths",IF(I1860="","Sem campo no Growths",IF(J1860=K1860,"Importa direto","Ajustar tipo"))))</f>
        <v/>
      </c>
      <c r="M1860" s="9"/>
    </row>
    <row r="1861" customFormat="false" ht="15" hidden="false" customHeight="false" outlineLevel="0" collapsed="false">
      <c r="A1861" s="7" t="str">
        <f aca="false">IF('Outro banco'!A1861="","",IF(LEFT('Outro banco'!A1861,1)="(","",'Outro banco'!A1861))</f>
        <v/>
      </c>
      <c r="B1861" s="7" t="str">
        <f aca="false">IF(A1861="","",'Outro banco'!B1861)</f>
        <v/>
      </c>
      <c r="C1861" s="7" t="str">
        <f aca="false">IF(A1861="","",'Outro banco'!C1861)</f>
        <v/>
      </c>
      <c r="D1861" s="7" t="str">
        <f aca="false">IF(A1861="","",'Outro banco'!D1861)</f>
        <v/>
      </c>
      <c r="E1861" s="9"/>
      <c r="F1861" s="9"/>
      <c r="G1861" s="7" t="str">
        <f aca="false">IF(A1861="","",IF(COUNTIF(Tabelas!$A:$A,IF(E1861="",A1861,E1861))&gt;0,"sim","não"))</f>
        <v/>
      </c>
      <c r="H1861" s="7" t="str">
        <f aca="false">IF(A1861="","",IF(E1861="",A1861,E1861)&amp;"."&amp;IF(F1861="",B1861,F1861))</f>
        <v/>
      </c>
      <c r="I1861" s="7" t="str">
        <f aca="false">IF(A1861="","",IFERROR(INDEX('Campos Growths'!$F:$F,MATCH(H1861,'Campos Growths'!$A:$A,0)),""))</f>
        <v/>
      </c>
      <c r="J1861" s="7" t="str">
        <f aca="false">IF(A1861="","",IFERROR(VLOOKUP(IF(ISNUMBER(SEARCH("(",C1861)),LEFT(C1861,SEARCH("(",C1861)-1),C1861),Tipos!$A:$B,2,FALSE()),"outro"))</f>
        <v/>
      </c>
      <c r="K1861" s="7" t="str">
        <f aca="false">IF(I1861="","",IFERROR(INDEX('Campos Growths'!$L:$L,MATCH(H1861,'Campos Growths'!$A:$A,0)),""))</f>
        <v/>
      </c>
      <c r="L1861" s="7" t="str">
        <f aca="false">IF(A1861="","",IF(G1861="não","Sem tabela no Growths",IF(I1861="","Sem campo no Growths",IF(J1861=K1861,"Importa direto","Ajustar tipo"))))</f>
        <v/>
      </c>
      <c r="M1861" s="9"/>
    </row>
    <row r="1862" customFormat="false" ht="15" hidden="false" customHeight="false" outlineLevel="0" collapsed="false">
      <c r="A1862" s="7" t="str">
        <f aca="false">IF('Outro banco'!A1862="","",IF(LEFT('Outro banco'!A1862,1)="(","",'Outro banco'!A1862))</f>
        <v/>
      </c>
      <c r="B1862" s="7" t="str">
        <f aca="false">IF(A1862="","",'Outro banco'!B1862)</f>
        <v/>
      </c>
      <c r="C1862" s="7" t="str">
        <f aca="false">IF(A1862="","",'Outro banco'!C1862)</f>
        <v/>
      </c>
      <c r="D1862" s="7" t="str">
        <f aca="false">IF(A1862="","",'Outro banco'!D1862)</f>
        <v/>
      </c>
      <c r="E1862" s="9"/>
      <c r="F1862" s="9"/>
      <c r="G1862" s="7" t="str">
        <f aca="false">IF(A1862="","",IF(COUNTIF(Tabelas!$A:$A,IF(E1862="",A1862,E1862))&gt;0,"sim","não"))</f>
        <v/>
      </c>
      <c r="H1862" s="7" t="str">
        <f aca="false">IF(A1862="","",IF(E1862="",A1862,E1862)&amp;"."&amp;IF(F1862="",B1862,F1862))</f>
        <v/>
      </c>
      <c r="I1862" s="7" t="str">
        <f aca="false">IF(A1862="","",IFERROR(INDEX('Campos Growths'!$F:$F,MATCH(H1862,'Campos Growths'!$A:$A,0)),""))</f>
        <v/>
      </c>
      <c r="J1862" s="7" t="str">
        <f aca="false">IF(A1862="","",IFERROR(VLOOKUP(IF(ISNUMBER(SEARCH("(",C1862)),LEFT(C1862,SEARCH("(",C1862)-1),C1862),Tipos!$A:$B,2,FALSE()),"outro"))</f>
        <v/>
      </c>
      <c r="K1862" s="7" t="str">
        <f aca="false">IF(I1862="","",IFERROR(INDEX('Campos Growths'!$L:$L,MATCH(H1862,'Campos Growths'!$A:$A,0)),""))</f>
        <v/>
      </c>
      <c r="L1862" s="7" t="str">
        <f aca="false">IF(A1862="","",IF(G1862="não","Sem tabela no Growths",IF(I1862="","Sem campo no Growths",IF(J1862=K1862,"Importa direto","Ajustar tipo"))))</f>
        <v/>
      </c>
      <c r="M1862" s="9"/>
    </row>
    <row r="1863" customFormat="false" ht="15" hidden="false" customHeight="false" outlineLevel="0" collapsed="false">
      <c r="A1863" s="7" t="str">
        <f aca="false">IF('Outro banco'!A1863="","",IF(LEFT('Outro banco'!A1863,1)="(","",'Outro banco'!A1863))</f>
        <v/>
      </c>
      <c r="B1863" s="7" t="str">
        <f aca="false">IF(A1863="","",'Outro banco'!B1863)</f>
        <v/>
      </c>
      <c r="C1863" s="7" t="str">
        <f aca="false">IF(A1863="","",'Outro banco'!C1863)</f>
        <v/>
      </c>
      <c r="D1863" s="7" t="str">
        <f aca="false">IF(A1863="","",'Outro banco'!D1863)</f>
        <v/>
      </c>
      <c r="E1863" s="9"/>
      <c r="F1863" s="9"/>
      <c r="G1863" s="7" t="str">
        <f aca="false">IF(A1863="","",IF(COUNTIF(Tabelas!$A:$A,IF(E1863="",A1863,E1863))&gt;0,"sim","não"))</f>
        <v/>
      </c>
      <c r="H1863" s="7" t="str">
        <f aca="false">IF(A1863="","",IF(E1863="",A1863,E1863)&amp;"."&amp;IF(F1863="",B1863,F1863))</f>
        <v/>
      </c>
      <c r="I1863" s="7" t="str">
        <f aca="false">IF(A1863="","",IFERROR(INDEX('Campos Growths'!$F:$F,MATCH(H1863,'Campos Growths'!$A:$A,0)),""))</f>
        <v/>
      </c>
      <c r="J1863" s="7" t="str">
        <f aca="false">IF(A1863="","",IFERROR(VLOOKUP(IF(ISNUMBER(SEARCH("(",C1863)),LEFT(C1863,SEARCH("(",C1863)-1),C1863),Tipos!$A:$B,2,FALSE()),"outro"))</f>
        <v/>
      </c>
      <c r="K1863" s="7" t="str">
        <f aca="false">IF(I1863="","",IFERROR(INDEX('Campos Growths'!$L:$L,MATCH(H1863,'Campos Growths'!$A:$A,0)),""))</f>
        <v/>
      </c>
      <c r="L1863" s="7" t="str">
        <f aca="false">IF(A1863="","",IF(G1863="não","Sem tabela no Growths",IF(I1863="","Sem campo no Growths",IF(J1863=K1863,"Importa direto","Ajustar tipo"))))</f>
        <v/>
      </c>
      <c r="M1863" s="9"/>
    </row>
    <row r="1864" customFormat="false" ht="15" hidden="false" customHeight="false" outlineLevel="0" collapsed="false">
      <c r="A1864" s="7" t="str">
        <f aca="false">IF('Outro banco'!A1864="","",IF(LEFT('Outro banco'!A1864,1)="(","",'Outro banco'!A1864))</f>
        <v/>
      </c>
      <c r="B1864" s="7" t="str">
        <f aca="false">IF(A1864="","",'Outro banco'!B1864)</f>
        <v/>
      </c>
      <c r="C1864" s="7" t="str">
        <f aca="false">IF(A1864="","",'Outro banco'!C1864)</f>
        <v/>
      </c>
      <c r="D1864" s="7" t="str">
        <f aca="false">IF(A1864="","",'Outro banco'!D1864)</f>
        <v/>
      </c>
      <c r="E1864" s="9"/>
      <c r="F1864" s="9"/>
      <c r="G1864" s="7" t="str">
        <f aca="false">IF(A1864="","",IF(COUNTIF(Tabelas!$A:$A,IF(E1864="",A1864,E1864))&gt;0,"sim","não"))</f>
        <v/>
      </c>
      <c r="H1864" s="7" t="str">
        <f aca="false">IF(A1864="","",IF(E1864="",A1864,E1864)&amp;"."&amp;IF(F1864="",B1864,F1864))</f>
        <v/>
      </c>
      <c r="I1864" s="7" t="str">
        <f aca="false">IF(A1864="","",IFERROR(INDEX('Campos Growths'!$F:$F,MATCH(H1864,'Campos Growths'!$A:$A,0)),""))</f>
        <v/>
      </c>
      <c r="J1864" s="7" t="str">
        <f aca="false">IF(A1864="","",IFERROR(VLOOKUP(IF(ISNUMBER(SEARCH("(",C1864)),LEFT(C1864,SEARCH("(",C1864)-1),C1864),Tipos!$A:$B,2,FALSE()),"outro"))</f>
        <v/>
      </c>
      <c r="K1864" s="7" t="str">
        <f aca="false">IF(I1864="","",IFERROR(INDEX('Campos Growths'!$L:$L,MATCH(H1864,'Campos Growths'!$A:$A,0)),""))</f>
        <v/>
      </c>
      <c r="L1864" s="7" t="str">
        <f aca="false">IF(A1864="","",IF(G1864="não","Sem tabela no Growths",IF(I1864="","Sem campo no Growths",IF(J1864=K1864,"Importa direto","Ajustar tipo"))))</f>
        <v/>
      </c>
      <c r="M1864" s="9"/>
    </row>
    <row r="1865" customFormat="false" ht="15" hidden="false" customHeight="false" outlineLevel="0" collapsed="false">
      <c r="A1865" s="7" t="str">
        <f aca="false">IF('Outro banco'!A1865="","",IF(LEFT('Outro banco'!A1865,1)="(","",'Outro banco'!A1865))</f>
        <v/>
      </c>
      <c r="B1865" s="7" t="str">
        <f aca="false">IF(A1865="","",'Outro banco'!B1865)</f>
        <v/>
      </c>
      <c r="C1865" s="7" t="str">
        <f aca="false">IF(A1865="","",'Outro banco'!C1865)</f>
        <v/>
      </c>
      <c r="D1865" s="7" t="str">
        <f aca="false">IF(A1865="","",'Outro banco'!D1865)</f>
        <v/>
      </c>
      <c r="E1865" s="9"/>
      <c r="F1865" s="9"/>
      <c r="G1865" s="7" t="str">
        <f aca="false">IF(A1865="","",IF(COUNTIF(Tabelas!$A:$A,IF(E1865="",A1865,E1865))&gt;0,"sim","não"))</f>
        <v/>
      </c>
      <c r="H1865" s="7" t="str">
        <f aca="false">IF(A1865="","",IF(E1865="",A1865,E1865)&amp;"."&amp;IF(F1865="",B1865,F1865))</f>
        <v/>
      </c>
      <c r="I1865" s="7" t="str">
        <f aca="false">IF(A1865="","",IFERROR(INDEX('Campos Growths'!$F:$F,MATCH(H1865,'Campos Growths'!$A:$A,0)),""))</f>
        <v/>
      </c>
      <c r="J1865" s="7" t="str">
        <f aca="false">IF(A1865="","",IFERROR(VLOOKUP(IF(ISNUMBER(SEARCH("(",C1865)),LEFT(C1865,SEARCH("(",C1865)-1),C1865),Tipos!$A:$B,2,FALSE()),"outro"))</f>
        <v/>
      </c>
      <c r="K1865" s="7" t="str">
        <f aca="false">IF(I1865="","",IFERROR(INDEX('Campos Growths'!$L:$L,MATCH(H1865,'Campos Growths'!$A:$A,0)),""))</f>
        <v/>
      </c>
      <c r="L1865" s="7" t="str">
        <f aca="false">IF(A1865="","",IF(G1865="não","Sem tabela no Growths",IF(I1865="","Sem campo no Growths",IF(J1865=K1865,"Importa direto","Ajustar tipo"))))</f>
        <v/>
      </c>
      <c r="M1865" s="9"/>
    </row>
    <row r="1866" customFormat="false" ht="15" hidden="false" customHeight="false" outlineLevel="0" collapsed="false">
      <c r="A1866" s="7" t="str">
        <f aca="false">IF('Outro banco'!A1866="","",IF(LEFT('Outro banco'!A1866,1)="(","",'Outro banco'!A1866))</f>
        <v/>
      </c>
      <c r="B1866" s="7" t="str">
        <f aca="false">IF(A1866="","",'Outro banco'!B1866)</f>
        <v/>
      </c>
      <c r="C1866" s="7" t="str">
        <f aca="false">IF(A1866="","",'Outro banco'!C1866)</f>
        <v/>
      </c>
      <c r="D1866" s="7" t="str">
        <f aca="false">IF(A1866="","",'Outro banco'!D1866)</f>
        <v/>
      </c>
      <c r="E1866" s="9"/>
      <c r="F1866" s="9"/>
      <c r="G1866" s="7" t="str">
        <f aca="false">IF(A1866="","",IF(COUNTIF(Tabelas!$A:$A,IF(E1866="",A1866,E1866))&gt;0,"sim","não"))</f>
        <v/>
      </c>
      <c r="H1866" s="7" t="str">
        <f aca="false">IF(A1866="","",IF(E1866="",A1866,E1866)&amp;"."&amp;IF(F1866="",B1866,F1866))</f>
        <v/>
      </c>
      <c r="I1866" s="7" t="str">
        <f aca="false">IF(A1866="","",IFERROR(INDEX('Campos Growths'!$F:$F,MATCH(H1866,'Campos Growths'!$A:$A,0)),""))</f>
        <v/>
      </c>
      <c r="J1866" s="7" t="str">
        <f aca="false">IF(A1866="","",IFERROR(VLOOKUP(IF(ISNUMBER(SEARCH("(",C1866)),LEFT(C1866,SEARCH("(",C1866)-1),C1866),Tipos!$A:$B,2,FALSE()),"outro"))</f>
        <v/>
      </c>
      <c r="K1866" s="7" t="str">
        <f aca="false">IF(I1866="","",IFERROR(INDEX('Campos Growths'!$L:$L,MATCH(H1866,'Campos Growths'!$A:$A,0)),""))</f>
        <v/>
      </c>
      <c r="L1866" s="7" t="str">
        <f aca="false">IF(A1866="","",IF(G1866="não","Sem tabela no Growths",IF(I1866="","Sem campo no Growths",IF(J1866=K1866,"Importa direto","Ajustar tipo"))))</f>
        <v/>
      </c>
      <c r="M1866" s="9"/>
    </row>
    <row r="1867" customFormat="false" ht="15" hidden="false" customHeight="false" outlineLevel="0" collapsed="false">
      <c r="A1867" s="7" t="str">
        <f aca="false">IF('Outro banco'!A1867="","",IF(LEFT('Outro banco'!A1867,1)="(","",'Outro banco'!A1867))</f>
        <v/>
      </c>
      <c r="B1867" s="7" t="str">
        <f aca="false">IF(A1867="","",'Outro banco'!B1867)</f>
        <v/>
      </c>
      <c r="C1867" s="7" t="str">
        <f aca="false">IF(A1867="","",'Outro banco'!C1867)</f>
        <v/>
      </c>
      <c r="D1867" s="7" t="str">
        <f aca="false">IF(A1867="","",'Outro banco'!D1867)</f>
        <v/>
      </c>
      <c r="E1867" s="9"/>
      <c r="F1867" s="9"/>
      <c r="G1867" s="7" t="str">
        <f aca="false">IF(A1867="","",IF(COUNTIF(Tabelas!$A:$A,IF(E1867="",A1867,E1867))&gt;0,"sim","não"))</f>
        <v/>
      </c>
      <c r="H1867" s="7" t="str">
        <f aca="false">IF(A1867="","",IF(E1867="",A1867,E1867)&amp;"."&amp;IF(F1867="",B1867,F1867))</f>
        <v/>
      </c>
      <c r="I1867" s="7" t="str">
        <f aca="false">IF(A1867="","",IFERROR(INDEX('Campos Growths'!$F:$F,MATCH(H1867,'Campos Growths'!$A:$A,0)),""))</f>
        <v/>
      </c>
      <c r="J1867" s="7" t="str">
        <f aca="false">IF(A1867="","",IFERROR(VLOOKUP(IF(ISNUMBER(SEARCH("(",C1867)),LEFT(C1867,SEARCH("(",C1867)-1),C1867),Tipos!$A:$B,2,FALSE()),"outro"))</f>
        <v/>
      </c>
      <c r="K1867" s="7" t="str">
        <f aca="false">IF(I1867="","",IFERROR(INDEX('Campos Growths'!$L:$L,MATCH(H1867,'Campos Growths'!$A:$A,0)),""))</f>
        <v/>
      </c>
      <c r="L1867" s="7" t="str">
        <f aca="false">IF(A1867="","",IF(G1867="não","Sem tabela no Growths",IF(I1867="","Sem campo no Growths",IF(J1867=K1867,"Importa direto","Ajustar tipo"))))</f>
        <v/>
      </c>
      <c r="M1867" s="9"/>
    </row>
    <row r="1868" customFormat="false" ht="15" hidden="false" customHeight="false" outlineLevel="0" collapsed="false">
      <c r="A1868" s="7" t="str">
        <f aca="false">IF('Outro banco'!A1868="","",IF(LEFT('Outro banco'!A1868,1)="(","",'Outro banco'!A1868))</f>
        <v/>
      </c>
      <c r="B1868" s="7" t="str">
        <f aca="false">IF(A1868="","",'Outro banco'!B1868)</f>
        <v/>
      </c>
      <c r="C1868" s="7" t="str">
        <f aca="false">IF(A1868="","",'Outro banco'!C1868)</f>
        <v/>
      </c>
      <c r="D1868" s="7" t="str">
        <f aca="false">IF(A1868="","",'Outro banco'!D1868)</f>
        <v/>
      </c>
      <c r="E1868" s="9"/>
      <c r="F1868" s="9"/>
      <c r="G1868" s="7" t="str">
        <f aca="false">IF(A1868="","",IF(COUNTIF(Tabelas!$A:$A,IF(E1868="",A1868,E1868))&gt;0,"sim","não"))</f>
        <v/>
      </c>
      <c r="H1868" s="7" t="str">
        <f aca="false">IF(A1868="","",IF(E1868="",A1868,E1868)&amp;"."&amp;IF(F1868="",B1868,F1868))</f>
        <v/>
      </c>
      <c r="I1868" s="7" t="str">
        <f aca="false">IF(A1868="","",IFERROR(INDEX('Campos Growths'!$F:$F,MATCH(H1868,'Campos Growths'!$A:$A,0)),""))</f>
        <v/>
      </c>
      <c r="J1868" s="7" t="str">
        <f aca="false">IF(A1868="","",IFERROR(VLOOKUP(IF(ISNUMBER(SEARCH("(",C1868)),LEFT(C1868,SEARCH("(",C1868)-1),C1868),Tipos!$A:$B,2,FALSE()),"outro"))</f>
        <v/>
      </c>
      <c r="K1868" s="7" t="str">
        <f aca="false">IF(I1868="","",IFERROR(INDEX('Campos Growths'!$L:$L,MATCH(H1868,'Campos Growths'!$A:$A,0)),""))</f>
        <v/>
      </c>
      <c r="L1868" s="7" t="str">
        <f aca="false">IF(A1868="","",IF(G1868="não","Sem tabela no Growths",IF(I1868="","Sem campo no Growths",IF(J1868=K1868,"Importa direto","Ajustar tipo"))))</f>
        <v/>
      </c>
      <c r="M1868" s="9"/>
    </row>
    <row r="1869" customFormat="false" ht="15" hidden="false" customHeight="false" outlineLevel="0" collapsed="false">
      <c r="A1869" s="7" t="str">
        <f aca="false">IF('Outro banco'!A1869="","",IF(LEFT('Outro banco'!A1869,1)="(","",'Outro banco'!A1869))</f>
        <v/>
      </c>
      <c r="B1869" s="7" t="str">
        <f aca="false">IF(A1869="","",'Outro banco'!B1869)</f>
        <v/>
      </c>
      <c r="C1869" s="7" t="str">
        <f aca="false">IF(A1869="","",'Outro banco'!C1869)</f>
        <v/>
      </c>
      <c r="D1869" s="7" t="str">
        <f aca="false">IF(A1869="","",'Outro banco'!D1869)</f>
        <v/>
      </c>
      <c r="E1869" s="9"/>
      <c r="F1869" s="9"/>
      <c r="G1869" s="7" t="str">
        <f aca="false">IF(A1869="","",IF(COUNTIF(Tabelas!$A:$A,IF(E1869="",A1869,E1869))&gt;0,"sim","não"))</f>
        <v/>
      </c>
      <c r="H1869" s="7" t="str">
        <f aca="false">IF(A1869="","",IF(E1869="",A1869,E1869)&amp;"."&amp;IF(F1869="",B1869,F1869))</f>
        <v/>
      </c>
      <c r="I1869" s="7" t="str">
        <f aca="false">IF(A1869="","",IFERROR(INDEX('Campos Growths'!$F:$F,MATCH(H1869,'Campos Growths'!$A:$A,0)),""))</f>
        <v/>
      </c>
      <c r="J1869" s="7" t="str">
        <f aca="false">IF(A1869="","",IFERROR(VLOOKUP(IF(ISNUMBER(SEARCH("(",C1869)),LEFT(C1869,SEARCH("(",C1869)-1),C1869),Tipos!$A:$B,2,FALSE()),"outro"))</f>
        <v/>
      </c>
      <c r="K1869" s="7" t="str">
        <f aca="false">IF(I1869="","",IFERROR(INDEX('Campos Growths'!$L:$L,MATCH(H1869,'Campos Growths'!$A:$A,0)),""))</f>
        <v/>
      </c>
      <c r="L1869" s="7" t="str">
        <f aca="false">IF(A1869="","",IF(G1869="não","Sem tabela no Growths",IF(I1869="","Sem campo no Growths",IF(J1869=K1869,"Importa direto","Ajustar tipo"))))</f>
        <v/>
      </c>
      <c r="M1869" s="9"/>
    </row>
    <row r="1870" customFormat="false" ht="15" hidden="false" customHeight="false" outlineLevel="0" collapsed="false">
      <c r="A1870" s="7" t="str">
        <f aca="false">IF('Outro banco'!A1870="","",IF(LEFT('Outro banco'!A1870,1)="(","",'Outro banco'!A1870))</f>
        <v/>
      </c>
      <c r="B1870" s="7" t="str">
        <f aca="false">IF(A1870="","",'Outro banco'!B1870)</f>
        <v/>
      </c>
      <c r="C1870" s="7" t="str">
        <f aca="false">IF(A1870="","",'Outro banco'!C1870)</f>
        <v/>
      </c>
      <c r="D1870" s="7" t="str">
        <f aca="false">IF(A1870="","",'Outro banco'!D1870)</f>
        <v/>
      </c>
      <c r="E1870" s="9"/>
      <c r="F1870" s="9"/>
      <c r="G1870" s="7" t="str">
        <f aca="false">IF(A1870="","",IF(COUNTIF(Tabelas!$A:$A,IF(E1870="",A1870,E1870))&gt;0,"sim","não"))</f>
        <v/>
      </c>
      <c r="H1870" s="7" t="str">
        <f aca="false">IF(A1870="","",IF(E1870="",A1870,E1870)&amp;"."&amp;IF(F1870="",B1870,F1870))</f>
        <v/>
      </c>
      <c r="I1870" s="7" t="str">
        <f aca="false">IF(A1870="","",IFERROR(INDEX('Campos Growths'!$F:$F,MATCH(H1870,'Campos Growths'!$A:$A,0)),""))</f>
        <v/>
      </c>
      <c r="J1870" s="7" t="str">
        <f aca="false">IF(A1870="","",IFERROR(VLOOKUP(IF(ISNUMBER(SEARCH("(",C1870)),LEFT(C1870,SEARCH("(",C1870)-1),C1870),Tipos!$A:$B,2,FALSE()),"outro"))</f>
        <v/>
      </c>
      <c r="K1870" s="7" t="str">
        <f aca="false">IF(I1870="","",IFERROR(INDEX('Campos Growths'!$L:$L,MATCH(H1870,'Campos Growths'!$A:$A,0)),""))</f>
        <v/>
      </c>
      <c r="L1870" s="7" t="str">
        <f aca="false">IF(A1870="","",IF(G1870="não","Sem tabela no Growths",IF(I1870="","Sem campo no Growths",IF(J1870=K1870,"Importa direto","Ajustar tipo"))))</f>
        <v/>
      </c>
      <c r="M1870" s="9"/>
    </row>
    <row r="1871" customFormat="false" ht="15" hidden="false" customHeight="false" outlineLevel="0" collapsed="false">
      <c r="A1871" s="7" t="str">
        <f aca="false">IF('Outro banco'!A1871="","",IF(LEFT('Outro banco'!A1871,1)="(","",'Outro banco'!A1871))</f>
        <v/>
      </c>
      <c r="B1871" s="7" t="str">
        <f aca="false">IF(A1871="","",'Outro banco'!B1871)</f>
        <v/>
      </c>
      <c r="C1871" s="7" t="str">
        <f aca="false">IF(A1871="","",'Outro banco'!C1871)</f>
        <v/>
      </c>
      <c r="D1871" s="7" t="str">
        <f aca="false">IF(A1871="","",'Outro banco'!D1871)</f>
        <v/>
      </c>
      <c r="E1871" s="9"/>
      <c r="F1871" s="9"/>
      <c r="G1871" s="7" t="str">
        <f aca="false">IF(A1871="","",IF(COUNTIF(Tabelas!$A:$A,IF(E1871="",A1871,E1871))&gt;0,"sim","não"))</f>
        <v/>
      </c>
      <c r="H1871" s="7" t="str">
        <f aca="false">IF(A1871="","",IF(E1871="",A1871,E1871)&amp;"."&amp;IF(F1871="",B1871,F1871))</f>
        <v/>
      </c>
      <c r="I1871" s="7" t="str">
        <f aca="false">IF(A1871="","",IFERROR(INDEX('Campos Growths'!$F:$F,MATCH(H1871,'Campos Growths'!$A:$A,0)),""))</f>
        <v/>
      </c>
      <c r="J1871" s="7" t="str">
        <f aca="false">IF(A1871="","",IFERROR(VLOOKUP(IF(ISNUMBER(SEARCH("(",C1871)),LEFT(C1871,SEARCH("(",C1871)-1),C1871),Tipos!$A:$B,2,FALSE()),"outro"))</f>
        <v/>
      </c>
      <c r="K1871" s="7" t="str">
        <f aca="false">IF(I1871="","",IFERROR(INDEX('Campos Growths'!$L:$L,MATCH(H1871,'Campos Growths'!$A:$A,0)),""))</f>
        <v/>
      </c>
      <c r="L1871" s="7" t="str">
        <f aca="false">IF(A1871="","",IF(G1871="não","Sem tabela no Growths",IF(I1871="","Sem campo no Growths",IF(J1871=K1871,"Importa direto","Ajustar tipo"))))</f>
        <v/>
      </c>
      <c r="M1871" s="9"/>
    </row>
    <row r="1872" customFormat="false" ht="15" hidden="false" customHeight="false" outlineLevel="0" collapsed="false">
      <c r="A1872" s="7" t="str">
        <f aca="false">IF('Outro banco'!A1872="","",IF(LEFT('Outro banco'!A1872,1)="(","",'Outro banco'!A1872))</f>
        <v/>
      </c>
      <c r="B1872" s="7" t="str">
        <f aca="false">IF(A1872="","",'Outro banco'!B1872)</f>
        <v/>
      </c>
      <c r="C1872" s="7" t="str">
        <f aca="false">IF(A1872="","",'Outro banco'!C1872)</f>
        <v/>
      </c>
      <c r="D1872" s="7" t="str">
        <f aca="false">IF(A1872="","",'Outro banco'!D1872)</f>
        <v/>
      </c>
      <c r="E1872" s="9"/>
      <c r="F1872" s="9"/>
      <c r="G1872" s="7" t="str">
        <f aca="false">IF(A1872="","",IF(COUNTIF(Tabelas!$A:$A,IF(E1872="",A1872,E1872))&gt;0,"sim","não"))</f>
        <v/>
      </c>
      <c r="H1872" s="7" t="str">
        <f aca="false">IF(A1872="","",IF(E1872="",A1872,E1872)&amp;"."&amp;IF(F1872="",B1872,F1872))</f>
        <v/>
      </c>
      <c r="I1872" s="7" t="str">
        <f aca="false">IF(A1872="","",IFERROR(INDEX('Campos Growths'!$F:$F,MATCH(H1872,'Campos Growths'!$A:$A,0)),""))</f>
        <v/>
      </c>
      <c r="J1872" s="7" t="str">
        <f aca="false">IF(A1872="","",IFERROR(VLOOKUP(IF(ISNUMBER(SEARCH("(",C1872)),LEFT(C1872,SEARCH("(",C1872)-1),C1872),Tipos!$A:$B,2,FALSE()),"outro"))</f>
        <v/>
      </c>
      <c r="K1872" s="7" t="str">
        <f aca="false">IF(I1872="","",IFERROR(INDEX('Campos Growths'!$L:$L,MATCH(H1872,'Campos Growths'!$A:$A,0)),""))</f>
        <v/>
      </c>
      <c r="L1872" s="7" t="str">
        <f aca="false">IF(A1872="","",IF(G1872="não","Sem tabela no Growths",IF(I1872="","Sem campo no Growths",IF(J1872=K1872,"Importa direto","Ajustar tipo"))))</f>
        <v/>
      </c>
      <c r="M1872" s="9"/>
    </row>
    <row r="1873" customFormat="false" ht="15" hidden="false" customHeight="false" outlineLevel="0" collapsed="false">
      <c r="A1873" s="7" t="str">
        <f aca="false">IF('Outro banco'!A1873="","",IF(LEFT('Outro banco'!A1873,1)="(","",'Outro banco'!A1873))</f>
        <v/>
      </c>
      <c r="B1873" s="7" t="str">
        <f aca="false">IF(A1873="","",'Outro banco'!B1873)</f>
        <v/>
      </c>
      <c r="C1873" s="7" t="str">
        <f aca="false">IF(A1873="","",'Outro banco'!C1873)</f>
        <v/>
      </c>
      <c r="D1873" s="7" t="str">
        <f aca="false">IF(A1873="","",'Outro banco'!D1873)</f>
        <v/>
      </c>
      <c r="E1873" s="9"/>
      <c r="F1873" s="9"/>
      <c r="G1873" s="7" t="str">
        <f aca="false">IF(A1873="","",IF(COUNTIF(Tabelas!$A:$A,IF(E1873="",A1873,E1873))&gt;0,"sim","não"))</f>
        <v/>
      </c>
      <c r="H1873" s="7" t="str">
        <f aca="false">IF(A1873="","",IF(E1873="",A1873,E1873)&amp;"."&amp;IF(F1873="",B1873,F1873))</f>
        <v/>
      </c>
      <c r="I1873" s="7" t="str">
        <f aca="false">IF(A1873="","",IFERROR(INDEX('Campos Growths'!$F:$F,MATCH(H1873,'Campos Growths'!$A:$A,0)),""))</f>
        <v/>
      </c>
      <c r="J1873" s="7" t="str">
        <f aca="false">IF(A1873="","",IFERROR(VLOOKUP(IF(ISNUMBER(SEARCH("(",C1873)),LEFT(C1873,SEARCH("(",C1873)-1),C1873),Tipos!$A:$B,2,FALSE()),"outro"))</f>
        <v/>
      </c>
      <c r="K1873" s="7" t="str">
        <f aca="false">IF(I1873="","",IFERROR(INDEX('Campos Growths'!$L:$L,MATCH(H1873,'Campos Growths'!$A:$A,0)),""))</f>
        <v/>
      </c>
      <c r="L1873" s="7" t="str">
        <f aca="false">IF(A1873="","",IF(G1873="não","Sem tabela no Growths",IF(I1873="","Sem campo no Growths",IF(J1873=K1873,"Importa direto","Ajustar tipo"))))</f>
        <v/>
      </c>
      <c r="M1873" s="9"/>
    </row>
    <row r="1874" customFormat="false" ht="15" hidden="false" customHeight="false" outlineLevel="0" collapsed="false">
      <c r="A1874" s="7" t="str">
        <f aca="false">IF('Outro banco'!A1874="","",IF(LEFT('Outro banco'!A1874,1)="(","",'Outro banco'!A1874))</f>
        <v/>
      </c>
      <c r="B1874" s="7" t="str">
        <f aca="false">IF(A1874="","",'Outro banco'!B1874)</f>
        <v/>
      </c>
      <c r="C1874" s="7" t="str">
        <f aca="false">IF(A1874="","",'Outro banco'!C1874)</f>
        <v/>
      </c>
      <c r="D1874" s="7" t="str">
        <f aca="false">IF(A1874="","",'Outro banco'!D1874)</f>
        <v/>
      </c>
      <c r="E1874" s="9"/>
      <c r="F1874" s="9"/>
      <c r="G1874" s="7" t="str">
        <f aca="false">IF(A1874="","",IF(COUNTIF(Tabelas!$A:$A,IF(E1874="",A1874,E1874))&gt;0,"sim","não"))</f>
        <v/>
      </c>
      <c r="H1874" s="7" t="str">
        <f aca="false">IF(A1874="","",IF(E1874="",A1874,E1874)&amp;"."&amp;IF(F1874="",B1874,F1874))</f>
        <v/>
      </c>
      <c r="I1874" s="7" t="str">
        <f aca="false">IF(A1874="","",IFERROR(INDEX('Campos Growths'!$F:$F,MATCH(H1874,'Campos Growths'!$A:$A,0)),""))</f>
        <v/>
      </c>
      <c r="J1874" s="7" t="str">
        <f aca="false">IF(A1874="","",IFERROR(VLOOKUP(IF(ISNUMBER(SEARCH("(",C1874)),LEFT(C1874,SEARCH("(",C1874)-1),C1874),Tipos!$A:$B,2,FALSE()),"outro"))</f>
        <v/>
      </c>
      <c r="K1874" s="7" t="str">
        <f aca="false">IF(I1874="","",IFERROR(INDEX('Campos Growths'!$L:$L,MATCH(H1874,'Campos Growths'!$A:$A,0)),""))</f>
        <v/>
      </c>
      <c r="L1874" s="7" t="str">
        <f aca="false">IF(A1874="","",IF(G1874="não","Sem tabela no Growths",IF(I1874="","Sem campo no Growths",IF(J1874=K1874,"Importa direto","Ajustar tipo"))))</f>
        <v/>
      </c>
      <c r="M1874" s="9"/>
    </row>
    <row r="1875" customFormat="false" ht="15" hidden="false" customHeight="false" outlineLevel="0" collapsed="false">
      <c r="A1875" s="7" t="str">
        <f aca="false">IF('Outro banco'!A1875="","",IF(LEFT('Outro banco'!A1875,1)="(","",'Outro banco'!A1875))</f>
        <v/>
      </c>
      <c r="B1875" s="7" t="str">
        <f aca="false">IF(A1875="","",'Outro banco'!B1875)</f>
        <v/>
      </c>
      <c r="C1875" s="7" t="str">
        <f aca="false">IF(A1875="","",'Outro banco'!C1875)</f>
        <v/>
      </c>
      <c r="D1875" s="7" t="str">
        <f aca="false">IF(A1875="","",'Outro banco'!D1875)</f>
        <v/>
      </c>
      <c r="E1875" s="9"/>
      <c r="F1875" s="9"/>
      <c r="G1875" s="7" t="str">
        <f aca="false">IF(A1875="","",IF(COUNTIF(Tabelas!$A:$A,IF(E1875="",A1875,E1875))&gt;0,"sim","não"))</f>
        <v/>
      </c>
      <c r="H1875" s="7" t="str">
        <f aca="false">IF(A1875="","",IF(E1875="",A1875,E1875)&amp;"."&amp;IF(F1875="",B1875,F1875))</f>
        <v/>
      </c>
      <c r="I1875" s="7" t="str">
        <f aca="false">IF(A1875="","",IFERROR(INDEX('Campos Growths'!$F:$F,MATCH(H1875,'Campos Growths'!$A:$A,0)),""))</f>
        <v/>
      </c>
      <c r="J1875" s="7" t="str">
        <f aca="false">IF(A1875="","",IFERROR(VLOOKUP(IF(ISNUMBER(SEARCH("(",C1875)),LEFT(C1875,SEARCH("(",C1875)-1),C1875),Tipos!$A:$B,2,FALSE()),"outro"))</f>
        <v/>
      </c>
      <c r="K1875" s="7" t="str">
        <f aca="false">IF(I1875="","",IFERROR(INDEX('Campos Growths'!$L:$L,MATCH(H1875,'Campos Growths'!$A:$A,0)),""))</f>
        <v/>
      </c>
      <c r="L1875" s="7" t="str">
        <f aca="false">IF(A1875="","",IF(G1875="não","Sem tabela no Growths",IF(I1875="","Sem campo no Growths",IF(J1875=K1875,"Importa direto","Ajustar tipo"))))</f>
        <v/>
      </c>
      <c r="M1875" s="9"/>
    </row>
    <row r="1876" customFormat="false" ht="15" hidden="false" customHeight="false" outlineLevel="0" collapsed="false">
      <c r="A1876" s="7" t="str">
        <f aca="false">IF('Outro banco'!A1876="","",IF(LEFT('Outro banco'!A1876,1)="(","",'Outro banco'!A1876))</f>
        <v/>
      </c>
      <c r="B1876" s="7" t="str">
        <f aca="false">IF(A1876="","",'Outro banco'!B1876)</f>
        <v/>
      </c>
      <c r="C1876" s="7" t="str">
        <f aca="false">IF(A1876="","",'Outro banco'!C1876)</f>
        <v/>
      </c>
      <c r="D1876" s="7" t="str">
        <f aca="false">IF(A1876="","",'Outro banco'!D1876)</f>
        <v/>
      </c>
      <c r="E1876" s="9"/>
      <c r="F1876" s="9"/>
      <c r="G1876" s="7" t="str">
        <f aca="false">IF(A1876="","",IF(COUNTIF(Tabelas!$A:$A,IF(E1876="",A1876,E1876))&gt;0,"sim","não"))</f>
        <v/>
      </c>
      <c r="H1876" s="7" t="str">
        <f aca="false">IF(A1876="","",IF(E1876="",A1876,E1876)&amp;"."&amp;IF(F1876="",B1876,F1876))</f>
        <v/>
      </c>
      <c r="I1876" s="7" t="str">
        <f aca="false">IF(A1876="","",IFERROR(INDEX('Campos Growths'!$F:$F,MATCH(H1876,'Campos Growths'!$A:$A,0)),""))</f>
        <v/>
      </c>
      <c r="J1876" s="7" t="str">
        <f aca="false">IF(A1876="","",IFERROR(VLOOKUP(IF(ISNUMBER(SEARCH("(",C1876)),LEFT(C1876,SEARCH("(",C1876)-1),C1876),Tipos!$A:$B,2,FALSE()),"outro"))</f>
        <v/>
      </c>
      <c r="K1876" s="7" t="str">
        <f aca="false">IF(I1876="","",IFERROR(INDEX('Campos Growths'!$L:$L,MATCH(H1876,'Campos Growths'!$A:$A,0)),""))</f>
        <v/>
      </c>
      <c r="L1876" s="7" t="str">
        <f aca="false">IF(A1876="","",IF(G1876="não","Sem tabela no Growths",IF(I1876="","Sem campo no Growths",IF(J1876=K1876,"Importa direto","Ajustar tipo"))))</f>
        <v/>
      </c>
      <c r="M1876" s="9"/>
    </row>
    <row r="1877" customFormat="false" ht="15" hidden="false" customHeight="false" outlineLevel="0" collapsed="false">
      <c r="A1877" s="7" t="str">
        <f aca="false">IF('Outro banco'!A1877="","",IF(LEFT('Outro banco'!A1877,1)="(","",'Outro banco'!A1877))</f>
        <v/>
      </c>
      <c r="B1877" s="7" t="str">
        <f aca="false">IF(A1877="","",'Outro banco'!B1877)</f>
        <v/>
      </c>
      <c r="C1877" s="7" t="str">
        <f aca="false">IF(A1877="","",'Outro banco'!C1877)</f>
        <v/>
      </c>
      <c r="D1877" s="7" t="str">
        <f aca="false">IF(A1877="","",'Outro banco'!D1877)</f>
        <v/>
      </c>
      <c r="E1877" s="9"/>
      <c r="F1877" s="9"/>
      <c r="G1877" s="7" t="str">
        <f aca="false">IF(A1877="","",IF(COUNTIF(Tabelas!$A:$A,IF(E1877="",A1877,E1877))&gt;0,"sim","não"))</f>
        <v/>
      </c>
      <c r="H1877" s="7" t="str">
        <f aca="false">IF(A1877="","",IF(E1877="",A1877,E1877)&amp;"."&amp;IF(F1877="",B1877,F1877))</f>
        <v/>
      </c>
      <c r="I1877" s="7" t="str">
        <f aca="false">IF(A1877="","",IFERROR(INDEX('Campos Growths'!$F:$F,MATCH(H1877,'Campos Growths'!$A:$A,0)),""))</f>
        <v/>
      </c>
      <c r="J1877" s="7" t="str">
        <f aca="false">IF(A1877="","",IFERROR(VLOOKUP(IF(ISNUMBER(SEARCH("(",C1877)),LEFT(C1877,SEARCH("(",C1877)-1),C1877),Tipos!$A:$B,2,FALSE()),"outro"))</f>
        <v/>
      </c>
      <c r="K1877" s="7" t="str">
        <f aca="false">IF(I1877="","",IFERROR(INDEX('Campos Growths'!$L:$L,MATCH(H1877,'Campos Growths'!$A:$A,0)),""))</f>
        <v/>
      </c>
      <c r="L1877" s="7" t="str">
        <f aca="false">IF(A1877="","",IF(G1877="não","Sem tabela no Growths",IF(I1877="","Sem campo no Growths",IF(J1877=K1877,"Importa direto","Ajustar tipo"))))</f>
        <v/>
      </c>
      <c r="M1877" s="9"/>
    </row>
    <row r="1878" customFormat="false" ht="15" hidden="false" customHeight="false" outlineLevel="0" collapsed="false">
      <c r="A1878" s="7" t="str">
        <f aca="false">IF('Outro banco'!A1878="","",IF(LEFT('Outro banco'!A1878,1)="(","",'Outro banco'!A1878))</f>
        <v/>
      </c>
      <c r="B1878" s="7" t="str">
        <f aca="false">IF(A1878="","",'Outro banco'!B1878)</f>
        <v/>
      </c>
      <c r="C1878" s="7" t="str">
        <f aca="false">IF(A1878="","",'Outro banco'!C1878)</f>
        <v/>
      </c>
      <c r="D1878" s="7" t="str">
        <f aca="false">IF(A1878="","",'Outro banco'!D1878)</f>
        <v/>
      </c>
      <c r="E1878" s="9"/>
      <c r="F1878" s="9"/>
      <c r="G1878" s="7" t="str">
        <f aca="false">IF(A1878="","",IF(COUNTIF(Tabelas!$A:$A,IF(E1878="",A1878,E1878))&gt;0,"sim","não"))</f>
        <v/>
      </c>
      <c r="H1878" s="7" t="str">
        <f aca="false">IF(A1878="","",IF(E1878="",A1878,E1878)&amp;"."&amp;IF(F1878="",B1878,F1878))</f>
        <v/>
      </c>
      <c r="I1878" s="7" t="str">
        <f aca="false">IF(A1878="","",IFERROR(INDEX('Campos Growths'!$F:$F,MATCH(H1878,'Campos Growths'!$A:$A,0)),""))</f>
        <v/>
      </c>
      <c r="J1878" s="7" t="str">
        <f aca="false">IF(A1878="","",IFERROR(VLOOKUP(IF(ISNUMBER(SEARCH("(",C1878)),LEFT(C1878,SEARCH("(",C1878)-1),C1878),Tipos!$A:$B,2,FALSE()),"outro"))</f>
        <v/>
      </c>
      <c r="K1878" s="7" t="str">
        <f aca="false">IF(I1878="","",IFERROR(INDEX('Campos Growths'!$L:$L,MATCH(H1878,'Campos Growths'!$A:$A,0)),""))</f>
        <v/>
      </c>
      <c r="L1878" s="7" t="str">
        <f aca="false">IF(A1878="","",IF(G1878="não","Sem tabela no Growths",IF(I1878="","Sem campo no Growths",IF(J1878=K1878,"Importa direto","Ajustar tipo"))))</f>
        <v/>
      </c>
      <c r="M1878" s="9"/>
    </row>
    <row r="1879" customFormat="false" ht="15" hidden="false" customHeight="false" outlineLevel="0" collapsed="false">
      <c r="A1879" s="7" t="str">
        <f aca="false">IF('Outro banco'!A1879="","",IF(LEFT('Outro banco'!A1879,1)="(","",'Outro banco'!A1879))</f>
        <v/>
      </c>
      <c r="B1879" s="7" t="str">
        <f aca="false">IF(A1879="","",'Outro banco'!B1879)</f>
        <v/>
      </c>
      <c r="C1879" s="7" t="str">
        <f aca="false">IF(A1879="","",'Outro banco'!C1879)</f>
        <v/>
      </c>
      <c r="D1879" s="7" t="str">
        <f aca="false">IF(A1879="","",'Outro banco'!D1879)</f>
        <v/>
      </c>
      <c r="E1879" s="9"/>
      <c r="F1879" s="9"/>
      <c r="G1879" s="7" t="str">
        <f aca="false">IF(A1879="","",IF(COUNTIF(Tabelas!$A:$A,IF(E1879="",A1879,E1879))&gt;0,"sim","não"))</f>
        <v/>
      </c>
      <c r="H1879" s="7" t="str">
        <f aca="false">IF(A1879="","",IF(E1879="",A1879,E1879)&amp;"."&amp;IF(F1879="",B1879,F1879))</f>
        <v/>
      </c>
      <c r="I1879" s="7" t="str">
        <f aca="false">IF(A1879="","",IFERROR(INDEX('Campos Growths'!$F:$F,MATCH(H1879,'Campos Growths'!$A:$A,0)),""))</f>
        <v/>
      </c>
      <c r="J1879" s="7" t="str">
        <f aca="false">IF(A1879="","",IFERROR(VLOOKUP(IF(ISNUMBER(SEARCH("(",C1879)),LEFT(C1879,SEARCH("(",C1879)-1),C1879),Tipos!$A:$B,2,FALSE()),"outro"))</f>
        <v/>
      </c>
      <c r="K1879" s="7" t="str">
        <f aca="false">IF(I1879="","",IFERROR(INDEX('Campos Growths'!$L:$L,MATCH(H1879,'Campos Growths'!$A:$A,0)),""))</f>
        <v/>
      </c>
      <c r="L1879" s="7" t="str">
        <f aca="false">IF(A1879="","",IF(G1879="não","Sem tabela no Growths",IF(I1879="","Sem campo no Growths",IF(J1879=K1879,"Importa direto","Ajustar tipo"))))</f>
        <v/>
      </c>
      <c r="M1879" s="9"/>
    </row>
    <row r="1880" customFormat="false" ht="15" hidden="false" customHeight="false" outlineLevel="0" collapsed="false">
      <c r="A1880" s="7" t="str">
        <f aca="false">IF('Outro banco'!A1880="","",IF(LEFT('Outro banco'!A1880,1)="(","",'Outro banco'!A1880))</f>
        <v/>
      </c>
      <c r="B1880" s="7" t="str">
        <f aca="false">IF(A1880="","",'Outro banco'!B1880)</f>
        <v/>
      </c>
      <c r="C1880" s="7" t="str">
        <f aca="false">IF(A1880="","",'Outro banco'!C1880)</f>
        <v/>
      </c>
      <c r="D1880" s="7" t="str">
        <f aca="false">IF(A1880="","",'Outro banco'!D1880)</f>
        <v/>
      </c>
      <c r="E1880" s="9"/>
      <c r="F1880" s="9"/>
      <c r="G1880" s="7" t="str">
        <f aca="false">IF(A1880="","",IF(COUNTIF(Tabelas!$A:$A,IF(E1880="",A1880,E1880))&gt;0,"sim","não"))</f>
        <v/>
      </c>
      <c r="H1880" s="7" t="str">
        <f aca="false">IF(A1880="","",IF(E1880="",A1880,E1880)&amp;"."&amp;IF(F1880="",B1880,F1880))</f>
        <v/>
      </c>
      <c r="I1880" s="7" t="str">
        <f aca="false">IF(A1880="","",IFERROR(INDEX('Campos Growths'!$F:$F,MATCH(H1880,'Campos Growths'!$A:$A,0)),""))</f>
        <v/>
      </c>
      <c r="J1880" s="7" t="str">
        <f aca="false">IF(A1880="","",IFERROR(VLOOKUP(IF(ISNUMBER(SEARCH("(",C1880)),LEFT(C1880,SEARCH("(",C1880)-1),C1880),Tipos!$A:$B,2,FALSE()),"outro"))</f>
        <v/>
      </c>
      <c r="K1880" s="7" t="str">
        <f aca="false">IF(I1880="","",IFERROR(INDEX('Campos Growths'!$L:$L,MATCH(H1880,'Campos Growths'!$A:$A,0)),""))</f>
        <v/>
      </c>
      <c r="L1880" s="7" t="str">
        <f aca="false">IF(A1880="","",IF(G1880="não","Sem tabela no Growths",IF(I1880="","Sem campo no Growths",IF(J1880=K1880,"Importa direto","Ajustar tipo"))))</f>
        <v/>
      </c>
      <c r="M1880" s="9"/>
    </row>
    <row r="1881" customFormat="false" ht="15" hidden="false" customHeight="false" outlineLevel="0" collapsed="false">
      <c r="A1881" s="7" t="str">
        <f aca="false">IF('Outro banco'!A1881="","",IF(LEFT('Outro banco'!A1881,1)="(","",'Outro banco'!A1881))</f>
        <v/>
      </c>
      <c r="B1881" s="7" t="str">
        <f aca="false">IF(A1881="","",'Outro banco'!B1881)</f>
        <v/>
      </c>
      <c r="C1881" s="7" t="str">
        <f aca="false">IF(A1881="","",'Outro banco'!C1881)</f>
        <v/>
      </c>
      <c r="D1881" s="7" t="str">
        <f aca="false">IF(A1881="","",'Outro banco'!D1881)</f>
        <v/>
      </c>
      <c r="E1881" s="9"/>
      <c r="F1881" s="9"/>
      <c r="G1881" s="7" t="str">
        <f aca="false">IF(A1881="","",IF(COUNTIF(Tabelas!$A:$A,IF(E1881="",A1881,E1881))&gt;0,"sim","não"))</f>
        <v/>
      </c>
      <c r="H1881" s="7" t="str">
        <f aca="false">IF(A1881="","",IF(E1881="",A1881,E1881)&amp;"."&amp;IF(F1881="",B1881,F1881))</f>
        <v/>
      </c>
      <c r="I1881" s="7" t="str">
        <f aca="false">IF(A1881="","",IFERROR(INDEX('Campos Growths'!$F:$F,MATCH(H1881,'Campos Growths'!$A:$A,0)),""))</f>
        <v/>
      </c>
      <c r="J1881" s="7" t="str">
        <f aca="false">IF(A1881="","",IFERROR(VLOOKUP(IF(ISNUMBER(SEARCH("(",C1881)),LEFT(C1881,SEARCH("(",C1881)-1),C1881),Tipos!$A:$B,2,FALSE()),"outro"))</f>
        <v/>
      </c>
      <c r="K1881" s="7" t="str">
        <f aca="false">IF(I1881="","",IFERROR(INDEX('Campos Growths'!$L:$L,MATCH(H1881,'Campos Growths'!$A:$A,0)),""))</f>
        <v/>
      </c>
      <c r="L1881" s="7" t="str">
        <f aca="false">IF(A1881="","",IF(G1881="não","Sem tabela no Growths",IF(I1881="","Sem campo no Growths",IF(J1881=K1881,"Importa direto","Ajustar tipo"))))</f>
        <v/>
      </c>
      <c r="M1881" s="9"/>
    </row>
    <row r="1882" customFormat="false" ht="15" hidden="false" customHeight="false" outlineLevel="0" collapsed="false">
      <c r="A1882" s="7" t="str">
        <f aca="false">IF('Outro banco'!A1882="","",IF(LEFT('Outro banco'!A1882,1)="(","",'Outro banco'!A1882))</f>
        <v/>
      </c>
      <c r="B1882" s="7" t="str">
        <f aca="false">IF(A1882="","",'Outro banco'!B1882)</f>
        <v/>
      </c>
      <c r="C1882" s="7" t="str">
        <f aca="false">IF(A1882="","",'Outro banco'!C1882)</f>
        <v/>
      </c>
      <c r="D1882" s="7" t="str">
        <f aca="false">IF(A1882="","",'Outro banco'!D1882)</f>
        <v/>
      </c>
      <c r="E1882" s="9"/>
      <c r="F1882" s="9"/>
      <c r="G1882" s="7" t="str">
        <f aca="false">IF(A1882="","",IF(COUNTIF(Tabelas!$A:$A,IF(E1882="",A1882,E1882))&gt;0,"sim","não"))</f>
        <v/>
      </c>
      <c r="H1882" s="7" t="str">
        <f aca="false">IF(A1882="","",IF(E1882="",A1882,E1882)&amp;"."&amp;IF(F1882="",B1882,F1882))</f>
        <v/>
      </c>
      <c r="I1882" s="7" t="str">
        <f aca="false">IF(A1882="","",IFERROR(INDEX('Campos Growths'!$F:$F,MATCH(H1882,'Campos Growths'!$A:$A,0)),""))</f>
        <v/>
      </c>
      <c r="J1882" s="7" t="str">
        <f aca="false">IF(A1882="","",IFERROR(VLOOKUP(IF(ISNUMBER(SEARCH("(",C1882)),LEFT(C1882,SEARCH("(",C1882)-1),C1882),Tipos!$A:$B,2,FALSE()),"outro"))</f>
        <v/>
      </c>
      <c r="K1882" s="7" t="str">
        <f aca="false">IF(I1882="","",IFERROR(INDEX('Campos Growths'!$L:$L,MATCH(H1882,'Campos Growths'!$A:$A,0)),""))</f>
        <v/>
      </c>
      <c r="L1882" s="7" t="str">
        <f aca="false">IF(A1882="","",IF(G1882="não","Sem tabela no Growths",IF(I1882="","Sem campo no Growths",IF(J1882=K1882,"Importa direto","Ajustar tipo"))))</f>
        <v/>
      </c>
      <c r="M1882" s="9"/>
    </row>
    <row r="1883" customFormat="false" ht="15" hidden="false" customHeight="false" outlineLevel="0" collapsed="false">
      <c r="A1883" s="7" t="str">
        <f aca="false">IF('Outro banco'!A1883="","",IF(LEFT('Outro banco'!A1883,1)="(","",'Outro banco'!A1883))</f>
        <v/>
      </c>
      <c r="B1883" s="7" t="str">
        <f aca="false">IF(A1883="","",'Outro banco'!B1883)</f>
        <v/>
      </c>
      <c r="C1883" s="7" t="str">
        <f aca="false">IF(A1883="","",'Outro banco'!C1883)</f>
        <v/>
      </c>
      <c r="D1883" s="7" t="str">
        <f aca="false">IF(A1883="","",'Outro banco'!D1883)</f>
        <v/>
      </c>
      <c r="E1883" s="9"/>
      <c r="F1883" s="9"/>
      <c r="G1883" s="7" t="str">
        <f aca="false">IF(A1883="","",IF(COUNTIF(Tabelas!$A:$A,IF(E1883="",A1883,E1883))&gt;0,"sim","não"))</f>
        <v/>
      </c>
      <c r="H1883" s="7" t="str">
        <f aca="false">IF(A1883="","",IF(E1883="",A1883,E1883)&amp;"."&amp;IF(F1883="",B1883,F1883))</f>
        <v/>
      </c>
      <c r="I1883" s="7" t="str">
        <f aca="false">IF(A1883="","",IFERROR(INDEX('Campos Growths'!$F:$F,MATCH(H1883,'Campos Growths'!$A:$A,0)),""))</f>
        <v/>
      </c>
      <c r="J1883" s="7" t="str">
        <f aca="false">IF(A1883="","",IFERROR(VLOOKUP(IF(ISNUMBER(SEARCH("(",C1883)),LEFT(C1883,SEARCH("(",C1883)-1),C1883),Tipos!$A:$B,2,FALSE()),"outro"))</f>
        <v/>
      </c>
      <c r="K1883" s="7" t="str">
        <f aca="false">IF(I1883="","",IFERROR(INDEX('Campos Growths'!$L:$L,MATCH(H1883,'Campos Growths'!$A:$A,0)),""))</f>
        <v/>
      </c>
      <c r="L1883" s="7" t="str">
        <f aca="false">IF(A1883="","",IF(G1883="não","Sem tabela no Growths",IF(I1883="","Sem campo no Growths",IF(J1883=K1883,"Importa direto","Ajustar tipo"))))</f>
        <v/>
      </c>
      <c r="M1883" s="9"/>
    </row>
    <row r="1884" customFormat="false" ht="15" hidden="false" customHeight="false" outlineLevel="0" collapsed="false">
      <c r="A1884" s="7" t="str">
        <f aca="false">IF('Outro banco'!A1884="","",IF(LEFT('Outro banco'!A1884,1)="(","",'Outro banco'!A1884))</f>
        <v/>
      </c>
      <c r="B1884" s="7" t="str">
        <f aca="false">IF(A1884="","",'Outro banco'!B1884)</f>
        <v/>
      </c>
      <c r="C1884" s="7" t="str">
        <f aca="false">IF(A1884="","",'Outro banco'!C1884)</f>
        <v/>
      </c>
      <c r="D1884" s="7" t="str">
        <f aca="false">IF(A1884="","",'Outro banco'!D1884)</f>
        <v/>
      </c>
      <c r="E1884" s="9"/>
      <c r="F1884" s="9"/>
      <c r="G1884" s="7" t="str">
        <f aca="false">IF(A1884="","",IF(COUNTIF(Tabelas!$A:$A,IF(E1884="",A1884,E1884))&gt;0,"sim","não"))</f>
        <v/>
      </c>
      <c r="H1884" s="7" t="str">
        <f aca="false">IF(A1884="","",IF(E1884="",A1884,E1884)&amp;"."&amp;IF(F1884="",B1884,F1884))</f>
        <v/>
      </c>
      <c r="I1884" s="7" t="str">
        <f aca="false">IF(A1884="","",IFERROR(INDEX('Campos Growths'!$F:$F,MATCH(H1884,'Campos Growths'!$A:$A,0)),""))</f>
        <v/>
      </c>
      <c r="J1884" s="7" t="str">
        <f aca="false">IF(A1884="","",IFERROR(VLOOKUP(IF(ISNUMBER(SEARCH("(",C1884)),LEFT(C1884,SEARCH("(",C1884)-1),C1884),Tipos!$A:$B,2,FALSE()),"outro"))</f>
        <v/>
      </c>
      <c r="K1884" s="7" t="str">
        <f aca="false">IF(I1884="","",IFERROR(INDEX('Campos Growths'!$L:$L,MATCH(H1884,'Campos Growths'!$A:$A,0)),""))</f>
        <v/>
      </c>
      <c r="L1884" s="7" t="str">
        <f aca="false">IF(A1884="","",IF(G1884="não","Sem tabela no Growths",IF(I1884="","Sem campo no Growths",IF(J1884=K1884,"Importa direto","Ajustar tipo"))))</f>
        <v/>
      </c>
      <c r="M1884" s="9"/>
    </row>
    <row r="1885" customFormat="false" ht="15" hidden="false" customHeight="false" outlineLevel="0" collapsed="false">
      <c r="A1885" s="7" t="str">
        <f aca="false">IF('Outro banco'!A1885="","",IF(LEFT('Outro banco'!A1885,1)="(","",'Outro banco'!A1885))</f>
        <v/>
      </c>
      <c r="B1885" s="7" t="str">
        <f aca="false">IF(A1885="","",'Outro banco'!B1885)</f>
        <v/>
      </c>
      <c r="C1885" s="7" t="str">
        <f aca="false">IF(A1885="","",'Outro banco'!C1885)</f>
        <v/>
      </c>
      <c r="D1885" s="7" t="str">
        <f aca="false">IF(A1885="","",'Outro banco'!D1885)</f>
        <v/>
      </c>
      <c r="E1885" s="9"/>
      <c r="F1885" s="9"/>
      <c r="G1885" s="7" t="str">
        <f aca="false">IF(A1885="","",IF(COUNTIF(Tabelas!$A:$A,IF(E1885="",A1885,E1885))&gt;0,"sim","não"))</f>
        <v/>
      </c>
      <c r="H1885" s="7" t="str">
        <f aca="false">IF(A1885="","",IF(E1885="",A1885,E1885)&amp;"."&amp;IF(F1885="",B1885,F1885))</f>
        <v/>
      </c>
      <c r="I1885" s="7" t="str">
        <f aca="false">IF(A1885="","",IFERROR(INDEX('Campos Growths'!$F:$F,MATCH(H1885,'Campos Growths'!$A:$A,0)),""))</f>
        <v/>
      </c>
      <c r="J1885" s="7" t="str">
        <f aca="false">IF(A1885="","",IFERROR(VLOOKUP(IF(ISNUMBER(SEARCH("(",C1885)),LEFT(C1885,SEARCH("(",C1885)-1),C1885),Tipos!$A:$B,2,FALSE()),"outro"))</f>
        <v/>
      </c>
      <c r="K1885" s="7" t="str">
        <f aca="false">IF(I1885="","",IFERROR(INDEX('Campos Growths'!$L:$L,MATCH(H1885,'Campos Growths'!$A:$A,0)),""))</f>
        <v/>
      </c>
      <c r="L1885" s="7" t="str">
        <f aca="false">IF(A1885="","",IF(G1885="não","Sem tabela no Growths",IF(I1885="","Sem campo no Growths",IF(J1885=K1885,"Importa direto","Ajustar tipo"))))</f>
        <v/>
      </c>
      <c r="M1885" s="9"/>
    </row>
    <row r="1886" customFormat="false" ht="15" hidden="false" customHeight="false" outlineLevel="0" collapsed="false">
      <c r="A1886" s="7" t="str">
        <f aca="false">IF('Outro banco'!A1886="","",IF(LEFT('Outro banco'!A1886,1)="(","",'Outro banco'!A1886))</f>
        <v/>
      </c>
      <c r="B1886" s="7" t="str">
        <f aca="false">IF(A1886="","",'Outro banco'!B1886)</f>
        <v/>
      </c>
      <c r="C1886" s="7" t="str">
        <f aca="false">IF(A1886="","",'Outro banco'!C1886)</f>
        <v/>
      </c>
      <c r="D1886" s="7" t="str">
        <f aca="false">IF(A1886="","",'Outro banco'!D1886)</f>
        <v/>
      </c>
      <c r="E1886" s="9"/>
      <c r="F1886" s="9"/>
      <c r="G1886" s="7" t="str">
        <f aca="false">IF(A1886="","",IF(COUNTIF(Tabelas!$A:$A,IF(E1886="",A1886,E1886))&gt;0,"sim","não"))</f>
        <v/>
      </c>
      <c r="H1886" s="7" t="str">
        <f aca="false">IF(A1886="","",IF(E1886="",A1886,E1886)&amp;"."&amp;IF(F1886="",B1886,F1886))</f>
        <v/>
      </c>
      <c r="I1886" s="7" t="str">
        <f aca="false">IF(A1886="","",IFERROR(INDEX('Campos Growths'!$F:$F,MATCH(H1886,'Campos Growths'!$A:$A,0)),""))</f>
        <v/>
      </c>
      <c r="J1886" s="7" t="str">
        <f aca="false">IF(A1886="","",IFERROR(VLOOKUP(IF(ISNUMBER(SEARCH("(",C1886)),LEFT(C1886,SEARCH("(",C1886)-1),C1886),Tipos!$A:$B,2,FALSE()),"outro"))</f>
        <v/>
      </c>
      <c r="K1886" s="7" t="str">
        <f aca="false">IF(I1886="","",IFERROR(INDEX('Campos Growths'!$L:$L,MATCH(H1886,'Campos Growths'!$A:$A,0)),""))</f>
        <v/>
      </c>
      <c r="L1886" s="7" t="str">
        <f aca="false">IF(A1886="","",IF(G1886="não","Sem tabela no Growths",IF(I1886="","Sem campo no Growths",IF(J1886=K1886,"Importa direto","Ajustar tipo"))))</f>
        <v/>
      </c>
      <c r="M1886" s="9"/>
    </row>
    <row r="1887" customFormat="false" ht="15" hidden="false" customHeight="false" outlineLevel="0" collapsed="false">
      <c r="A1887" s="7" t="str">
        <f aca="false">IF('Outro banco'!A1887="","",IF(LEFT('Outro banco'!A1887,1)="(","",'Outro banco'!A1887))</f>
        <v/>
      </c>
      <c r="B1887" s="7" t="str">
        <f aca="false">IF(A1887="","",'Outro banco'!B1887)</f>
        <v/>
      </c>
      <c r="C1887" s="7" t="str">
        <f aca="false">IF(A1887="","",'Outro banco'!C1887)</f>
        <v/>
      </c>
      <c r="D1887" s="7" t="str">
        <f aca="false">IF(A1887="","",'Outro banco'!D1887)</f>
        <v/>
      </c>
      <c r="E1887" s="9"/>
      <c r="F1887" s="9"/>
      <c r="G1887" s="7" t="str">
        <f aca="false">IF(A1887="","",IF(COUNTIF(Tabelas!$A:$A,IF(E1887="",A1887,E1887))&gt;0,"sim","não"))</f>
        <v/>
      </c>
      <c r="H1887" s="7" t="str">
        <f aca="false">IF(A1887="","",IF(E1887="",A1887,E1887)&amp;"."&amp;IF(F1887="",B1887,F1887))</f>
        <v/>
      </c>
      <c r="I1887" s="7" t="str">
        <f aca="false">IF(A1887="","",IFERROR(INDEX('Campos Growths'!$F:$F,MATCH(H1887,'Campos Growths'!$A:$A,0)),""))</f>
        <v/>
      </c>
      <c r="J1887" s="7" t="str">
        <f aca="false">IF(A1887="","",IFERROR(VLOOKUP(IF(ISNUMBER(SEARCH("(",C1887)),LEFT(C1887,SEARCH("(",C1887)-1),C1887),Tipos!$A:$B,2,FALSE()),"outro"))</f>
        <v/>
      </c>
      <c r="K1887" s="7" t="str">
        <f aca="false">IF(I1887="","",IFERROR(INDEX('Campos Growths'!$L:$L,MATCH(H1887,'Campos Growths'!$A:$A,0)),""))</f>
        <v/>
      </c>
      <c r="L1887" s="7" t="str">
        <f aca="false">IF(A1887="","",IF(G1887="não","Sem tabela no Growths",IF(I1887="","Sem campo no Growths",IF(J1887=K1887,"Importa direto","Ajustar tipo"))))</f>
        <v/>
      </c>
      <c r="M1887" s="9"/>
    </row>
    <row r="1888" customFormat="false" ht="15" hidden="false" customHeight="false" outlineLevel="0" collapsed="false">
      <c r="A1888" s="7" t="str">
        <f aca="false">IF('Outro banco'!A1888="","",IF(LEFT('Outro banco'!A1888,1)="(","",'Outro banco'!A1888))</f>
        <v/>
      </c>
      <c r="B1888" s="7" t="str">
        <f aca="false">IF(A1888="","",'Outro banco'!B1888)</f>
        <v/>
      </c>
      <c r="C1888" s="7" t="str">
        <f aca="false">IF(A1888="","",'Outro banco'!C1888)</f>
        <v/>
      </c>
      <c r="D1888" s="7" t="str">
        <f aca="false">IF(A1888="","",'Outro banco'!D1888)</f>
        <v/>
      </c>
      <c r="E1888" s="9"/>
      <c r="F1888" s="9"/>
      <c r="G1888" s="7" t="str">
        <f aca="false">IF(A1888="","",IF(COUNTIF(Tabelas!$A:$A,IF(E1888="",A1888,E1888))&gt;0,"sim","não"))</f>
        <v/>
      </c>
      <c r="H1888" s="7" t="str">
        <f aca="false">IF(A1888="","",IF(E1888="",A1888,E1888)&amp;"."&amp;IF(F1888="",B1888,F1888))</f>
        <v/>
      </c>
      <c r="I1888" s="7" t="str">
        <f aca="false">IF(A1888="","",IFERROR(INDEX('Campos Growths'!$F:$F,MATCH(H1888,'Campos Growths'!$A:$A,0)),""))</f>
        <v/>
      </c>
      <c r="J1888" s="7" t="str">
        <f aca="false">IF(A1888="","",IFERROR(VLOOKUP(IF(ISNUMBER(SEARCH("(",C1888)),LEFT(C1888,SEARCH("(",C1888)-1),C1888),Tipos!$A:$B,2,FALSE()),"outro"))</f>
        <v/>
      </c>
      <c r="K1888" s="7" t="str">
        <f aca="false">IF(I1888="","",IFERROR(INDEX('Campos Growths'!$L:$L,MATCH(H1888,'Campos Growths'!$A:$A,0)),""))</f>
        <v/>
      </c>
      <c r="L1888" s="7" t="str">
        <f aca="false">IF(A1888="","",IF(G1888="não","Sem tabela no Growths",IF(I1888="","Sem campo no Growths",IF(J1888=K1888,"Importa direto","Ajustar tipo"))))</f>
        <v/>
      </c>
      <c r="M1888" s="9"/>
    </row>
    <row r="1889" customFormat="false" ht="15" hidden="false" customHeight="false" outlineLevel="0" collapsed="false">
      <c r="A1889" s="7" t="str">
        <f aca="false">IF('Outro banco'!A1889="","",IF(LEFT('Outro banco'!A1889,1)="(","",'Outro banco'!A1889))</f>
        <v/>
      </c>
      <c r="B1889" s="7" t="str">
        <f aca="false">IF(A1889="","",'Outro banco'!B1889)</f>
        <v/>
      </c>
      <c r="C1889" s="7" t="str">
        <f aca="false">IF(A1889="","",'Outro banco'!C1889)</f>
        <v/>
      </c>
      <c r="D1889" s="7" t="str">
        <f aca="false">IF(A1889="","",'Outro banco'!D1889)</f>
        <v/>
      </c>
      <c r="E1889" s="9"/>
      <c r="F1889" s="9"/>
      <c r="G1889" s="7" t="str">
        <f aca="false">IF(A1889="","",IF(COUNTIF(Tabelas!$A:$A,IF(E1889="",A1889,E1889))&gt;0,"sim","não"))</f>
        <v/>
      </c>
      <c r="H1889" s="7" t="str">
        <f aca="false">IF(A1889="","",IF(E1889="",A1889,E1889)&amp;"."&amp;IF(F1889="",B1889,F1889))</f>
        <v/>
      </c>
      <c r="I1889" s="7" t="str">
        <f aca="false">IF(A1889="","",IFERROR(INDEX('Campos Growths'!$F:$F,MATCH(H1889,'Campos Growths'!$A:$A,0)),""))</f>
        <v/>
      </c>
      <c r="J1889" s="7" t="str">
        <f aca="false">IF(A1889="","",IFERROR(VLOOKUP(IF(ISNUMBER(SEARCH("(",C1889)),LEFT(C1889,SEARCH("(",C1889)-1),C1889),Tipos!$A:$B,2,FALSE()),"outro"))</f>
        <v/>
      </c>
      <c r="K1889" s="7" t="str">
        <f aca="false">IF(I1889="","",IFERROR(INDEX('Campos Growths'!$L:$L,MATCH(H1889,'Campos Growths'!$A:$A,0)),""))</f>
        <v/>
      </c>
      <c r="L1889" s="7" t="str">
        <f aca="false">IF(A1889="","",IF(G1889="não","Sem tabela no Growths",IF(I1889="","Sem campo no Growths",IF(J1889=K1889,"Importa direto","Ajustar tipo"))))</f>
        <v/>
      </c>
      <c r="M1889" s="9"/>
    </row>
    <row r="1890" customFormat="false" ht="15" hidden="false" customHeight="false" outlineLevel="0" collapsed="false">
      <c r="A1890" s="7" t="str">
        <f aca="false">IF('Outro banco'!A1890="","",IF(LEFT('Outro banco'!A1890,1)="(","",'Outro banco'!A1890))</f>
        <v/>
      </c>
      <c r="B1890" s="7" t="str">
        <f aca="false">IF(A1890="","",'Outro banco'!B1890)</f>
        <v/>
      </c>
      <c r="C1890" s="7" t="str">
        <f aca="false">IF(A1890="","",'Outro banco'!C1890)</f>
        <v/>
      </c>
      <c r="D1890" s="7" t="str">
        <f aca="false">IF(A1890="","",'Outro banco'!D1890)</f>
        <v/>
      </c>
      <c r="E1890" s="9"/>
      <c r="F1890" s="9"/>
      <c r="G1890" s="7" t="str">
        <f aca="false">IF(A1890="","",IF(COUNTIF(Tabelas!$A:$A,IF(E1890="",A1890,E1890))&gt;0,"sim","não"))</f>
        <v/>
      </c>
      <c r="H1890" s="7" t="str">
        <f aca="false">IF(A1890="","",IF(E1890="",A1890,E1890)&amp;"."&amp;IF(F1890="",B1890,F1890))</f>
        <v/>
      </c>
      <c r="I1890" s="7" t="str">
        <f aca="false">IF(A1890="","",IFERROR(INDEX('Campos Growths'!$F:$F,MATCH(H1890,'Campos Growths'!$A:$A,0)),""))</f>
        <v/>
      </c>
      <c r="J1890" s="7" t="str">
        <f aca="false">IF(A1890="","",IFERROR(VLOOKUP(IF(ISNUMBER(SEARCH("(",C1890)),LEFT(C1890,SEARCH("(",C1890)-1),C1890),Tipos!$A:$B,2,FALSE()),"outro"))</f>
        <v/>
      </c>
      <c r="K1890" s="7" t="str">
        <f aca="false">IF(I1890="","",IFERROR(INDEX('Campos Growths'!$L:$L,MATCH(H1890,'Campos Growths'!$A:$A,0)),""))</f>
        <v/>
      </c>
      <c r="L1890" s="7" t="str">
        <f aca="false">IF(A1890="","",IF(G1890="não","Sem tabela no Growths",IF(I1890="","Sem campo no Growths",IF(J1890=K1890,"Importa direto","Ajustar tipo"))))</f>
        <v/>
      </c>
      <c r="M1890" s="9"/>
    </row>
    <row r="1891" customFormat="false" ht="15" hidden="false" customHeight="false" outlineLevel="0" collapsed="false">
      <c r="A1891" s="7" t="str">
        <f aca="false">IF('Outro banco'!A1891="","",IF(LEFT('Outro banco'!A1891,1)="(","",'Outro banco'!A1891))</f>
        <v/>
      </c>
      <c r="B1891" s="7" t="str">
        <f aca="false">IF(A1891="","",'Outro banco'!B1891)</f>
        <v/>
      </c>
      <c r="C1891" s="7" t="str">
        <f aca="false">IF(A1891="","",'Outro banco'!C1891)</f>
        <v/>
      </c>
      <c r="D1891" s="7" t="str">
        <f aca="false">IF(A1891="","",'Outro banco'!D1891)</f>
        <v/>
      </c>
      <c r="E1891" s="9"/>
      <c r="F1891" s="9"/>
      <c r="G1891" s="7" t="str">
        <f aca="false">IF(A1891="","",IF(COUNTIF(Tabelas!$A:$A,IF(E1891="",A1891,E1891))&gt;0,"sim","não"))</f>
        <v/>
      </c>
      <c r="H1891" s="7" t="str">
        <f aca="false">IF(A1891="","",IF(E1891="",A1891,E1891)&amp;"."&amp;IF(F1891="",B1891,F1891))</f>
        <v/>
      </c>
      <c r="I1891" s="7" t="str">
        <f aca="false">IF(A1891="","",IFERROR(INDEX('Campos Growths'!$F:$F,MATCH(H1891,'Campos Growths'!$A:$A,0)),""))</f>
        <v/>
      </c>
      <c r="J1891" s="7" t="str">
        <f aca="false">IF(A1891="","",IFERROR(VLOOKUP(IF(ISNUMBER(SEARCH("(",C1891)),LEFT(C1891,SEARCH("(",C1891)-1),C1891),Tipos!$A:$B,2,FALSE()),"outro"))</f>
        <v/>
      </c>
      <c r="K1891" s="7" t="str">
        <f aca="false">IF(I1891="","",IFERROR(INDEX('Campos Growths'!$L:$L,MATCH(H1891,'Campos Growths'!$A:$A,0)),""))</f>
        <v/>
      </c>
      <c r="L1891" s="7" t="str">
        <f aca="false">IF(A1891="","",IF(G1891="não","Sem tabela no Growths",IF(I1891="","Sem campo no Growths",IF(J1891=K1891,"Importa direto","Ajustar tipo"))))</f>
        <v/>
      </c>
      <c r="M1891" s="9"/>
    </row>
    <row r="1892" customFormat="false" ht="15" hidden="false" customHeight="false" outlineLevel="0" collapsed="false">
      <c r="A1892" s="7" t="str">
        <f aca="false">IF('Outro banco'!A1892="","",IF(LEFT('Outro banco'!A1892,1)="(","",'Outro banco'!A1892))</f>
        <v/>
      </c>
      <c r="B1892" s="7" t="str">
        <f aca="false">IF(A1892="","",'Outro banco'!B1892)</f>
        <v/>
      </c>
      <c r="C1892" s="7" t="str">
        <f aca="false">IF(A1892="","",'Outro banco'!C1892)</f>
        <v/>
      </c>
      <c r="D1892" s="7" t="str">
        <f aca="false">IF(A1892="","",'Outro banco'!D1892)</f>
        <v/>
      </c>
      <c r="E1892" s="9"/>
      <c r="F1892" s="9"/>
      <c r="G1892" s="7" t="str">
        <f aca="false">IF(A1892="","",IF(COUNTIF(Tabelas!$A:$A,IF(E1892="",A1892,E1892))&gt;0,"sim","não"))</f>
        <v/>
      </c>
      <c r="H1892" s="7" t="str">
        <f aca="false">IF(A1892="","",IF(E1892="",A1892,E1892)&amp;"."&amp;IF(F1892="",B1892,F1892))</f>
        <v/>
      </c>
      <c r="I1892" s="7" t="str">
        <f aca="false">IF(A1892="","",IFERROR(INDEX('Campos Growths'!$F:$F,MATCH(H1892,'Campos Growths'!$A:$A,0)),""))</f>
        <v/>
      </c>
      <c r="J1892" s="7" t="str">
        <f aca="false">IF(A1892="","",IFERROR(VLOOKUP(IF(ISNUMBER(SEARCH("(",C1892)),LEFT(C1892,SEARCH("(",C1892)-1),C1892),Tipos!$A:$B,2,FALSE()),"outro"))</f>
        <v/>
      </c>
      <c r="K1892" s="7" t="str">
        <f aca="false">IF(I1892="","",IFERROR(INDEX('Campos Growths'!$L:$L,MATCH(H1892,'Campos Growths'!$A:$A,0)),""))</f>
        <v/>
      </c>
      <c r="L1892" s="7" t="str">
        <f aca="false">IF(A1892="","",IF(G1892="não","Sem tabela no Growths",IF(I1892="","Sem campo no Growths",IF(J1892=K1892,"Importa direto","Ajustar tipo"))))</f>
        <v/>
      </c>
      <c r="M1892" s="9"/>
    </row>
    <row r="1893" customFormat="false" ht="15" hidden="false" customHeight="false" outlineLevel="0" collapsed="false">
      <c r="A1893" s="7" t="str">
        <f aca="false">IF('Outro banco'!A1893="","",IF(LEFT('Outro banco'!A1893,1)="(","",'Outro banco'!A1893))</f>
        <v/>
      </c>
      <c r="B1893" s="7" t="str">
        <f aca="false">IF(A1893="","",'Outro banco'!B1893)</f>
        <v/>
      </c>
      <c r="C1893" s="7" t="str">
        <f aca="false">IF(A1893="","",'Outro banco'!C1893)</f>
        <v/>
      </c>
      <c r="D1893" s="7" t="str">
        <f aca="false">IF(A1893="","",'Outro banco'!D1893)</f>
        <v/>
      </c>
      <c r="E1893" s="9"/>
      <c r="F1893" s="9"/>
      <c r="G1893" s="7" t="str">
        <f aca="false">IF(A1893="","",IF(COUNTIF(Tabelas!$A:$A,IF(E1893="",A1893,E1893))&gt;0,"sim","não"))</f>
        <v/>
      </c>
      <c r="H1893" s="7" t="str">
        <f aca="false">IF(A1893="","",IF(E1893="",A1893,E1893)&amp;"."&amp;IF(F1893="",B1893,F1893))</f>
        <v/>
      </c>
      <c r="I1893" s="7" t="str">
        <f aca="false">IF(A1893="","",IFERROR(INDEX('Campos Growths'!$F:$F,MATCH(H1893,'Campos Growths'!$A:$A,0)),""))</f>
        <v/>
      </c>
      <c r="J1893" s="7" t="str">
        <f aca="false">IF(A1893="","",IFERROR(VLOOKUP(IF(ISNUMBER(SEARCH("(",C1893)),LEFT(C1893,SEARCH("(",C1893)-1),C1893),Tipos!$A:$B,2,FALSE()),"outro"))</f>
        <v/>
      </c>
      <c r="K1893" s="7" t="str">
        <f aca="false">IF(I1893="","",IFERROR(INDEX('Campos Growths'!$L:$L,MATCH(H1893,'Campos Growths'!$A:$A,0)),""))</f>
        <v/>
      </c>
      <c r="L1893" s="7" t="str">
        <f aca="false">IF(A1893="","",IF(G1893="não","Sem tabela no Growths",IF(I1893="","Sem campo no Growths",IF(J1893=K1893,"Importa direto","Ajustar tipo"))))</f>
        <v/>
      </c>
      <c r="M1893" s="9"/>
    </row>
    <row r="1894" customFormat="false" ht="15" hidden="false" customHeight="false" outlineLevel="0" collapsed="false">
      <c r="A1894" s="7" t="str">
        <f aca="false">IF('Outro banco'!A1894="","",IF(LEFT('Outro banco'!A1894,1)="(","",'Outro banco'!A1894))</f>
        <v/>
      </c>
      <c r="B1894" s="7" t="str">
        <f aca="false">IF(A1894="","",'Outro banco'!B1894)</f>
        <v/>
      </c>
      <c r="C1894" s="7" t="str">
        <f aca="false">IF(A1894="","",'Outro banco'!C1894)</f>
        <v/>
      </c>
      <c r="D1894" s="7" t="str">
        <f aca="false">IF(A1894="","",'Outro banco'!D1894)</f>
        <v/>
      </c>
      <c r="E1894" s="9"/>
      <c r="F1894" s="9"/>
      <c r="G1894" s="7" t="str">
        <f aca="false">IF(A1894="","",IF(COUNTIF(Tabelas!$A:$A,IF(E1894="",A1894,E1894))&gt;0,"sim","não"))</f>
        <v/>
      </c>
      <c r="H1894" s="7" t="str">
        <f aca="false">IF(A1894="","",IF(E1894="",A1894,E1894)&amp;"."&amp;IF(F1894="",B1894,F1894))</f>
        <v/>
      </c>
      <c r="I1894" s="7" t="str">
        <f aca="false">IF(A1894="","",IFERROR(INDEX('Campos Growths'!$F:$F,MATCH(H1894,'Campos Growths'!$A:$A,0)),""))</f>
        <v/>
      </c>
      <c r="J1894" s="7" t="str">
        <f aca="false">IF(A1894="","",IFERROR(VLOOKUP(IF(ISNUMBER(SEARCH("(",C1894)),LEFT(C1894,SEARCH("(",C1894)-1),C1894),Tipos!$A:$B,2,FALSE()),"outro"))</f>
        <v/>
      </c>
      <c r="K1894" s="7" t="str">
        <f aca="false">IF(I1894="","",IFERROR(INDEX('Campos Growths'!$L:$L,MATCH(H1894,'Campos Growths'!$A:$A,0)),""))</f>
        <v/>
      </c>
      <c r="L1894" s="7" t="str">
        <f aca="false">IF(A1894="","",IF(G1894="não","Sem tabela no Growths",IF(I1894="","Sem campo no Growths",IF(J1894=K1894,"Importa direto","Ajustar tipo"))))</f>
        <v/>
      </c>
      <c r="M1894" s="9"/>
    </row>
    <row r="1895" customFormat="false" ht="15" hidden="false" customHeight="false" outlineLevel="0" collapsed="false">
      <c r="A1895" s="7" t="str">
        <f aca="false">IF('Outro banco'!A1895="","",IF(LEFT('Outro banco'!A1895,1)="(","",'Outro banco'!A1895))</f>
        <v/>
      </c>
      <c r="B1895" s="7" t="str">
        <f aca="false">IF(A1895="","",'Outro banco'!B1895)</f>
        <v/>
      </c>
      <c r="C1895" s="7" t="str">
        <f aca="false">IF(A1895="","",'Outro banco'!C1895)</f>
        <v/>
      </c>
      <c r="D1895" s="7" t="str">
        <f aca="false">IF(A1895="","",'Outro banco'!D1895)</f>
        <v/>
      </c>
      <c r="E1895" s="9"/>
      <c r="F1895" s="9"/>
      <c r="G1895" s="7" t="str">
        <f aca="false">IF(A1895="","",IF(COUNTIF(Tabelas!$A:$A,IF(E1895="",A1895,E1895))&gt;0,"sim","não"))</f>
        <v/>
      </c>
      <c r="H1895" s="7" t="str">
        <f aca="false">IF(A1895="","",IF(E1895="",A1895,E1895)&amp;"."&amp;IF(F1895="",B1895,F1895))</f>
        <v/>
      </c>
      <c r="I1895" s="7" t="str">
        <f aca="false">IF(A1895="","",IFERROR(INDEX('Campos Growths'!$F:$F,MATCH(H1895,'Campos Growths'!$A:$A,0)),""))</f>
        <v/>
      </c>
      <c r="J1895" s="7" t="str">
        <f aca="false">IF(A1895="","",IFERROR(VLOOKUP(IF(ISNUMBER(SEARCH("(",C1895)),LEFT(C1895,SEARCH("(",C1895)-1),C1895),Tipos!$A:$B,2,FALSE()),"outro"))</f>
        <v/>
      </c>
      <c r="K1895" s="7" t="str">
        <f aca="false">IF(I1895="","",IFERROR(INDEX('Campos Growths'!$L:$L,MATCH(H1895,'Campos Growths'!$A:$A,0)),""))</f>
        <v/>
      </c>
      <c r="L1895" s="7" t="str">
        <f aca="false">IF(A1895="","",IF(G1895="não","Sem tabela no Growths",IF(I1895="","Sem campo no Growths",IF(J1895=K1895,"Importa direto","Ajustar tipo"))))</f>
        <v/>
      </c>
      <c r="M1895" s="9"/>
    </row>
    <row r="1896" customFormat="false" ht="15" hidden="false" customHeight="false" outlineLevel="0" collapsed="false">
      <c r="A1896" s="7" t="str">
        <f aca="false">IF('Outro banco'!A1896="","",IF(LEFT('Outro banco'!A1896,1)="(","",'Outro banco'!A1896))</f>
        <v/>
      </c>
      <c r="B1896" s="7" t="str">
        <f aca="false">IF(A1896="","",'Outro banco'!B1896)</f>
        <v/>
      </c>
      <c r="C1896" s="7" t="str">
        <f aca="false">IF(A1896="","",'Outro banco'!C1896)</f>
        <v/>
      </c>
      <c r="D1896" s="7" t="str">
        <f aca="false">IF(A1896="","",'Outro banco'!D1896)</f>
        <v/>
      </c>
      <c r="E1896" s="9"/>
      <c r="F1896" s="9"/>
      <c r="G1896" s="7" t="str">
        <f aca="false">IF(A1896="","",IF(COUNTIF(Tabelas!$A:$A,IF(E1896="",A1896,E1896))&gt;0,"sim","não"))</f>
        <v/>
      </c>
      <c r="H1896" s="7" t="str">
        <f aca="false">IF(A1896="","",IF(E1896="",A1896,E1896)&amp;"."&amp;IF(F1896="",B1896,F1896))</f>
        <v/>
      </c>
      <c r="I1896" s="7" t="str">
        <f aca="false">IF(A1896="","",IFERROR(INDEX('Campos Growths'!$F:$F,MATCH(H1896,'Campos Growths'!$A:$A,0)),""))</f>
        <v/>
      </c>
      <c r="J1896" s="7" t="str">
        <f aca="false">IF(A1896="","",IFERROR(VLOOKUP(IF(ISNUMBER(SEARCH("(",C1896)),LEFT(C1896,SEARCH("(",C1896)-1),C1896),Tipos!$A:$B,2,FALSE()),"outro"))</f>
        <v/>
      </c>
      <c r="K1896" s="7" t="str">
        <f aca="false">IF(I1896="","",IFERROR(INDEX('Campos Growths'!$L:$L,MATCH(H1896,'Campos Growths'!$A:$A,0)),""))</f>
        <v/>
      </c>
      <c r="L1896" s="7" t="str">
        <f aca="false">IF(A1896="","",IF(G1896="não","Sem tabela no Growths",IF(I1896="","Sem campo no Growths",IF(J1896=K1896,"Importa direto","Ajustar tipo"))))</f>
        <v/>
      </c>
      <c r="M1896" s="9"/>
    </row>
    <row r="1897" customFormat="false" ht="15" hidden="false" customHeight="false" outlineLevel="0" collapsed="false">
      <c r="A1897" s="7" t="str">
        <f aca="false">IF('Outro banco'!A1897="","",IF(LEFT('Outro banco'!A1897,1)="(","",'Outro banco'!A1897))</f>
        <v/>
      </c>
      <c r="B1897" s="7" t="str">
        <f aca="false">IF(A1897="","",'Outro banco'!B1897)</f>
        <v/>
      </c>
      <c r="C1897" s="7" t="str">
        <f aca="false">IF(A1897="","",'Outro banco'!C1897)</f>
        <v/>
      </c>
      <c r="D1897" s="7" t="str">
        <f aca="false">IF(A1897="","",'Outro banco'!D1897)</f>
        <v/>
      </c>
      <c r="E1897" s="9"/>
      <c r="F1897" s="9"/>
      <c r="G1897" s="7" t="str">
        <f aca="false">IF(A1897="","",IF(COUNTIF(Tabelas!$A:$A,IF(E1897="",A1897,E1897))&gt;0,"sim","não"))</f>
        <v/>
      </c>
      <c r="H1897" s="7" t="str">
        <f aca="false">IF(A1897="","",IF(E1897="",A1897,E1897)&amp;"."&amp;IF(F1897="",B1897,F1897))</f>
        <v/>
      </c>
      <c r="I1897" s="7" t="str">
        <f aca="false">IF(A1897="","",IFERROR(INDEX('Campos Growths'!$F:$F,MATCH(H1897,'Campos Growths'!$A:$A,0)),""))</f>
        <v/>
      </c>
      <c r="J1897" s="7" t="str">
        <f aca="false">IF(A1897="","",IFERROR(VLOOKUP(IF(ISNUMBER(SEARCH("(",C1897)),LEFT(C1897,SEARCH("(",C1897)-1),C1897),Tipos!$A:$B,2,FALSE()),"outro"))</f>
        <v/>
      </c>
      <c r="K1897" s="7" t="str">
        <f aca="false">IF(I1897="","",IFERROR(INDEX('Campos Growths'!$L:$L,MATCH(H1897,'Campos Growths'!$A:$A,0)),""))</f>
        <v/>
      </c>
      <c r="L1897" s="7" t="str">
        <f aca="false">IF(A1897="","",IF(G1897="não","Sem tabela no Growths",IF(I1897="","Sem campo no Growths",IF(J1897=K1897,"Importa direto","Ajustar tipo"))))</f>
        <v/>
      </c>
      <c r="M1897" s="9"/>
    </row>
    <row r="1898" customFormat="false" ht="15" hidden="false" customHeight="false" outlineLevel="0" collapsed="false">
      <c r="A1898" s="7" t="str">
        <f aca="false">IF('Outro banco'!A1898="","",IF(LEFT('Outro banco'!A1898,1)="(","",'Outro banco'!A1898))</f>
        <v/>
      </c>
      <c r="B1898" s="7" t="str">
        <f aca="false">IF(A1898="","",'Outro banco'!B1898)</f>
        <v/>
      </c>
      <c r="C1898" s="7" t="str">
        <f aca="false">IF(A1898="","",'Outro banco'!C1898)</f>
        <v/>
      </c>
      <c r="D1898" s="7" t="str">
        <f aca="false">IF(A1898="","",'Outro banco'!D1898)</f>
        <v/>
      </c>
      <c r="E1898" s="9"/>
      <c r="F1898" s="9"/>
      <c r="G1898" s="7" t="str">
        <f aca="false">IF(A1898="","",IF(COUNTIF(Tabelas!$A:$A,IF(E1898="",A1898,E1898))&gt;0,"sim","não"))</f>
        <v/>
      </c>
      <c r="H1898" s="7" t="str">
        <f aca="false">IF(A1898="","",IF(E1898="",A1898,E1898)&amp;"."&amp;IF(F1898="",B1898,F1898))</f>
        <v/>
      </c>
      <c r="I1898" s="7" t="str">
        <f aca="false">IF(A1898="","",IFERROR(INDEX('Campos Growths'!$F:$F,MATCH(H1898,'Campos Growths'!$A:$A,0)),""))</f>
        <v/>
      </c>
      <c r="J1898" s="7" t="str">
        <f aca="false">IF(A1898="","",IFERROR(VLOOKUP(IF(ISNUMBER(SEARCH("(",C1898)),LEFT(C1898,SEARCH("(",C1898)-1),C1898),Tipos!$A:$B,2,FALSE()),"outro"))</f>
        <v/>
      </c>
      <c r="K1898" s="7" t="str">
        <f aca="false">IF(I1898="","",IFERROR(INDEX('Campos Growths'!$L:$L,MATCH(H1898,'Campos Growths'!$A:$A,0)),""))</f>
        <v/>
      </c>
      <c r="L1898" s="7" t="str">
        <f aca="false">IF(A1898="","",IF(G1898="não","Sem tabela no Growths",IF(I1898="","Sem campo no Growths",IF(J1898=K1898,"Importa direto","Ajustar tipo"))))</f>
        <v/>
      </c>
      <c r="M1898" s="9"/>
    </row>
    <row r="1899" customFormat="false" ht="15" hidden="false" customHeight="false" outlineLevel="0" collapsed="false">
      <c r="A1899" s="7" t="str">
        <f aca="false">IF('Outro banco'!A1899="","",IF(LEFT('Outro banco'!A1899,1)="(","",'Outro banco'!A1899))</f>
        <v/>
      </c>
      <c r="B1899" s="7" t="str">
        <f aca="false">IF(A1899="","",'Outro banco'!B1899)</f>
        <v/>
      </c>
      <c r="C1899" s="7" t="str">
        <f aca="false">IF(A1899="","",'Outro banco'!C1899)</f>
        <v/>
      </c>
      <c r="D1899" s="7" t="str">
        <f aca="false">IF(A1899="","",'Outro banco'!D1899)</f>
        <v/>
      </c>
      <c r="E1899" s="9"/>
      <c r="F1899" s="9"/>
      <c r="G1899" s="7" t="str">
        <f aca="false">IF(A1899="","",IF(COUNTIF(Tabelas!$A:$A,IF(E1899="",A1899,E1899))&gt;0,"sim","não"))</f>
        <v/>
      </c>
      <c r="H1899" s="7" t="str">
        <f aca="false">IF(A1899="","",IF(E1899="",A1899,E1899)&amp;"."&amp;IF(F1899="",B1899,F1899))</f>
        <v/>
      </c>
      <c r="I1899" s="7" t="str">
        <f aca="false">IF(A1899="","",IFERROR(INDEX('Campos Growths'!$F:$F,MATCH(H1899,'Campos Growths'!$A:$A,0)),""))</f>
        <v/>
      </c>
      <c r="J1899" s="7" t="str">
        <f aca="false">IF(A1899="","",IFERROR(VLOOKUP(IF(ISNUMBER(SEARCH("(",C1899)),LEFT(C1899,SEARCH("(",C1899)-1),C1899),Tipos!$A:$B,2,FALSE()),"outro"))</f>
        <v/>
      </c>
      <c r="K1899" s="7" t="str">
        <f aca="false">IF(I1899="","",IFERROR(INDEX('Campos Growths'!$L:$L,MATCH(H1899,'Campos Growths'!$A:$A,0)),""))</f>
        <v/>
      </c>
      <c r="L1899" s="7" t="str">
        <f aca="false">IF(A1899="","",IF(G1899="não","Sem tabela no Growths",IF(I1899="","Sem campo no Growths",IF(J1899=K1899,"Importa direto","Ajustar tipo"))))</f>
        <v/>
      </c>
      <c r="M1899" s="9"/>
    </row>
    <row r="1900" customFormat="false" ht="15" hidden="false" customHeight="false" outlineLevel="0" collapsed="false">
      <c r="A1900" s="7" t="str">
        <f aca="false">IF('Outro banco'!A1900="","",IF(LEFT('Outro banco'!A1900,1)="(","",'Outro banco'!A1900))</f>
        <v/>
      </c>
      <c r="B1900" s="7" t="str">
        <f aca="false">IF(A1900="","",'Outro banco'!B1900)</f>
        <v/>
      </c>
      <c r="C1900" s="7" t="str">
        <f aca="false">IF(A1900="","",'Outro banco'!C1900)</f>
        <v/>
      </c>
      <c r="D1900" s="7" t="str">
        <f aca="false">IF(A1900="","",'Outro banco'!D1900)</f>
        <v/>
      </c>
      <c r="E1900" s="9"/>
      <c r="F1900" s="9"/>
      <c r="G1900" s="7" t="str">
        <f aca="false">IF(A1900="","",IF(COUNTIF(Tabelas!$A:$A,IF(E1900="",A1900,E1900))&gt;0,"sim","não"))</f>
        <v/>
      </c>
      <c r="H1900" s="7" t="str">
        <f aca="false">IF(A1900="","",IF(E1900="",A1900,E1900)&amp;"."&amp;IF(F1900="",B1900,F1900))</f>
        <v/>
      </c>
      <c r="I1900" s="7" t="str">
        <f aca="false">IF(A1900="","",IFERROR(INDEX('Campos Growths'!$F:$F,MATCH(H1900,'Campos Growths'!$A:$A,0)),""))</f>
        <v/>
      </c>
      <c r="J1900" s="7" t="str">
        <f aca="false">IF(A1900="","",IFERROR(VLOOKUP(IF(ISNUMBER(SEARCH("(",C1900)),LEFT(C1900,SEARCH("(",C1900)-1),C1900),Tipos!$A:$B,2,FALSE()),"outro"))</f>
        <v/>
      </c>
      <c r="K1900" s="7" t="str">
        <f aca="false">IF(I1900="","",IFERROR(INDEX('Campos Growths'!$L:$L,MATCH(H1900,'Campos Growths'!$A:$A,0)),""))</f>
        <v/>
      </c>
      <c r="L1900" s="7" t="str">
        <f aca="false">IF(A1900="","",IF(G1900="não","Sem tabela no Growths",IF(I1900="","Sem campo no Growths",IF(J1900=K1900,"Importa direto","Ajustar tipo"))))</f>
        <v/>
      </c>
      <c r="M1900" s="9"/>
    </row>
    <row r="1901" customFormat="false" ht="15" hidden="false" customHeight="false" outlineLevel="0" collapsed="false">
      <c r="A1901" s="7" t="str">
        <f aca="false">IF('Outro banco'!A1901="","",IF(LEFT('Outro banco'!A1901,1)="(","",'Outro banco'!A1901))</f>
        <v/>
      </c>
      <c r="B1901" s="7" t="str">
        <f aca="false">IF(A1901="","",'Outro banco'!B1901)</f>
        <v/>
      </c>
      <c r="C1901" s="7" t="str">
        <f aca="false">IF(A1901="","",'Outro banco'!C1901)</f>
        <v/>
      </c>
      <c r="D1901" s="7" t="str">
        <f aca="false">IF(A1901="","",'Outro banco'!D1901)</f>
        <v/>
      </c>
      <c r="E1901" s="9"/>
      <c r="F1901" s="9"/>
      <c r="G1901" s="7" t="str">
        <f aca="false">IF(A1901="","",IF(COUNTIF(Tabelas!$A:$A,IF(E1901="",A1901,E1901))&gt;0,"sim","não"))</f>
        <v/>
      </c>
      <c r="H1901" s="7" t="str">
        <f aca="false">IF(A1901="","",IF(E1901="",A1901,E1901)&amp;"."&amp;IF(F1901="",B1901,F1901))</f>
        <v/>
      </c>
      <c r="I1901" s="7" t="str">
        <f aca="false">IF(A1901="","",IFERROR(INDEX('Campos Growths'!$F:$F,MATCH(H1901,'Campos Growths'!$A:$A,0)),""))</f>
        <v/>
      </c>
      <c r="J1901" s="7" t="str">
        <f aca="false">IF(A1901="","",IFERROR(VLOOKUP(IF(ISNUMBER(SEARCH("(",C1901)),LEFT(C1901,SEARCH("(",C1901)-1),C1901),Tipos!$A:$B,2,FALSE()),"outro"))</f>
        <v/>
      </c>
      <c r="K1901" s="7" t="str">
        <f aca="false">IF(I1901="","",IFERROR(INDEX('Campos Growths'!$L:$L,MATCH(H1901,'Campos Growths'!$A:$A,0)),""))</f>
        <v/>
      </c>
      <c r="L1901" s="7" t="str">
        <f aca="false">IF(A1901="","",IF(G1901="não","Sem tabela no Growths",IF(I1901="","Sem campo no Growths",IF(J1901=K1901,"Importa direto","Ajustar tipo"))))</f>
        <v/>
      </c>
      <c r="M1901" s="9"/>
    </row>
    <row r="1902" customFormat="false" ht="15" hidden="false" customHeight="false" outlineLevel="0" collapsed="false">
      <c r="A1902" s="7" t="str">
        <f aca="false">IF('Outro banco'!A1902="","",IF(LEFT('Outro banco'!A1902,1)="(","",'Outro banco'!A1902))</f>
        <v/>
      </c>
      <c r="B1902" s="7" t="str">
        <f aca="false">IF(A1902="","",'Outro banco'!B1902)</f>
        <v/>
      </c>
      <c r="C1902" s="7" t="str">
        <f aca="false">IF(A1902="","",'Outro banco'!C1902)</f>
        <v/>
      </c>
      <c r="D1902" s="7" t="str">
        <f aca="false">IF(A1902="","",'Outro banco'!D1902)</f>
        <v/>
      </c>
      <c r="E1902" s="9"/>
      <c r="F1902" s="9"/>
      <c r="G1902" s="7" t="str">
        <f aca="false">IF(A1902="","",IF(COUNTIF(Tabelas!$A:$A,IF(E1902="",A1902,E1902))&gt;0,"sim","não"))</f>
        <v/>
      </c>
      <c r="H1902" s="7" t="str">
        <f aca="false">IF(A1902="","",IF(E1902="",A1902,E1902)&amp;"."&amp;IF(F1902="",B1902,F1902))</f>
        <v/>
      </c>
      <c r="I1902" s="7" t="str">
        <f aca="false">IF(A1902="","",IFERROR(INDEX('Campos Growths'!$F:$F,MATCH(H1902,'Campos Growths'!$A:$A,0)),""))</f>
        <v/>
      </c>
      <c r="J1902" s="7" t="str">
        <f aca="false">IF(A1902="","",IFERROR(VLOOKUP(IF(ISNUMBER(SEARCH("(",C1902)),LEFT(C1902,SEARCH("(",C1902)-1),C1902),Tipos!$A:$B,2,FALSE()),"outro"))</f>
        <v/>
      </c>
      <c r="K1902" s="7" t="str">
        <f aca="false">IF(I1902="","",IFERROR(INDEX('Campos Growths'!$L:$L,MATCH(H1902,'Campos Growths'!$A:$A,0)),""))</f>
        <v/>
      </c>
      <c r="L1902" s="7" t="str">
        <f aca="false">IF(A1902="","",IF(G1902="não","Sem tabela no Growths",IF(I1902="","Sem campo no Growths",IF(J1902=K1902,"Importa direto","Ajustar tipo"))))</f>
        <v/>
      </c>
      <c r="M1902" s="9"/>
    </row>
    <row r="1903" customFormat="false" ht="15" hidden="false" customHeight="false" outlineLevel="0" collapsed="false">
      <c r="A1903" s="7" t="str">
        <f aca="false">IF('Outro banco'!A1903="","",IF(LEFT('Outro banco'!A1903,1)="(","",'Outro banco'!A1903))</f>
        <v/>
      </c>
      <c r="B1903" s="7" t="str">
        <f aca="false">IF(A1903="","",'Outro banco'!B1903)</f>
        <v/>
      </c>
      <c r="C1903" s="7" t="str">
        <f aca="false">IF(A1903="","",'Outro banco'!C1903)</f>
        <v/>
      </c>
      <c r="D1903" s="7" t="str">
        <f aca="false">IF(A1903="","",'Outro banco'!D1903)</f>
        <v/>
      </c>
      <c r="E1903" s="9"/>
      <c r="F1903" s="9"/>
      <c r="G1903" s="7" t="str">
        <f aca="false">IF(A1903="","",IF(COUNTIF(Tabelas!$A:$A,IF(E1903="",A1903,E1903))&gt;0,"sim","não"))</f>
        <v/>
      </c>
      <c r="H1903" s="7" t="str">
        <f aca="false">IF(A1903="","",IF(E1903="",A1903,E1903)&amp;"."&amp;IF(F1903="",B1903,F1903))</f>
        <v/>
      </c>
      <c r="I1903" s="7" t="str">
        <f aca="false">IF(A1903="","",IFERROR(INDEX('Campos Growths'!$F:$F,MATCH(H1903,'Campos Growths'!$A:$A,0)),""))</f>
        <v/>
      </c>
      <c r="J1903" s="7" t="str">
        <f aca="false">IF(A1903="","",IFERROR(VLOOKUP(IF(ISNUMBER(SEARCH("(",C1903)),LEFT(C1903,SEARCH("(",C1903)-1),C1903),Tipos!$A:$B,2,FALSE()),"outro"))</f>
        <v/>
      </c>
      <c r="K1903" s="7" t="str">
        <f aca="false">IF(I1903="","",IFERROR(INDEX('Campos Growths'!$L:$L,MATCH(H1903,'Campos Growths'!$A:$A,0)),""))</f>
        <v/>
      </c>
      <c r="L1903" s="7" t="str">
        <f aca="false">IF(A1903="","",IF(G1903="não","Sem tabela no Growths",IF(I1903="","Sem campo no Growths",IF(J1903=K1903,"Importa direto","Ajustar tipo"))))</f>
        <v/>
      </c>
      <c r="M1903" s="9"/>
    </row>
    <row r="1904" customFormat="false" ht="15" hidden="false" customHeight="false" outlineLevel="0" collapsed="false">
      <c r="A1904" s="7" t="str">
        <f aca="false">IF('Outro banco'!A1904="","",IF(LEFT('Outro banco'!A1904,1)="(","",'Outro banco'!A1904))</f>
        <v/>
      </c>
      <c r="B1904" s="7" t="str">
        <f aca="false">IF(A1904="","",'Outro banco'!B1904)</f>
        <v/>
      </c>
      <c r="C1904" s="7" t="str">
        <f aca="false">IF(A1904="","",'Outro banco'!C1904)</f>
        <v/>
      </c>
      <c r="D1904" s="7" t="str">
        <f aca="false">IF(A1904="","",'Outro banco'!D1904)</f>
        <v/>
      </c>
      <c r="E1904" s="9"/>
      <c r="F1904" s="9"/>
      <c r="G1904" s="7" t="str">
        <f aca="false">IF(A1904="","",IF(COUNTIF(Tabelas!$A:$A,IF(E1904="",A1904,E1904))&gt;0,"sim","não"))</f>
        <v/>
      </c>
      <c r="H1904" s="7" t="str">
        <f aca="false">IF(A1904="","",IF(E1904="",A1904,E1904)&amp;"."&amp;IF(F1904="",B1904,F1904))</f>
        <v/>
      </c>
      <c r="I1904" s="7" t="str">
        <f aca="false">IF(A1904="","",IFERROR(INDEX('Campos Growths'!$F:$F,MATCH(H1904,'Campos Growths'!$A:$A,0)),""))</f>
        <v/>
      </c>
      <c r="J1904" s="7" t="str">
        <f aca="false">IF(A1904="","",IFERROR(VLOOKUP(IF(ISNUMBER(SEARCH("(",C1904)),LEFT(C1904,SEARCH("(",C1904)-1),C1904),Tipos!$A:$B,2,FALSE()),"outro"))</f>
        <v/>
      </c>
      <c r="K1904" s="7" t="str">
        <f aca="false">IF(I1904="","",IFERROR(INDEX('Campos Growths'!$L:$L,MATCH(H1904,'Campos Growths'!$A:$A,0)),""))</f>
        <v/>
      </c>
      <c r="L1904" s="7" t="str">
        <f aca="false">IF(A1904="","",IF(G1904="não","Sem tabela no Growths",IF(I1904="","Sem campo no Growths",IF(J1904=K1904,"Importa direto","Ajustar tipo"))))</f>
        <v/>
      </c>
      <c r="M1904" s="9"/>
    </row>
    <row r="1905" customFormat="false" ht="15" hidden="false" customHeight="false" outlineLevel="0" collapsed="false">
      <c r="A1905" s="7" t="str">
        <f aca="false">IF('Outro banco'!A1905="","",IF(LEFT('Outro banco'!A1905,1)="(","",'Outro banco'!A1905))</f>
        <v/>
      </c>
      <c r="B1905" s="7" t="str">
        <f aca="false">IF(A1905="","",'Outro banco'!B1905)</f>
        <v/>
      </c>
      <c r="C1905" s="7" t="str">
        <f aca="false">IF(A1905="","",'Outro banco'!C1905)</f>
        <v/>
      </c>
      <c r="D1905" s="7" t="str">
        <f aca="false">IF(A1905="","",'Outro banco'!D1905)</f>
        <v/>
      </c>
      <c r="E1905" s="9"/>
      <c r="F1905" s="9"/>
      <c r="G1905" s="7" t="str">
        <f aca="false">IF(A1905="","",IF(COUNTIF(Tabelas!$A:$A,IF(E1905="",A1905,E1905))&gt;0,"sim","não"))</f>
        <v/>
      </c>
      <c r="H1905" s="7" t="str">
        <f aca="false">IF(A1905="","",IF(E1905="",A1905,E1905)&amp;"."&amp;IF(F1905="",B1905,F1905))</f>
        <v/>
      </c>
      <c r="I1905" s="7" t="str">
        <f aca="false">IF(A1905="","",IFERROR(INDEX('Campos Growths'!$F:$F,MATCH(H1905,'Campos Growths'!$A:$A,0)),""))</f>
        <v/>
      </c>
      <c r="J1905" s="7" t="str">
        <f aca="false">IF(A1905="","",IFERROR(VLOOKUP(IF(ISNUMBER(SEARCH("(",C1905)),LEFT(C1905,SEARCH("(",C1905)-1),C1905),Tipos!$A:$B,2,FALSE()),"outro"))</f>
        <v/>
      </c>
      <c r="K1905" s="7" t="str">
        <f aca="false">IF(I1905="","",IFERROR(INDEX('Campos Growths'!$L:$L,MATCH(H1905,'Campos Growths'!$A:$A,0)),""))</f>
        <v/>
      </c>
      <c r="L1905" s="7" t="str">
        <f aca="false">IF(A1905="","",IF(G1905="não","Sem tabela no Growths",IF(I1905="","Sem campo no Growths",IF(J1905=K1905,"Importa direto","Ajustar tipo"))))</f>
        <v/>
      </c>
      <c r="M1905" s="9"/>
    </row>
    <row r="1906" customFormat="false" ht="15" hidden="false" customHeight="false" outlineLevel="0" collapsed="false">
      <c r="A1906" s="7" t="str">
        <f aca="false">IF('Outro banco'!A1906="","",IF(LEFT('Outro banco'!A1906,1)="(","",'Outro banco'!A1906))</f>
        <v/>
      </c>
      <c r="B1906" s="7" t="str">
        <f aca="false">IF(A1906="","",'Outro banco'!B1906)</f>
        <v/>
      </c>
      <c r="C1906" s="7" t="str">
        <f aca="false">IF(A1906="","",'Outro banco'!C1906)</f>
        <v/>
      </c>
      <c r="D1906" s="7" t="str">
        <f aca="false">IF(A1906="","",'Outro banco'!D1906)</f>
        <v/>
      </c>
      <c r="E1906" s="9"/>
      <c r="F1906" s="9"/>
      <c r="G1906" s="7" t="str">
        <f aca="false">IF(A1906="","",IF(COUNTIF(Tabelas!$A:$A,IF(E1906="",A1906,E1906))&gt;0,"sim","não"))</f>
        <v/>
      </c>
      <c r="H1906" s="7" t="str">
        <f aca="false">IF(A1906="","",IF(E1906="",A1906,E1906)&amp;"."&amp;IF(F1906="",B1906,F1906))</f>
        <v/>
      </c>
      <c r="I1906" s="7" t="str">
        <f aca="false">IF(A1906="","",IFERROR(INDEX('Campos Growths'!$F:$F,MATCH(H1906,'Campos Growths'!$A:$A,0)),""))</f>
        <v/>
      </c>
      <c r="J1906" s="7" t="str">
        <f aca="false">IF(A1906="","",IFERROR(VLOOKUP(IF(ISNUMBER(SEARCH("(",C1906)),LEFT(C1906,SEARCH("(",C1906)-1),C1906),Tipos!$A:$B,2,FALSE()),"outro"))</f>
        <v/>
      </c>
      <c r="K1906" s="7" t="str">
        <f aca="false">IF(I1906="","",IFERROR(INDEX('Campos Growths'!$L:$L,MATCH(H1906,'Campos Growths'!$A:$A,0)),""))</f>
        <v/>
      </c>
      <c r="L1906" s="7" t="str">
        <f aca="false">IF(A1906="","",IF(G1906="não","Sem tabela no Growths",IF(I1906="","Sem campo no Growths",IF(J1906=K1906,"Importa direto","Ajustar tipo"))))</f>
        <v/>
      </c>
      <c r="M1906" s="9"/>
    </row>
    <row r="1907" customFormat="false" ht="15" hidden="false" customHeight="false" outlineLevel="0" collapsed="false">
      <c r="A1907" s="7" t="str">
        <f aca="false">IF('Outro banco'!A1907="","",IF(LEFT('Outro banco'!A1907,1)="(","",'Outro banco'!A1907))</f>
        <v/>
      </c>
      <c r="B1907" s="7" t="str">
        <f aca="false">IF(A1907="","",'Outro banco'!B1907)</f>
        <v/>
      </c>
      <c r="C1907" s="7" t="str">
        <f aca="false">IF(A1907="","",'Outro banco'!C1907)</f>
        <v/>
      </c>
      <c r="D1907" s="7" t="str">
        <f aca="false">IF(A1907="","",'Outro banco'!D1907)</f>
        <v/>
      </c>
      <c r="E1907" s="9"/>
      <c r="F1907" s="9"/>
      <c r="G1907" s="7" t="str">
        <f aca="false">IF(A1907="","",IF(COUNTIF(Tabelas!$A:$A,IF(E1907="",A1907,E1907))&gt;0,"sim","não"))</f>
        <v/>
      </c>
      <c r="H1907" s="7" t="str">
        <f aca="false">IF(A1907="","",IF(E1907="",A1907,E1907)&amp;"."&amp;IF(F1907="",B1907,F1907))</f>
        <v/>
      </c>
      <c r="I1907" s="7" t="str">
        <f aca="false">IF(A1907="","",IFERROR(INDEX('Campos Growths'!$F:$F,MATCH(H1907,'Campos Growths'!$A:$A,0)),""))</f>
        <v/>
      </c>
      <c r="J1907" s="7" t="str">
        <f aca="false">IF(A1907="","",IFERROR(VLOOKUP(IF(ISNUMBER(SEARCH("(",C1907)),LEFT(C1907,SEARCH("(",C1907)-1),C1907),Tipos!$A:$B,2,FALSE()),"outro"))</f>
        <v/>
      </c>
      <c r="K1907" s="7" t="str">
        <f aca="false">IF(I1907="","",IFERROR(INDEX('Campos Growths'!$L:$L,MATCH(H1907,'Campos Growths'!$A:$A,0)),""))</f>
        <v/>
      </c>
      <c r="L1907" s="7" t="str">
        <f aca="false">IF(A1907="","",IF(G1907="não","Sem tabela no Growths",IF(I1907="","Sem campo no Growths",IF(J1907=K1907,"Importa direto","Ajustar tipo"))))</f>
        <v/>
      </c>
      <c r="M1907" s="9"/>
    </row>
    <row r="1908" customFormat="false" ht="15" hidden="false" customHeight="false" outlineLevel="0" collapsed="false">
      <c r="A1908" s="7" t="str">
        <f aca="false">IF('Outro banco'!A1908="","",IF(LEFT('Outro banco'!A1908,1)="(","",'Outro banco'!A1908))</f>
        <v/>
      </c>
      <c r="B1908" s="7" t="str">
        <f aca="false">IF(A1908="","",'Outro banco'!B1908)</f>
        <v/>
      </c>
      <c r="C1908" s="7" t="str">
        <f aca="false">IF(A1908="","",'Outro banco'!C1908)</f>
        <v/>
      </c>
      <c r="D1908" s="7" t="str">
        <f aca="false">IF(A1908="","",'Outro banco'!D1908)</f>
        <v/>
      </c>
      <c r="E1908" s="9"/>
      <c r="F1908" s="9"/>
      <c r="G1908" s="7" t="str">
        <f aca="false">IF(A1908="","",IF(COUNTIF(Tabelas!$A:$A,IF(E1908="",A1908,E1908))&gt;0,"sim","não"))</f>
        <v/>
      </c>
      <c r="H1908" s="7" t="str">
        <f aca="false">IF(A1908="","",IF(E1908="",A1908,E1908)&amp;"."&amp;IF(F1908="",B1908,F1908))</f>
        <v/>
      </c>
      <c r="I1908" s="7" t="str">
        <f aca="false">IF(A1908="","",IFERROR(INDEX('Campos Growths'!$F:$F,MATCH(H1908,'Campos Growths'!$A:$A,0)),""))</f>
        <v/>
      </c>
      <c r="J1908" s="7" t="str">
        <f aca="false">IF(A1908="","",IFERROR(VLOOKUP(IF(ISNUMBER(SEARCH("(",C1908)),LEFT(C1908,SEARCH("(",C1908)-1),C1908),Tipos!$A:$B,2,FALSE()),"outro"))</f>
        <v/>
      </c>
      <c r="K1908" s="7" t="str">
        <f aca="false">IF(I1908="","",IFERROR(INDEX('Campos Growths'!$L:$L,MATCH(H1908,'Campos Growths'!$A:$A,0)),""))</f>
        <v/>
      </c>
      <c r="L1908" s="7" t="str">
        <f aca="false">IF(A1908="","",IF(G1908="não","Sem tabela no Growths",IF(I1908="","Sem campo no Growths",IF(J1908=K1908,"Importa direto","Ajustar tipo"))))</f>
        <v/>
      </c>
      <c r="M1908" s="9"/>
    </row>
    <row r="1909" customFormat="false" ht="15" hidden="false" customHeight="false" outlineLevel="0" collapsed="false">
      <c r="A1909" s="7" t="str">
        <f aca="false">IF('Outro banco'!A1909="","",IF(LEFT('Outro banco'!A1909,1)="(","",'Outro banco'!A1909))</f>
        <v/>
      </c>
      <c r="B1909" s="7" t="str">
        <f aca="false">IF(A1909="","",'Outro banco'!B1909)</f>
        <v/>
      </c>
      <c r="C1909" s="7" t="str">
        <f aca="false">IF(A1909="","",'Outro banco'!C1909)</f>
        <v/>
      </c>
      <c r="D1909" s="7" t="str">
        <f aca="false">IF(A1909="","",'Outro banco'!D1909)</f>
        <v/>
      </c>
      <c r="E1909" s="9"/>
      <c r="F1909" s="9"/>
      <c r="G1909" s="7" t="str">
        <f aca="false">IF(A1909="","",IF(COUNTIF(Tabelas!$A:$A,IF(E1909="",A1909,E1909))&gt;0,"sim","não"))</f>
        <v/>
      </c>
      <c r="H1909" s="7" t="str">
        <f aca="false">IF(A1909="","",IF(E1909="",A1909,E1909)&amp;"."&amp;IF(F1909="",B1909,F1909))</f>
        <v/>
      </c>
      <c r="I1909" s="7" t="str">
        <f aca="false">IF(A1909="","",IFERROR(INDEX('Campos Growths'!$F:$F,MATCH(H1909,'Campos Growths'!$A:$A,0)),""))</f>
        <v/>
      </c>
      <c r="J1909" s="7" t="str">
        <f aca="false">IF(A1909="","",IFERROR(VLOOKUP(IF(ISNUMBER(SEARCH("(",C1909)),LEFT(C1909,SEARCH("(",C1909)-1),C1909),Tipos!$A:$B,2,FALSE()),"outro"))</f>
        <v/>
      </c>
      <c r="K1909" s="7" t="str">
        <f aca="false">IF(I1909="","",IFERROR(INDEX('Campos Growths'!$L:$L,MATCH(H1909,'Campos Growths'!$A:$A,0)),""))</f>
        <v/>
      </c>
      <c r="L1909" s="7" t="str">
        <f aca="false">IF(A1909="","",IF(G1909="não","Sem tabela no Growths",IF(I1909="","Sem campo no Growths",IF(J1909=K1909,"Importa direto","Ajustar tipo"))))</f>
        <v/>
      </c>
      <c r="M1909" s="9"/>
    </row>
    <row r="1910" customFormat="false" ht="15" hidden="false" customHeight="false" outlineLevel="0" collapsed="false">
      <c r="A1910" s="7" t="str">
        <f aca="false">IF('Outro banco'!A1910="","",IF(LEFT('Outro banco'!A1910,1)="(","",'Outro banco'!A1910))</f>
        <v/>
      </c>
      <c r="B1910" s="7" t="str">
        <f aca="false">IF(A1910="","",'Outro banco'!B1910)</f>
        <v/>
      </c>
      <c r="C1910" s="7" t="str">
        <f aca="false">IF(A1910="","",'Outro banco'!C1910)</f>
        <v/>
      </c>
      <c r="D1910" s="7" t="str">
        <f aca="false">IF(A1910="","",'Outro banco'!D1910)</f>
        <v/>
      </c>
      <c r="E1910" s="9"/>
      <c r="F1910" s="9"/>
      <c r="G1910" s="7" t="str">
        <f aca="false">IF(A1910="","",IF(COUNTIF(Tabelas!$A:$A,IF(E1910="",A1910,E1910))&gt;0,"sim","não"))</f>
        <v/>
      </c>
      <c r="H1910" s="7" t="str">
        <f aca="false">IF(A1910="","",IF(E1910="",A1910,E1910)&amp;"."&amp;IF(F1910="",B1910,F1910))</f>
        <v/>
      </c>
      <c r="I1910" s="7" t="str">
        <f aca="false">IF(A1910="","",IFERROR(INDEX('Campos Growths'!$F:$F,MATCH(H1910,'Campos Growths'!$A:$A,0)),""))</f>
        <v/>
      </c>
      <c r="J1910" s="7" t="str">
        <f aca="false">IF(A1910="","",IFERROR(VLOOKUP(IF(ISNUMBER(SEARCH("(",C1910)),LEFT(C1910,SEARCH("(",C1910)-1),C1910),Tipos!$A:$B,2,FALSE()),"outro"))</f>
        <v/>
      </c>
      <c r="K1910" s="7" t="str">
        <f aca="false">IF(I1910="","",IFERROR(INDEX('Campos Growths'!$L:$L,MATCH(H1910,'Campos Growths'!$A:$A,0)),""))</f>
        <v/>
      </c>
      <c r="L1910" s="7" t="str">
        <f aca="false">IF(A1910="","",IF(G1910="não","Sem tabela no Growths",IF(I1910="","Sem campo no Growths",IF(J1910=K1910,"Importa direto","Ajustar tipo"))))</f>
        <v/>
      </c>
      <c r="M1910" s="9"/>
    </row>
    <row r="1911" customFormat="false" ht="15" hidden="false" customHeight="false" outlineLevel="0" collapsed="false">
      <c r="A1911" s="7" t="str">
        <f aca="false">IF('Outro banco'!A1911="","",IF(LEFT('Outro banco'!A1911,1)="(","",'Outro banco'!A1911))</f>
        <v/>
      </c>
      <c r="B1911" s="7" t="str">
        <f aca="false">IF(A1911="","",'Outro banco'!B1911)</f>
        <v/>
      </c>
      <c r="C1911" s="7" t="str">
        <f aca="false">IF(A1911="","",'Outro banco'!C1911)</f>
        <v/>
      </c>
      <c r="D1911" s="7" t="str">
        <f aca="false">IF(A1911="","",'Outro banco'!D1911)</f>
        <v/>
      </c>
      <c r="E1911" s="9"/>
      <c r="F1911" s="9"/>
      <c r="G1911" s="7" t="str">
        <f aca="false">IF(A1911="","",IF(COUNTIF(Tabelas!$A:$A,IF(E1911="",A1911,E1911))&gt;0,"sim","não"))</f>
        <v/>
      </c>
      <c r="H1911" s="7" t="str">
        <f aca="false">IF(A1911="","",IF(E1911="",A1911,E1911)&amp;"."&amp;IF(F1911="",B1911,F1911))</f>
        <v/>
      </c>
      <c r="I1911" s="7" t="str">
        <f aca="false">IF(A1911="","",IFERROR(INDEX('Campos Growths'!$F:$F,MATCH(H1911,'Campos Growths'!$A:$A,0)),""))</f>
        <v/>
      </c>
      <c r="J1911" s="7" t="str">
        <f aca="false">IF(A1911="","",IFERROR(VLOOKUP(IF(ISNUMBER(SEARCH("(",C1911)),LEFT(C1911,SEARCH("(",C1911)-1),C1911),Tipos!$A:$B,2,FALSE()),"outro"))</f>
        <v/>
      </c>
      <c r="K1911" s="7" t="str">
        <f aca="false">IF(I1911="","",IFERROR(INDEX('Campos Growths'!$L:$L,MATCH(H1911,'Campos Growths'!$A:$A,0)),""))</f>
        <v/>
      </c>
      <c r="L1911" s="7" t="str">
        <f aca="false">IF(A1911="","",IF(G1911="não","Sem tabela no Growths",IF(I1911="","Sem campo no Growths",IF(J1911=K1911,"Importa direto","Ajustar tipo"))))</f>
        <v/>
      </c>
      <c r="M1911" s="9"/>
    </row>
    <row r="1912" customFormat="false" ht="15" hidden="false" customHeight="false" outlineLevel="0" collapsed="false">
      <c r="A1912" s="7" t="str">
        <f aca="false">IF('Outro banco'!A1912="","",IF(LEFT('Outro banco'!A1912,1)="(","",'Outro banco'!A1912))</f>
        <v/>
      </c>
      <c r="B1912" s="7" t="str">
        <f aca="false">IF(A1912="","",'Outro banco'!B1912)</f>
        <v/>
      </c>
      <c r="C1912" s="7" t="str">
        <f aca="false">IF(A1912="","",'Outro banco'!C1912)</f>
        <v/>
      </c>
      <c r="D1912" s="7" t="str">
        <f aca="false">IF(A1912="","",'Outro banco'!D1912)</f>
        <v/>
      </c>
      <c r="E1912" s="9"/>
      <c r="F1912" s="9"/>
      <c r="G1912" s="7" t="str">
        <f aca="false">IF(A1912="","",IF(COUNTIF(Tabelas!$A:$A,IF(E1912="",A1912,E1912))&gt;0,"sim","não"))</f>
        <v/>
      </c>
      <c r="H1912" s="7" t="str">
        <f aca="false">IF(A1912="","",IF(E1912="",A1912,E1912)&amp;"."&amp;IF(F1912="",B1912,F1912))</f>
        <v/>
      </c>
      <c r="I1912" s="7" t="str">
        <f aca="false">IF(A1912="","",IFERROR(INDEX('Campos Growths'!$F:$F,MATCH(H1912,'Campos Growths'!$A:$A,0)),""))</f>
        <v/>
      </c>
      <c r="J1912" s="7" t="str">
        <f aca="false">IF(A1912="","",IFERROR(VLOOKUP(IF(ISNUMBER(SEARCH("(",C1912)),LEFT(C1912,SEARCH("(",C1912)-1),C1912),Tipos!$A:$B,2,FALSE()),"outro"))</f>
        <v/>
      </c>
      <c r="K1912" s="7" t="str">
        <f aca="false">IF(I1912="","",IFERROR(INDEX('Campos Growths'!$L:$L,MATCH(H1912,'Campos Growths'!$A:$A,0)),""))</f>
        <v/>
      </c>
      <c r="L1912" s="7" t="str">
        <f aca="false">IF(A1912="","",IF(G1912="não","Sem tabela no Growths",IF(I1912="","Sem campo no Growths",IF(J1912=K1912,"Importa direto","Ajustar tipo"))))</f>
        <v/>
      </c>
      <c r="M1912" s="9"/>
    </row>
    <row r="1913" customFormat="false" ht="15" hidden="false" customHeight="false" outlineLevel="0" collapsed="false">
      <c r="A1913" s="7" t="str">
        <f aca="false">IF('Outro banco'!A1913="","",IF(LEFT('Outro banco'!A1913,1)="(","",'Outro banco'!A1913))</f>
        <v/>
      </c>
      <c r="B1913" s="7" t="str">
        <f aca="false">IF(A1913="","",'Outro banco'!B1913)</f>
        <v/>
      </c>
      <c r="C1913" s="7" t="str">
        <f aca="false">IF(A1913="","",'Outro banco'!C1913)</f>
        <v/>
      </c>
      <c r="D1913" s="7" t="str">
        <f aca="false">IF(A1913="","",'Outro banco'!D1913)</f>
        <v/>
      </c>
      <c r="E1913" s="9"/>
      <c r="F1913" s="9"/>
      <c r="G1913" s="7" t="str">
        <f aca="false">IF(A1913="","",IF(COUNTIF(Tabelas!$A:$A,IF(E1913="",A1913,E1913))&gt;0,"sim","não"))</f>
        <v/>
      </c>
      <c r="H1913" s="7" t="str">
        <f aca="false">IF(A1913="","",IF(E1913="",A1913,E1913)&amp;"."&amp;IF(F1913="",B1913,F1913))</f>
        <v/>
      </c>
      <c r="I1913" s="7" t="str">
        <f aca="false">IF(A1913="","",IFERROR(INDEX('Campos Growths'!$F:$F,MATCH(H1913,'Campos Growths'!$A:$A,0)),""))</f>
        <v/>
      </c>
      <c r="J1913" s="7" t="str">
        <f aca="false">IF(A1913="","",IFERROR(VLOOKUP(IF(ISNUMBER(SEARCH("(",C1913)),LEFT(C1913,SEARCH("(",C1913)-1),C1913),Tipos!$A:$B,2,FALSE()),"outro"))</f>
        <v/>
      </c>
      <c r="K1913" s="7" t="str">
        <f aca="false">IF(I1913="","",IFERROR(INDEX('Campos Growths'!$L:$L,MATCH(H1913,'Campos Growths'!$A:$A,0)),""))</f>
        <v/>
      </c>
      <c r="L1913" s="7" t="str">
        <f aca="false">IF(A1913="","",IF(G1913="não","Sem tabela no Growths",IF(I1913="","Sem campo no Growths",IF(J1913=K1913,"Importa direto","Ajustar tipo"))))</f>
        <v/>
      </c>
      <c r="M1913" s="9"/>
    </row>
    <row r="1914" customFormat="false" ht="15" hidden="false" customHeight="false" outlineLevel="0" collapsed="false">
      <c r="A1914" s="7" t="str">
        <f aca="false">IF('Outro banco'!A1914="","",IF(LEFT('Outro banco'!A1914,1)="(","",'Outro banco'!A1914))</f>
        <v/>
      </c>
      <c r="B1914" s="7" t="str">
        <f aca="false">IF(A1914="","",'Outro banco'!B1914)</f>
        <v/>
      </c>
      <c r="C1914" s="7" t="str">
        <f aca="false">IF(A1914="","",'Outro banco'!C1914)</f>
        <v/>
      </c>
      <c r="D1914" s="7" t="str">
        <f aca="false">IF(A1914="","",'Outro banco'!D1914)</f>
        <v/>
      </c>
      <c r="E1914" s="9"/>
      <c r="F1914" s="9"/>
      <c r="G1914" s="7" t="str">
        <f aca="false">IF(A1914="","",IF(COUNTIF(Tabelas!$A:$A,IF(E1914="",A1914,E1914))&gt;0,"sim","não"))</f>
        <v/>
      </c>
      <c r="H1914" s="7" t="str">
        <f aca="false">IF(A1914="","",IF(E1914="",A1914,E1914)&amp;"."&amp;IF(F1914="",B1914,F1914))</f>
        <v/>
      </c>
      <c r="I1914" s="7" t="str">
        <f aca="false">IF(A1914="","",IFERROR(INDEX('Campos Growths'!$F:$F,MATCH(H1914,'Campos Growths'!$A:$A,0)),""))</f>
        <v/>
      </c>
      <c r="J1914" s="7" t="str">
        <f aca="false">IF(A1914="","",IFERROR(VLOOKUP(IF(ISNUMBER(SEARCH("(",C1914)),LEFT(C1914,SEARCH("(",C1914)-1),C1914),Tipos!$A:$B,2,FALSE()),"outro"))</f>
        <v/>
      </c>
      <c r="K1914" s="7" t="str">
        <f aca="false">IF(I1914="","",IFERROR(INDEX('Campos Growths'!$L:$L,MATCH(H1914,'Campos Growths'!$A:$A,0)),""))</f>
        <v/>
      </c>
      <c r="L1914" s="7" t="str">
        <f aca="false">IF(A1914="","",IF(G1914="não","Sem tabela no Growths",IF(I1914="","Sem campo no Growths",IF(J1914=K1914,"Importa direto","Ajustar tipo"))))</f>
        <v/>
      </c>
      <c r="M1914" s="9"/>
    </row>
    <row r="1915" customFormat="false" ht="15" hidden="false" customHeight="false" outlineLevel="0" collapsed="false">
      <c r="A1915" s="7" t="str">
        <f aca="false">IF('Outro banco'!A1915="","",IF(LEFT('Outro banco'!A1915,1)="(","",'Outro banco'!A1915))</f>
        <v/>
      </c>
      <c r="B1915" s="7" t="str">
        <f aca="false">IF(A1915="","",'Outro banco'!B1915)</f>
        <v/>
      </c>
      <c r="C1915" s="7" t="str">
        <f aca="false">IF(A1915="","",'Outro banco'!C1915)</f>
        <v/>
      </c>
      <c r="D1915" s="7" t="str">
        <f aca="false">IF(A1915="","",'Outro banco'!D1915)</f>
        <v/>
      </c>
      <c r="E1915" s="9"/>
      <c r="F1915" s="9"/>
      <c r="G1915" s="7" t="str">
        <f aca="false">IF(A1915="","",IF(COUNTIF(Tabelas!$A:$A,IF(E1915="",A1915,E1915))&gt;0,"sim","não"))</f>
        <v/>
      </c>
      <c r="H1915" s="7" t="str">
        <f aca="false">IF(A1915="","",IF(E1915="",A1915,E1915)&amp;"."&amp;IF(F1915="",B1915,F1915))</f>
        <v/>
      </c>
      <c r="I1915" s="7" t="str">
        <f aca="false">IF(A1915="","",IFERROR(INDEX('Campos Growths'!$F:$F,MATCH(H1915,'Campos Growths'!$A:$A,0)),""))</f>
        <v/>
      </c>
      <c r="J1915" s="7" t="str">
        <f aca="false">IF(A1915="","",IFERROR(VLOOKUP(IF(ISNUMBER(SEARCH("(",C1915)),LEFT(C1915,SEARCH("(",C1915)-1),C1915),Tipos!$A:$B,2,FALSE()),"outro"))</f>
        <v/>
      </c>
      <c r="K1915" s="7" t="str">
        <f aca="false">IF(I1915="","",IFERROR(INDEX('Campos Growths'!$L:$L,MATCH(H1915,'Campos Growths'!$A:$A,0)),""))</f>
        <v/>
      </c>
      <c r="L1915" s="7" t="str">
        <f aca="false">IF(A1915="","",IF(G1915="não","Sem tabela no Growths",IF(I1915="","Sem campo no Growths",IF(J1915=K1915,"Importa direto","Ajustar tipo"))))</f>
        <v/>
      </c>
      <c r="M1915" s="9"/>
    </row>
    <row r="1916" customFormat="false" ht="15" hidden="false" customHeight="false" outlineLevel="0" collapsed="false">
      <c r="A1916" s="7" t="str">
        <f aca="false">IF('Outro banco'!A1916="","",IF(LEFT('Outro banco'!A1916,1)="(","",'Outro banco'!A1916))</f>
        <v/>
      </c>
      <c r="B1916" s="7" t="str">
        <f aca="false">IF(A1916="","",'Outro banco'!B1916)</f>
        <v/>
      </c>
      <c r="C1916" s="7" t="str">
        <f aca="false">IF(A1916="","",'Outro banco'!C1916)</f>
        <v/>
      </c>
      <c r="D1916" s="7" t="str">
        <f aca="false">IF(A1916="","",'Outro banco'!D1916)</f>
        <v/>
      </c>
      <c r="E1916" s="9"/>
      <c r="F1916" s="9"/>
      <c r="G1916" s="7" t="str">
        <f aca="false">IF(A1916="","",IF(COUNTIF(Tabelas!$A:$A,IF(E1916="",A1916,E1916))&gt;0,"sim","não"))</f>
        <v/>
      </c>
      <c r="H1916" s="7" t="str">
        <f aca="false">IF(A1916="","",IF(E1916="",A1916,E1916)&amp;"."&amp;IF(F1916="",B1916,F1916))</f>
        <v/>
      </c>
      <c r="I1916" s="7" t="str">
        <f aca="false">IF(A1916="","",IFERROR(INDEX('Campos Growths'!$F:$F,MATCH(H1916,'Campos Growths'!$A:$A,0)),""))</f>
        <v/>
      </c>
      <c r="J1916" s="7" t="str">
        <f aca="false">IF(A1916="","",IFERROR(VLOOKUP(IF(ISNUMBER(SEARCH("(",C1916)),LEFT(C1916,SEARCH("(",C1916)-1),C1916),Tipos!$A:$B,2,FALSE()),"outro"))</f>
        <v/>
      </c>
      <c r="K1916" s="7" t="str">
        <f aca="false">IF(I1916="","",IFERROR(INDEX('Campos Growths'!$L:$L,MATCH(H1916,'Campos Growths'!$A:$A,0)),""))</f>
        <v/>
      </c>
      <c r="L1916" s="7" t="str">
        <f aca="false">IF(A1916="","",IF(G1916="não","Sem tabela no Growths",IF(I1916="","Sem campo no Growths",IF(J1916=K1916,"Importa direto","Ajustar tipo"))))</f>
        <v/>
      </c>
      <c r="M1916" s="9"/>
    </row>
    <row r="1917" customFormat="false" ht="15" hidden="false" customHeight="false" outlineLevel="0" collapsed="false">
      <c r="A1917" s="7" t="str">
        <f aca="false">IF('Outro banco'!A1917="","",IF(LEFT('Outro banco'!A1917,1)="(","",'Outro banco'!A1917))</f>
        <v/>
      </c>
      <c r="B1917" s="7" t="str">
        <f aca="false">IF(A1917="","",'Outro banco'!B1917)</f>
        <v/>
      </c>
      <c r="C1917" s="7" t="str">
        <f aca="false">IF(A1917="","",'Outro banco'!C1917)</f>
        <v/>
      </c>
      <c r="D1917" s="7" t="str">
        <f aca="false">IF(A1917="","",'Outro banco'!D1917)</f>
        <v/>
      </c>
      <c r="E1917" s="9"/>
      <c r="F1917" s="9"/>
      <c r="G1917" s="7" t="str">
        <f aca="false">IF(A1917="","",IF(COUNTIF(Tabelas!$A:$A,IF(E1917="",A1917,E1917))&gt;0,"sim","não"))</f>
        <v/>
      </c>
      <c r="H1917" s="7" t="str">
        <f aca="false">IF(A1917="","",IF(E1917="",A1917,E1917)&amp;"."&amp;IF(F1917="",B1917,F1917))</f>
        <v/>
      </c>
      <c r="I1917" s="7" t="str">
        <f aca="false">IF(A1917="","",IFERROR(INDEX('Campos Growths'!$F:$F,MATCH(H1917,'Campos Growths'!$A:$A,0)),""))</f>
        <v/>
      </c>
      <c r="J1917" s="7" t="str">
        <f aca="false">IF(A1917="","",IFERROR(VLOOKUP(IF(ISNUMBER(SEARCH("(",C1917)),LEFT(C1917,SEARCH("(",C1917)-1),C1917),Tipos!$A:$B,2,FALSE()),"outro"))</f>
        <v/>
      </c>
      <c r="K1917" s="7" t="str">
        <f aca="false">IF(I1917="","",IFERROR(INDEX('Campos Growths'!$L:$L,MATCH(H1917,'Campos Growths'!$A:$A,0)),""))</f>
        <v/>
      </c>
      <c r="L1917" s="7" t="str">
        <f aca="false">IF(A1917="","",IF(G1917="não","Sem tabela no Growths",IF(I1917="","Sem campo no Growths",IF(J1917=K1917,"Importa direto","Ajustar tipo"))))</f>
        <v/>
      </c>
      <c r="M1917" s="9"/>
    </row>
    <row r="1918" customFormat="false" ht="15" hidden="false" customHeight="false" outlineLevel="0" collapsed="false">
      <c r="A1918" s="7" t="str">
        <f aca="false">IF('Outro banco'!A1918="","",IF(LEFT('Outro banco'!A1918,1)="(","",'Outro banco'!A1918))</f>
        <v/>
      </c>
      <c r="B1918" s="7" t="str">
        <f aca="false">IF(A1918="","",'Outro banco'!B1918)</f>
        <v/>
      </c>
      <c r="C1918" s="7" t="str">
        <f aca="false">IF(A1918="","",'Outro banco'!C1918)</f>
        <v/>
      </c>
      <c r="D1918" s="7" t="str">
        <f aca="false">IF(A1918="","",'Outro banco'!D1918)</f>
        <v/>
      </c>
      <c r="E1918" s="9"/>
      <c r="F1918" s="9"/>
      <c r="G1918" s="7" t="str">
        <f aca="false">IF(A1918="","",IF(COUNTIF(Tabelas!$A:$A,IF(E1918="",A1918,E1918))&gt;0,"sim","não"))</f>
        <v/>
      </c>
      <c r="H1918" s="7" t="str">
        <f aca="false">IF(A1918="","",IF(E1918="",A1918,E1918)&amp;"."&amp;IF(F1918="",B1918,F1918))</f>
        <v/>
      </c>
      <c r="I1918" s="7" t="str">
        <f aca="false">IF(A1918="","",IFERROR(INDEX('Campos Growths'!$F:$F,MATCH(H1918,'Campos Growths'!$A:$A,0)),""))</f>
        <v/>
      </c>
      <c r="J1918" s="7" t="str">
        <f aca="false">IF(A1918="","",IFERROR(VLOOKUP(IF(ISNUMBER(SEARCH("(",C1918)),LEFT(C1918,SEARCH("(",C1918)-1),C1918),Tipos!$A:$B,2,FALSE()),"outro"))</f>
        <v/>
      </c>
      <c r="K1918" s="7" t="str">
        <f aca="false">IF(I1918="","",IFERROR(INDEX('Campos Growths'!$L:$L,MATCH(H1918,'Campos Growths'!$A:$A,0)),""))</f>
        <v/>
      </c>
      <c r="L1918" s="7" t="str">
        <f aca="false">IF(A1918="","",IF(G1918="não","Sem tabela no Growths",IF(I1918="","Sem campo no Growths",IF(J1918=K1918,"Importa direto","Ajustar tipo"))))</f>
        <v/>
      </c>
      <c r="M1918" s="9"/>
    </row>
    <row r="1919" customFormat="false" ht="15" hidden="false" customHeight="false" outlineLevel="0" collapsed="false">
      <c r="A1919" s="7" t="str">
        <f aca="false">IF('Outro banco'!A1919="","",IF(LEFT('Outro banco'!A1919,1)="(","",'Outro banco'!A1919))</f>
        <v/>
      </c>
      <c r="B1919" s="7" t="str">
        <f aca="false">IF(A1919="","",'Outro banco'!B1919)</f>
        <v/>
      </c>
      <c r="C1919" s="7" t="str">
        <f aca="false">IF(A1919="","",'Outro banco'!C1919)</f>
        <v/>
      </c>
      <c r="D1919" s="7" t="str">
        <f aca="false">IF(A1919="","",'Outro banco'!D1919)</f>
        <v/>
      </c>
      <c r="E1919" s="9"/>
      <c r="F1919" s="9"/>
      <c r="G1919" s="7" t="str">
        <f aca="false">IF(A1919="","",IF(COUNTIF(Tabelas!$A:$A,IF(E1919="",A1919,E1919))&gt;0,"sim","não"))</f>
        <v/>
      </c>
      <c r="H1919" s="7" t="str">
        <f aca="false">IF(A1919="","",IF(E1919="",A1919,E1919)&amp;"."&amp;IF(F1919="",B1919,F1919))</f>
        <v/>
      </c>
      <c r="I1919" s="7" t="str">
        <f aca="false">IF(A1919="","",IFERROR(INDEX('Campos Growths'!$F:$F,MATCH(H1919,'Campos Growths'!$A:$A,0)),""))</f>
        <v/>
      </c>
      <c r="J1919" s="7" t="str">
        <f aca="false">IF(A1919="","",IFERROR(VLOOKUP(IF(ISNUMBER(SEARCH("(",C1919)),LEFT(C1919,SEARCH("(",C1919)-1),C1919),Tipos!$A:$B,2,FALSE()),"outro"))</f>
        <v/>
      </c>
      <c r="K1919" s="7" t="str">
        <f aca="false">IF(I1919="","",IFERROR(INDEX('Campos Growths'!$L:$L,MATCH(H1919,'Campos Growths'!$A:$A,0)),""))</f>
        <v/>
      </c>
      <c r="L1919" s="7" t="str">
        <f aca="false">IF(A1919="","",IF(G1919="não","Sem tabela no Growths",IF(I1919="","Sem campo no Growths",IF(J1919=K1919,"Importa direto","Ajustar tipo"))))</f>
        <v/>
      </c>
      <c r="M1919" s="9"/>
    </row>
    <row r="1920" customFormat="false" ht="15" hidden="false" customHeight="false" outlineLevel="0" collapsed="false">
      <c r="A1920" s="7" t="str">
        <f aca="false">IF('Outro banco'!A1920="","",IF(LEFT('Outro banco'!A1920,1)="(","",'Outro banco'!A1920))</f>
        <v/>
      </c>
      <c r="B1920" s="7" t="str">
        <f aca="false">IF(A1920="","",'Outro banco'!B1920)</f>
        <v/>
      </c>
      <c r="C1920" s="7" t="str">
        <f aca="false">IF(A1920="","",'Outro banco'!C1920)</f>
        <v/>
      </c>
      <c r="D1920" s="7" t="str">
        <f aca="false">IF(A1920="","",'Outro banco'!D1920)</f>
        <v/>
      </c>
      <c r="E1920" s="9"/>
      <c r="F1920" s="9"/>
      <c r="G1920" s="7" t="str">
        <f aca="false">IF(A1920="","",IF(COUNTIF(Tabelas!$A:$A,IF(E1920="",A1920,E1920))&gt;0,"sim","não"))</f>
        <v/>
      </c>
      <c r="H1920" s="7" t="str">
        <f aca="false">IF(A1920="","",IF(E1920="",A1920,E1920)&amp;"."&amp;IF(F1920="",B1920,F1920))</f>
        <v/>
      </c>
      <c r="I1920" s="7" t="str">
        <f aca="false">IF(A1920="","",IFERROR(INDEX('Campos Growths'!$F:$F,MATCH(H1920,'Campos Growths'!$A:$A,0)),""))</f>
        <v/>
      </c>
      <c r="J1920" s="7" t="str">
        <f aca="false">IF(A1920="","",IFERROR(VLOOKUP(IF(ISNUMBER(SEARCH("(",C1920)),LEFT(C1920,SEARCH("(",C1920)-1),C1920),Tipos!$A:$B,2,FALSE()),"outro"))</f>
        <v/>
      </c>
      <c r="K1920" s="7" t="str">
        <f aca="false">IF(I1920="","",IFERROR(INDEX('Campos Growths'!$L:$L,MATCH(H1920,'Campos Growths'!$A:$A,0)),""))</f>
        <v/>
      </c>
      <c r="L1920" s="7" t="str">
        <f aca="false">IF(A1920="","",IF(G1920="não","Sem tabela no Growths",IF(I1920="","Sem campo no Growths",IF(J1920=K1920,"Importa direto","Ajustar tipo"))))</f>
        <v/>
      </c>
      <c r="M1920" s="9"/>
    </row>
    <row r="1921" customFormat="false" ht="15" hidden="false" customHeight="false" outlineLevel="0" collapsed="false">
      <c r="A1921" s="7" t="str">
        <f aca="false">IF('Outro banco'!A1921="","",IF(LEFT('Outro banco'!A1921,1)="(","",'Outro banco'!A1921))</f>
        <v/>
      </c>
      <c r="B1921" s="7" t="str">
        <f aca="false">IF(A1921="","",'Outro banco'!B1921)</f>
        <v/>
      </c>
      <c r="C1921" s="7" t="str">
        <f aca="false">IF(A1921="","",'Outro banco'!C1921)</f>
        <v/>
      </c>
      <c r="D1921" s="7" t="str">
        <f aca="false">IF(A1921="","",'Outro banco'!D1921)</f>
        <v/>
      </c>
      <c r="E1921" s="9"/>
      <c r="F1921" s="9"/>
      <c r="G1921" s="7" t="str">
        <f aca="false">IF(A1921="","",IF(COUNTIF(Tabelas!$A:$A,IF(E1921="",A1921,E1921))&gt;0,"sim","não"))</f>
        <v/>
      </c>
      <c r="H1921" s="7" t="str">
        <f aca="false">IF(A1921="","",IF(E1921="",A1921,E1921)&amp;"."&amp;IF(F1921="",B1921,F1921))</f>
        <v/>
      </c>
      <c r="I1921" s="7" t="str">
        <f aca="false">IF(A1921="","",IFERROR(INDEX('Campos Growths'!$F:$F,MATCH(H1921,'Campos Growths'!$A:$A,0)),""))</f>
        <v/>
      </c>
      <c r="J1921" s="7" t="str">
        <f aca="false">IF(A1921="","",IFERROR(VLOOKUP(IF(ISNUMBER(SEARCH("(",C1921)),LEFT(C1921,SEARCH("(",C1921)-1),C1921),Tipos!$A:$B,2,FALSE()),"outro"))</f>
        <v/>
      </c>
      <c r="K1921" s="7" t="str">
        <f aca="false">IF(I1921="","",IFERROR(INDEX('Campos Growths'!$L:$L,MATCH(H1921,'Campos Growths'!$A:$A,0)),""))</f>
        <v/>
      </c>
      <c r="L1921" s="7" t="str">
        <f aca="false">IF(A1921="","",IF(G1921="não","Sem tabela no Growths",IF(I1921="","Sem campo no Growths",IF(J1921=K1921,"Importa direto","Ajustar tipo"))))</f>
        <v/>
      </c>
      <c r="M1921" s="9"/>
    </row>
    <row r="1922" customFormat="false" ht="15" hidden="false" customHeight="false" outlineLevel="0" collapsed="false">
      <c r="A1922" s="7" t="str">
        <f aca="false">IF('Outro banco'!A1922="","",IF(LEFT('Outro banco'!A1922,1)="(","",'Outro banco'!A1922))</f>
        <v/>
      </c>
      <c r="B1922" s="7" t="str">
        <f aca="false">IF(A1922="","",'Outro banco'!B1922)</f>
        <v/>
      </c>
      <c r="C1922" s="7" t="str">
        <f aca="false">IF(A1922="","",'Outro banco'!C1922)</f>
        <v/>
      </c>
      <c r="D1922" s="7" t="str">
        <f aca="false">IF(A1922="","",'Outro banco'!D1922)</f>
        <v/>
      </c>
      <c r="E1922" s="9"/>
      <c r="F1922" s="9"/>
      <c r="G1922" s="7" t="str">
        <f aca="false">IF(A1922="","",IF(COUNTIF(Tabelas!$A:$A,IF(E1922="",A1922,E1922))&gt;0,"sim","não"))</f>
        <v/>
      </c>
      <c r="H1922" s="7" t="str">
        <f aca="false">IF(A1922="","",IF(E1922="",A1922,E1922)&amp;"."&amp;IF(F1922="",B1922,F1922))</f>
        <v/>
      </c>
      <c r="I1922" s="7" t="str">
        <f aca="false">IF(A1922="","",IFERROR(INDEX('Campos Growths'!$F:$F,MATCH(H1922,'Campos Growths'!$A:$A,0)),""))</f>
        <v/>
      </c>
      <c r="J1922" s="7" t="str">
        <f aca="false">IF(A1922="","",IFERROR(VLOOKUP(IF(ISNUMBER(SEARCH("(",C1922)),LEFT(C1922,SEARCH("(",C1922)-1),C1922),Tipos!$A:$B,2,FALSE()),"outro"))</f>
        <v/>
      </c>
      <c r="K1922" s="7" t="str">
        <f aca="false">IF(I1922="","",IFERROR(INDEX('Campos Growths'!$L:$L,MATCH(H1922,'Campos Growths'!$A:$A,0)),""))</f>
        <v/>
      </c>
      <c r="L1922" s="7" t="str">
        <f aca="false">IF(A1922="","",IF(G1922="não","Sem tabela no Growths",IF(I1922="","Sem campo no Growths",IF(J1922=K1922,"Importa direto","Ajustar tipo"))))</f>
        <v/>
      </c>
      <c r="M1922" s="9"/>
    </row>
    <row r="1923" customFormat="false" ht="15" hidden="false" customHeight="false" outlineLevel="0" collapsed="false">
      <c r="A1923" s="7" t="str">
        <f aca="false">IF('Outro banco'!A1923="","",IF(LEFT('Outro banco'!A1923,1)="(","",'Outro banco'!A1923))</f>
        <v/>
      </c>
      <c r="B1923" s="7" t="str">
        <f aca="false">IF(A1923="","",'Outro banco'!B1923)</f>
        <v/>
      </c>
      <c r="C1923" s="7" t="str">
        <f aca="false">IF(A1923="","",'Outro banco'!C1923)</f>
        <v/>
      </c>
      <c r="D1923" s="7" t="str">
        <f aca="false">IF(A1923="","",'Outro banco'!D1923)</f>
        <v/>
      </c>
      <c r="E1923" s="9"/>
      <c r="F1923" s="9"/>
      <c r="G1923" s="7" t="str">
        <f aca="false">IF(A1923="","",IF(COUNTIF(Tabelas!$A:$A,IF(E1923="",A1923,E1923))&gt;0,"sim","não"))</f>
        <v/>
      </c>
      <c r="H1923" s="7" t="str">
        <f aca="false">IF(A1923="","",IF(E1923="",A1923,E1923)&amp;"."&amp;IF(F1923="",B1923,F1923))</f>
        <v/>
      </c>
      <c r="I1923" s="7" t="str">
        <f aca="false">IF(A1923="","",IFERROR(INDEX('Campos Growths'!$F:$F,MATCH(H1923,'Campos Growths'!$A:$A,0)),""))</f>
        <v/>
      </c>
      <c r="J1923" s="7" t="str">
        <f aca="false">IF(A1923="","",IFERROR(VLOOKUP(IF(ISNUMBER(SEARCH("(",C1923)),LEFT(C1923,SEARCH("(",C1923)-1),C1923),Tipos!$A:$B,2,FALSE()),"outro"))</f>
        <v/>
      </c>
      <c r="K1923" s="7" t="str">
        <f aca="false">IF(I1923="","",IFERROR(INDEX('Campos Growths'!$L:$L,MATCH(H1923,'Campos Growths'!$A:$A,0)),""))</f>
        <v/>
      </c>
      <c r="L1923" s="7" t="str">
        <f aca="false">IF(A1923="","",IF(G1923="não","Sem tabela no Growths",IF(I1923="","Sem campo no Growths",IF(J1923=K1923,"Importa direto","Ajustar tipo"))))</f>
        <v/>
      </c>
      <c r="M1923" s="9"/>
    </row>
    <row r="1924" customFormat="false" ht="15" hidden="false" customHeight="false" outlineLevel="0" collapsed="false">
      <c r="A1924" s="7" t="str">
        <f aca="false">IF('Outro banco'!A1924="","",IF(LEFT('Outro banco'!A1924,1)="(","",'Outro banco'!A1924))</f>
        <v/>
      </c>
      <c r="B1924" s="7" t="str">
        <f aca="false">IF(A1924="","",'Outro banco'!B1924)</f>
        <v/>
      </c>
      <c r="C1924" s="7" t="str">
        <f aca="false">IF(A1924="","",'Outro banco'!C1924)</f>
        <v/>
      </c>
      <c r="D1924" s="7" t="str">
        <f aca="false">IF(A1924="","",'Outro banco'!D1924)</f>
        <v/>
      </c>
      <c r="E1924" s="9"/>
      <c r="F1924" s="9"/>
      <c r="G1924" s="7" t="str">
        <f aca="false">IF(A1924="","",IF(COUNTIF(Tabelas!$A:$A,IF(E1924="",A1924,E1924))&gt;0,"sim","não"))</f>
        <v/>
      </c>
      <c r="H1924" s="7" t="str">
        <f aca="false">IF(A1924="","",IF(E1924="",A1924,E1924)&amp;"."&amp;IF(F1924="",B1924,F1924))</f>
        <v/>
      </c>
      <c r="I1924" s="7" t="str">
        <f aca="false">IF(A1924="","",IFERROR(INDEX('Campos Growths'!$F:$F,MATCH(H1924,'Campos Growths'!$A:$A,0)),""))</f>
        <v/>
      </c>
      <c r="J1924" s="7" t="str">
        <f aca="false">IF(A1924="","",IFERROR(VLOOKUP(IF(ISNUMBER(SEARCH("(",C1924)),LEFT(C1924,SEARCH("(",C1924)-1),C1924),Tipos!$A:$B,2,FALSE()),"outro"))</f>
        <v/>
      </c>
      <c r="K1924" s="7" t="str">
        <f aca="false">IF(I1924="","",IFERROR(INDEX('Campos Growths'!$L:$L,MATCH(H1924,'Campos Growths'!$A:$A,0)),""))</f>
        <v/>
      </c>
      <c r="L1924" s="7" t="str">
        <f aca="false">IF(A1924="","",IF(G1924="não","Sem tabela no Growths",IF(I1924="","Sem campo no Growths",IF(J1924=K1924,"Importa direto","Ajustar tipo"))))</f>
        <v/>
      </c>
      <c r="M1924" s="9"/>
    </row>
    <row r="1925" customFormat="false" ht="15" hidden="false" customHeight="false" outlineLevel="0" collapsed="false">
      <c r="A1925" s="7" t="str">
        <f aca="false">IF('Outro banco'!A1925="","",IF(LEFT('Outro banco'!A1925,1)="(","",'Outro banco'!A1925))</f>
        <v/>
      </c>
      <c r="B1925" s="7" t="str">
        <f aca="false">IF(A1925="","",'Outro banco'!B1925)</f>
        <v/>
      </c>
      <c r="C1925" s="7" t="str">
        <f aca="false">IF(A1925="","",'Outro banco'!C1925)</f>
        <v/>
      </c>
      <c r="D1925" s="7" t="str">
        <f aca="false">IF(A1925="","",'Outro banco'!D1925)</f>
        <v/>
      </c>
      <c r="E1925" s="9"/>
      <c r="F1925" s="9"/>
      <c r="G1925" s="7" t="str">
        <f aca="false">IF(A1925="","",IF(COUNTIF(Tabelas!$A:$A,IF(E1925="",A1925,E1925))&gt;0,"sim","não"))</f>
        <v/>
      </c>
      <c r="H1925" s="7" t="str">
        <f aca="false">IF(A1925="","",IF(E1925="",A1925,E1925)&amp;"."&amp;IF(F1925="",B1925,F1925))</f>
        <v/>
      </c>
      <c r="I1925" s="7" t="str">
        <f aca="false">IF(A1925="","",IFERROR(INDEX('Campos Growths'!$F:$F,MATCH(H1925,'Campos Growths'!$A:$A,0)),""))</f>
        <v/>
      </c>
      <c r="J1925" s="7" t="str">
        <f aca="false">IF(A1925="","",IFERROR(VLOOKUP(IF(ISNUMBER(SEARCH("(",C1925)),LEFT(C1925,SEARCH("(",C1925)-1),C1925),Tipos!$A:$B,2,FALSE()),"outro"))</f>
        <v/>
      </c>
      <c r="K1925" s="7" t="str">
        <f aca="false">IF(I1925="","",IFERROR(INDEX('Campos Growths'!$L:$L,MATCH(H1925,'Campos Growths'!$A:$A,0)),""))</f>
        <v/>
      </c>
      <c r="L1925" s="7" t="str">
        <f aca="false">IF(A1925="","",IF(G1925="não","Sem tabela no Growths",IF(I1925="","Sem campo no Growths",IF(J1925=K1925,"Importa direto","Ajustar tipo"))))</f>
        <v/>
      </c>
      <c r="M1925" s="9"/>
    </row>
    <row r="1926" customFormat="false" ht="15" hidden="false" customHeight="false" outlineLevel="0" collapsed="false">
      <c r="A1926" s="7" t="str">
        <f aca="false">IF('Outro banco'!A1926="","",IF(LEFT('Outro banco'!A1926,1)="(","",'Outro banco'!A1926))</f>
        <v/>
      </c>
      <c r="B1926" s="7" t="str">
        <f aca="false">IF(A1926="","",'Outro banco'!B1926)</f>
        <v/>
      </c>
      <c r="C1926" s="7" t="str">
        <f aca="false">IF(A1926="","",'Outro banco'!C1926)</f>
        <v/>
      </c>
      <c r="D1926" s="7" t="str">
        <f aca="false">IF(A1926="","",'Outro banco'!D1926)</f>
        <v/>
      </c>
      <c r="E1926" s="9"/>
      <c r="F1926" s="9"/>
      <c r="G1926" s="7" t="str">
        <f aca="false">IF(A1926="","",IF(COUNTIF(Tabelas!$A:$A,IF(E1926="",A1926,E1926))&gt;0,"sim","não"))</f>
        <v/>
      </c>
      <c r="H1926" s="7" t="str">
        <f aca="false">IF(A1926="","",IF(E1926="",A1926,E1926)&amp;"."&amp;IF(F1926="",B1926,F1926))</f>
        <v/>
      </c>
      <c r="I1926" s="7" t="str">
        <f aca="false">IF(A1926="","",IFERROR(INDEX('Campos Growths'!$F:$F,MATCH(H1926,'Campos Growths'!$A:$A,0)),""))</f>
        <v/>
      </c>
      <c r="J1926" s="7" t="str">
        <f aca="false">IF(A1926="","",IFERROR(VLOOKUP(IF(ISNUMBER(SEARCH("(",C1926)),LEFT(C1926,SEARCH("(",C1926)-1),C1926),Tipos!$A:$B,2,FALSE()),"outro"))</f>
        <v/>
      </c>
      <c r="K1926" s="7" t="str">
        <f aca="false">IF(I1926="","",IFERROR(INDEX('Campos Growths'!$L:$L,MATCH(H1926,'Campos Growths'!$A:$A,0)),""))</f>
        <v/>
      </c>
      <c r="L1926" s="7" t="str">
        <f aca="false">IF(A1926="","",IF(G1926="não","Sem tabela no Growths",IF(I1926="","Sem campo no Growths",IF(J1926=K1926,"Importa direto","Ajustar tipo"))))</f>
        <v/>
      </c>
      <c r="M1926" s="9"/>
    </row>
    <row r="1927" customFormat="false" ht="15" hidden="false" customHeight="false" outlineLevel="0" collapsed="false">
      <c r="A1927" s="7" t="str">
        <f aca="false">IF('Outro banco'!A1927="","",IF(LEFT('Outro banco'!A1927,1)="(","",'Outro banco'!A1927))</f>
        <v/>
      </c>
      <c r="B1927" s="7" t="str">
        <f aca="false">IF(A1927="","",'Outro banco'!B1927)</f>
        <v/>
      </c>
      <c r="C1927" s="7" t="str">
        <f aca="false">IF(A1927="","",'Outro banco'!C1927)</f>
        <v/>
      </c>
      <c r="D1927" s="7" t="str">
        <f aca="false">IF(A1927="","",'Outro banco'!D1927)</f>
        <v/>
      </c>
      <c r="E1927" s="9"/>
      <c r="F1927" s="9"/>
      <c r="G1927" s="7" t="str">
        <f aca="false">IF(A1927="","",IF(COUNTIF(Tabelas!$A:$A,IF(E1927="",A1927,E1927))&gt;0,"sim","não"))</f>
        <v/>
      </c>
      <c r="H1927" s="7" t="str">
        <f aca="false">IF(A1927="","",IF(E1927="",A1927,E1927)&amp;"."&amp;IF(F1927="",B1927,F1927))</f>
        <v/>
      </c>
      <c r="I1927" s="7" t="str">
        <f aca="false">IF(A1927="","",IFERROR(INDEX('Campos Growths'!$F:$F,MATCH(H1927,'Campos Growths'!$A:$A,0)),""))</f>
        <v/>
      </c>
      <c r="J1927" s="7" t="str">
        <f aca="false">IF(A1927="","",IFERROR(VLOOKUP(IF(ISNUMBER(SEARCH("(",C1927)),LEFT(C1927,SEARCH("(",C1927)-1),C1927),Tipos!$A:$B,2,FALSE()),"outro"))</f>
        <v/>
      </c>
      <c r="K1927" s="7" t="str">
        <f aca="false">IF(I1927="","",IFERROR(INDEX('Campos Growths'!$L:$L,MATCH(H1927,'Campos Growths'!$A:$A,0)),""))</f>
        <v/>
      </c>
      <c r="L1927" s="7" t="str">
        <f aca="false">IF(A1927="","",IF(G1927="não","Sem tabela no Growths",IF(I1927="","Sem campo no Growths",IF(J1927=K1927,"Importa direto","Ajustar tipo"))))</f>
        <v/>
      </c>
      <c r="M1927" s="9"/>
    </row>
    <row r="1928" customFormat="false" ht="15" hidden="false" customHeight="false" outlineLevel="0" collapsed="false">
      <c r="A1928" s="7" t="str">
        <f aca="false">IF('Outro banco'!A1928="","",IF(LEFT('Outro banco'!A1928,1)="(","",'Outro banco'!A1928))</f>
        <v/>
      </c>
      <c r="B1928" s="7" t="str">
        <f aca="false">IF(A1928="","",'Outro banco'!B1928)</f>
        <v/>
      </c>
      <c r="C1928" s="7" t="str">
        <f aca="false">IF(A1928="","",'Outro banco'!C1928)</f>
        <v/>
      </c>
      <c r="D1928" s="7" t="str">
        <f aca="false">IF(A1928="","",'Outro banco'!D1928)</f>
        <v/>
      </c>
      <c r="E1928" s="9"/>
      <c r="F1928" s="9"/>
      <c r="G1928" s="7" t="str">
        <f aca="false">IF(A1928="","",IF(COUNTIF(Tabelas!$A:$A,IF(E1928="",A1928,E1928))&gt;0,"sim","não"))</f>
        <v/>
      </c>
      <c r="H1928" s="7" t="str">
        <f aca="false">IF(A1928="","",IF(E1928="",A1928,E1928)&amp;"."&amp;IF(F1928="",B1928,F1928))</f>
        <v/>
      </c>
      <c r="I1928" s="7" t="str">
        <f aca="false">IF(A1928="","",IFERROR(INDEX('Campos Growths'!$F:$F,MATCH(H1928,'Campos Growths'!$A:$A,0)),""))</f>
        <v/>
      </c>
      <c r="J1928" s="7" t="str">
        <f aca="false">IF(A1928="","",IFERROR(VLOOKUP(IF(ISNUMBER(SEARCH("(",C1928)),LEFT(C1928,SEARCH("(",C1928)-1),C1928),Tipos!$A:$B,2,FALSE()),"outro"))</f>
        <v/>
      </c>
      <c r="K1928" s="7" t="str">
        <f aca="false">IF(I1928="","",IFERROR(INDEX('Campos Growths'!$L:$L,MATCH(H1928,'Campos Growths'!$A:$A,0)),""))</f>
        <v/>
      </c>
      <c r="L1928" s="7" t="str">
        <f aca="false">IF(A1928="","",IF(G1928="não","Sem tabela no Growths",IF(I1928="","Sem campo no Growths",IF(J1928=K1928,"Importa direto","Ajustar tipo"))))</f>
        <v/>
      </c>
      <c r="M1928" s="9"/>
    </row>
    <row r="1929" customFormat="false" ht="15" hidden="false" customHeight="false" outlineLevel="0" collapsed="false">
      <c r="A1929" s="7" t="str">
        <f aca="false">IF('Outro banco'!A1929="","",IF(LEFT('Outro banco'!A1929,1)="(","",'Outro banco'!A1929))</f>
        <v/>
      </c>
      <c r="B1929" s="7" t="str">
        <f aca="false">IF(A1929="","",'Outro banco'!B1929)</f>
        <v/>
      </c>
      <c r="C1929" s="7" t="str">
        <f aca="false">IF(A1929="","",'Outro banco'!C1929)</f>
        <v/>
      </c>
      <c r="D1929" s="7" t="str">
        <f aca="false">IF(A1929="","",'Outro banco'!D1929)</f>
        <v/>
      </c>
      <c r="E1929" s="9"/>
      <c r="F1929" s="9"/>
      <c r="G1929" s="7" t="str">
        <f aca="false">IF(A1929="","",IF(COUNTIF(Tabelas!$A:$A,IF(E1929="",A1929,E1929))&gt;0,"sim","não"))</f>
        <v/>
      </c>
      <c r="H1929" s="7" t="str">
        <f aca="false">IF(A1929="","",IF(E1929="",A1929,E1929)&amp;"."&amp;IF(F1929="",B1929,F1929))</f>
        <v/>
      </c>
      <c r="I1929" s="7" t="str">
        <f aca="false">IF(A1929="","",IFERROR(INDEX('Campos Growths'!$F:$F,MATCH(H1929,'Campos Growths'!$A:$A,0)),""))</f>
        <v/>
      </c>
      <c r="J1929" s="7" t="str">
        <f aca="false">IF(A1929="","",IFERROR(VLOOKUP(IF(ISNUMBER(SEARCH("(",C1929)),LEFT(C1929,SEARCH("(",C1929)-1),C1929),Tipos!$A:$B,2,FALSE()),"outro"))</f>
        <v/>
      </c>
      <c r="K1929" s="7" t="str">
        <f aca="false">IF(I1929="","",IFERROR(INDEX('Campos Growths'!$L:$L,MATCH(H1929,'Campos Growths'!$A:$A,0)),""))</f>
        <v/>
      </c>
      <c r="L1929" s="7" t="str">
        <f aca="false">IF(A1929="","",IF(G1929="não","Sem tabela no Growths",IF(I1929="","Sem campo no Growths",IF(J1929=K1929,"Importa direto","Ajustar tipo"))))</f>
        <v/>
      </c>
      <c r="M1929" s="9"/>
    </row>
    <row r="1930" customFormat="false" ht="15" hidden="false" customHeight="false" outlineLevel="0" collapsed="false">
      <c r="A1930" s="7" t="str">
        <f aca="false">IF('Outro banco'!A1930="","",IF(LEFT('Outro banco'!A1930,1)="(","",'Outro banco'!A1930))</f>
        <v/>
      </c>
      <c r="B1930" s="7" t="str">
        <f aca="false">IF(A1930="","",'Outro banco'!B1930)</f>
        <v/>
      </c>
      <c r="C1930" s="7" t="str">
        <f aca="false">IF(A1930="","",'Outro banco'!C1930)</f>
        <v/>
      </c>
      <c r="D1930" s="7" t="str">
        <f aca="false">IF(A1930="","",'Outro banco'!D1930)</f>
        <v/>
      </c>
      <c r="E1930" s="9"/>
      <c r="F1930" s="9"/>
      <c r="G1930" s="7" t="str">
        <f aca="false">IF(A1930="","",IF(COUNTIF(Tabelas!$A:$A,IF(E1930="",A1930,E1930))&gt;0,"sim","não"))</f>
        <v/>
      </c>
      <c r="H1930" s="7" t="str">
        <f aca="false">IF(A1930="","",IF(E1930="",A1930,E1930)&amp;"."&amp;IF(F1930="",B1930,F1930))</f>
        <v/>
      </c>
      <c r="I1930" s="7" t="str">
        <f aca="false">IF(A1930="","",IFERROR(INDEX('Campos Growths'!$F:$F,MATCH(H1930,'Campos Growths'!$A:$A,0)),""))</f>
        <v/>
      </c>
      <c r="J1930" s="7" t="str">
        <f aca="false">IF(A1930="","",IFERROR(VLOOKUP(IF(ISNUMBER(SEARCH("(",C1930)),LEFT(C1930,SEARCH("(",C1930)-1),C1930),Tipos!$A:$B,2,FALSE()),"outro"))</f>
        <v/>
      </c>
      <c r="K1930" s="7" t="str">
        <f aca="false">IF(I1930="","",IFERROR(INDEX('Campos Growths'!$L:$L,MATCH(H1930,'Campos Growths'!$A:$A,0)),""))</f>
        <v/>
      </c>
      <c r="L1930" s="7" t="str">
        <f aca="false">IF(A1930="","",IF(G1930="não","Sem tabela no Growths",IF(I1930="","Sem campo no Growths",IF(J1930=K1930,"Importa direto","Ajustar tipo"))))</f>
        <v/>
      </c>
      <c r="M1930" s="9"/>
    </row>
    <row r="1931" customFormat="false" ht="15" hidden="false" customHeight="false" outlineLevel="0" collapsed="false">
      <c r="A1931" s="7" t="str">
        <f aca="false">IF('Outro banco'!A1931="","",IF(LEFT('Outro banco'!A1931,1)="(","",'Outro banco'!A1931))</f>
        <v/>
      </c>
      <c r="B1931" s="7" t="str">
        <f aca="false">IF(A1931="","",'Outro banco'!B1931)</f>
        <v/>
      </c>
      <c r="C1931" s="7" t="str">
        <f aca="false">IF(A1931="","",'Outro banco'!C1931)</f>
        <v/>
      </c>
      <c r="D1931" s="7" t="str">
        <f aca="false">IF(A1931="","",'Outro banco'!D1931)</f>
        <v/>
      </c>
      <c r="E1931" s="9"/>
      <c r="F1931" s="9"/>
      <c r="G1931" s="7" t="str">
        <f aca="false">IF(A1931="","",IF(COUNTIF(Tabelas!$A:$A,IF(E1931="",A1931,E1931))&gt;0,"sim","não"))</f>
        <v/>
      </c>
      <c r="H1931" s="7" t="str">
        <f aca="false">IF(A1931="","",IF(E1931="",A1931,E1931)&amp;"."&amp;IF(F1931="",B1931,F1931))</f>
        <v/>
      </c>
      <c r="I1931" s="7" t="str">
        <f aca="false">IF(A1931="","",IFERROR(INDEX('Campos Growths'!$F:$F,MATCH(H1931,'Campos Growths'!$A:$A,0)),""))</f>
        <v/>
      </c>
      <c r="J1931" s="7" t="str">
        <f aca="false">IF(A1931="","",IFERROR(VLOOKUP(IF(ISNUMBER(SEARCH("(",C1931)),LEFT(C1931,SEARCH("(",C1931)-1),C1931),Tipos!$A:$B,2,FALSE()),"outro"))</f>
        <v/>
      </c>
      <c r="K1931" s="7" t="str">
        <f aca="false">IF(I1931="","",IFERROR(INDEX('Campos Growths'!$L:$L,MATCH(H1931,'Campos Growths'!$A:$A,0)),""))</f>
        <v/>
      </c>
      <c r="L1931" s="7" t="str">
        <f aca="false">IF(A1931="","",IF(G1931="não","Sem tabela no Growths",IF(I1931="","Sem campo no Growths",IF(J1931=K1931,"Importa direto","Ajustar tipo"))))</f>
        <v/>
      </c>
      <c r="M1931" s="9"/>
    </row>
    <row r="1932" customFormat="false" ht="15" hidden="false" customHeight="false" outlineLevel="0" collapsed="false">
      <c r="A1932" s="7" t="str">
        <f aca="false">IF('Outro banco'!A1932="","",IF(LEFT('Outro banco'!A1932,1)="(","",'Outro banco'!A1932))</f>
        <v/>
      </c>
      <c r="B1932" s="7" t="str">
        <f aca="false">IF(A1932="","",'Outro banco'!B1932)</f>
        <v/>
      </c>
      <c r="C1932" s="7" t="str">
        <f aca="false">IF(A1932="","",'Outro banco'!C1932)</f>
        <v/>
      </c>
      <c r="D1932" s="7" t="str">
        <f aca="false">IF(A1932="","",'Outro banco'!D1932)</f>
        <v/>
      </c>
      <c r="E1932" s="9"/>
      <c r="F1932" s="9"/>
      <c r="G1932" s="7" t="str">
        <f aca="false">IF(A1932="","",IF(COUNTIF(Tabelas!$A:$A,IF(E1932="",A1932,E1932))&gt;0,"sim","não"))</f>
        <v/>
      </c>
      <c r="H1932" s="7" t="str">
        <f aca="false">IF(A1932="","",IF(E1932="",A1932,E1932)&amp;"."&amp;IF(F1932="",B1932,F1932))</f>
        <v/>
      </c>
      <c r="I1932" s="7" t="str">
        <f aca="false">IF(A1932="","",IFERROR(INDEX('Campos Growths'!$F:$F,MATCH(H1932,'Campos Growths'!$A:$A,0)),""))</f>
        <v/>
      </c>
      <c r="J1932" s="7" t="str">
        <f aca="false">IF(A1932="","",IFERROR(VLOOKUP(IF(ISNUMBER(SEARCH("(",C1932)),LEFT(C1932,SEARCH("(",C1932)-1),C1932),Tipos!$A:$B,2,FALSE()),"outro"))</f>
        <v/>
      </c>
      <c r="K1932" s="7" t="str">
        <f aca="false">IF(I1932="","",IFERROR(INDEX('Campos Growths'!$L:$L,MATCH(H1932,'Campos Growths'!$A:$A,0)),""))</f>
        <v/>
      </c>
      <c r="L1932" s="7" t="str">
        <f aca="false">IF(A1932="","",IF(G1932="não","Sem tabela no Growths",IF(I1932="","Sem campo no Growths",IF(J1932=K1932,"Importa direto","Ajustar tipo"))))</f>
        <v/>
      </c>
      <c r="M1932" s="9"/>
    </row>
    <row r="1933" customFormat="false" ht="15" hidden="false" customHeight="false" outlineLevel="0" collapsed="false">
      <c r="A1933" s="7" t="str">
        <f aca="false">IF('Outro banco'!A1933="","",IF(LEFT('Outro banco'!A1933,1)="(","",'Outro banco'!A1933))</f>
        <v/>
      </c>
      <c r="B1933" s="7" t="str">
        <f aca="false">IF(A1933="","",'Outro banco'!B1933)</f>
        <v/>
      </c>
      <c r="C1933" s="7" t="str">
        <f aca="false">IF(A1933="","",'Outro banco'!C1933)</f>
        <v/>
      </c>
      <c r="D1933" s="7" t="str">
        <f aca="false">IF(A1933="","",'Outro banco'!D1933)</f>
        <v/>
      </c>
      <c r="E1933" s="9"/>
      <c r="F1933" s="9"/>
      <c r="G1933" s="7" t="str">
        <f aca="false">IF(A1933="","",IF(COUNTIF(Tabelas!$A:$A,IF(E1933="",A1933,E1933))&gt;0,"sim","não"))</f>
        <v/>
      </c>
      <c r="H1933" s="7" t="str">
        <f aca="false">IF(A1933="","",IF(E1933="",A1933,E1933)&amp;"."&amp;IF(F1933="",B1933,F1933))</f>
        <v/>
      </c>
      <c r="I1933" s="7" t="str">
        <f aca="false">IF(A1933="","",IFERROR(INDEX('Campos Growths'!$F:$F,MATCH(H1933,'Campos Growths'!$A:$A,0)),""))</f>
        <v/>
      </c>
      <c r="J1933" s="7" t="str">
        <f aca="false">IF(A1933="","",IFERROR(VLOOKUP(IF(ISNUMBER(SEARCH("(",C1933)),LEFT(C1933,SEARCH("(",C1933)-1),C1933),Tipos!$A:$B,2,FALSE()),"outro"))</f>
        <v/>
      </c>
      <c r="K1933" s="7" t="str">
        <f aca="false">IF(I1933="","",IFERROR(INDEX('Campos Growths'!$L:$L,MATCH(H1933,'Campos Growths'!$A:$A,0)),""))</f>
        <v/>
      </c>
      <c r="L1933" s="7" t="str">
        <f aca="false">IF(A1933="","",IF(G1933="não","Sem tabela no Growths",IF(I1933="","Sem campo no Growths",IF(J1933=K1933,"Importa direto","Ajustar tipo"))))</f>
        <v/>
      </c>
      <c r="M1933" s="9"/>
    </row>
    <row r="1934" customFormat="false" ht="15" hidden="false" customHeight="false" outlineLevel="0" collapsed="false">
      <c r="A1934" s="7" t="str">
        <f aca="false">IF('Outro banco'!A1934="","",IF(LEFT('Outro banco'!A1934,1)="(","",'Outro banco'!A1934))</f>
        <v/>
      </c>
      <c r="B1934" s="7" t="str">
        <f aca="false">IF(A1934="","",'Outro banco'!B1934)</f>
        <v/>
      </c>
      <c r="C1934" s="7" t="str">
        <f aca="false">IF(A1934="","",'Outro banco'!C1934)</f>
        <v/>
      </c>
      <c r="D1934" s="7" t="str">
        <f aca="false">IF(A1934="","",'Outro banco'!D1934)</f>
        <v/>
      </c>
      <c r="E1934" s="9"/>
      <c r="F1934" s="9"/>
      <c r="G1934" s="7" t="str">
        <f aca="false">IF(A1934="","",IF(COUNTIF(Tabelas!$A:$A,IF(E1934="",A1934,E1934))&gt;0,"sim","não"))</f>
        <v/>
      </c>
      <c r="H1934" s="7" t="str">
        <f aca="false">IF(A1934="","",IF(E1934="",A1934,E1934)&amp;"."&amp;IF(F1934="",B1934,F1934))</f>
        <v/>
      </c>
      <c r="I1934" s="7" t="str">
        <f aca="false">IF(A1934="","",IFERROR(INDEX('Campos Growths'!$F:$F,MATCH(H1934,'Campos Growths'!$A:$A,0)),""))</f>
        <v/>
      </c>
      <c r="J1934" s="7" t="str">
        <f aca="false">IF(A1934="","",IFERROR(VLOOKUP(IF(ISNUMBER(SEARCH("(",C1934)),LEFT(C1934,SEARCH("(",C1934)-1),C1934),Tipos!$A:$B,2,FALSE()),"outro"))</f>
        <v/>
      </c>
      <c r="K1934" s="7" t="str">
        <f aca="false">IF(I1934="","",IFERROR(INDEX('Campos Growths'!$L:$L,MATCH(H1934,'Campos Growths'!$A:$A,0)),""))</f>
        <v/>
      </c>
      <c r="L1934" s="7" t="str">
        <f aca="false">IF(A1934="","",IF(G1934="não","Sem tabela no Growths",IF(I1934="","Sem campo no Growths",IF(J1934=K1934,"Importa direto","Ajustar tipo"))))</f>
        <v/>
      </c>
      <c r="M1934" s="9"/>
    </row>
    <row r="1935" customFormat="false" ht="15" hidden="false" customHeight="false" outlineLevel="0" collapsed="false">
      <c r="A1935" s="7" t="str">
        <f aca="false">IF('Outro banco'!A1935="","",IF(LEFT('Outro banco'!A1935,1)="(","",'Outro banco'!A1935))</f>
        <v/>
      </c>
      <c r="B1935" s="7" t="str">
        <f aca="false">IF(A1935="","",'Outro banco'!B1935)</f>
        <v/>
      </c>
      <c r="C1935" s="7" t="str">
        <f aca="false">IF(A1935="","",'Outro banco'!C1935)</f>
        <v/>
      </c>
      <c r="D1935" s="7" t="str">
        <f aca="false">IF(A1935="","",'Outro banco'!D1935)</f>
        <v/>
      </c>
      <c r="E1935" s="9"/>
      <c r="F1935" s="9"/>
      <c r="G1935" s="7" t="str">
        <f aca="false">IF(A1935="","",IF(COUNTIF(Tabelas!$A:$A,IF(E1935="",A1935,E1935))&gt;0,"sim","não"))</f>
        <v/>
      </c>
      <c r="H1935" s="7" t="str">
        <f aca="false">IF(A1935="","",IF(E1935="",A1935,E1935)&amp;"."&amp;IF(F1935="",B1935,F1935))</f>
        <v/>
      </c>
      <c r="I1935" s="7" t="str">
        <f aca="false">IF(A1935="","",IFERROR(INDEX('Campos Growths'!$F:$F,MATCH(H1935,'Campos Growths'!$A:$A,0)),""))</f>
        <v/>
      </c>
      <c r="J1935" s="7" t="str">
        <f aca="false">IF(A1935="","",IFERROR(VLOOKUP(IF(ISNUMBER(SEARCH("(",C1935)),LEFT(C1935,SEARCH("(",C1935)-1),C1935),Tipos!$A:$B,2,FALSE()),"outro"))</f>
        <v/>
      </c>
      <c r="K1935" s="7" t="str">
        <f aca="false">IF(I1935="","",IFERROR(INDEX('Campos Growths'!$L:$L,MATCH(H1935,'Campos Growths'!$A:$A,0)),""))</f>
        <v/>
      </c>
      <c r="L1935" s="7" t="str">
        <f aca="false">IF(A1935="","",IF(G1935="não","Sem tabela no Growths",IF(I1935="","Sem campo no Growths",IF(J1935=K1935,"Importa direto","Ajustar tipo"))))</f>
        <v/>
      </c>
      <c r="M1935" s="9"/>
    </row>
    <row r="1936" customFormat="false" ht="15" hidden="false" customHeight="false" outlineLevel="0" collapsed="false">
      <c r="A1936" s="7" t="str">
        <f aca="false">IF('Outro banco'!A1936="","",IF(LEFT('Outro banco'!A1936,1)="(","",'Outro banco'!A1936))</f>
        <v/>
      </c>
      <c r="B1936" s="7" t="str">
        <f aca="false">IF(A1936="","",'Outro banco'!B1936)</f>
        <v/>
      </c>
      <c r="C1936" s="7" t="str">
        <f aca="false">IF(A1936="","",'Outro banco'!C1936)</f>
        <v/>
      </c>
      <c r="D1936" s="7" t="str">
        <f aca="false">IF(A1936="","",'Outro banco'!D1936)</f>
        <v/>
      </c>
      <c r="E1936" s="9"/>
      <c r="F1936" s="9"/>
      <c r="G1936" s="7" t="str">
        <f aca="false">IF(A1936="","",IF(COUNTIF(Tabelas!$A:$A,IF(E1936="",A1936,E1936))&gt;0,"sim","não"))</f>
        <v/>
      </c>
      <c r="H1936" s="7" t="str">
        <f aca="false">IF(A1936="","",IF(E1936="",A1936,E1936)&amp;"."&amp;IF(F1936="",B1936,F1936))</f>
        <v/>
      </c>
      <c r="I1936" s="7" t="str">
        <f aca="false">IF(A1936="","",IFERROR(INDEX('Campos Growths'!$F:$F,MATCH(H1936,'Campos Growths'!$A:$A,0)),""))</f>
        <v/>
      </c>
      <c r="J1936" s="7" t="str">
        <f aca="false">IF(A1936="","",IFERROR(VLOOKUP(IF(ISNUMBER(SEARCH("(",C1936)),LEFT(C1936,SEARCH("(",C1936)-1),C1936),Tipos!$A:$B,2,FALSE()),"outro"))</f>
        <v/>
      </c>
      <c r="K1936" s="7" t="str">
        <f aca="false">IF(I1936="","",IFERROR(INDEX('Campos Growths'!$L:$L,MATCH(H1936,'Campos Growths'!$A:$A,0)),""))</f>
        <v/>
      </c>
      <c r="L1936" s="7" t="str">
        <f aca="false">IF(A1936="","",IF(G1936="não","Sem tabela no Growths",IF(I1936="","Sem campo no Growths",IF(J1936=K1936,"Importa direto","Ajustar tipo"))))</f>
        <v/>
      </c>
      <c r="M1936" s="9"/>
    </row>
    <row r="1937" customFormat="false" ht="15" hidden="false" customHeight="false" outlineLevel="0" collapsed="false">
      <c r="A1937" s="7" t="str">
        <f aca="false">IF('Outro banco'!A1937="","",IF(LEFT('Outro banco'!A1937,1)="(","",'Outro banco'!A1937))</f>
        <v/>
      </c>
      <c r="B1937" s="7" t="str">
        <f aca="false">IF(A1937="","",'Outro banco'!B1937)</f>
        <v/>
      </c>
      <c r="C1937" s="7" t="str">
        <f aca="false">IF(A1937="","",'Outro banco'!C1937)</f>
        <v/>
      </c>
      <c r="D1937" s="7" t="str">
        <f aca="false">IF(A1937="","",'Outro banco'!D1937)</f>
        <v/>
      </c>
      <c r="E1937" s="9"/>
      <c r="F1937" s="9"/>
      <c r="G1937" s="7" t="str">
        <f aca="false">IF(A1937="","",IF(COUNTIF(Tabelas!$A:$A,IF(E1937="",A1937,E1937))&gt;0,"sim","não"))</f>
        <v/>
      </c>
      <c r="H1937" s="7" t="str">
        <f aca="false">IF(A1937="","",IF(E1937="",A1937,E1937)&amp;"."&amp;IF(F1937="",B1937,F1937))</f>
        <v/>
      </c>
      <c r="I1937" s="7" t="str">
        <f aca="false">IF(A1937="","",IFERROR(INDEX('Campos Growths'!$F:$F,MATCH(H1937,'Campos Growths'!$A:$A,0)),""))</f>
        <v/>
      </c>
      <c r="J1937" s="7" t="str">
        <f aca="false">IF(A1937="","",IFERROR(VLOOKUP(IF(ISNUMBER(SEARCH("(",C1937)),LEFT(C1937,SEARCH("(",C1937)-1),C1937),Tipos!$A:$B,2,FALSE()),"outro"))</f>
        <v/>
      </c>
      <c r="K1937" s="7" t="str">
        <f aca="false">IF(I1937="","",IFERROR(INDEX('Campos Growths'!$L:$L,MATCH(H1937,'Campos Growths'!$A:$A,0)),""))</f>
        <v/>
      </c>
      <c r="L1937" s="7" t="str">
        <f aca="false">IF(A1937="","",IF(G1937="não","Sem tabela no Growths",IF(I1937="","Sem campo no Growths",IF(J1937=K1937,"Importa direto","Ajustar tipo"))))</f>
        <v/>
      </c>
      <c r="M1937" s="9"/>
    </row>
    <row r="1938" customFormat="false" ht="15" hidden="false" customHeight="false" outlineLevel="0" collapsed="false">
      <c r="A1938" s="7" t="str">
        <f aca="false">IF('Outro banco'!A1938="","",IF(LEFT('Outro banco'!A1938,1)="(","",'Outro banco'!A1938))</f>
        <v/>
      </c>
      <c r="B1938" s="7" t="str">
        <f aca="false">IF(A1938="","",'Outro banco'!B1938)</f>
        <v/>
      </c>
      <c r="C1938" s="7" t="str">
        <f aca="false">IF(A1938="","",'Outro banco'!C1938)</f>
        <v/>
      </c>
      <c r="D1938" s="7" t="str">
        <f aca="false">IF(A1938="","",'Outro banco'!D1938)</f>
        <v/>
      </c>
      <c r="E1938" s="9"/>
      <c r="F1938" s="9"/>
      <c r="G1938" s="7" t="str">
        <f aca="false">IF(A1938="","",IF(COUNTIF(Tabelas!$A:$A,IF(E1938="",A1938,E1938))&gt;0,"sim","não"))</f>
        <v/>
      </c>
      <c r="H1938" s="7" t="str">
        <f aca="false">IF(A1938="","",IF(E1938="",A1938,E1938)&amp;"."&amp;IF(F1938="",B1938,F1938))</f>
        <v/>
      </c>
      <c r="I1938" s="7" t="str">
        <f aca="false">IF(A1938="","",IFERROR(INDEX('Campos Growths'!$F:$F,MATCH(H1938,'Campos Growths'!$A:$A,0)),""))</f>
        <v/>
      </c>
      <c r="J1938" s="7" t="str">
        <f aca="false">IF(A1938="","",IFERROR(VLOOKUP(IF(ISNUMBER(SEARCH("(",C1938)),LEFT(C1938,SEARCH("(",C1938)-1),C1938),Tipos!$A:$B,2,FALSE()),"outro"))</f>
        <v/>
      </c>
      <c r="K1938" s="7" t="str">
        <f aca="false">IF(I1938="","",IFERROR(INDEX('Campos Growths'!$L:$L,MATCH(H1938,'Campos Growths'!$A:$A,0)),""))</f>
        <v/>
      </c>
      <c r="L1938" s="7" t="str">
        <f aca="false">IF(A1938="","",IF(G1938="não","Sem tabela no Growths",IF(I1938="","Sem campo no Growths",IF(J1938=K1938,"Importa direto","Ajustar tipo"))))</f>
        <v/>
      </c>
      <c r="M1938" s="9"/>
    </row>
    <row r="1939" customFormat="false" ht="15" hidden="false" customHeight="false" outlineLevel="0" collapsed="false">
      <c r="A1939" s="7" t="str">
        <f aca="false">IF('Outro banco'!A1939="","",IF(LEFT('Outro banco'!A1939,1)="(","",'Outro banco'!A1939))</f>
        <v/>
      </c>
      <c r="B1939" s="7" t="str">
        <f aca="false">IF(A1939="","",'Outro banco'!B1939)</f>
        <v/>
      </c>
      <c r="C1939" s="7" t="str">
        <f aca="false">IF(A1939="","",'Outro banco'!C1939)</f>
        <v/>
      </c>
      <c r="D1939" s="7" t="str">
        <f aca="false">IF(A1939="","",'Outro banco'!D1939)</f>
        <v/>
      </c>
      <c r="E1939" s="9"/>
      <c r="F1939" s="9"/>
      <c r="G1939" s="7" t="str">
        <f aca="false">IF(A1939="","",IF(COUNTIF(Tabelas!$A:$A,IF(E1939="",A1939,E1939))&gt;0,"sim","não"))</f>
        <v/>
      </c>
      <c r="H1939" s="7" t="str">
        <f aca="false">IF(A1939="","",IF(E1939="",A1939,E1939)&amp;"."&amp;IF(F1939="",B1939,F1939))</f>
        <v/>
      </c>
      <c r="I1939" s="7" t="str">
        <f aca="false">IF(A1939="","",IFERROR(INDEX('Campos Growths'!$F:$F,MATCH(H1939,'Campos Growths'!$A:$A,0)),""))</f>
        <v/>
      </c>
      <c r="J1939" s="7" t="str">
        <f aca="false">IF(A1939="","",IFERROR(VLOOKUP(IF(ISNUMBER(SEARCH("(",C1939)),LEFT(C1939,SEARCH("(",C1939)-1),C1939),Tipos!$A:$B,2,FALSE()),"outro"))</f>
        <v/>
      </c>
      <c r="K1939" s="7" t="str">
        <f aca="false">IF(I1939="","",IFERROR(INDEX('Campos Growths'!$L:$L,MATCH(H1939,'Campos Growths'!$A:$A,0)),""))</f>
        <v/>
      </c>
      <c r="L1939" s="7" t="str">
        <f aca="false">IF(A1939="","",IF(G1939="não","Sem tabela no Growths",IF(I1939="","Sem campo no Growths",IF(J1939=K1939,"Importa direto","Ajustar tipo"))))</f>
        <v/>
      </c>
      <c r="M1939" s="9"/>
    </row>
    <row r="1940" customFormat="false" ht="15" hidden="false" customHeight="false" outlineLevel="0" collapsed="false">
      <c r="A1940" s="7" t="str">
        <f aca="false">IF('Outro banco'!A1940="","",IF(LEFT('Outro banco'!A1940,1)="(","",'Outro banco'!A1940))</f>
        <v/>
      </c>
      <c r="B1940" s="7" t="str">
        <f aca="false">IF(A1940="","",'Outro banco'!B1940)</f>
        <v/>
      </c>
      <c r="C1940" s="7" t="str">
        <f aca="false">IF(A1940="","",'Outro banco'!C1940)</f>
        <v/>
      </c>
      <c r="D1940" s="7" t="str">
        <f aca="false">IF(A1940="","",'Outro banco'!D1940)</f>
        <v/>
      </c>
      <c r="E1940" s="9"/>
      <c r="F1940" s="9"/>
      <c r="G1940" s="7" t="str">
        <f aca="false">IF(A1940="","",IF(COUNTIF(Tabelas!$A:$A,IF(E1940="",A1940,E1940))&gt;0,"sim","não"))</f>
        <v/>
      </c>
      <c r="H1940" s="7" t="str">
        <f aca="false">IF(A1940="","",IF(E1940="",A1940,E1940)&amp;"."&amp;IF(F1940="",B1940,F1940))</f>
        <v/>
      </c>
      <c r="I1940" s="7" t="str">
        <f aca="false">IF(A1940="","",IFERROR(INDEX('Campos Growths'!$F:$F,MATCH(H1940,'Campos Growths'!$A:$A,0)),""))</f>
        <v/>
      </c>
      <c r="J1940" s="7" t="str">
        <f aca="false">IF(A1940="","",IFERROR(VLOOKUP(IF(ISNUMBER(SEARCH("(",C1940)),LEFT(C1940,SEARCH("(",C1940)-1),C1940),Tipos!$A:$B,2,FALSE()),"outro"))</f>
        <v/>
      </c>
      <c r="K1940" s="7" t="str">
        <f aca="false">IF(I1940="","",IFERROR(INDEX('Campos Growths'!$L:$L,MATCH(H1940,'Campos Growths'!$A:$A,0)),""))</f>
        <v/>
      </c>
      <c r="L1940" s="7" t="str">
        <f aca="false">IF(A1940="","",IF(G1940="não","Sem tabela no Growths",IF(I1940="","Sem campo no Growths",IF(J1940=K1940,"Importa direto","Ajustar tipo"))))</f>
        <v/>
      </c>
      <c r="M1940" s="9"/>
    </row>
    <row r="1941" customFormat="false" ht="15" hidden="false" customHeight="false" outlineLevel="0" collapsed="false">
      <c r="A1941" s="7" t="str">
        <f aca="false">IF('Outro banco'!A1941="","",IF(LEFT('Outro banco'!A1941,1)="(","",'Outro banco'!A1941))</f>
        <v/>
      </c>
      <c r="B1941" s="7" t="str">
        <f aca="false">IF(A1941="","",'Outro banco'!B1941)</f>
        <v/>
      </c>
      <c r="C1941" s="7" t="str">
        <f aca="false">IF(A1941="","",'Outro banco'!C1941)</f>
        <v/>
      </c>
      <c r="D1941" s="7" t="str">
        <f aca="false">IF(A1941="","",'Outro banco'!D1941)</f>
        <v/>
      </c>
      <c r="E1941" s="9"/>
      <c r="F1941" s="9"/>
      <c r="G1941" s="7" t="str">
        <f aca="false">IF(A1941="","",IF(COUNTIF(Tabelas!$A:$A,IF(E1941="",A1941,E1941))&gt;0,"sim","não"))</f>
        <v/>
      </c>
      <c r="H1941" s="7" t="str">
        <f aca="false">IF(A1941="","",IF(E1941="",A1941,E1941)&amp;"."&amp;IF(F1941="",B1941,F1941))</f>
        <v/>
      </c>
      <c r="I1941" s="7" t="str">
        <f aca="false">IF(A1941="","",IFERROR(INDEX('Campos Growths'!$F:$F,MATCH(H1941,'Campos Growths'!$A:$A,0)),""))</f>
        <v/>
      </c>
      <c r="J1941" s="7" t="str">
        <f aca="false">IF(A1941="","",IFERROR(VLOOKUP(IF(ISNUMBER(SEARCH("(",C1941)),LEFT(C1941,SEARCH("(",C1941)-1),C1941),Tipos!$A:$B,2,FALSE()),"outro"))</f>
        <v/>
      </c>
      <c r="K1941" s="7" t="str">
        <f aca="false">IF(I1941="","",IFERROR(INDEX('Campos Growths'!$L:$L,MATCH(H1941,'Campos Growths'!$A:$A,0)),""))</f>
        <v/>
      </c>
      <c r="L1941" s="7" t="str">
        <f aca="false">IF(A1941="","",IF(G1941="não","Sem tabela no Growths",IF(I1941="","Sem campo no Growths",IF(J1941=K1941,"Importa direto","Ajustar tipo"))))</f>
        <v/>
      </c>
      <c r="M1941" s="9"/>
    </row>
    <row r="1942" customFormat="false" ht="15" hidden="false" customHeight="false" outlineLevel="0" collapsed="false">
      <c r="A1942" s="7" t="str">
        <f aca="false">IF('Outro banco'!A1942="","",IF(LEFT('Outro banco'!A1942,1)="(","",'Outro banco'!A1942))</f>
        <v/>
      </c>
      <c r="B1942" s="7" t="str">
        <f aca="false">IF(A1942="","",'Outro banco'!B1942)</f>
        <v/>
      </c>
      <c r="C1942" s="7" t="str">
        <f aca="false">IF(A1942="","",'Outro banco'!C1942)</f>
        <v/>
      </c>
      <c r="D1942" s="7" t="str">
        <f aca="false">IF(A1942="","",'Outro banco'!D1942)</f>
        <v/>
      </c>
      <c r="E1942" s="9"/>
      <c r="F1942" s="9"/>
      <c r="G1942" s="7" t="str">
        <f aca="false">IF(A1942="","",IF(COUNTIF(Tabelas!$A:$A,IF(E1942="",A1942,E1942))&gt;0,"sim","não"))</f>
        <v/>
      </c>
      <c r="H1942" s="7" t="str">
        <f aca="false">IF(A1942="","",IF(E1942="",A1942,E1942)&amp;"."&amp;IF(F1942="",B1942,F1942))</f>
        <v/>
      </c>
      <c r="I1942" s="7" t="str">
        <f aca="false">IF(A1942="","",IFERROR(INDEX('Campos Growths'!$F:$F,MATCH(H1942,'Campos Growths'!$A:$A,0)),""))</f>
        <v/>
      </c>
      <c r="J1942" s="7" t="str">
        <f aca="false">IF(A1942="","",IFERROR(VLOOKUP(IF(ISNUMBER(SEARCH("(",C1942)),LEFT(C1942,SEARCH("(",C1942)-1),C1942),Tipos!$A:$B,2,FALSE()),"outro"))</f>
        <v/>
      </c>
      <c r="K1942" s="7" t="str">
        <f aca="false">IF(I1942="","",IFERROR(INDEX('Campos Growths'!$L:$L,MATCH(H1942,'Campos Growths'!$A:$A,0)),""))</f>
        <v/>
      </c>
      <c r="L1942" s="7" t="str">
        <f aca="false">IF(A1942="","",IF(G1942="não","Sem tabela no Growths",IF(I1942="","Sem campo no Growths",IF(J1942=K1942,"Importa direto","Ajustar tipo"))))</f>
        <v/>
      </c>
      <c r="M1942" s="9"/>
    </row>
    <row r="1943" customFormat="false" ht="15" hidden="false" customHeight="false" outlineLevel="0" collapsed="false">
      <c r="A1943" s="7" t="str">
        <f aca="false">IF('Outro banco'!A1943="","",IF(LEFT('Outro banco'!A1943,1)="(","",'Outro banco'!A1943))</f>
        <v/>
      </c>
      <c r="B1943" s="7" t="str">
        <f aca="false">IF(A1943="","",'Outro banco'!B1943)</f>
        <v/>
      </c>
      <c r="C1943" s="7" t="str">
        <f aca="false">IF(A1943="","",'Outro banco'!C1943)</f>
        <v/>
      </c>
      <c r="D1943" s="7" t="str">
        <f aca="false">IF(A1943="","",'Outro banco'!D1943)</f>
        <v/>
      </c>
      <c r="E1943" s="9"/>
      <c r="F1943" s="9"/>
      <c r="G1943" s="7" t="str">
        <f aca="false">IF(A1943="","",IF(COUNTIF(Tabelas!$A:$A,IF(E1943="",A1943,E1943))&gt;0,"sim","não"))</f>
        <v/>
      </c>
      <c r="H1943" s="7" t="str">
        <f aca="false">IF(A1943="","",IF(E1943="",A1943,E1943)&amp;"."&amp;IF(F1943="",B1943,F1943))</f>
        <v/>
      </c>
      <c r="I1943" s="7" t="str">
        <f aca="false">IF(A1943="","",IFERROR(INDEX('Campos Growths'!$F:$F,MATCH(H1943,'Campos Growths'!$A:$A,0)),""))</f>
        <v/>
      </c>
      <c r="J1943" s="7" t="str">
        <f aca="false">IF(A1943="","",IFERROR(VLOOKUP(IF(ISNUMBER(SEARCH("(",C1943)),LEFT(C1943,SEARCH("(",C1943)-1),C1943),Tipos!$A:$B,2,FALSE()),"outro"))</f>
        <v/>
      </c>
      <c r="K1943" s="7" t="str">
        <f aca="false">IF(I1943="","",IFERROR(INDEX('Campos Growths'!$L:$L,MATCH(H1943,'Campos Growths'!$A:$A,0)),""))</f>
        <v/>
      </c>
      <c r="L1943" s="7" t="str">
        <f aca="false">IF(A1943="","",IF(G1943="não","Sem tabela no Growths",IF(I1943="","Sem campo no Growths",IF(J1943=K1943,"Importa direto","Ajustar tipo"))))</f>
        <v/>
      </c>
      <c r="M1943" s="9"/>
    </row>
    <row r="1944" customFormat="false" ht="15" hidden="false" customHeight="false" outlineLevel="0" collapsed="false">
      <c r="A1944" s="7" t="str">
        <f aca="false">IF('Outro banco'!A1944="","",IF(LEFT('Outro banco'!A1944,1)="(","",'Outro banco'!A1944))</f>
        <v/>
      </c>
      <c r="B1944" s="7" t="str">
        <f aca="false">IF(A1944="","",'Outro banco'!B1944)</f>
        <v/>
      </c>
      <c r="C1944" s="7" t="str">
        <f aca="false">IF(A1944="","",'Outro banco'!C1944)</f>
        <v/>
      </c>
      <c r="D1944" s="7" t="str">
        <f aca="false">IF(A1944="","",'Outro banco'!D1944)</f>
        <v/>
      </c>
      <c r="E1944" s="9"/>
      <c r="F1944" s="9"/>
      <c r="G1944" s="7" t="str">
        <f aca="false">IF(A1944="","",IF(COUNTIF(Tabelas!$A:$A,IF(E1944="",A1944,E1944))&gt;0,"sim","não"))</f>
        <v/>
      </c>
      <c r="H1944" s="7" t="str">
        <f aca="false">IF(A1944="","",IF(E1944="",A1944,E1944)&amp;"."&amp;IF(F1944="",B1944,F1944))</f>
        <v/>
      </c>
      <c r="I1944" s="7" t="str">
        <f aca="false">IF(A1944="","",IFERROR(INDEX('Campos Growths'!$F:$F,MATCH(H1944,'Campos Growths'!$A:$A,0)),""))</f>
        <v/>
      </c>
      <c r="J1944" s="7" t="str">
        <f aca="false">IF(A1944="","",IFERROR(VLOOKUP(IF(ISNUMBER(SEARCH("(",C1944)),LEFT(C1944,SEARCH("(",C1944)-1),C1944),Tipos!$A:$B,2,FALSE()),"outro"))</f>
        <v/>
      </c>
      <c r="K1944" s="7" t="str">
        <f aca="false">IF(I1944="","",IFERROR(INDEX('Campos Growths'!$L:$L,MATCH(H1944,'Campos Growths'!$A:$A,0)),""))</f>
        <v/>
      </c>
      <c r="L1944" s="7" t="str">
        <f aca="false">IF(A1944="","",IF(G1944="não","Sem tabela no Growths",IF(I1944="","Sem campo no Growths",IF(J1944=K1944,"Importa direto","Ajustar tipo"))))</f>
        <v/>
      </c>
      <c r="M1944" s="9"/>
    </row>
    <row r="1945" customFormat="false" ht="15" hidden="false" customHeight="false" outlineLevel="0" collapsed="false">
      <c r="A1945" s="7" t="str">
        <f aca="false">IF('Outro banco'!A1945="","",IF(LEFT('Outro banco'!A1945,1)="(","",'Outro banco'!A1945))</f>
        <v/>
      </c>
      <c r="B1945" s="7" t="str">
        <f aca="false">IF(A1945="","",'Outro banco'!B1945)</f>
        <v/>
      </c>
      <c r="C1945" s="7" t="str">
        <f aca="false">IF(A1945="","",'Outro banco'!C1945)</f>
        <v/>
      </c>
      <c r="D1945" s="7" t="str">
        <f aca="false">IF(A1945="","",'Outro banco'!D1945)</f>
        <v/>
      </c>
      <c r="E1945" s="9"/>
      <c r="F1945" s="9"/>
      <c r="G1945" s="7" t="str">
        <f aca="false">IF(A1945="","",IF(COUNTIF(Tabelas!$A:$A,IF(E1945="",A1945,E1945))&gt;0,"sim","não"))</f>
        <v/>
      </c>
      <c r="H1945" s="7" t="str">
        <f aca="false">IF(A1945="","",IF(E1945="",A1945,E1945)&amp;"."&amp;IF(F1945="",B1945,F1945))</f>
        <v/>
      </c>
      <c r="I1945" s="7" t="str">
        <f aca="false">IF(A1945="","",IFERROR(INDEX('Campos Growths'!$F:$F,MATCH(H1945,'Campos Growths'!$A:$A,0)),""))</f>
        <v/>
      </c>
      <c r="J1945" s="7" t="str">
        <f aca="false">IF(A1945="","",IFERROR(VLOOKUP(IF(ISNUMBER(SEARCH("(",C1945)),LEFT(C1945,SEARCH("(",C1945)-1),C1945),Tipos!$A:$B,2,FALSE()),"outro"))</f>
        <v/>
      </c>
      <c r="K1945" s="7" t="str">
        <f aca="false">IF(I1945="","",IFERROR(INDEX('Campos Growths'!$L:$L,MATCH(H1945,'Campos Growths'!$A:$A,0)),""))</f>
        <v/>
      </c>
      <c r="L1945" s="7" t="str">
        <f aca="false">IF(A1945="","",IF(G1945="não","Sem tabela no Growths",IF(I1945="","Sem campo no Growths",IF(J1945=K1945,"Importa direto","Ajustar tipo"))))</f>
        <v/>
      </c>
      <c r="M1945" s="9"/>
    </row>
    <row r="1946" customFormat="false" ht="15" hidden="false" customHeight="false" outlineLevel="0" collapsed="false">
      <c r="A1946" s="7" t="str">
        <f aca="false">IF('Outro banco'!A1946="","",IF(LEFT('Outro banco'!A1946,1)="(","",'Outro banco'!A1946))</f>
        <v/>
      </c>
      <c r="B1946" s="7" t="str">
        <f aca="false">IF(A1946="","",'Outro banco'!B1946)</f>
        <v/>
      </c>
      <c r="C1946" s="7" t="str">
        <f aca="false">IF(A1946="","",'Outro banco'!C1946)</f>
        <v/>
      </c>
      <c r="D1946" s="7" t="str">
        <f aca="false">IF(A1946="","",'Outro banco'!D1946)</f>
        <v/>
      </c>
      <c r="E1946" s="9"/>
      <c r="F1946" s="9"/>
      <c r="G1946" s="7" t="str">
        <f aca="false">IF(A1946="","",IF(COUNTIF(Tabelas!$A:$A,IF(E1946="",A1946,E1946))&gt;0,"sim","não"))</f>
        <v/>
      </c>
      <c r="H1946" s="7" t="str">
        <f aca="false">IF(A1946="","",IF(E1946="",A1946,E1946)&amp;"."&amp;IF(F1946="",B1946,F1946))</f>
        <v/>
      </c>
      <c r="I1946" s="7" t="str">
        <f aca="false">IF(A1946="","",IFERROR(INDEX('Campos Growths'!$F:$F,MATCH(H1946,'Campos Growths'!$A:$A,0)),""))</f>
        <v/>
      </c>
      <c r="J1946" s="7" t="str">
        <f aca="false">IF(A1946="","",IFERROR(VLOOKUP(IF(ISNUMBER(SEARCH("(",C1946)),LEFT(C1946,SEARCH("(",C1946)-1),C1946),Tipos!$A:$B,2,FALSE()),"outro"))</f>
        <v/>
      </c>
      <c r="K1946" s="7" t="str">
        <f aca="false">IF(I1946="","",IFERROR(INDEX('Campos Growths'!$L:$L,MATCH(H1946,'Campos Growths'!$A:$A,0)),""))</f>
        <v/>
      </c>
      <c r="L1946" s="7" t="str">
        <f aca="false">IF(A1946="","",IF(G1946="não","Sem tabela no Growths",IF(I1946="","Sem campo no Growths",IF(J1946=K1946,"Importa direto","Ajustar tipo"))))</f>
        <v/>
      </c>
      <c r="M1946" s="9"/>
    </row>
    <row r="1947" customFormat="false" ht="15" hidden="false" customHeight="false" outlineLevel="0" collapsed="false">
      <c r="A1947" s="7" t="str">
        <f aca="false">IF('Outro banco'!A1947="","",IF(LEFT('Outro banco'!A1947,1)="(","",'Outro banco'!A1947))</f>
        <v/>
      </c>
      <c r="B1947" s="7" t="str">
        <f aca="false">IF(A1947="","",'Outro banco'!B1947)</f>
        <v/>
      </c>
      <c r="C1947" s="7" t="str">
        <f aca="false">IF(A1947="","",'Outro banco'!C1947)</f>
        <v/>
      </c>
      <c r="D1947" s="7" t="str">
        <f aca="false">IF(A1947="","",'Outro banco'!D1947)</f>
        <v/>
      </c>
      <c r="E1947" s="9"/>
      <c r="F1947" s="9"/>
      <c r="G1947" s="7" t="str">
        <f aca="false">IF(A1947="","",IF(COUNTIF(Tabelas!$A:$A,IF(E1947="",A1947,E1947))&gt;0,"sim","não"))</f>
        <v/>
      </c>
      <c r="H1947" s="7" t="str">
        <f aca="false">IF(A1947="","",IF(E1947="",A1947,E1947)&amp;"."&amp;IF(F1947="",B1947,F1947))</f>
        <v/>
      </c>
      <c r="I1947" s="7" t="str">
        <f aca="false">IF(A1947="","",IFERROR(INDEX('Campos Growths'!$F:$F,MATCH(H1947,'Campos Growths'!$A:$A,0)),""))</f>
        <v/>
      </c>
      <c r="J1947" s="7" t="str">
        <f aca="false">IF(A1947="","",IFERROR(VLOOKUP(IF(ISNUMBER(SEARCH("(",C1947)),LEFT(C1947,SEARCH("(",C1947)-1),C1947),Tipos!$A:$B,2,FALSE()),"outro"))</f>
        <v/>
      </c>
      <c r="K1947" s="7" t="str">
        <f aca="false">IF(I1947="","",IFERROR(INDEX('Campos Growths'!$L:$L,MATCH(H1947,'Campos Growths'!$A:$A,0)),""))</f>
        <v/>
      </c>
      <c r="L1947" s="7" t="str">
        <f aca="false">IF(A1947="","",IF(G1947="não","Sem tabela no Growths",IF(I1947="","Sem campo no Growths",IF(J1947=K1947,"Importa direto","Ajustar tipo"))))</f>
        <v/>
      </c>
      <c r="M1947" s="9"/>
    </row>
    <row r="1948" customFormat="false" ht="15" hidden="false" customHeight="false" outlineLevel="0" collapsed="false">
      <c r="A1948" s="7" t="str">
        <f aca="false">IF('Outro banco'!A1948="","",IF(LEFT('Outro banco'!A1948,1)="(","",'Outro banco'!A1948))</f>
        <v/>
      </c>
      <c r="B1948" s="7" t="str">
        <f aca="false">IF(A1948="","",'Outro banco'!B1948)</f>
        <v/>
      </c>
      <c r="C1948" s="7" t="str">
        <f aca="false">IF(A1948="","",'Outro banco'!C1948)</f>
        <v/>
      </c>
      <c r="D1948" s="7" t="str">
        <f aca="false">IF(A1948="","",'Outro banco'!D1948)</f>
        <v/>
      </c>
      <c r="E1948" s="9"/>
      <c r="F1948" s="9"/>
      <c r="G1948" s="7" t="str">
        <f aca="false">IF(A1948="","",IF(COUNTIF(Tabelas!$A:$A,IF(E1948="",A1948,E1948))&gt;0,"sim","não"))</f>
        <v/>
      </c>
      <c r="H1948" s="7" t="str">
        <f aca="false">IF(A1948="","",IF(E1948="",A1948,E1948)&amp;"."&amp;IF(F1948="",B1948,F1948))</f>
        <v/>
      </c>
      <c r="I1948" s="7" t="str">
        <f aca="false">IF(A1948="","",IFERROR(INDEX('Campos Growths'!$F:$F,MATCH(H1948,'Campos Growths'!$A:$A,0)),""))</f>
        <v/>
      </c>
      <c r="J1948" s="7" t="str">
        <f aca="false">IF(A1948="","",IFERROR(VLOOKUP(IF(ISNUMBER(SEARCH("(",C1948)),LEFT(C1948,SEARCH("(",C1948)-1),C1948),Tipos!$A:$B,2,FALSE()),"outro"))</f>
        <v/>
      </c>
      <c r="K1948" s="7" t="str">
        <f aca="false">IF(I1948="","",IFERROR(INDEX('Campos Growths'!$L:$L,MATCH(H1948,'Campos Growths'!$A:$A,0)),""))</f>
        <v/>
      </c>
      <c r="L1948" s="7" t="str">
        <f aca="false">IF(A1948="","",IF(G1948="não","Sem tabela no Growths",IF(I1948="","Sem campo no Growths",IF(J1948=K1948,"Importa direto","Ajustar tipo"))))</f>
        <v/>
      </c>
      <c r="M1948" s="9"/>
    </row>
    <row r="1949" customFormat="false" ht="15" hidden="false" customHeight="false" outlineLevel="0" collapsed="false">
      <c r="A1949" s="7" t="str">
        <f aca="false">IF('Outro banco'!A1949="","",IF(LEFT('Outro banco'!A1949,1)="(","",'Outro banco'!A1949))</f>
        <v/>
      </c>
      <c r="B1949" s="7" t="str">
        <f aca="false">IF(A1949="","",'Outro banco'!B1949)</f>
        <v/>
      </c>
      <c r="C1949" s="7" t="str">
        <f aca="false">IF(A1949="","",'Outro banco'!C1949)</f>
        <v/>
      </c>
      <c r="D1949" s="7" t="str">
        <f aca="false">IF(A1949="","",'Outro banco'!D1949)</f>
        <v/>
      </c>
      <c r="E1949" s="9"/>
      <c r="F1949" s="9"/>
      <c r="G1949" s="7" t="str">
        <f aca="false">IF(A1949="","",IF(COUNTIF(Tabelas!$A:$A,IF(E1949="",A1949,E1949))&gt;0,"sim","não"))</f>
        <v/>
      </c>
      <c r="H1949" s="7" t="str">
        <f aca="false">IF(A1949="","",IF(E1949="",A1949,E1949)&amp;"."&amp;IF(F1949="",B1949,F1949))</f>
        <v/>
      </c>
      <c r="I1949" s="7" t="str">
        <f aca="false">IF(A1949="","",IFERROR(INDEX('Campos Growths'!$F:$F,MATCH(H1949,'Campos Growths'!$A:$A,0)),""))</f>
        <v/>
      </c>
      <c r="J1949" s="7" t="str">
        <f aca="false">IF(A1949="","",IFERROR(VLOOKUP(IF(ISNUMBER(SEARCH("(",C1949)),LEFT(C1949,SEARCH("(",C1949)-1),C1949),Tipos!$A:$B,2,FALSE()),"outro"))</f>
        <v/>
      </c>
      <c r="K1949" s="7" t="str">
        <f aca="false">IF(I1949="","",IFERROR(INDEX('Campos Growths'!$L:$L,MATCH(H1949,'Campos Growths'!$A:$A,0)),""))</f>
        <v/>
      </c>
      <c r="L1949" s="7" t="str">
        <f aca="false">IF(A1949="","",IF(G1949="não","Sem tabela no Growths",IF(I1949="","Sem campo no Growths",IF(J1949=K1949,"Importa direto","Ajustar tipo"))))</f>
        <v/>
      </c>
      <c r="M1949" s="9"/>
    </row>
    <row r="1950" customFormat="false" ht="15" hidden="false" customHeight="false" outlineLevel="0" collapsed="false">
      <c r="A1950" s="7" t="str">
        <f aca="false">IF('Outro banco'!A1950="","",IF(LEFT('Outro banco'!A1950,1)="(","",'Outro banco'!A1950))</f>
        <v/>
      </c>
      <c r="B1950" s="7" t="str">
        <f aca="false">IF(A1950="","",'Outro banco'!B1950)</f>
        <v/>
      </c>
      <c r="C1950" s="7" t="str">
        <f aca="false">IF(A1950="","",'Outro banco'!C1950)</f>
        <v/>
      </c>
      <c r="D1950" s="7" t="str">
        <f aca="false">IF(A1950="","",'Outro banco'!D1950)</f>
        <v/>
      </c>
      <c r="E1950" s="9"/>
      <c r="F1950" s="9"/>
      <c r="G1950" s="7" t="str">
        <f aca="false">IF(A1950="","",IF(COUNTIF(Tabelas!$A:$A,IF(E1950="",A1950,E1950))&gt;0,"sim","não"))</f>
        <v/>
      </c>
      <c r="H1950" s="7" t="str">
        <f aca="false">IF(A1950="","",IF(E1950="",A1950,E1950)&amp;"."&amp;IF(F1950="",B1950,F1950))</f>
        <v/>
      </c>
      <c r="I1950" s="7" t="str">
        <f aca="false">IF(A1950="","",IFERROR(INDEX('Campos Growths'!$F:$F,MATCH(H1950,'Campos Growths'!$A:$A,0)),""))</f>
        <v/>
      </c>
      <c r="J1950" s="7" t="str">
        <f aca="false">IF(A1950="","",IFERROR(VLOOKUP(IF(ISNUMBER(SEARCH("(",C1950)),LEFT(C1950,SEARCH("(",C1950)-1),C1950),Tipos!$A:$B,2,FALSE()),"outro"))</f>
        <v/>
      </c>
      <c r="K1950" s="7" t="str">
        <f aca="false">IF(I1950="","",IFERROR(INDEX('Campos Growths'!$L:$L,MATCH(H1950,'Campos Growths'!$A:$A,0)),""))</f>
        <v/>
      </c>
      <c r="L1950" s="7" t="str">
        <f aca="false">IF(A1950="","",IF(G1950="não","Sem tabela no Growths",IF(I1950="","Sem campo no Growths",IF(J1950=K1950,"Importa direto","Ajustar tipo"))))</f>
        <v/>
      </c>
      <c r="M1950" s="9"/>
    </row>
    <row r="1951" customFormat="false" ht="15" hidden="false" customHeight="false" outlineLevel="0" collapsed="false">
      <c r="A1951" s="7" t="str">
        <f aca="false">IF('Outro banco'!A1951="","",IF(LEFT('Outro banco'!A1951,1)="(","",'Outro banco'!A1951))</f>
        <v/>
      </c>
      <c r="B1951" s="7" t="str">
        <f aca="false">IF(A1951="","",'Outro banco'!B1951)</f>
        <v/>
      </c>
      <c r="C1951" s="7" t="str">
        <f aca="false">IF(A1951="","",'Outro banco'!C1951)</f>
        <v/>
      </c>
      <c r="D1951" s="7" t="str">
        <f aca="false">IF(A1951="","",'Outro banco'!D1951)</f>
        <v/>
      </c>
      <c r="E1951" s="9"/>
      <c r="F1951" s="9"/>
      <c r="G1951" s="7" t="str">
        <f aca="false">IF(A1951="","",IF(COUNTIF(Tabelas!$A:$A,IF(E1951="",A1951,E1951))&gt;0,"sim","não"))</f>
        <v/>
      </c>
      <c r="H1951" s="7" t="str">
        <f aca="false">IF(A1951="","",IF(E1951="",A1951,E1951)&amp;"."&amp;IF(F1951="",B1951,F1951))</f>
        <v/>
      </c>
      <c r="I1951" s="7" t="str">
        <f aca="false">IF(A1951="","",IFERROR(INDEX('Campos Growths'!$F:$F,MATCH(H1951,'Campos Growths'!$A:$A,0)),""))</f>
        <v/>
      </c>
      <c r="J1951" s="7" t="str">
        <f aca="false">IF(A1951="","",IFERROR(VLOOKUP(IF(ISNUMBER(SEARCH("(",C1951)),LEFT(C1951,SEARCH("(",C1951)-1),C1951),Tipos!$A:$B,2,FALSE()),"outro"))</f>
        <v/>
      </c>
      <c r="K1951" s="7" t="str">
        <f aca="false">IF(I1951="","",IFERROR(INDEX('Campos Growths'!$L:$L,MATCH(H1951,'Campos Growths'!$A:$A,0)),""))</f>
        <v/>
      </c>
      <c r="L1951" s="7" t="str">
        <f aca="false">IF(A1951="","",IF(G1951="não","Sem tabela no Growths",IF(I1951="","Sem campo no Growths",IF(J1951=K1951,"Importa direto","Ajustar tipo"))))</f>
        <v/>
      </c>
      <c r="M1951" s="9"/>
    </row>
    <row r="1952" customFormat="false" ht="15" hidden="false" customHeight="false" outlineLevel="0" collapsed="false">
      <c r="A1952" s="7" t="str">
        <f aca="false">IF('Outro banco'!A1952="","",IF(LEFT('Outro banco'!A1952,1)="(","",'Outro banco'!A1952))</f>
        <v/>
      </c>
      <c r="B1952" s="7" t="str">
        <f aca="false">IF(A1952="","",'Outro banco'!B1952)</f>
        <v/>
      </c>
      <c r="C1952" s="7" t="str">
        <f aca="false">IF(A1952="","",'Outro banco'!C1952)</f>
        <v/>
      </c>
      <c r="D1952" s="7" t="str">
        <f aca="false">IF(A1952="","",'Outro banco'!D1952)</f>
        <v/>
      </c>
      <c r="E1952" s="9"/>
      <c r="F1952" s="9"/>
      <c r="G1952" s="7" t="str">
        <f aca="false">IF(A1952="","",IF(COUNTIF(Tabelas!$A:$A,IF(E1952="",A1952,E1952))&gt;0,"sim","não"))</f>
        <v/>
      </c>
      <c r="H1952" s="7" t="str">
        <f aca="false">IF(A1952="","",IF(E1952="",A1952,E1952)&amp;"."&amp;IF(F1952="",B1952,F1952))</f>
        <v/>
      </c>
      <c r="I1952" s="7" t="str">
        <f aca="false">IF(A1952="","",IFERROR(INDEX('Campos Growths'!$F:$F,MATCH(H1952,'Campos Growths'!$A:$A,0)),""))</f>
        <v/>
      </c>
      <c r="J1952" s="7" t="str">
        <f aca="false">IF(A1952="","",IFERROR(VLOOKUP(IF(ISNUMBER(SEARCH("(",C1952)),LEFT(C1952,SEARCH("(",C1952)-1),C1952),Tipos!$A:$B,2,FALSE()),"outro"))</f>
        <v/>
      </c>
      <c r="K1952" s="7" t="str">
        <f aca="false">IF(I1952="","",IFERROR(INDEX('Campos Growths'!$L:$L,MATCH(H1952,'Campos Growths'!$A:$A,0)),""))</f>
        <v/>
      </c>
      <c r="L1952" s="7" t="str">
        <f aca="false">IF(A1952="","",IF(G1952="não","Sem tabela no Growths",IF(I1952="","Sem campo no Growths",IF(J1952=K1952,"Importa direto","Ajustar tipo"))))</f>
        <v/>
      </c>
      <c r="M1952" s="9"/>
    </row>
    <row r="1953" customFormat="false" ht="15" hidden="false" customHeight="false" outlineLevel="0" collapsed="false">
      <c r="A1953" s="7" t="str">
        <f aca="false">IF('Outro banco'!A1953="","",IF(LEFT('Outro banco'!A1953,1)="(","",'Outro banco'!A1953))</f>
        <v/>
      </c>
      <c r="B1953" s="7" t="str">
        <f aca="false">IF(A1953="","",'Outro banco'!B1953)</f>
        <v/>
      </c>
      <c r="C1953" s="7" t="str">
        <f aca="false">IF(A1953="","",'Outro banco'!C1953)</f>
        <v/>
      </c>
      <c r="D1953" s="7" t="str">
        <f aca="false">IF(A1953="","",'Outro banco'!D1953)</f>
        <v/>
      </c>
      <c r="E1953" s="9"/>
      <c r="F1953" s="9"/>
      <c r="G1953" s="7" t="str">
        <f aca="false">IF(A1953="","",IF(COUNTIF(Tabelas!$A:$A,IF(E1953="",A1953,E1953))&gt;0,"sim","não"))</f>
        <v/>
      </c>
      <c r="H1953" s="7" t="str">
        <f aca="false">IF(A1953="","",IF(E1953="",A1953,E1953)&amp;"."&amp;IF(F1953="",B1953,F1953))</f>
        <v/>
      </c>
      <c r="I1953" s="7" t="str">
        <f aca="false">IF(A1953="","",IFERROR(INDEX('Campos Growths'!$F:$F,MATCH(H1953,'Campos Growths'!$A:$A,0)),""))</f>
        <v/>
      </c>
      <c r="J1953" s="7" t="str">
        <f aca="false">IF(A1953="","",IFERROR(VLOOKUP(IF(ISNUMBER(SEARCH("(",C1953)),LEFT(C1953,SEARCH("(",C1953)-1),C1953),Tipos!$A:$B,2,FALSE()),"outro"))</f>
        <v/>
      </c>
      <c r="K1953" s="7" t="str">
        <f aca="false">IF(I1953="","",IFERROR(INDEX('Campos Growths'!$L:$L,MATCH(H1953,'Campos Growths'!$A:$A,0)),""))</f>
        <v/>
      </c>
      <c r="L1953" s="7" t="str">
        <f aca="false">IF(A1953="","",IF(G1953="não","Sem tabela no Growths",IF(I1953="","Sem campo no Growths",IF(J1953=K1953,"Importa direto","Ajustar tipo"))))</f>
        <v/>
      </c>
      <c r="M1953" s="9"/>
    </row>
    <row r="1954" customFormat="false" ht="15" hidden="false" customHeight="false" outlineLevel="0" collapsed="false">
      <c r="A1954" s="7" t="str">
        <f aca="false">IF('Outro banco'!A1954="","",IF(LEFT('Outro banco'!A1954,1)="(","",'Outro banco'!A1954))</f>
        <v/>
      </c>
      <c r="B1954" s="7" t="str">
        <f aca="false">IF(A1954="","",'Outro banco'!B1954)</f>
        <v/>
      </c>
      <c r="C1954" s="7" t="str">
        <f aca="false">IF(A1954="","",'Outro banco'!C1954)</f>
        <v/>
      </c>
      <c r="D1954" s="7" t="str">
        <f aca="false">IF(A1954="","",'Outro banco'!D1954)</f>
        <v/>
      </c>
      <c r="E1954" s="9"/>
      <c r="F1954" s="9"/>
      <c r="G1954" s="7" t="str">
        <f aca="false">IF(A1954="","",IF(COUNTIF(Tabelas!$A:$A,IF(E1954="",A1954,E1954))&gt;0,"sim","não"))</f>
        <v/>
      </c>
      <c r="H1954" s="7" t="str">
        <f aca="false">IF(A1954="","",IF(E1954="",A1954,E1954)&amp;"."&amp;IF(F1954="",B1954,F1954))</f>
        <v/>
      </c>
      <c r="I1954" s="7" t="str">
        <f aca="false">IF(A1954="","",IFERROR(INDEX('Campos Growths'!$F:$F,MATCH(H1954,'Campos Growths'!$A:$A,0)),""))</f>
        <v/>
      </c>
      <c r="J1954" s="7" t="str">
        <f aca="false">IF(A1954="","",IFERROR(VLOOKUP(IF(ISNUMBER(SEARCH("(",C1954)),LEFT(C1954,SEARCH("(",C1954)-1),C1954),Tipos!$A:$B,2,FALSE()),"outro"))</f>
        <v/>
      </c>
      <c r="K1954" s="7" t="str">
        <f aca="false">IF(I1954="","",IFERROR(INDEX('Campos Growths'!$L:$L,MATCH(H1954,'Campos Growths'!$A:$A,0)),""))</f>
        <v/>
      </c>
      <c r="L1954" s="7" t="str">
        <f aca="false">IF(A1954="","",IF(G1954="não","Sem tabela no Growths",IF(I1954="","Sem campo no Growths",IF(J1954=K1954,"Importa direto","Ajustar tipo"))))</f>
        <v/>
      </c>
      <c r="M1954" s="9"/>
    </row>
    <row r="1955" customFormat="false" ht="15" hidden="false" customHeight="false" outlineLevel="0" collapsed="false">
      <c r="A1955" s="7" t="str">
        <f aca="false">IF('Outro banco'!A1955="","",IF(LEFT('Outro banco'!A1955,1)="(","",'Outro banco'!A1955))</f>
        <v/>
      </c>
      <c r="B1955" s="7" t="str">
        <f aca="false">IF(A1955="","",'Outro banco'!B1955)</f>
        <v/>
      </c>
      <c r="C1955" s="7" t="str">
        <f aca="false">IF(A1955="","",'Outro banco'!C1955)</f>
        <v/>
      </c>
      <c r="D1955" s="7" t="str">
        <f aca="false">IF(A1955="","",'Outro banco'!D1955)</f>
        <v/>
      </c>
      <c r="E1955" s="9"/>
      <c r="F1955" s="9"/>
      <c r="G1955" s="7" t="str">
        <f aca="false">IF(A1955="","",IF(COUNTIF(Tabelas!$A:$A,IF(E1955="",A1955,E1955))&gt;0,"sim","não"))</f>
        <v/>
      </c>
      <c r="H1955" s="7" t="str">
        <f aca="false">IF(A1955="","",IF(E1955="",A1955,E1955)&amp;"."&amp;IF(F1955="",B1955,F1955))</f>
        <v/>
      </c>
      <c r="I1955" s="7" t="str">
        <f aca="false">IF(A1955="","",IFERROR(INDEX('Campos Growths'!$F:$F,MATCH(H1955,'Campos Growths'!$A:$A,0)),""))</f>
        <v/>
      </c>
      <c r="J1955" s="7" t="str">
        <f aca="false">IF(A1955="","",IFERROR(VLOOKUP(IF(ISNUMBER(SEARCH("(",C1955)),LEFT(C1955,SEARCH("(",C1955)-1),C1955),Tipos!$A:$B,2,FALSE()),"outro"))</f>
        <v/>
      </c>
      <c r="K1955" s="7" t="str">
        <f aca="false">IF(I1955="","",IFERROR(INDEX('Campos Growths'!$L:$L,MATCH(H1955,'Campos Growths'!$A:$A,0)),""))</f>
        <v/>
      </c>
      <c r="L1955" s="7" t="str">
        <f aca="false">IF(A1955="","",IF(G1955="não","Sem tabela no Growths",IF(I1955="","Sem campo no Growths",IF(J1955=K1955,"Importa direto","Ajustar tipo"))))</f>
        <v/>
      </c>
      <c r="M1955" s="9"/>
    </row>
    <row r="1956" customFormat="false" ht="15" hidden="false" customHeight="false" outlineLevel="0" collapsed="false">
      <c r="A1956" s="7" t="str">
        <f aca="false">IF('Outro banco'!A1956="","",IF(LEFT('Outro banco'!A1956,1)="(","",'Outro banco'!A1956))</f>
        <v/>
      </c>
      <c r="B1956" s="7" t="str">
        <f aca="false">IF(A1956="","",'Outro banco'!B1956)</f>
        <v/>
      </c>
      <c r="C1956" s="7" t="str">
        <f aca="false">IF(A1956="","",'Outro banco'!C1956)</f>
        <v/>
      </c>
      <c r="D1956" s="7" t="str">
        <f aca="false">IF(A1956="","",'Outro banco'!D1956)</f>
        <v/>
      </c>
      <c r="E1956" s="9"/>
      <c r="F1956" s="9"/>
      <c r="G1956" s="7" t="str">
        <f aca="false">IF(A1956="","",IF(COUNTIF(Tabelas!$A:$A,IF(E1956="",A1956,E1956))&gt;0,"sim","não"))</f>
        <v/>
      </c>
      <c r="H1956" s="7" t="str">
        <f aca="false">IF(A1956="","",IF(E1956="",A1956,E1956)&amp;"."&amp;IF(F1956="",B1956,F1956))</f>
        <v/>
      </c>
      <c r="I1956" s="7" t="str">
        <f aca="false">IF(A1956="","",IFERROR(INDEX('Campos Growths'!$F:$F,MATCH(H1956,'Campos Growths'!$A:$A,0)),""))</f>
        <v/>
      </c>
      <c r="J1956" s="7" t="str">
        <f aca="false">IF(A1956="","",IFERROR(VLOOKUP(IF(ISNUMBER(SEARCH("(",C1956)),LEFT(C1956,SEARCH("(",C1956)-1),C1956),Tipos!$A:$B,2,FALSE()),"outro"))</f>
        <v/>
      </c>
      <c r="K1956" s="7" t="str">
        <f aca="false">IF(I1956="","",IFERROR(INDEX('Campos Growths'!$L:$L,MATCH(H1956,'Campos Growths'!$A:$A,0)),""))</f>
        <v/>
      </c>
      <c r="L1956" s="7" t="str">
        <f aca="false">IF(A1956="","",IF(G1956="não","Sem tabela no Growths",IF(I1956="","Sem campo no Growths",IF(J1956=K1956,"Importa direto","Ajustar tipo"))))</f>
        <v/>
      </c>
      <c r="M1956" s="9"/>
    </row>
    <row r="1957" customFormat="false" ht="15" hidden="false" customHeight="false" outlineLevel="0" collapsed="false">
      <c r="A1957" s="7" t="str">
        <f aca="false">IF('Outro banco'!A1957="","",IF(LEFT('Outro banco'!A1957,1)="(","",'Outro banco'!A1957))</f>
        <v/>
      </c>
      <c r="B1957" s="7" t="str">
        <f aca="false">IF(A1957="","",'Outro banco'!B1957)</f>
        <v/>
      </c>
      <c r="C1957" s="7" t="str">
        <f aca="false">IF(A1957="","",'Outro banco'!C1957)</f>
        <v/>
      </c>
      <c r="D1957" s="7" t="str">
        <f aca="false">IF(A1957="","",'Outro banco'!D1957)</f>
        <v/>
      </c>
      <c r="E1957" s="9"/>
      <c r="F1957" s="9"/>
      <c r="G1957" s="7" t="str">
        <f aca="false">IF(A1957="","",IF(COUNTIF(Tabelas!$A:$A,IF(E1957="",A1957,E1957))&gt;0,"sim","não"))</f>
        <v/>
      </c>
      <c r="H1957" s="7" t="str">
        <f aca="false">IF(A1957="","",IF(E1957="",A1957,E1957)&amp;"."&amp;IF(F1957="",B1957,F1957))</f>
        <v/>
      </c>
      <c r="I1957" s="7" t="str">
        <f aca="false">IF(A1957="","",IFERROR(INDEX('Campos Growths'!$F:$F,MATCH(H1957,'Campos Growths'!$A:$A,0)),""))</f>
        <v/>
      </c>
      <c r="J1957" s="7" t="str">
        <f aca="false">IF(A1957="","",IFERROR(VLOOKUP(IF(ISNUMBER(SEARCH("(",C1957)),LEFT(C1957,SEARCH("(",C1957)-1),C1957),Tipos!$A:$B,2,FALSE()),"outro"))</f>
        <v/>
      </c>
      <c r="K1957" s="7" t="str">
        <f aca="false">IF(I1957="","",IFERROR(INDEX('Campos Growths'!$L:$L,MATCH(H1957,'Campos Growths'!$A:$A,0)),""))</f>
        <v/>
      </c>
      <c r="L1957" s="7" t="str">
        <f aca="false">IF(A1957="","",IF(G1957="não","Sem tabela no Growths",IF(I1957="","Sem campo no Growths",IF(J1957=K1957,"Importa direto","Ajustar tipo"))))</f>
        <v/>
      </c>
      <c r="M1957" s="9"/>
    </row>
    <row r="1958" customFormat="false" ht="15" hidden="false" customHeight="false" outlineLevel="0" collapsed="false">
      <c r="A1958" s="7" t="str">
        <f aca="false">IF('Outro banco'!A1958="","",IF(LEFT('Outro banco'!A1958,1)="(","",'Outro banco'!A1958))</f>
        <v/>
      </c>
      <c r="B1958" s="7" t="str">
        <f aca="false">IF(A1958="","",'Outro banco'!B1958)</f>
        <v/>
      </c>
      <c r="C1958" s="7" t="str">
        <f aca="false">IF(A1958="","",'Outro banco'!C1958)</f>
        <v/>
      </c>
      <c r="D1958" s="7" t="str">
        <f aca="false">IF(A1958="","",'Outro banco'!D1958)</f>
        <v/>
      </c>
      <c r="E1958" s="9"/>
      <c r="F1958" s="9"/>
      <c r="G1958" s="7" t="str">
        <f aca="false">IF(A1958="","",IF(COUNTIF(Tabelas!$A:$A,IF(E1958="",A1958,E1958))&gt;0,"sim","não"))</f>
        <v/>
      </c>
      <c r="H1958" s="7" t="str">
        <f aca="false">IF(A1958="","",IF(E1958="",A1958,E1958)&amp;"."&amp;IF(F1958="",B1958,F1958))</f>
        <v/>
      </c>
      <c r="I1958" s="7" t="str">
        <f aca="false">IF(A1958="","",IFERROR(INDEX('Campos Growths'!$F:$F,MATCH(H1958,'Campos Growths'!$A:$A,0)),""))</f>
        <v/>
      </c>
      <c r="J1958" s="7" t="str">
        <f aca="false">IF(A1958="","",IFERROR(VLOOKUP(IF(ISNUMBER(SEARCH("(",C1958)),LEFT(C1958,SEARCH("(",C1958)-1),C1958),Tipos!$A:$B,2,FALSE()),"outro"))</f>
        <v/>
      </c>
      <c r="K1958" s="7" t="str">
        <f aca="false">IF(I1958="","",IFERROR(INDEX('Campos Growths'!$L:$L,MATCH(H1958,'Campos Growths'!$A:$A,0)),""))</f>
        <v/>
      </c>
      <c r="L1958" s="7" t="str">
        <f aca="false">IF(A1958="","",IF(G1958="não","Sem tabela no Growths",IF(I1958="","Sem campo no Growths",IF(J1958=K1958,"Importa direto","Ajustar tipo"))))</f>
        <v/>
      </c>
      <c r="M1958" s="9"/>
    </row>
    <row r="1959" customFormat="false" ht="15" hidden="false" customHeight="false" outlineLevel="0" collapsed="false">
      <c r="A1959" s="7" t="str">
        <f aca="false">IF('Outro banco'!A1959="","",IF(LEFT('Outro banco'!A1959,1)="(","",'Outro banco'!A1959))</f>
        <v/>
      </c>
      <c r="B1959" s="7" t="str">
        <f aca="false">IF(A1959="","",'Outro banco'!B1959)</f>
        <v/>
      </c>
      <c r="C1959" s="7" t="str">
        <f aca="false">IF(A1959="","",'Outro banco'!C1959)</f>
        <v/>
      </c>
      <c r="D1959" s="7" t="str">
        <f aca="false">IF(A1959="","",'Outro banco'!D1959)</f>
        <v/>
      </c>
      <c r="E1959" s="9"/>
      <c r="F1959" s="9"/>
      <c r="G1959" s="7" t="str">
        <f aca="false">IF(A1959="","",IF(COUNTIF(Tabelas!$A:$A,IF(E1959="",A1959,E1959))&gt;0,"sim","não"))</f>
        <v/>
      </c>
      <c r="H1959" s="7" t="str">
        <f aca="false">IF(A1959="","",IF(E1959="",A1959,E1959)&amp;"."&amp;IF(F1959="",B1959,F1959))</f>
        <v/>
      </c>
      <c r="I1959" s="7" t="str">
        <f aca="false">IF(A1959="","",IFERROR(INDEX('Campos Growths'!$F:$F,MATCH(H1959,'Campos Growths'!$A:$A,0)),""))</f>
        <v/>
      </c>
      <c r="J1959" s="7" t="str">
        <f aca="false">IF(A1959="","",IFERROR(VLOOKUP(IF(ISNUMBER(SEARCH("(",C1959)),LEFT(C1959,SEARCH("(",C1959)-1),C1959),Tipos!$A:$B,2,FALSE()),"outro"))</f>
        <v/>
      </c>
      <c r="K1959" s="7" t="str">
        <f aca="false">IF(I1959="","",IFERROR(INDEX('Campos Growths'!$L:$L,MATCH(H1959,'Campos Growths'!$A:$A,0)),""))</f>
        <v/>
      </c>
      <c r="L1959" s="7" t="str">
        <f aca="false">IF(A1959="","",IF(G1959="não","Sem tabela no Growths",IF(I1959="","Sem campo no Growths",IF(J1959=K1959,"Importa direto","Ajustar tipo"))))</f>
        <v/>
      </c>
      <c r="M1959" s="9"/>
    </row>
    <row r="1960" customFormat="false" ht="15" hidden="false" customHeight="false" outlineLevel="0" collapsed="false">
      <c r="A1960" s="7" t="str">
        <f aca="false">IF('Outro banco'!A1960="","",IF(LEFT('Outro banco'!A1960,1)="(","",'Outro banco'!A1960))</f>
        <v/>
      </c>
      <c r="B1960" s="7" t="str">
        <f aca="false">IF(A1960="","",'Outro banco'!B1960)</f>
        <v/>
      </c>
      <c r="C1960" s="7" t="str">
        <f aca="false">IF(A1960="","",'Outro banco'!C1960)</f>
        <v/>
      </c>
      <c r="D1960" s="7" t="str">
        <f aca="false">IF(A1960="","",'Outro banco'!D1960)</f>
        <v/>
      </c>
      <c r="E1960" s="9"/>
      <c r="F1960" s="9"/>
      <c r="G1960" s="7" t="str">
        <f aca="false">IF(A1960="","",IF(COUNTIF(Tabelas!$A:$A,IF(E1960="",A1960,E1960))&gt;0,"sim","não"))</f>
        <v/>
      </c>
      <c r="H1960" s="7" t="str">
        <f aca="false">IF(A1960="","",IF(E1960="",A1960,E1960)&amp;"."&amp;IF(F1960="",B1960,F1960))</f>
        <v/>
      </c>
      <c r="I1960" s="7" t="str">
        <f aca="false">IF(A1960="","",IFERROR(INDEX('Campos Growths'!$F:$F,MATCH(H1960,'Campos Growths'!$A:$A,0)),""))</f>
        <v/>
      </c>
      <c r="J1960" s="7" t="str">
        <f aca="false">IF(A1960="","",IFERROR(VLOOKUP(IF(ISNUMBER(SEARCH("(",C1960)),LEFT(C1960,SEARCH("(",C1960)-1),C1960),Tipos!$A:$B,2,FALSE()),"outro"))</f>
        <v/>
      </c>
      <c r="K1960" s="7" t="str">
        <f aca="false">IF(I1960="","",IFERROR(INDEX('Campos Growths'!$L:$L,MATCH(H1960,'Campos Growths'!$A:$A,0)),""))</f>
        <v/>
      </c>
      <c r="L1960" s="7" t="str">
        <f aca="false">IF(A1960="","",IF(G1960="não","Sem tabela no Growths",IF(I1960="","Sem campo no Growths",IF(J1960=K1960,"Importa direto","Ajustar tipo"))))</f>
        <v/>
      </c>
      <c r="M1960" s="9"/>
    </row>
    <row r="1961" customFormat="false" ht="15" hidden="false" customHeight="false" outlineLevel="0" collapsed="false">
      <c r="A1961" s="7" t="str">
        <f aca="false">IF('Outro banco'!A1961="","",IF(LEFT('Outro banco'!A1961,1)="(","",'Outro banco'!A1961))</f>
        <v/>
      </c>
      <c r="B1961" s="7" t="str">
        <f aca="false">IF(A1961="","",'Outro banco'!B1961)</f>
        <v/>
      </c>
      <c r="C1961" s="7" t="str">
        <f aca="false">IF(A1961="","",'Outro banco'!C1961)</f>
        <v/>
      </c>
      <c r="D1961" s="7" t="str">
        <f aca="false">IF(A1961="","",'Outro banco'!D1961)</f>
        <v/>
      </c>
      <c r="E1961" s="9"/>
      <c r="F1961" s="9"/>
      <c r="G1961" s="7" t="str">
        <f aca="false">IF(A1961="","",IF(COUNTIF(Tabelas!$A:$A,IF(E1961="",A1961,E1961))&gt;0,"sim","não"))</f>
        <v/>
      </c>
      <c r="H1961" s="7" t="str">
        <f aca="false">IF(A1961="","",IF(E1961="",A1961,E1961)&amp;"."&amp;IF(F1961="",B1961,F1961))</f>
        <v/>
      </c>
      <c r="I1961" s="7" t="str">
        <f aca="false">IF(A1961="","",IFERROR(INDEX('Campos Growths'!$F:$F,MATCH(H1961,'Campos Growths'!$A:$A,0)),""))</f>
        <v/>
      </c>
      <c r="J1961" s="7" t="str">
        <f aca="false">IF(A1961="","",IFERROR(VLOOKUP(IF(ISNUMBER(SEARCH("(",C1961)),LEFT(C1961,SEARCH("(",C1961)-1),C1961),Tipos!$A:$B,2,FALSE()),"outro"))</f>
        <v/>
      </c>
      <c r="K1961" s="7" t="str">
        <f aca="false">IF(I1961="","",IFERROR(INDEX('Campos Growths'!$L:$L,MATCH(H1961,'Campos Growths'!$A:$A,0)),""))</f>
        <v/>
      </c>
      <c r="L1961" s="7" t="str">
        <f aca="false">IF(A1961="","",IF(G1961="não","Sem tabela no Growths",IF(I1961="","Sem campo no Growths",IF(J1961=K1961,"Importa direto","Ajustar tipo"))))</f>
        <v/>
      </c>
      <c r="M1961" s="9"/>
    </row>
    <row r="1962" customFormat="false" ht="15" hidden="false" customHeight="false" outlineLevel="0" collapsed="false">
      <c r="A1962" s="7" t="str">
        <f aca="false">IF('Outro banco'!A1962="","",IF(LEFT('Outro banco'!A1962,1)="(","",'Outro banco'!A1962))</f>
        <v/>
      </c>
      <c r="B1962" s="7" t="str">
        <f aca="false">IF(A1962="","",'Outro banco'!B1962)</f>
        <v/>
      </c>
      <c r="C1962" s="7" t="str">
        <f aca="false">IF(A1962="","",'Outro banco'!C1962)</f>
        <v/>
      </c>
      <c r="D1962" s="7" t="str">
        <f aca="false">IF(A1962="","",'Outro banco'!D1962)</f>
        <v/>
      </c>
      <c r="E1962" s="9"/>
      <c r="F1962" s="9"/>
      <c r="G1962" s="7" t="str">
        <f aca="false">IF(A1962="","",IF(COUNTIF(Tabelas!$A:$A,IF(E1962="",A1962,E1962))&gt;0,"sim","não"))</f>
        <v/>
      </c>
      <c r="H1962" s="7" t="str">
        <f aca="false">IF(A1962="","",IF(E1962="",A1962,E1962)&amp;"."&amp;IF(F1962="",B1962,F1962))</f>
        <v/>
      </c>
      <c r="I1962" s="7" t="str">
        <f aca="false">IF(A1962="","",IFERROR(INDEX('Campos Growths'!$F:$F,MATCH(H1962,'Campos Growths'!$A:$A,0)),""))</f>
        <v/>
      </c>
      <c r="J1962" s="7" t="str">
        <f aca="false">IF(A1962="","",IFERROR(VLOOKUP(IF(ISNUMBER(SEARCH("(",C1962)),LEFT(C1962,SEARCH("(",C1962)-1),C1962),Tipos!$A:$B,2,FALSE()),"outro"))</f>
        <v/>
      </c>
      <c r="K1962" s="7" t="str">
        <f aca="false">IF(I1962="","",IFERROR(INDEX('Campos Growths'!$L:$L,MATCH(H1962,'Campos Growths'!$A:$A,0)),""))</f>
        <v/>
      </c>
      <c r="L1962" s="7" t="str">
        <f aca="false">IF(A1962="","",IF(G1962="não","Sem tabela no Growths",IF(I1962="","Sem campo no Growths",IF(J1962=K1962,"Importa direto","Ajustar tipo"))))</f>
        <v/>
      </c>
      <c r="M1962" s="9"/>
    </row>
    <row r="1963" customFormat="false" ht="15" hidden="false" customHeight="false" outlineLevel="0" collapsed="false">
      <c r="A1963" s="7" t="str">
        <f aca="false">IF('Outro banco'!A1963="","",IF(LEFT('Outro banco'!A1963,1)="(","",'Outro banco'!A1963))</f>
        <v/>
      </c>
      <c r="B1963" s="7" t="str">
        <f aca="false">IF(A1963="","",'Outro banco'!B1963)</f>
        <v/>
      </c>
      <c r="C1963" s="7" t="str">
        <f aca="false">IF(A1963="","",'Outro banco'!C1963)</f>
        <v/>
      </c>
      <c r="D1963" s="7" t="str">
        <f aca="false">IF(A1963="","",'Outro banco'!D1963)</f>
        <v/>
      </c>
      <c r="E1963" s="9"/>
      <c r="F1963" s="9"/>
      <c r="G1963" s="7" t="str">
        <f aca="false">IF(A1963="","",IF(COUNTIF(Tabelas!$A:$A,IF(E1963="",A1963,E1963))&gt;0,"sim","não"))</f>
        <v/>
      </c>
      <c r="H1963" s="7" t="str">
        <f aca="false">IF(A1963="","",IF(E1963="",A1963,E1963)&amp;"."&amp;IF(F1963="",B1963,F1963))</f>
        <v/>
      </c>
      <c r="I1963" s="7" t="str">
        <f aca="false">IF(A1963="","",IFERROR(INDEX('Campos Growths'!$F:$F,MATCH(H1963,'Campos Growths'!$A:$A,0)),""))</f>
        <v/>
      </c>
      <c r="J1963" s="7" t="str">
        <f aca="false">IF(A1963="","",IFERROR(VLOOKUP(IF(ISNUMBER(SEARCH("(",C1963)),LEFT(C1963,SEARCH("(",C1963)-1),C1963),Tipos!$A:$B,2,FALSE()),"outro"))</f>
        <v/>
      </c>
      <c r="K1963" s="7" t="str">
        <f aca="false">IF(I1963="","",IFERROR(INDEX('Campos Growths'!$L:$L,MATCH(H1963,'Campos Growths'!$A:$A,0)),""))</f>
        <v/>
      </c>
      <c r="L1963" s="7" t="str">
        <f aca="false">IF(A1963="","",IF(G1963="não","Sem tabela no Growths",IF(I1963="","Sem campo no Growths",IF(J1963=K1963,"Importa direto","Ajustar tipo"))))</f>
        <v/>
      </c>
      <c r="M1963" s="9"/>
    </row>
    <row r="1964" customFormat="false" ht="15" hidden="false" customHeight="false" outlineLevel="0" collapsed="false">
      <c r="A1964" s="7" t="str">
        <f aca="false">IF('Outro banco'!A1964="","",IF(LEFT('Outro banco'!A1964,1)="(","",'Outro banco'!A1964))</f>
        <v/>
      </c>
      <c r="B1964" s="7" t="str">
        <f aca="false">IF(A1964="","",'Outro banco'!B1964)</f>
        <v/>
      </c>
      <c r="C1964" s="7" t="str">
        <f aca="false">IF(A1964="","",'Outro banco'!C1964)</f>
        <v/>
      </c>
      <c r="D1964" s="7" t="str">
        <f aca="false">IF(A1964="","",'Outro banco'!D1964)</f>
        <v/>
      </c>
      <c r="E1964" s="9"/>
      <c r="F1964" s="9"/>
      <c r="G1964" s="7" t="str">
        <f aca="false">IF(A1964="","",IF(COUNTIF(Tabelas!$A:$A,IF(E1964="",A1964,E1964))&gt;0,"sim","não"))</f>
        <v/>
      </c>
      <c r="H1964" s="7" t="str">
        <f aca="false">IF(A1964="","",IF(E1964="",A1964,E1964)&amp;"."&amp;IF(F1964="",B1964,F1964))</f>
        <v/>
      </c>
      <c r="I1964" s="7" t="str">
        <f aca="false">IF(A1964="","",IFERROR(INDEX('Campos Growths'!$F:$F,MATCH(H1964,'Campos Growths'!$A:$A,0)),""))</f>
        <v/>
      </c>
      <c r="J1964" s="7" t="str">
        <f aca="false">IF(A1964="","",IFERROR(VLOOKUP(IF(ISNUMBER(SEARCH("(",C1964)),LEFT(C1964,SEARCH("(",C1964)-1),C1964),Tipos!$A:$B,2,FALSE()),"outro"))</f>
        <v/>
      </c>
      <c r="K1964" s="7" t="str">
        <f aca="false">IF(I1964="","",IFERROR(INDEX('Campos Growths'!$L:$L,MATCH(H1964,'Campos Growths'!$A:$A,0)),""))</f>
        <v/>
      </c>
      <c r="L1964" s="7" t="str">
        <f aca="false">IF(A1964="","",IF(G1964="não","Sem tabela no Growths",IF(I1964="","Sem campo no Growths",IF(J1964=K1964,"Importa direto","Ajustar tipo"))))</f>
        <v/>
      </c>
      <c r="M1964" s="9"/>
    </row>
    <row r="1965" customFormat="false" ht="15" hidden="false" customHeight="false" outlineLevel="0" collapsed="false">
      <c r="A1965" s="7" t="str">
        <f aca="false">IF('Outro banco'!A1965="","",IF(LEFT('Outro banco'!A1965,1)="(","",'Outro banco'!A1965))</f>
        <v/>
      </c>
      <c r="B1965" s="7" t="str">
        <f aca="false">IF(A1965="","",'Outro banco'!B1965)</f>
        <v/>
      </c>
      <c r="C1965" s="7" t="str">
        <f aca="false">IF(A1965="","",'Outro banco'!C1965)</f>
        <v/>
      </c>
      <c r="D1965" s="7" t="str">
        <f aca="false">IF(A1965="","",'Outro banco'!D1965)</f>
        <v/>
      </c>
      <c r="E1965" s="9"/>
      <c r="F1965" s="9"/>
      <c r="G1965" s="7" t="str">
        <f aca="false">IF(A1965="","",IF(COUNTIF(Tabelas!$A:$A,IF(E1965="",A1965,E1965))&gt;0,"sim","não"))</f>
        <v/>
      </c>
      <c r="H1965" s="7" t="str">
        <f aca="false">IF(A1965="","",IF(E1965="",A1965,E1965)&amp;"."&amp;IF(F1965="",B1965,F1965))</f>
        <v/>
      </c>
      <c r="I1965" s="7" t="str">
        <f aca="false">IF(A1965="","",IFERROR(INDEX('Campos Growths'!$F:$F,MATCH(H1965,'Campos Growths'!$A:$A,0)),""))</f>
        <v/>
      </c>
      <c r="J1965" s="7" t="str">
        <f aca="false">IF(A1965="","",IFERROR(VLOOKUP(IF(ISNUMBER(SEARCH("(",C1965)),LEFT(C1965,SEARCH("(",C1965)-1),C1965),Tipos!$A:$B,2,FALSE()),"outro"))</f>
        <v/>
      </c>
      <c r="K1965" s="7" t="str">
        <f aca="false">IF(I1965="","",IFERROR(INDEX('Campos Growths'!$L:$L,MATCH(H1965,'Campos Growths'!$A:$A,0)),""))</f>
        <v/>
      </c>
      <c r="L1965" s="7" t="str">
        <f aca="false">IF(A1965="","",IF(G1965="não","Sem tabela no Growths",IF(I1965="","Sem campo no Growths",IF(J1965=K1965,"Importa direto","Ajustar tipo"))))</f>
        <v/>
      </c>
      <c r="M1965" s="9"/>
    </row>
    <row r="1966" customFormat="false" ht="15" hidden="false" customHeight="false" outlineLevel="0" collapsed="false">
      <c r="A1966" s="7" t="str">
        <f aca="false">IF('Outro banco'!A1966="","",IF(LEFT('Outro banco'!A1966,1)="(","",'Outro banco'!A1966))</f>
        <v/>
      </c>
      <c r="B1966" s="7" t="str">
        <f aca="false">IF(A1966="","",'Outro banco'!B1966)</f>
        <v/>
      </c>
      <c r="C1966" s="7" t="str">
        <f aca="false">IF(A1966="","",'Outro banco'!C1966)</f>
        <v/>
      </c>
      <c r="D1966" s="7" t="str">
        <f aca="false">IF(A1966="","",'Outro banco'!D1966)</f>
        <v/>
      </c>
      <c r="E1966" s="9"/>
      <c r="F1966" s="9"/>
      <c r="G1966" s="7" t="str">
        <f aca="false">IF(A1966="","",IF(COUNTIF(Tabelas!$A:$A,IF(E1966="",A1966,E1966))&gt;0,"sim","não"))</f>
        <v/>
      </c>
      <c r="H1966" s="7" t="str">
        <f aca="false">IF(A1966="","",IF(E1966="",A1966,E1966)&amp;"."&amp;IF(F1966="",B1966,F1966))</f>
        <v/>
      </c>
      <c r="I1966" s="7" t="str">
        <f aca="false">IF(A1966="","",IFERROR(INDEX('Campos Growths'!$F:$F,MATCH(H1966,'Campos Growths'!$A:$A,0)),""))</f>
        <v/>
      </c>
      <c r="J1966" s="7" t="str">
        <f aca="false">IF(A1966="","",IFERROR(VLOOKUP(IF(ISNUMBER(SEARCH("(",C1966)),LEFT(C1966,SEARCH("(",C1966)-1),C1966),Tipos!$A:$B,2,FALSE()),"outro"))</f>
        <v/>
      </c>
      <c r="K1966" s="7" t="str">
        <f aca="false">IF(I1966="","",IFERROR(INDEX('Campos Growths'!$L:$L,MATCH(H1966,'Campos Growths'!$A:$A,0)),""))</f>
        <v/>
      </c>
      <c r="L1966" s="7" t="str">
        <f aca="false">IF(A1966="","",IF(G1966="não","Sem tabela no Growths",IF(I1966="","Sem campo no Growths",IF(J1966=K1966,"Importa direto","Ajustar tipo"))))</f>
        <v/>
      </c>
      <c r="M1966" s="9"/>
    </row>
    <row r="1967" customFormat="false" ht="15" hidden="false" customHeight="false" outlineLevel="0" collapsed="false">
      <c r="A1967" s="7" t="str">
        <f aca="false">IF('Outro banco'!A1967="","",IF(LEFT('Outro banco'!A1967,1)="(","",'Outro banco'!A1967))</f>
        <v/>
      </c>
      <c r="B1967" s="7" t="str">
        <f aca="false">IF(A1967="","",'Outro banco'!B1967)</f>
        <v/>
      </c>
      <c r="C1967" s="7" t="str">
        <f aca="false">IF(A1967="","",'Outro banco'!C1967)</f>
        <v/>
      </c>
      <c r="D1967" s="7" t="str">
        <f aca="false">IF(A1967="","",'Outro banco'!D1967)</f>
        <v/>
      </c>
      <c r="E1967" s="9"/>
      <c r="F1967" s="9"/>
      <c r="G1967" s="7" t="str">
        <f aca="false">IF(A1967="","",IF(COUNTIF(Tabelas!$A:$A,IF(E1967="",A1967,E1967))&gt;0,"sim","não"))</f>
        <v/>
      </c>
      <c r="H1967" s="7" t="str">
        <f aca="false">IF(A1967="","",IF(E1967="",A1967,E1967)&amp;"."&amp;IF(F1967="",B1967,F1967))</f>
        <v/>
      </c>
      <c r="I1967" s="7" t="str">
        <f aca="false">IF(A1967="","",IFERROR(INDEX('Campos Growths'!$F:$F,MATCH(H1967,'Campos Growths'!$A:$A,0)),""))</f>
        <v/>
      </c>
      <c r="J1967" s="7" t="str">
        <f aca="false">IF(A1967="","",IFERROR(VLOOKUP(IF(ISNUMBER(SEARCH("(",C1967)),LEFT(C1967,SEARCH("(",C1967)-1),C1967),Tipos!$A:$B,2,FALSE()),"outro"))</f>
        <v/>
      </c>
      <c r="K1967" s="7" t="str">
        <f aca="false">IF(I1967="","",IFERROR(INDEX('Campos Growths'!$L:$L,MATCH(H1967,'Campos Growths'!$A:$A,0)),""))</f>
        <v/>
      </c>
      <c r="L1967" s="7" t="str">
        <f aca="false">IF(A1967="","",IF(G1967="não","Sem tabela no Growths",IF(I1967="","Sem campo no Growths",IF(J1967=K1967,"Importa direto","Ajustar tipo"))))</f>
        <v/>
      </c>
      <c r="M1967" s="9"/>
    </row>
    <row r="1968" customFormat="false" ht="15" hidden="false" customHeight="false" outlineLevel="0" collapsed="false">
      <c r="A1968" s="7" t="str">
        <f aca="false">IF('Outro banco'!A1968="","",IF(LEFT('Outro banco'!A1968,1)="(","",'Outro banco'!A1968))</f>
        <v/>
      </c>
      <c r="B1968" s="7" t="str">
        <f aca="false">IF(A1968="","",'Outro banco'!B1968)</f>
        <v/>
      </c>
      <c r="C1968" s="7" t="str">
        <f aca="false">IF(A1968="","",'Outro banco'!C1968)</f>
        <v/>
      </c>
      <c r="D1968" s="7" t="str">
        <f aca="false">IF(A1968="","",'Outro banco'!D1968)</f>
        <v/>
      </c>
      <c r="E1968" s="9"/>
      <c r="F1968" s="9"/>
      <c r="G1968" s="7" t="str">
        <f aca="false">IF(A1968="","",IF(COUNTIF(Tabelas!$A:$A,IF(E1968="",A1968,E1968))&gt;0,"sim","não"))</f>
        <v/>
      </c>
      <c r="H1968" s="7" t="str">
        <f aca="false">IF(A1968="","",IF(E1968="",A1968,E1968)&amp;"."&amp;IF(F1968="",B1968,F1968))</f>
        <v/>
      </c>
      <c r="I1968" s="7" t="str">
        <f aca="false">IF(A1968="","",IFERROR(INDEX('Campos Growths'!$F:$F,MATCH(H1968,'Campos Growths'!$A:$A,0)),""))</f>
        <v/>
      </c>
      <c r="J1968" s="7" t="str">
        <f aca="false">IF(A1968="","",IFERROR(VLOOKUP(IF(ISNUMBER(SEARCH("(",C1968)),LEFT(C1968,SEARCH("(",C1968)-1),C1968),Tipos!$A:$B,2,FALSE()),"outro"))</f>
        <v/>
      </c>
      <c r="K1968" s="7" t="str">
        <f aca="false">IF(I1968="","",IFERROR(INDEX('Campos Growths'!$L:$L,MATCH(H1968,'Campos Growths'!$A:$A,0)),""))</f>
        <v/>
      </c>
      <c r="L1968" s="7" t="str">
        <f aca="false">IF(A1968="","",IF(G1968="não","Sem tabela no Growths",IF(I1968="","Sem campo no Growths",IF(J1968=K1968,"Importa direto","Ajustar tipo"))))</f>
        <v/>
      </c>
      <c r="M1968" s="9"/>
    </row>
    <row r="1969" customFormat="false" ht="15" hidden="false" customHeight="false" outlineLevel="0" collapsed="false">
      <c r="A1969" s="7" t="str">
        <f aca="false">IF('Outro banco'!A1969="","",IF(LEFT('Outro banco'!A1969,1)="(","",'Outro banco'!A1969))</f>
        <v/>
      </c>
      <c r="B1969" s="7" t="str">
        <f aca="false">IF(A1969="","",'Outro banco'!B1969)</f>
        <v/>
      </c>
      <c r="C1969" s="7" t="str">
        <f aca="false">IF(A1969="","",'Outro banco'!C1969)</f>
        <v/>
      </c>
      <c r="D1969" s="7" t="str">
        <f aca="false">IF(A1969="","",'Outro banco'!D1969)</f>
        <v/>
      </c>
      <c r="E1969" s="9"/>
      <c r="F1969" s="9"/>
      <c r="G1969" s="7" t="str">
        <f aca="false">IF(A1969="","",IF(COUNTIF(Tabelas!$A:$A,IF(E1969="",A1969,E1969))&gt;0,"sim","não"))</f>
        <v/>
      </c>
      <c r="H1969" s="7" t="str">
        <f aca="false">IF(A1969="","",IF(E1969="",A1969,E1969)&amp;"."&amp;IF(F1969="",B1969,F1969))</f>
        <v/>
      </c>
      <c r="I1969" s="7" t="str">
        <f aca="false">IF(A1969="","",IFERROR(INDEX('Campos Growths'!$F:$F,MATCH(H1969,'Campos Growths'!$A:$A,0)),""))</f>
        <v/>
      </c>
      <c r="J1969" s="7" t="str">
        <f aca="false">IF(A1969="","",IFERROR(VLOOKUP(IF(ISNUMBER(SEARCH("(",C1969)),LEFT(C1969,SEARCH("(",C1969)-1),C1969),Tipos!$A:$B,2,FALSE()),"outro"))</f>
        <v/>
      </c>
      <c r="K1969" s="7" t="str">
        <f aca="false">IF(I1969="","",IFERROR(INDEX('Campos Growths'!$L:$L,MATCH(H1969,'Campos Growths'!$A:$A,0)),""))</f>
        <v/>
      </c>
      <c r="L1969" s="7" t="str">
        <f aca="false">IF(A1969="","",IF(G1969="não","Sem tabela no Growths",IF(I1969="","Sem campo no Growths",IF(J1969=K1969,"Importa direto","Ajustar tipo"))))</f>
        <v/>
      </c>
      <c r="M1969" s="9"/>
    </row>
    <row r="1970" customFormat="false" ht="15" hidden="false" customHeight="false" outlineLevel="0" collapsed="false">
      <c r="A1970" s="7" t="str">
        <f aca="false">IF('Outro banco'!A1970="","",IF(LEFT('Outro banco'!A1970,1)="(","",'Outro banco'!A1970))</f>
        <v/>
      </c>
      <c r="B1970" s="7" t="str">
        <f aca="false">IF(A1970="","",'Outro banco'!B1970)</f>
        <v/>
      </c>
      <c r="C1970" s="7" t="str">
        <f aca="false">IF(A1970="","",'Outro banco'!C1970)</f>
        <v/>
      </c>
      <c r="D1970" s="7" t="str">
        <f aca="false">IF(A1970="","",'Outro banco'!D1970)</f>
        <v/>
      </c>
      <c r="E1970" s="9"/>
      <c r="F1970" s="9"/>
      <c r="G1970" s="7" t="str">
        <f aca="false">IF(A1970="","",IF(COUNTIF(Tabelas!$A:$A,IF(E1970="",A1970,E1970))&gt;0,"sim","não"))</f>
        <v/>
      </c>
      <c r="H1970" s="7" t="str">
        <f aca="false">IF(A1970="","",IF(E1970="",A1970,E1970)&amp;"."&amp;IF(F1970="",B1970,F1970))</f>
        <v/>
      </c>
      <c r="I1970" s="7" t="str">
        <f aca="false">IF(A1970="","",IFERROR(INDEX('Campos Growths'!$F:$F,MATCH(H1970,'Campos Growths'!$A:$A,0)),""))</f>
        <v/>
      </c>
      <c r="J1970" s="7" t="str">
        <f aca="false">IF(A1970="","",IFERROR(VLOOKUP(IF(ISNUMBER(SEARCH("(",C1970)),LEFT(C1970,SEARCH("(",C1970)-1),C1970),Tipos!$A:$B,2,FALSE()),"outro"))</f>
        <v/>
      </c>
      <c r="K1970" s="7" t="str">
        <f aca="false">IF(I1970="","",IFERROR(INDEX('Campos Growths'!$L:$L,MATCH(H1970,'Campos Growths'!$A:$A,0)),""))</f>
        <v/>
      </c>
      <c r="L1970" s="7" t="str">
        <f aca="false">IF(A1970="","",IF(G1970="não","Sem tabela no Growths",IF(I1970="","Sem campo no Growths",IF(J1970=K1970,"Importa direto","Ajustar tipo"))))</f>
        <v/>
      </c>
      <c r="M1970" s="9"/>
    </row>
    <row r="1971" customFormat="false" ht="15" hidden="false" customHeight="false" outlineLevel="0" collapsed="false">
      <c r="A1971" s="7" t="str">
        <f aca="false">IF('Outro banco'!A1971="","",IF(LEFT('Outro banco'!A1971,1)="(","",'Outro banco'!A1971))</f>
        <v/>
      </c>
      <c r="B1971" s="7" t="str">
        <f aca="false">IF(A1971="","",'Outro banco'!B1971)</f>
        <v/>
      </c>
      <c r="C1971" s="7" t="str">
        <f aca="false">IF(A1971="","",'Outro banco'!C1971)</f>
        <v/>
      </c>
      <c r="D1971" s="7" t="str">
        <f aca="false">IF(A1971="","",'Outro banco'!D1971)</f>
        <v/>
      </c>
      <c r="E1971" s="9"/>
      <c r="F1971" s="9"/>
      <c r="G1971" s="7" t="str">
        <f aca="false">IF(A1971="","",IF(COUNTIF(Tabelas!$A:$A,IF(E1971="",A1971,E1971))&gt;0,"sim","não"))</f>
        <v/>
      </c>
      <c r="H1971" s="7" t="str">
        <f aca="false">IF(A1971="","",IF(E1971="",A1971,E1971)&amp;"."&amp;IF(F1971="",B1971,F1971))</f>
        <v/>
      </c>
      <c r="I1971" s="7" t="str">
        <f aca="false">IF(A1971="","",IFERROR(INDEX('Campos Growths'!$F:$F,MATCH(H1971,'Campos Growths'!$A:$A,0)),""))</f>
        <v/>
      </c>
      <c r="J1971" s="7" t="str">
        <f aca="false">IF(A1971="","",IFERROR(VLOOKUP(IF(ISNUMBER(SEARCH("(",C1971)),LEFT(C1971,SEARCH("(",C1971)-1),C1971),Tipos!$A:$B,2,FALSE()),"outro"))</f>
        <v/>
      </c>
      <c r="K1971" s="7" t="str">
        <f aca="false">IF(I1971="","",IFERROR(INDEX('Campos Growths'!$L:$L,MATCH(H1971,'Campos Growths'!$A:$A,0)),""))</f>
        <v/>
      </c>
      <c r="L1971" s="7" t="str">
        <f aca="false">IF(A1971="","",IF(G1971="não","Sem tabela no Growths",IF(I1971="","Sem campo no Growths",IF(J1971=K1971,"Importa direto","Ajustar tipo"))))</f>
        <v/>
      </c>
      <c r="M1971" s="9"/>
    </row>
    <row r="1972" customFormat="false" ht="15" hidden="false" customHeight="false" outlineLevel="0" collapsed="false">
      <c r="A1972" s="7" t="str">
        <f aca="false">IF('Outro banco'!A1972="","",IF(LEFT('Outro banco'!A1972,1)="(","",'Outro banco'!A1972))</f>
        <v/>
      </c>
      <c r="B1972" s="7" t="str">
        <f aca="false">IF(A1972="","",'Outro banco'!B1972)</f>
        <v/>
      </c>
      <c r="C1972" s="7" t="str">
        <f aca="false">IF(A1972="","",'Outro banco'!C1972)</f>
        <v/>
      </c>
      <c r="D1972" s="7" t="str">
        <f aca="false">IF(A1972="","",'Outro banco'!D1972)</f>
        <v/>
      </c>
      <c r="E1972" s="9"/>
      <c r="F1972" s="9"/>
      <c r="G1972" s="7" t="str">
        <f aca="false">IF(A1972="","",IF(COUNTIF(Tabelas!$A:$A,IF(E1972="",A1972,E1972))&gt;0,"sim","não"))</f>
        <v/>
      </c>
      <c r="H1972" s="7" t="str">
        <f aca="false">IF(A1972="","",IF(E1972="",A1972,E1972)&amp;"."&amp;IF(F1972="",B1972,F1972))</f>
        <v/>
      </c>
      <c r="I1972" s="7" t="str">
        <f aca="false">IF(A1972="","",IFERROR(INDEX('Campos Growths'!$F:$F,MATCH(H1972,'Campos Growths'!$A:$A,0)),""))</f>
        <v/>
      </c>
      <c r="J1972" s="7" t="str">
        <f aca="false">IF(A1972="","",IFERROR(VLOOKUP(IF(ISNUMBER(SEARCH("(",C1972)),LEFT(C1972,SEARCH("(",C1972)-1),C1972),Tipos!$A:$B,2,FALSE()),"outro"))</f>
        <v/>
      </c>
      <c r="K1972" s="7" t="str">
        <f aca="false">IF(I1972="","",IFERROR(INDEX('Campos Growths'!$L:$L,MATCH(H1972,'Campos Growths'!$A:$A,0)),""))</f>
        <v/>
      </c>
      <c r="L1972" s="7" t="str">
        <f aca="false">IF(A1972="","",IF(G1972="não","Sem tabela no Growths",IF(I1972="","Sem campo no Growths",IF(J1972=K1972,"Importa direto","Ajustar tipo"))))</f>
        <v/>
      </c>
      <c r="M1972" s="9"/>
    </row>
    <row r="1973" customFormat="false" ht="15" hidden="false" customHeight="false" outlineLevel="0" collapsed="false">
      <c r="A1973" s="7" t="str">
        <f aca="false">IF('Outro banco'!A1973="","",IF(LEFT('Outro banco'!A1973,1)="(","",'Outro banco'!A1973))</f>
        <v/>
      </c>
      <c r="B1973" s="7" t="str">
        <f aca="false">IF(A1973="","",'Outro banco'!B1973)</f>
        <v/>
      </c>
      <c r="C1973" s="7" t="str">
        <f aca="false">IF(A1973="","",'Outro banco'!C1973)</f>
        <v/>
      </c>
      <c r="D1973" s="7" t="str">
        <f aca="false">IF(A1973="","",'Outro banco'!D1973)</f>
        <v/>
      </c>
      <c r="E1973" s="9"/>
      <c r="F1973" s="9"/>
      <c r="G1973" s="7" t="str">
        <f aca="false">IF(A1973="","",IF(COUNTIF(Tabelas!$A:$A,IF(E1973="",A1973,E1973))&gt;0,"sim","não"))</f>
        <v/>
      </c>
      <c r="H1973" s="7" t="str">
        <f aca="false">IF(A1973="","",IF(E1973="",A1973,E1973)&amp;"."&amp;IF(F1973="",B1973,F1973))</f>
        <v/>
      </c>
      <c r="I1973" s="7" t="str">
        <f aca="false">IF(A1973="","",IFERROR(INDEX('Campos Growths'!$F:$F,MATCH(H1973,'Campos Growths'!$A:$A,0)),""))</f>
        <v/>
      </c>
      <c r="J1973" s="7" t="str">
        <f aca="false">IF(A1973="","",IFERROR(VLOOKUP(IF(ISNUMBER(SEARCH("(",C1973)),LEFT(C1973,SEARCH("(",C1973)-1),C1973),Tipos!$A:$B,2,FALSE()),"outro"))</f>
        <v/>
      </c>
      <c r="K1973" s="7" t="str">
        <f aca="false">IF(I1973="","",IFERROR(INDEX('Campos Growths'!$L:$L,MATCH(H1973,'Campos Growths'!$A:$A,0)),""))</f>
        <v/>
      </c>
      <c r="L1973" s="7" t="str">
        <f aca="false">IF(A1973="","",IF(G1973="não","Sem tabela no Growths",IF(I1973="","Sem campo no Growths",IF(J1973=K1973,"Importa direto","Ajustar tipo"))))</f>
        <v/>
      </c>
      <c r="M1973" s="9"/>
    </row>
    <row r="1974" customFormat="false" ht="15" hidden="false" customHeight="false" outlineLevel="0" collapsed="false">
      <c r="A1974" s="7" t="str">
        <f aca="false">IF('Outro banco'!A1974="","",IF(LEFT('Outro banco'!A1974,1)="(","",'Outro banco'!A1974))</f>
        <v/>
      </c>
      <c r="B1974" s="7" t="str">
        <f aca="false">IF(A1974="","",'Outro banco'!B1974)</f>
        <v/>
      </c>
      <c r="C1974" s="7" t="str">
        <f aca="false">IF(A1974="","",'Outro banco'!C1974)</f>
        <v/>
      </c>
      <c r="D1974" s="7" t="str">
        <f aca="false">IF(A1974="","",'Outro banco'!D1974)</f>
        <v/>
      </c>
      <c r="E1974" s="9"/>
      <c r="F1974" s="9"/>
      <c r="G1974" s="7" t="str">
        <f aca="false">IF(A1974="","",IF(COUNTIF(Tabelas!$A:$A,IF(E1974="",A1974,E1974))&gt;0,"sim","não"))</f>
        <v/>
      </c>
      <c r="H1974" s="7" t="str">
        <f aca="false">IF(A1974="","",IF(E1974="",A1974,E1974)&amp;"."&amp;IF(F1974="",B1974,F1974))</f>
        <v/>
      </c>
      <c r="I1974" s="7" t="str">
        <f aca="false">IF(A1974="","",IFERROR(INDEX('Campos Growths'!$F:$F,MATCH(H1974,'Campos Growths'!$A:$A,0)),""))</f>
        <v/>
      </c>
      <c r="J1974" s="7" t="str">
        <f aca="false">IF(A1974="","",IFERROR(VLOOKUP(IF(ISNUMBER(SEARCH("(",C1974)),LEFT(C1974,SEARCH("(",C1974)-1),C1974),Tipos!$A:$B,2,FALSE()),"outro"))</f>
        <v/>
      </c>
      <c r="K1974" s="7" t="str">
        <f aca="false">IF(I1974="","",IFERROR(INDEX('Campos Growths'!$L:$L,MATCH(H1974,'Campos Growths'!$A:$A,0)),""))</f>
        <v/>
      </c>
      <c r="L1974" s="7" t="str">
        <f aca="false">IF(A1974="","",IF(G1974="não","Sem tabela no Growths",IF(I1974="","Sem campo no Growths",IF(J1974=K1974,"Importa direto","Ajustar tipo"))))</f>
        <v/>
      </c>
      <c r="M1974" s="9"/>
    </row>
    <row r="1975" customFormat="false" ht="15" hidden="false" customHeight="false" outlineLevel="0" collapsed="false">
      <c r="A1975" s="7" t="str">
        <f aca="false">IF('Outro banco'!A1975="","",IF(LEFT('Outro banco'!A1975,1)="(","",'Outro banco'!A1975))</f>
        <v/>
      </c>
      <c r="B1975" s="7" t="str">
        <f aca="false">IF(A1975="","",'Outro banco'!B1975)</f>
        <v/>
      </c>
      <c r="C1975" s="7" t="str">
        <f aca="false">IF(A1975="","",'Outro banco'!C1975)</f>
        <v/>
      </c>
      <c r="D1975" s="7" t="str">
        <f aca="false">IF(A1975="","",'Outro banco'!D1975)</f>
        <v/>
      </c>
      <c r="E1975" s="9"/>
      <c r="F1975" s="9"/>
      <c r="G1975" s="7" t="str">
        <f aca="false">IF(A1975="","",IF(COUNTIF(Tabelas!$A:$A,IF(E1975="",A1975,E1975))&gt;0,"sim","não"))</f>
        <v/>
      </c>
      <c r="H1975" s="7" t="str">
        <f aca="false">IF(A1975="","",IF(E1975="",A1975,E1975)&amp;"."&amp;IF(F1975="",B1975,F1975))</f>
        <v/>
      </c>
      <c r="I1975" s="7" t="str">
        <f aca="false">IF(A1975="","",IFERROR(INDEX('Campos Growths'!$F:$F,MATCH(H1975,'Campos Growths'!$A:$A,0)),""))</f>
        <v/>
      </c>
      <c r="J1975" s="7" t="str">
        <f aca="false">IF(A1975="","",IFERROR(VLOOKUP(IF(ISNUMBER(SEARCH("(",C1975)),LEFT(C1975,SEARCH("(",C1975)-1),C1975),Tipos!$A:$B,2,FALSE()),"outro"))</f>
        <v/>
      </c>
      <c r="K1975" s="7" t="str">
        <f aca="false">IF(I1975="","",IFERROR(INDEX('Campos Growths'!$L:$L,MATCH(H1975,'Campos Growths'!$A:$A,0)),""))</f>
        <v/>
      </c>
      <c r="L1975" s="7" t="str">
        <f aca="false">IF(A1975="","",IF(G1975="não","Sem tabela no Growths",IF(I1975="","Sem campo no Growths",IF(J1975=K1975,"Importa direto","Ajustar tipo"))))</f>
        <v/>
      </c>
      <c r="M1975" s="9"/>
    </row>
    <row r="1976" customFormat="false" ht="15" hidden="false" customHeight="false" outlineLevel="0" collapsed="false">
      <c r="A1976" s="7" t="str">
        <f aca="false">IF('Outro banco'!A1976="","",IF(LEFT('Outro banco'!A1976,1)="(","",'Outro banco'!A1976))</f>
        <v/>
      </c>
      <c r="B1976" s="7" t="str">
        <f aca="false">IF(A1976="","",'Outro banco'!B1976)</f>
        <v/>
      </c>
      <c r="C1976" s="7" t="str">
        <f aca="false">IF(A1976="","",'Outro banco'!C1976)</f>
        <v/>
      </c>
      <c r="D1976" s="7" t="str">
        <f aca="false">IF(A1976="","",'Outro banco'!D1976)</f>
        <v/>
      </c>
      <c r="E1976" s="9"/>
      <c r="F1976" s="9"/>
      <c r="G1976" s="7" t="str">
        <f aca="false">IF(A1976="","",IF(COUNTIF(Tabelas!$A:$A,IF(E1976="",A1976,E1976))&gt;0,"sim","não"))</f>
        <v/>
      </c>
      <c r="H1976" s="7" t="str">
        <f aca="false">IF(A1976="","",IF(E1976="",A1976,E1976)&amp;"."&amp;IF(F1976="",B1976,F1976))</f>
        <v/>
      </c>
      <c r="I1976" s="7" t="str">
        <f aca="false">IF(A1976="","",IFERROR(INDEX('Campos Growths'!$F:$F,MATCH(H1976,'Campos Growths'!$A:$A,0)),""))</f>
        <v/>
      </c>
      <c r="J1976" s="7" t="str">
        <f aca="false">IF(A1976="","",IFERROR(VLOOKUP(IF(ISNUMBER(SEARCH("(",C1976)),LEFT(C1976,SEARCH("(",C1976)-1),C1976),Tipos!$A:$B,2,FALSE()),"outro"))</f>
        <v/>
      </c>
      <c r="K1976" s="7" t="str">
        <f aca="false">IF(I1976="","",IFERROR(INDEX('Campos Growths'!$L:$L,MATCH(H1976,'Campos Growths'!$A:$A,0)),""))</f>
        <v/>
      </c>
      <c r="L1976" s="7" t="str">
        <f aca="false">IF(A1976="","",IF(G1976="não","Sem tabela no Growths",IF(I1976="","Sem campo no Growths",IF(J1976=K1976,"Importa direto","Ajustar tipo"))))</f>
        <v/>
      </c>
      <c r="M1976" s="9"/>
    </row>
    <row r="1977" customFormat="false" ht="15" hidden="false" customHeight="false" outlineLevel="0" collapsed="false">
      <c r="A1977" s="7" t="str">
        <f aca="false">IF('Outro banco'!A1977="","",IF(LEFT('Outro banco'!A1977,1)="(","",'Outro banco'!A1977))</f>
        <v/>
      </c>
      <c r="B1977" s="7" t="str">
        <f aca="false">IF(A1977="","",'Outro banco'!B1977)</f>
        <v/>
      </c>
      <c r="C1977" s="7" t="str">
        <f aca="false">IF(A1977="","",'Outro banco'!C1977)</f>
        <v/>
      </c>
      <c r="D1977" s="7" t="str">
        <f aca="false">IF(A1977="","",'Outro banco'!D1977)</f>
        <v/>
      </c>
      <c r="E1977" s="9"/>
      <c r="F1977" s="9"/>
      <c r="G1977" s="7" t="str">
        <f aca="false">IF(A1977="","",IF(COUNTIF(Tabelas!$A:$A,IF(E1977="",A1977,E1977))&gt;0,"sim","não"))</f>
        <v/>
      </c>
      <c r="H1977" s="7" t="str">
        <f aca="false">IF(A1977="","",IF(E1977="",A1977,E1977)&amp;"."&amp;IF(F1977="",B1977,F1977))</f>
        <v/>
      </c>
      <c r="I1977" s="7" t="str">
        <f aca="false">IF(A1977="","",IFERROR(INDEX('Campos Growths'!$F:$F,MATCH(H1977,'Campos Growths'!$A:$A,0)),""))</f>
        <v/>
      </c>
      <c r="J1977" s="7" t="str">
        <f aca="false">IF(A1977="","",IFERROR(VLOOKUP(IF(ISNUMBER(SEARCH("(",C1977)),LEFT(C1977,SEARCH("(",C1977)-1),C1977),Tipos!$A:$B,2,FALSE()),"outro"))</f>
        <v/>
      </c>
      <c r="K1977" s="7" t="str">
        <f aca="false">IF(I1977="","",IFERROR(INDEX('Campos Growths'!$L:$L,MATCH(H1977,'Campos Growths'!$A:$A,0)),""))</f>
        <v/>
      </c>
      <c r="L1977" s="7" t="str">
        <f aca="false">IF(A1977="","",IF(G1977="não","Sem tabela no Growths",IF(I1977="","Sem campo no Growths",IF(J1977=K1977,"Importa direto","Ajustar tipo"))))</f>
        <v/>
      </c>
      <c r="M1977" s="9"/>
    </row>
    <row r="1978" customFormat="false" ht="15" hidden="false" customHeight="false" outlineLevel="0" collapsed="false">
      <c r="A1978" s="7" t="str">
        <f aca="false">IF('Outro banco'!A1978="","",IF(LEFT('Outro banco'!A1978,1)="(","",'Outro banco'!A1978))</f>
        <v/>
      </c>
      <c r="B1978" s="7" t="str">
        <f aca="false">IF(A1978="","",'Outro banco'!B1978)</f>
        <v/>
      </c>
      <c r="C1978" s="7" t="str">
        <f aca="false">IF(A1978="","",'Outro banco'!C1978)</f>
        <v/>
      </c>
      <c r="D1978" s="7" t="str">
        <f aca="false">IF(A1978="","",'Outro banco'!D1978)</f>
        <v/>
      </c>
      <c r="E1978" s="9"/>
      <c r="F1978" s="9"/>
      <c r="G1978" s="7" t="str">
        <f aca="false">IF(A1978="","",IF(COUNTIF(Tabelas!$A:$A,IF(E1978="",A1978,E1978))&gt;0,"sim","não"))</f>
        <v/>
      </c>
      <c r="H1978" s="7" t="str">
        <f aca="false">IF(A1978="","",IF(E1978="",A1978,E1978)&amp;"."&amp;IF(F1978="",B1978,F1978))</f>
        <v/>
      </c>
      <c r="I1978" s="7" t="str">
        <f aca="false">IF(A1978="","",IFERROR(INDEX('Campos Growths'!$F:$F,MATCH(H1978,'Campos Growths'!$A:$A,0)),""))</f>
        <v/>
      </c>
      <c r="J1978" s="7" t="str">
        <f aca="false">IF(A1978="","",IFERROR(VLOOKUP(IF(ISNUMBER(SEARCH("(",C1978)),LEFT(C1978,SEARCH("(",C1978)-1),C1978),Tipos!$A:$B,2,FALSE()),"outro"))</f>
        <v/>
      </c>
      <c r="K1978" s="7" t="str">
        <f aca="false">IF(I1978="","",IFERROR(INDEX('Campos Growths'!$L:$L,MATCH(H1978,'Campos Growths'!$A:$A,0)),""))</f>
        <v/>
      </c>
      <c r="L1978" s="7" t="str">
        <f aca="false">IF(A1978="","",IF(G1978="não","Sem tabela no Growths",IF(I1978="","Sem campo no Growths",IF(J1978=K1978,"Importa direto","Ajustar tipo"))))</f>
        <v/>
      </c>
      <c r="M1978" s="9"/>
    </row>
    <row r="1979" customFormat="false" ht="15" hidden="false" customHeight="false" outlineLevel="0" collapsed="false">
      <c r="A1979" s="7" t="str">
        <f aca="false">IF('Outro banco'!A1979="","",IF(LEFT('Outro banco'!A1979,1)="(","",'Outro banco'!A1979))</f>
        <v/>
      </c>
      <c r="B1979" s="7" t="str">
        <f aca="false">IF(A1979="","",'Outro banco'!B1979)</f>
        <v/>
      </c>
      <c r="C1979" s="7" t="str">
        <f aca="false">IF(A1979="","",'Outro banco'!C1979)</f>
        <v/>
      </c>
      <c r="D1979" s="7" t="str">
        <f aca="false">IF(A1979="","",'Outro banco'!D1979)</f>
        <v/>
      </c>
      <c r="E1979" s="9"/>
      <c r="F1979" s="9"/>
      <c r="G1979" s="7" t="str">
        <f aca="false">IF(A1979="","",IF(COUNTIF(Tabelas!$A:$A,IF(E1979="",A1979,E1979))&gt;0,"sim","não"))</f>
        <v/>
      </c>
      <c r="H1979" s="7" t="str">
        <f aca="false">IF(A1979="","",IF(E1979="",A1979,E1979)&amp;"."&amp;IF(F1979="",B1979,F1979))</f>
        <v/>
      </c>
      <c r="I1979" s="7" t="str">
        <f aca="false">IF(A1979="","",IFERROR(INDEX('Campos Growths'!$F:$F,MATCH(H1979,'Campos Growths'!$A:$A,0)),""))</f>
        <v/>
      </c>
      <c r="J1979" s="7" t="str">
        <f aca="false">IF(A1979="","",IFERROR(VLOOKUP(IF(ISNUMBER(SEARCH("(",C1979)),LEFT(C1979,SEARCH("(",C1979)-1),C1979),Tipos!$A:$B,2,FALSE()),"outro"))</f>
        <v/>
      </c>
      <c r="K1979" s="7" t="str">
        <f aca="false">IF(I1979="","",IFERROR(INDEX('Campos Growths'!$L:$L,MATCH(H1979,'Campos Growths'!$A:$A,0)),""))</f>
        <v/>
      </c>
      <c r="L1979" s="7" t="str">
        <f aca="false">IF(A1979="","",IF(G1979="não","Sem tabela no Growths",IF(I1979="","Sem campo no Growths",IF(J1979=K1979,"Importa direto","Ajustar tipo"))))</f>
        <v/>
      </c>
      <c r="M1979" s="9"/>
    </row>
    <row r="1980" customFormat="false" ht="15" hidden="false" customHeight="false" outlineLevel="0" collapsed="false">
      <c r="A1980" s="7" t="str">
        <f aca="false">IF('Outro banco'!A1980="","",IF(LEFT('Outro banco'!A1980,1)="(","",'Outro banco'!A1980))</f>
        <v/>
      </c>
      <c r="B1980" s="7" t="str">
        <f aca="false">IF(A1980="","",'Outro banco'!B1980)</f>
        <v/>
      </c>
      <c r="C1980" s="7" t="str">
        <f aca="false">IF(A1980="","",'Outro banco'!C1980)</f>
        <v/>
      </c>
      <c r="D1980" s="7" t="str">
        <f aca="false">IF(A1980="","",'Outro banco'!D1980)</f>
        <v/>
      </c>
      <c r="E1980" s="9"/>
      <c r="F1980" s="9"/>
      <c r="G1980" s="7" t="str">
        <f aca="false">IF(A1980="","",IF(COUNTIF(Tabelas!$A:$A,IF(E1980="",A1980,E1980))&gt;0,"sim","não"))</f>
        <v/>
      </c>
      <c r="H1980" s="7" t="str">
        <f aca="false">IF(A1980="","",IF(E1980="",A1980,E1980)&amp;"."&amp;IF(F1980="",B1980,F1980))</f>
        <v/>
      </c>
      <c r="I1980" s="7" t="str">
        <f aca="false">IF(A1980="","",IFERROR(INDEX('Campos Growths'!$F:$F,MATCH(H1980,'Campos Growths'!$A:$A,0)),""))</f>
        <v/>
      </c>
      <c r="J1980" s="7" t="str">
        <f aca="false">IF(A1980="","",IFERROR(VLOOKUP(IF(ISNUMBER(SEARCH("(",C1980)),LEFT(C1980,SEARCH("(",C1980)-1),C1980),Tipos!$A:$B,2,FALSE()),"outro"))</f>
        <v/>
      </c>
      <c r="K1980" s="7" t="str">
        <f aca="false">IF(I1980="","",IFERROR(INDEX('Campos Growths'!$L:$L,MATCH(H1980,'Campos Growths'!$A:$A,0)),""))</f>
        <v/>
      </c>
      <c r="L1980" s="7" t="str">
        <f aca="false">IF(A1980="","",IF(G1980="não","Sem tabela no Growths",IF(I1980="","Sem campo no Growths",IF(J1980=K1980,"Importa direto","Ajustar tipo"))))</f>
        <v/>
      </c>
      <c r="M1980" s="9"/>
    </row>
    <row r="1981" customFormat="false" ht="15" hidden="false" customHeight="false" outlineLevel="0" collapsed="false">
      <c r="A1981" s="7" t="str">
        <f aca="false">IF('Outro banco'!A1981="","",IF(LEFT('Outro banco'!A1981,1)="(","",'Outro banco'!A1981))</f>
        <v/>
      </c>
      <c r="B1981" s="7" t="str">
        <f aca="false">IF(A1981="","",'Outro banco'!B1981)</f>
        <v/>
      </c>
      <c r="C1981" s="7" t="str">
        <f aca="false">IF(A1981="","",'Outro banco'!C1981)</f>
        <v/>
      </c>
      <c r="D1981" s="7" t="str">
        <f aca="false">IF(A1981="","",'Outro banco'!D1981)</f>
        <v/>
      </c>
      <c r="E1981" s="9"/>
      <c r="F1981" s="9"/>
      <c r="G1981" s="7" t="str">
        <f aca="false">IF(A1981="","",IF(COUNTIF(Tabelas!$A:$A,IF(E1981="",A1981,E1981))&gt;0,"sim","não"))</f>
        <v/>
      </c>
      <c r="H1981" s="7" t="str">
        <f aca="false">IF(A1981="","",IF(E1981="",A1981,E1981)&amp;"."&amp;IF(F1981="",B1981,F1981))</f>
        <v/>
      </c>
      <c r="I1981" s="7" t="str">
        <f aca="false">IF(A1981="","",IFERROR(INDEX('Campos Growths'!$F:$F,MATCH(H1981,'Campos Growths'!$A:$A,0)),""))</f>
        <v/>
      </c>
      <c r="J1981" s="7" t="str">
        <f aca="false">IF(A1981="","",IFERROR(VLOOKUP(IF(ISNUMBER(SEARCH("(",C1981)),LEFT(C1981,SEARCH("(",C1981)-1),C1981),Tipos!$A:$B,2,FALSE()),"outro"))</f>
        <v/>
      </c>
      <c r="K1981" s="7" t="str">
        <f aca="false">IF(I1981="","",IFERROR(INDEX('Campos Growths'!$L:$L,MATCH(H1981,'Campos Growths'!$A:$A,0)),""))</f>
        <v/>
      </c>
      <c r="L1981" s="7" t="str">
        <f aca="false">IF(A1981="","",IF(G1981="não","Sem tabela no Growths",IF(I1981="","Sem campo no Growths",IF(J1981=K1981,"Importa direto","Ajustar tipo"))))</f>
        <v/>
      </c>
      <c r="M1981" s="9"/>
    </row>
    <row r="1982" customFormat="false" ht="15" hidden="false" customHeight="false" outlineLevel="0" collapsed="false">
      <c r="A1982" s="7" t="str">
        <f aca="false">IF('Outro banco'!A1982="","",IF(LEFT('Outro banco'!A1982,1)="(","",'Outro banco'!A1982))</f>
        <v/>
      </c>
      <c r="B1982" s="7" t="str">
        <f aca="false">IF(A1982="","",'Outro banco'!B1982)</f>
        <v/>
      </c>
      <c r="C1982" s="7" t="str">
        <f aca="false">IF(A1982="","",'Outro banco'!C1982)</f>
        <v/>
      </c>
      <c r="D1982" s="7" t="str">
        <f aca="false">IF(A1982="","",'Outro banco'!D1982)</f>
        <v/>
      </c>
      <c r="E1982" s="9"/>
      <c r="F1982" s="9"/>
      <c r="G1982" s="7" t="str">
        <f aca="false">IF(A1982="","",IF(COUNTIF(Tabelas!$A:$A,IF(E1982="",A1982,E1982))&gt;0,"sim","não"))</f>
        <v/>
      </c>
      <c r="H1982" s="7" t="str">
        <f aca="false">IF(A1982="","",IF(E1982="",A1982,E1982)&amp;"."&amp;IF(F1982="",B1982,F1982))</f>
        <v/>
      </c>
      <c r="I1982" s="7" t="str">
        <f aca="false">IF(A1982="","",IFERROR(INDEX('Campos Growths'!$F:$F,MATCH(H1982,'Campos Growths'!$A:$A,0)),""))</f>
        <v/>
      </c>
      <c r="J1982" s="7" t="str">
        <f aca="false">IF(A1982="","",IFERROR(VLOOKUP(IF(ISNUMBER(SEARCH("(",C1982)),LEFT(C1982,SEARCH("(",C1982)-1),C1982),Tipos!$A:$B,2,FALSE()),"outro"))</f>
        <v/>
      </c>
      <c r="K1982" s="7" t="str">
        <f aca="false">IF(I1982="","",IFERROR(INDEX('Campos Growths'!$L:$L,MATCH(H1982,'Campos Growths'!$A:$A,0)),""))</f>
        <v/>
      </c>
      <c r="L1982" s="7" t="str">
        <f aca="false">IF(A1982="","",IF(G1982="não","Sem tabela no Growths",IF(I1982="","Sem campo no Growths",IF(J1982=K1982,"Importa direto","Ajustar tipo"))))</f>
        <v/>
      </c>
      <c r="M1982" s="9"/>
    </row>
    <row r="1983" customFormat="false" ht="15" hidden="false" customHeight="false" outlineLevel="0" collapsed="false">
      <c r="A1983" s="7" t="str">
        <f aca="false">IF('Outro banco'!A1983="","",IF(LEFT('Outro banco'!A1983,1)="(","",'Outro banco'!A1983))</f>
        <v/>
      </c>
      <c r="B1983" s="7" t="str">
        <f aca="false">IF(A1983="","",'Outro banco'!B1983)</f>
        <v/>
      </c>
      <c r="C1983" s="7" t="str">
        <f aca="false">IF(A1983="","",'Outro banco'!C1983)</f>
        <v/>
      </c>
      <c r="D1983" s="7" t="str">
        <f aca="false">IF(A1983="","",'Outro banco'!D1983)</f>
        <v/>
      </c>
      <c r="E1983" s="9"/>
      <c r="F1983" s="9"/>
      <c r="G1983" s="7" t="str">
        <f aca="false">IF(A1983="","",IF(COUNTIF(Tabelas!$A:$A,IF(E1983="",A1983,E1983))&gt;0,"sim","não"))</f>
        <v/>
      </c>
      <c r="H1983" s="7" t="str">
        <f aca="false">IF(A1983="","",IF(E1983="",A1983,E1983)&amp;"."&amp;IF(F1983="",B1983,F1983))</f>
        <v/>
      </c>
      <c r="I1983" s="7" t="str">
        <f aca="false">IF(A1983="","",IFERROR(INDEX('Campos Growths'!$F:$F,MATCH(H1983,'Campos Growths'!$A:$A,0)),""))</f>
        <v/>
      </c>
      <c r="J1983" s="7" t="str">
        <f aca="false">IF(A1983="","",IFERROR(VLOOKUP(IF(ISNUMBER(SEARCH("(",C1983)),LEFT(C1983,SEARCH("(",C1983)-1),C1983),Tipos!$A:$B,2,FALSE()),"outro"))</f>
        <v/>
      </c>
      <c r="K1983" s="7" t="str">
        <f aca="false">IF(I1983="","",IFERROR(INDEX('Campos Growths'!$L:$L,MATCH(H1983,'Campos Growths'!$A:$A,0)),""))</f>
        <v/>
      </c>
      <c r="L1983" s="7" t="str">
        <f aca="false">IF(A1983="","",IF(G1983="não","Sem tabela no Growths",IF(I1983="","Sem campo no Growths",IF(J1983=K1983,"Importa direto","Ajustar tipo"))))</f>
        <v/>
      </c>
      <c r="M1983" s="9"/>
    </row>
    <row r="1984" customFormat="false" ht="15" hidden="false" customHeight="false" outlineLevel="0" collapsed="false">
      <c r="A1984" s="7" t="str">
        <f aca="false">IF('Outro banco'!A1984="","",IF(LEFT('Outro banco'!A1984,1)="(","",'Outro banco'!A1984))</f>
        <v/>
      </c>
      <c r="B1984" s="7" t="str">
        <f aca="false">IF(A1984="","",'Outro banco'!B1984)</f>
        <v/>
      </c>
      <c r="C1984" s="7" t="str">
        <f aca="false">IF(A1984="","",'Outro banco'!C1984)</f>
        <v/>
      </c>
      <c r="D1984" s="7" t="str">
        <f aca="false">IF(A1984="","",'Outro banco'!D1984)</f>
        <v/>
      </c>
      <c r="E1984" s="9"/>
      <c r="F1984" s="9"/>
      <c r="G1984" s="7" t="str">
        <f aca="false">IF(A1984="","",IF(COUNTIF(Tabelas!$A:$A,IF(E1984="",A1984,E1984))&gt;0,"sim","não"))</f>
        <v/>
      </c>
      <c r="H1984" s="7" t="str">
        <f aca="false">IF(A1984="","",IF(E1984="",A1984,E1984)&amp;"."&amp;IF(F1984="",B1984,F1984))</f>
        <v/>
      </c>
      <c r="I1984" s="7" t="str">
        <f aca="false">IF(A1984="","",IFERROR(INDEX('Campos Growths'!$F:$F,MATCH(H1984,'Campos Growths'!$A:$A,0)),""))</f>
        <v/>
      </c>
      <c r="J1984" s="7" t="str">
        <f aca="false">IF(A1984="","",IFERROR(VLOOKUP(IF(ISNUMBER(SEARCH("(",C1984)),LEFT(C1984,SEARCH("(",C1984)-1),C1984),Tipos!$A:$B,2,FALSE()),"outro"))</f>
        <v/>
      </c>
      <c r="K1984" s="7" t="str">
        <f aca="false">IF(I1984="","",IFERROR(INDEX('Campos Growths'!$L:$L,MATCH(H1984,'Campos Growths'!$A:$A,0)),""))</f>
        <v/>
      </c>
      <c r="L1984" s="7" t="str">
        <f aca="false">IF(A1984="","",IF(G1984="não","Sem tabela no Growths",IF(I1984="","Sem campo no Growths",IF(J1984=K1984,"Importa direto","Ajustar tipo"))))</f>
        <v/>
      </c>
      <c r="M1984" s="9"/>
    </row>
    <row r="1985" customFormat="false" ht="15" hidden="false" customHeight="false" outlineLevel="0" collapsed="false">
      <c r="A1985" s="7" t="str">
        <f aca="false">IF('Outro banco'!A1985="","",IF(LEFT('Outro banco'!A1985,1)="(","",'Outro banco'!A1985))</f>
        <v/>
      </c>
      <c r="B1985" s="7" t="str">
        <f aca="false">IF(A1985="","",'Outro banco'!B1985)</f>
        <v/>
      </c>
      <c r="C1985" s="7" t="str">
        <f aca="false">IF(A1985="","",'Outro banco'!C1985)</f>
        <v/>
      </c>
      <c r="D1985" s="7" t="str">
        <f aca="false">IF(A1985="","",'Outro banco'!D1985)</f>
        <v/>
      </c>
      <c r="E1985" s="9"/>
      <c r="F1985" s="9"/>
      <c r="G1985" s="7" t="str">
        <f aca="false">IF(A1985="","",IF(COUNTIF(Tabelas!$A:$A,IF(E1985="",A1985,E1985))&gt;0,"sim","não"))</f>
        <v/>
      </c>
      <c r="H1985" s="7" t="str">
        <f aca="false">IF(A1985="","",IF(E1985="",A1985,E1985)&amp;"."&amp;IF(F1985="",B1985,F1985))</f>
        <v/>
      </c>
      <c r="I1985" s="7" t="str">
        <f aca="false">IF(A1985="","",IFERROR(INDEX('Campos Growths'!$F:$F,MATCH(H1985,'Campos Growths'!$A:$A,0)),""))</f>
        <v/>
      </c>
      <c r="J1985" s="7" t="str">
        <f aca="false">IF(A1985="","",IFERROR(VLOOKUP(IF(ISNUMBER(SEARCH("(",C1985)),LEFT(C1985,SEARCH("(",C1985)-1),C1985),Tipos!$A:$B,2,FALSE()),"outro"))</f>
        <v/>
      </c>
      <c r="K1985" s="7" t="str">
        <f aca="false">IF(I1985="","",IFERROR(INDEX('Campos Growths'!$L:$L,MATCH(H1985,'Campos Growths'!$A:$A,0)),""))</f>
        <v/>
      </c>
      <c r="L1985" s="7" t="str">
        <f aca="false">IF(A1985="","",IF(G1985="não","Sem tabela no Growths",IF(I1985="","Sem campo no Growths",IF(J1985=K1985,"Importa direto","Ajustar tipo"))))</f>
        <v/>
      </c>
      <c r="M1985" s="9"/>
    </row>
    <row r="1986" customFormat="false" ht="15" hidden="false" customHeight="false" outlineLevel="0" collapsed="false">
      <c r="A1986" s="7" t="str">
        <f aca="false">IF('Outro banco'!A1986="","",IF(LEFT('Outro banco'!A1986,1)="(","",'Outro banco'!A1986))</f>
        <v/>
      </c>
      <c r="B1986" s="7" t="str">
        <f aca="false">IF(A1986="","",'Outro banco'!B1986)</f>
        <v/>
      </c>
      <c r="C1986" s="7" t="str">
        <f aca="false">IF(A1986="","",'Outro banco'!C1986)</f>
        <v/>
      </c>
      <c r="D1986" s="7" t="str">
        <f aca="false">IF(A1986="","",'Outro banco'!D1986)</f>
        <v/>
      </c>
      <c r="E1986" s="9"/>
      <c r="F1986" s="9"/>
      <c r="G1986" s="7" t="str">
        <f aca="false">IF(A1986="","",IF(COUNTIF(Tabelas!$A:$A,IF(E1986="",A1986,E1986))&gt;0,"sim","não"))</f>
        <v/>
      </c>
      <c r="H1986" s="7" t="str">
        <f aca="false">IF(A1986="","",IF(E1986="",A1986,E1986)&amp;"."&amp;IF(F1986="",B1986,F1986))</f>
        <v/>
      </c>
      <c r="I1986" s="7" t="str">
        <f aca="false">IF(A1986="","",IFERROR(INDEX('Campos Growths'!$F:$F,MATCH(H1986,'Campos Growths'!$A:$A,0)),""))</f>
        <v/>
      </c>
      <c r="J1986" s="7" t="str">
        <f aca="false">IF(A1986="","",IFERROR(VLOOKUP(IF(ISNUMBER(SEARCH("(",C1986)),LEFT(C1986,SEARCH("(",C1986)-1),C1986),Tipos!$A:$B,2,FALSE()),"outro"))</f>
        <v/>
      </c>
      <c r="K1986" s="7" t="str">
        <f aca="false">IF(I1986="","",IFERROR(INDEX('Campos Growths'!$L:$L,MATCH(H1986,'Campos Growths'!$A:$A,0)),""))</f>
        <v/>
      </c>
      <c r="L1986" s="7" t="str">
        <f aca="false">IF(A1986="","",IF(G1986="não","Sem tabela no Growths",IF(I1986="","Sem campo no Growths",IF(J1986=K1986,"Importa direto","Ajustar tipo"))))</f>
        <v/>
      </c>
      <c r="M1986" s="9"/>
    </row>
    <row r="1987" customFormat="false" ht="15" hidden="false" customHeight="false" outlineLevel="0" collapsed="false">
      <c r="A1987" s="7" t="str">
        <f aca="false">IF('Outro banco'!A1987="","",IF(LEFT('Outro banco'!A1987,1)="(","",'Outro banco'!A1987))</f>
        <v/>
      </c>
      <c r="B1987" s="7" t="str">
        <f aca="false">IF(A1987="","",'Outro banco'!B1987)</f>
        <v/>
      </c>
      <c r="C1987" s="7" t="str">
        <f aca="false">IF(A1987="","",'Outro banco'!C1987)</f>
        <v/>
      </c>
      <c r="D1987" s="7" t="str">
        <f aca="false">IF(A1987="","",'Outro banco'!D1987)</f>
        <v/>
      </c>
      <c r="E1987" s="9"/>
      <c r="F1987" s="9"/>
      <c r="G1987" s="7" t="str">
        <f aca="false">IF(A1987="","",IF(COUNTIF(Tabelas!$A:$A,IF(E1987="",A1987,E1987))&gt;0,"sim","não"))</f>
        <v/>
      </c>
      <c r="H1987" s="7" t="str">
        <f aca="false">IF(A1987="","",IF(E1987="",A1987,E1987)&amp;"."&amp;IF(F1987="",B1987,F1987))</f>
        <v/>
      </c>
      <c r="I1987" s="7" t="str">
        <f aca="false">IF(A1987="","",IFERROR(INDEX('Campos Growths'!$F:$F,MATCH(H1987,'Campos Growths'!$A:$A,0)),""))</f>
        <v/>
      </c>
      <c r="J1987" s="7" t="str">
        <f aca="false">IF(A1987="","",IFERROR(VLOOKUP(IF(ISNUMBER(SEARCH("(",C1987)),LEFT(C1987,SEARCH("(",C1987)-1),C1987),Tipos!$A:$B,2,FALSE()),"outro"))</f>
        <v/>
      </c>
      <c r="K1987" s="7" t="str">
        <f aca="false">IF(I1987="","",IFERROR(INDEX('Campos Growths'!$L:$L,MATCH(H1987,'Campos Growths'!$A:$A,0)),""))</f>
        <v/>
      </c>
      <c r="L1987" s="7" t="str">
        <f aca="false">IF(A1987="","",IF(G1987="não","Sem tabela no Growths",IF(I1987="","Sem campo no Growths",IF(J1987=K1987,"Importa direto","Ajustar tipo"))))</f>
        <v/>
      </c>
      <c r="M1987" s="9"/>
    </row>
    <row r="1988" customFormat="false" ht="15" hidden="false" customHeight="false" outlineLevel="0" collapsed="false">
      <c r="A1988" s="7" t="str">
        <f aca="false">IF('Outro banco'!A1988="","",IF(LEFT('Outro banco'!A1988,1)="(","",'Outro banco'!A1988))</f>
        <v/>
      </c>
      <c r="B1988" s="7" t="str">
        <f aca="false">IF(A1988="","",'Outro banco'!B1988)</f>
        <v/>
      </c>
      <c r="C1988" s="7" t="str">
        <f aca="false">IF(A1988="","",'Outro banco'!C1988)</f>
        <v/>
      </c>
      <c r="D1988" s="7" t="str">
        <f aca="false">IF(A1988="","",'Outro banco'!D1988)</f>
        <v/>
      </c>
      <c r="E1988" s="9"/>
      <c r="F1988" s="9"/>
      <c r="G1988" s="7" t="str">
        <f aca="false">IF(A1988="","",IF(COUNTIF(Tabelas!$A:$A,IF(E1988="",A1988,E1988))&gt;0,"sim","não"))</f>
        <v/>
      </c>
      <c r="H1988" s="7" t="str">
        <f aca="false">IF(A1988="","",IF(E1988="",A1988,E1988)&amp;"."&amp;IF(F1988="",B1988,F1988))</f>
        <v/>
      </c>
      <c r="I1988" s="7" t="str">
        <f aca="false">IF(A1988="","",IFERROR(INDEX('Campos Growths'!$F:$F,MATCH(H1988,'Campos Growths'!$A:$A,0)),""))</f>
        <v/>
      </c>
      <c r="J1988" s="7" t="str">
        <f aca="false">IF(A1988="","",IFERROR(VLOOKUP(IF(ISNUMBER(SEARCH("(",C1988)),LEFT(C1988,SEARCH("(",C1988)-1),C1988),Tipos!$A:$B,2,FALSE()),"outro"))</f>
        <v/>
      </c>
      <c r="K1988" s="7" t="str">
        <f aca="false">IF(I1988="","",IFERROR(INDEX('Campos Growths'!$L:$L,MATCH(H1988,'Campos Growths'!$A:$A,0)),""))</f>
        <v/>
      </c>
      <c r="L1988" s="7" t="str">
        <f aca="false">IF(A1988="","",IF(G1988="não","Sem tabela no Growths",IF(I1988="","Sem campo no Growths",IF(J1988=K1988,"Importa direto","Ajustar tipo"))))</f>
        <v/>
      </c>
      <c r="M1988" s="9"/>
    </row>
    <row r="1989" customFormat="false" ht="15" hidden="false" customHeight="false" outlineLevel="0" collapsed="false">
      <c r="A1989" s="7" t="str">
        <f aca="false">IF('Outro banco'!A1989="","",IF(LEFT('Outro banco'!A1989,1)="(","",'Outro banco'!A1989))</f>
        <v/>
      </c>
      <c r="B1989" s="7" t="str">
        <f aca="false">IF(A1989="","",'Outro banco'!B1989)</f>
        <v/>
      </c>
      <c r="C1989" s="7" t="str">
        <f aca="false">IF(A1989="","",'Outro banco'!C1989)</f>
        <v/>
      </c>
      <c r="D1989" s="7" t="str">
        <f aca="false">IF(A1989="","",'Outro banco'!D1989)</f>
        <v/>
      </c>
      <c r="E1989" s="9"/>
      <c r="F1989" s="9"/>
      <c r="G1989" s="7" t="str">
        <f aca="false">IF(A1989="","",IF(COUNTIF(Tabelas!$A:$A,IF(E1989="",A1989,E1989))&gt;0,"sim","não"))</f>
        <v/>
      </c>
      <c r="H1989" s="7" t="str">
        <f aca="false">IF(A1989="","",IF(E1989="",A1989,E1989)&amp;"."&amp;IF(F1989="",B1989,F1989))</f>
        <v/>
      </c>
      <c r="I1989" s="7" t="str">
        <f aca="false">IF(A1989="","",IFERROR(INDEX('Campos Growths'!$F:$F,MATCH(H1989,'Campos Growths'!$A:$A,0)),""))</f>
        <v/>
      </c>
      <c r="J1989" s="7" t="str">
        <f aca="false">IF(A1989="","",IFERROR(VLOOKUP(IF(ISNUMBER(SEARCH("(",C1989)),LEFT(C1989,SEARCH("(",C1989)-1),C1989),Tipos!$A:$B,2,FALSE()),"outro"))</f>
        <v/>
      </c>
      <c r="K1989" s="7" t="str">
        <f aca="false">IF(I1989="","",IFERROR(INDEX('Campos Growths'!$L:$L,MATCH(H1989,'Campos Growths'!$A:$A,0)),""))</f>
        <v/>
      </c>
      <c r="L1989" s="7" t="str">
        <f aca="false">IF(A1989="","",IF(G1989="não","Sem tabela no Growths",IF(I1989="","Sem campo no Growths",IF(J1989=K1989,"Importa direto","Ajustar tipo"))))</f>
        <v/>
      </c>
      <c r="M1989" s="9"/>
    </row>
    <row r="1990" customFormat="false" ht="15" hidden="false" customHeight="false" outlineLevel="0" collapsed="false">
      <c r="A1990" s="7" t="str">
        <f aca="false">IF('Outro banco'!A1990="","",IF(LEFT('Outro banco'!A1990,1)="(","",'Outro banco'!A1990))</f>
        <v/>
      </c>
      <c r="B1990" s="7" t="str">
        <f aca="false">IF(A1990="","",'Outro banco'!B1990)</f>
        <v/>
      </c>
      <c r="C1990" s="7" t="str">
        <f aca="false">IF(A1990="","",'Outro banco'!C1990)</f>
        <v/>
      </c>
      <c r="D1990" s="7" t="str">
        <f aca="false">IF(A1990="","",'Outro banco'!D1990)</f>
        <v/>
      </c>
      <c r="E1990" s="9"/>
      <c r="F1990" s="9"/>
      <c r="G1990" s="7" t="str">
        <f aca="false">IF(A1990="","",IF(COUNTIF(Tabelas!$A:$A,IF(E1990="",A1990,E1990))&gt;0,"sim","não"))</f>
        <v/>
      </c>
      <c r="H1990" s="7" t="str">
        <f aca="false">IF(A1990="","",IF(E1990="",A1990,E1990)&amp;"."&amp;IF(F1990="",B1990,F1990))</f>
        <v/>
      </c>
      <c r="I1990" s="7" t="str">
        <f aca="false">IF(A1990="","",IFERROR(INDEX('Campos Growths'!$F:$F,MATCH(H1990,'Campos Growths'!$A:$A,0)),""))</f>
        <v/>
      </c>
      <c r="J1990" s="7" t="str">
        <f aca="false">IF(A1990="","",IFERROR(VLOOKUP(IF(ISNUMBER(SEARCH("(",C1990)),LEFT(C1990,SEARCH("(",C1990)-1),C1990),Tipos!$A:$B,2,FALSE()),"outro"))</f>
        <v/>
      </c>
      <c r="K1990" s="7" t="str">
        <f aca="false">IF(I1990="","",IFERROR(INDEX('Campos Growths'!$L:$L,MATCH(H1990,'Campos Growths'!$A:$A,0)),""))</f>
        <v/>
      </c>
      <c r="L1990" s="7" t="str">
        <f aca="false">IF(A1990="","",IF(G1990="não","Sem tabela no Growths",IF(I1990="","Sem campo no Growths",IF(J1990=K1990,"Importa direto","Ajustar tipo"))))</f>
        <v/>
      </c>
      <c r="M1990" s="9"/>
    </row>
    <row r="1991" customFormat="false" ht="15" hidden="false" customHeight="false" outlineLevel="0" collapsed="false">
      <c r="A1991" s="7" t="str">
        <f aca="false">IF('Outro banco'!A1991="","",IF(LEFT('Outro banco'!A1991,1)="(","",'Outro banco'!A1991))</f>
        <v/>
      </c>
      <c r="B1991" s="7" t="str">
        <f aca="false">IF(A1991="","",'Outro banco'!B1991)</f>
        <v/>
      </c>
      <c r="C1991" s="7" t="str">
        <f aca="false">IF(A1991="","",'Outro banco'!C1991)</f>
        <v/>
      </c>
      <c r="D1991" s="7" t="str">
        <f aca="false">IF(A1991="","",'Outro banco'!D1991)</f>
        <v/>
      </c>
      <c r="E1991" s="9"/>
      <c r="F1991" s="9"/>
      <c r="G1991" s="7" t="str">
        <f aca="false">IF(A1991="","",IF(COUNTIF(Tabelas!$A:$A,IF(E1991="",A1991,E1991))&gt;0,"sim","não"))</f>
        <v/>
      </c>
      <c r="H1991" s="7" t="str">
        <f aca="false">IF(A1991="","",IF(E1991="",A1991,E1991)&amp;"."&amp;IF(F1991="",B1991,F1991))</f>
        <v/>
      </c>
      <c r="I1991" s="7" t="str">
        <f aca="false">IF(A1991="","",IFERROR(INDEX('Campos Growths'!$F:$F,MATCH(H1991,'Campos Growths'!$A:$A,0)),""))</f>
        <v/>
      </c>
      <c r="J1991" s="7" t="str">
        <f aca="false">IF(A1991="","",IFERROR(VLOOKUP(IF(ISNUMBER(SEARCH("(",C1991)),LEFT(C1991,SEARCH("(",C1991)-1),C1991),Tipos!$A:$B,2,FALSE()),"outro"))</f>
        <v/>
      </c>
      <c r="K1991" s="7" t="str">
        <f aca="false">IF(I1991="","",IFERROR(INDEX('Campos Growths'!$L:$L,MATCH(H1991,'Campos Growths'!$A:$A,0)),""))</f>
        <v/>
      </c>
      <c r="L1991" s="7" t="str">
        <f aca="false">IF(A1991="","",IF(G1991="não","Sem tabela no Growths",IF(I1991="","Sem campo no Growths",IF(J1991=K1991,"Importa direto","Ajustar tipo"))))</f>
        <v/>
      </c>
      <c r="M1991" s="9"/>
    </row>
    <row r="1992" customFormat="false" ht="15" hidden="false" customHeight="false" outlineLevel="0" collapsed="false">
      <c r="A1992" s="7" t="str">
        <f aca="false">IF('Outro banco'!A1992="","",IF(LEFT('Outro banco'!A1992,1)="(","",'Outro banco'!A1992))</f>
        <v/>
      </c>
      <c r="B1992" s="7" t="str">
        <f aca="false">IF(A1992="","",'Outro banco'!B1992)</f>
        <v/>
      </c>
      <c r="C1992" s="7" t="str">
        <f aca="false">IF(A1992="","",'Outro banco'!C1992)</f>
        <v/>
      </c>
      <c r="D1992" s="7" t="str">
        <f aca="false">IF(A1992="","",'Outro banco'!D1992)</f>
        <v/>
      </c>
      <c r="E1992" s="9"/>
      <c r="F1992" s="9"/>
      <c r="G1992" s="7" t="str">
        <f aca="false">IF(A1992="","",IF(COUNTIF(Tabelas!$A:$A,IF(E1992="",A1992,E1992))&gt;0,"sim","não"))</f>
        <v/>
      </c>
      <c r="H1992" s="7" t="str">
        <f aca="false">IF(A1992="","",IF(E1992="",A1992,E1992)&amp;"."&amp;IF(F1992="",B1992,F1992))</f>
        <v/>
      </c>
      <c r="I1992" s="7" t="str">
        <f aca="false">IF(A1992="","",IFERROR(INDEX('Campos Growths'!$F:$F,MATCH(H1992,'Campos Growths'!$A:$A,0)),""))</f>
        <v/>
      </c>
      <c r="J1992" s="7" t="str">
        <f aca="false">IF(A1992="","",IFERROR(VLOOKUP(IF(ISNUMBER(SEARCH("(",C1992)),LEFT(C1992,SEARCH("(",C1992)-1),C1992),Tipos!$A:$B,2,FALSE()),"outro"))</f>
        <v/>
      </c>
      <c r="K1992" s="7" t="str">
        <f aca="false">IF(I1992="","",IFERROR(INDEX('Campos Growths'!$L:$L,MATCH(H1992,'Campos Growths'!$A:$A,0)),""))</f>
        <v/>
      </c>
      <c r="L1992" s="7" t="str">
        <f aca="false">IF(A1992="","",IF(G1992="não","Sem tabela no Growths",IF(I1992="","Sem campo no Growths",IF(J1992=K1992,"Importa direto","Ajustar tipo"))))</f>
        <v/>
      </c>
      <c r="M1992" s="9"/>
    </row>
    <row r="1993" customFormat="false" ht="15" hidden="false" customHeight="false" outlineLevel="0" collapsed="false">
      <c r="A1993" s="7" t="str">
        <f aca="false">IF('Outro banco'!A1993="","",IF(LEFT('Outro banco'!A1993,1)="(","",'Outro banco'!A1993))</f>
        <v/>
      </c>
      <c r="B1993" s="7" t="str">
        <f aca="false">IF(A1993="","",'Outro banco'!B1993)</f>
        <v/>
      </c>
      <c r="C1993" s="7" t="str">
        <f aca="false">IF(A1993="","",'Outro banco'!C1993)</f>
        <v/>
      </c>
      <c r="D1993" s="7" t="str">
        <f aca="false">IF(A1993="","",'Outro banco'!D1993)</f>
        <v/>
      </c>
      <c r="E1993" s="9"/>
      <c r="F1993" s="9"/>
      <c r="G1993" s="7" t="str">
        <f aca="false">IF(A1993="","",IF(COUNTIF(Tabelas!$A:$A,IF(E1993="",A1993,E1993))&gt;0,"sim","não"))</f>
        <v/>
      </c>
      <c r="H1993" s="7" t="str">
        <f aca="false">IF(A1993="","",IF(E1993="",A1993,E1993)&amp;"."&amp;IF(F1993="",B1993,F1993))</f>
        <v/>
      </c>
      <c r="I1993" s="7" t="str">
        <f aca="false">IF(A1993="","",IFERROR(INDEX('Campos Growths'!$F:$F,MATCH(H1993,'Campos Growths'!$A:$A,0)),""))</f>
        <v/>
      </c>
      <c r="J1993" s="7" t="str">
        <f aca="false">IF(A1993="","",IFERROR(VLOOKUP(IF(ISNUMBER(SEARCH("(",C1993)),LEFT(C1993,SEARCH("(",C1993)-1),C1993),Tipos!$A:$B,2,FALSE()),"outro"))</f>
        <v/>
      </c>
      <c r="K1993" s="7" t="str">
        <f aca="false">IF(I1993="","",IFERROR(INDEX('Campos Growths'!$L:$L,MATCH(H1993,'Campos Growths'!$A:$A,0)),""))</f>
        <v/>
      </c>
      <c r="L1993" s="7" t="str">
        <f aca="false">IF(A1993="","",IF(G1993="não","Sem tabela no Growths",IF(I1993="","Sem campo no Growths",IF(J1993=K1993,"Importa direto","Ajustar tipo"))))</f>
        <v/>
      </c>
      <c r="M1993" s="9"/>
    </row>
    <row r="1994" customFormat="false" ht="15" hidden="false" customHeight="false" outlineLevel="0" collapsed="false">
      <c r="A1994" s="7" t="str">
        <f aca="false">IF('Outro banco'!A1994="","",IF(LEFT('Outro banco'!A1994,1)="(","",'Outro banco'!A1994))</f>
        <v/>
      </c>
      <c r="B1994" s="7" t="str">
        <f aca="false">IF(A1994="","",'Outro banco'!B1994)</f>
        <v/>
      </c>
      <c r="C1994" s="7" t="str">
        <f aca="false">IF(A1994="","",'Outro banco'!C1994)</f>
        <v/>
      </c>
      <c r="D1994" s="7" t="str">
        <f aca="false">IF(A1994="","",'Outro banco'!D1994)</f>
        <v/>
      </c>
      <c r="E1994" s="9"/>
      <c r="F1994" s="9"/>
      <c r="G1994" s="7" t="str">
        <f aca="false">IF(A1994="","",IF(COUNTIF(Tabelas!$A:$A,IF(E1994="",A1994,E1994))&gt;0,"sim","não"))</f>
        <v/>
      </c>
      <c r="H1994" s="7" t="str">
        <f aca="false">IF(A1994="","",IF(E1994="",A1994,E1994)&amp;"."&amp;IF(F1994="",B1994,F1994))</f>
        <v/>
      </c>
      <c r="I1994" s="7" t="str">
        <f aca="false">IF(A1994="","",IFERROR(INDEX('Campos Growths'!$F:$F,MATCH(H1994,'Campos Growths'!$A:$A,0)),""))</f>
        <v/>
      </c>
      <c r="J1994" s="7" t="str">
        <f aca="false">IF(A1994="","",IFERROR(VLOOKUP(IF(ISNUMBER(SEARCH("(",C1994)),LEFT(C1994,SEARCH("(",C1994)-1),C1994),Tipos!$A:$B,2,FALSE()),"outro"))</f>
        <v/>
      </c>
      <c r="K1994" s="7" t="str">
        <f aca="false">IF(I1994="","",IFERROR(INDEX('Campos Growths'!$L:$L,MATCH(H1994,'Campos Growths'!$A:$A,0)),""))</f>
        <v/>
      </c>
      <c r="L1994" s="7" t="str">
        <f aca="false">IF(A1994="","",IF(G1994="não","Sem tabela no Growths",IF(I1994="","Sem campo no Growths",IF(J1994=K1994,"Importa direto","Ajustar tipo"))))</f>
        <v/>
      </c>
      <c r="M1994" s="9"/>
    </row>
    <row r="1995" customFormat="false" ht="15" hidden="false" customHeight="false" outlineLevel="0" collapsed="false">
      <c r="A1995" s="7" t="str">
        <f aca="false">IF('Outro banco'!A1995="","",IF(LEFT('Outro banco'!A1995,1)="(","",'Outro banco'!A1995))</f>
        <v/>
      </c>
      <c r="B1995" s="7" t="str">
        <f aca="false">IF(A1995="","",'Outro banco'!B1995)</f>
        <v/>
      </c>
      <c r="C1995" s="7" t="str">
        <f aca="false">IF(A1995="","",'Outro banco'!C1995)</f>
        <v/>
      </c>
      <c r="D1995" s="7" t="str">
        <f aca="false">IF(A1995="","",'Outro banco'!D1995)</f>
        <v/>
      </c>
      <c r="E1995" s="9"/>
      <c r="F1995" s="9"/>
      <c r="G1995" s="7" t="str">
        <f aca="false">IF(A1995="","",IF(COUNTIF(Tabelas!$A:$A,IF(E1995="",A1995,E1995))&gt;0,"sim","não"))</f>
        <v/>
      </c>
      <c r="H1995" s="7" t="str">
        <f aca="false">IF(A1995="","",IF(E1995="",A1995,E1995)&amp;"."&amp;IF(F1995="",B1995,F1995))</f>
        <v/>
      </c>
      <c r="I1995" s="7" t="str">
        <f aca="false">IF(A1995="","",IFERROR(INDEX('Campos Growths'!$F:$F,MATCH(H1995,'Campos Growths'!$A:$A,0)),""))</f>
        <v/>
      </c>
      <c r="J1995" s="7" t="str">
        <f aca="false">IF(A1995="","",IFERROR(VLOOKUP(IF(ISNUMBER(SEARCH("(",C1995)),LEFT(C1995,SEARCH("(",C1995)-1),C1995),Tipos!$A:$B,2,FALSE()),"outro"))</f>
        <v/>
      </c>
      <c r="K1995" s="7" t="str">
        <f aca="false">IF(I1995="","",IFERROR(INDEX('Campos Growths'!$L:$L,MATCH(H1995,'Campos Growths'!$A:$A,0)),""))</f>
        <v/>
      </c>
      <c r="L1995" s="7" t="str">
        <f aca="false">IF(A1995="","",IF(G1995="não","Sem tabela no Growths",IF(I1995="","Sem campo no Growths",IF(J1995=K1995,"Importa direto","Ajustar tipo"))))</f>
        <v/>
      </c>
      <c r="M1995" s="9"/>
    </row>
    <row r="1996" customFormat="false" ht="15" hidden="false" customHeight="false" outlineLevel="0" collapsed="false">
      <c r="A1996" s="7" t="str">
        <f aca="false">IF('Outro banco'!A1996="","",IF(LEFT('Outro banco'!A1996,1)="(","",'Outro banco'!A1996))</f>
        <v/>
      </c>
      <c r="B1996" s="7" t="str">
        <f aca="false">IF(A1996="","",'Outro banco'!B1996)</f>
        <v/>
      </c>
      <c r="C1996" s="7" t="str">
        <f aca="false">IF(A1996="","",'Outro banco'!C1996)</f>
        <v/>
      </c>
      <c r="D1996" s="7" t="str">
        <f aca="false">IF(A1996="","",'Outro banco'!D1996)</f>
        <v/>
      </c>
      <c r="E1996" s="9"/>
      <c r="F1996" s="9"/>
      <c r="G1996" s="7" t="str">
        <f aca="false">IF(A1996="","",IF(COUNTIF(Tabelas!$A:$A,IF(E1996="",A1996,E1996))&gt;0,"sim","não"))</f>
        <v/>
      </c>
      <c r="H1996" s="7" t="str">
        <f aca="false">IF(A1996="","",IF(E1996="",A1996,E1996)&amp;"."&amp;IF(F1996="",B1996,F1996))</f>
        <v/>
      </c>
      <c r="I1996" s="7" t="str">
        <f aca="false">IF(A1996="","",IFERROR(INDEX('Campos Growths'!$F:$F,MATCH(H1996,'Campos Growths'!$A:$A,0)),""))</f>
        <v/>
      </c>
      <c r="J1996" s="7" t="str">
        <f aca="false">IF(A1996="","",IFERROR(VLOOKUP(IF(ISNUMBER(SEARCH("(",C1996)),LEFT(C1996,SEARCH("(",C1996)-1),C1996),Tipos!$A:$B,2,FALSE()),"outro"))</f>
        <v/>
      </c>
      <c r="K1996" s="7" t="str">
        <f aca="false">IF(I1996="","",IFERROR(INDEX('Campos Growths'!$L:$L,MATCH(H1996,'Campos Growths'!$A:$A,0)),""))</f>
        <v/>
      </c>
      <c r="L1996" s="7" t="str">
        <f aca="false">IF(A1996="","",IF(G1996="não","Sem tabela no Growths",IF(I1996="","Sem campo no Growths",IF(J1996=K1996,"Importa direto","Ajustar tipo"))))</f>
        <v/>
      </c>
      <c r="M1996" s="9"/>
    </row>
    <row r="1997" customFormat="false" ht="15" hidden="false" customHeight="false" outlineLevel="0" collapsed="false">
      <c r="A1997" s="7" t="str">
        <f aca="false">IF('Outro banco'!A1997="","",IF(LEFT('Outro banco'!A1997,1)="(","",'Outro banco'!A1997))</f>
        <v/>
      </c>
      <c r="B1997" s="7" t="str">
        <f aca="false">IF(A1997="","",'Outro banco'!B1997)</f>
        <v/>
      </c>
      <c r="C1997" s="7" t="str">
        <f aca="false">IF(A1997="","",'Outro banco'!C1997)</f>
        <v/>
      </c>
      <c r="D1997" s="7" t="str">
        <f aca="false">IF(A1997="","",'Outro banco'!D1997)</f>
        <v/>
      </c>
      <c r="E1997" s="9"/>
      <c r="F1997" s="9"/>
      <c r="G1997" s="7" t="str">
        <f aca="false">IF(A1997="","",IF(COUNTIF(Tabelas!$A:$A,IF(E1997="",A1997,E1997))&gt;0,"sim","não"))</f>
        <v/>
      </c>
      <c r="H1997" s="7" t="str">
        <f aca="false">IF(A1997="","",IF(E1997="",A1997,E1997)&amp;"."&amp;IF(F1997="",B1997,F1997))</f>
        <v/>
      </c>
      <c r="I1997" s="7" t="str">
        <f aca="false">IF(A1997="","",IFERROR(INDEX('Campos Growths'!$F:$F,MATCH(H1997,'Campos Growths'!$A:$A,0)),""))</f>
        <v/>
      </c>
      <c r="J1997" s="7" t="str">
        <f aca="false">IF(A1997="","",IFERROR(VLOOKUP(IF(ISNUMBER(SEARCH("(",C1997)),LEFT(C1997,SEARCH("(",C1997)-1),C1997),Tipos!$A:$B,2,FALSE()),"outro"))</f>
        <v/>
      </c>
      <c r="K1997" s="7" t="str">
        <f aca="false">IF(I1997="","",IFERROR(INDEX('Campos Growths'!$L:$L,MATCH(H1997,'Campos Growths'!$A:$A,0)),""))</f>
        <v/>
      </c>
      <c r="L1997" s="7" t="str">
        <f aca="false">IF(A1997="","",IF(G1997="não","Sem tabela no Growths",IF(I1997="","Sem campo no Growths",IF(J1997=K1997,"Importa direto","Ajustar tipo"))))</f>
        <v/>
      </c>
      <c r="M1997" s="9"/>
    </row>
    <row r="1998" customFormat="false" ht="15" hidden="false" customHeight="false" outlineLevel="0" collapsed="false">
      <c r="A1998" s="7" t="str">
        <f aca="false">IF('Outro banco'!A1998="","",IF(LEFT('Outro banco'!A1998,1)="(","",'Outro banco'!A1998))</f>
        <v/>
      </c>
      <c r="B1998" s="7" t="str">
        <f aca="false">IF(A1998="","",'Outro banco'!B1998)</f>
        <v/>
      </c>
      <c r="C1998" s="7" t="str">
        <f aca="false">IF(A1998="","",'Outro banco'!C1998)</f>
        <v/>
      </c>
      <c r="D1998" s="7" t="str">
        <f aca="false">IF(A1998="","",'Outro banco'!D1998)</f>
        <v/>
      </c>
      <c r="E1998" s="9"/>
      <c r="F1998" s="9"/>
      <c r="G1998" s="7" t="str">
        <f aca="false">IF(A1998="","",IF(COUNTIF(Tabelas!$A:$A,IF(E1998="",A1998,E1998))&gt;0,"sim","não"))</f>
        <v/>
      </c>
      <c r="H1998" s="7" t="str">
        <f aca="false">IF(A1998="","",IF(E1998="",A1998,E1998)&amp;"."&amp;IF(F1998="",B1998,F1998))</f>
        <v/>
      </c>
      <c r="I1998" s="7" t="str">
        <f aca="false">IF(A1998="","",IFERROR(INDEX('Campos Growths'!$F:$F,MATCH(H1998,'Campos Growths'!$A:$A,0)),""))</f>
        <v/>
      </c>
      <c r="J1998" s="7" t="str">
        <f aca="false">IF(A1998="","",IFERROR(VLOOKUP(IF(ISNUMBER(SEARCH("(",C1998)),LEFT(C1998,SEARCH("(",C1998)-1),C1998),Tipos!$A:$B,2,FALSE()),"outro"))</f>
        <v/>
      </c>
      <c r="K1998" s="7" t="str">
        <f aca="false">IF(I1998="","",IFERROR(INDEX('Campos Growths'!$L:$L,MATCH(H1998,'Campos Growths'!$A:$A,0)),""))</f>
        <v/>
      </c>
      <c r="L1998" s="7" t="str">
        <f aca="false">IF(A1998="","",IF(G1998="não","Sem tabela no Growths",IF(I1998="","Sem campo no Growths",IF(J1998=K1998,"Importa direto","Ajustar tipo"))))</f>
        <v/>
      </c>
      <c r="M1998" s="9"/>
    </row>
    <row r="1999" customFormat="false" ht="15" hidden="false" customHeight="false" outlineLevel="0" collapsed="false">
      <c r="A1999" s="7" t="str">
        <f aca="false">IF('Outro banco'!A1999="","",IF(LEFT('Outro banco'!A1999,1)="(","",'Outro banco'!A1999))</f>
        <v/>
      </c>
      <c r="B1999" s="7" t="str">
        <f aca="false">IF(A1999="","",'Outro banco'!B1999)</f>
        <v/>
      </c>
      <c r="C1999" s="7" t="str">
        <f aca="false">IF(A1999="","",'Outro banco'!C1999)</f>
        <v/>
      </c>
      <c r="D1999" s="7" t="str">
        <f aca="false">IF(A1999="","",'Outro banco'!D1999)</f>
        <v/>
      </c>
      <c r="E1999" s="9"/>
      <c r="F1999" s="9"/>
      <c r="G1999" s="7" t="str">
        <f aca="false">IF(A1999="","",IF(COUNTIF(Tabelas!$A:$A,IF(E1999="",A1999,E1999))&gt;0,"sim","não"))</f>
        <v/>
      </c>
      <c r="H1999" s="7" t="str">
        <f aca="false">IF(A1999="","",IF(E1999="",A1999,E1999)&amp;"."&amp;IF(F1999="",B1999,F1999))</f>
        <v/>
      </c>
      <c r="I1999" s="7" t="str">
        <f aca="false">IF(A1999="","",IFERROR(INDEX('Campos Growths'!$F:$F,MATCH(H1999,'Campos Growths'!$A:$A,0)),""))</f>
        <v/>
      </c>
      <c r="J1999" s="7" t="str">
        <f aca="false">IF(A1999="","",IFERROR(VLOOKUP(IF(ISNUMBER(SEARCH("(",C1999)),LEFT(C1999,SEARCH("(",C1999)-1),C1999),Tipos!$A:$B,2,FALSE()),"outro"))</f>
        <v/>
      </c>
      <c r="K1999" s="7" t="str">
        <f aca="false">IF(I1999="","",IFERROR(INDEX('Campos Growths'!$L:$L,MATCH(H1999,'Campos Growths'!$A:$A,0)),""))</f>
        <v/>
      </c>
      <c r="L1999" s="7" t="str">
        <f aca="false">IF(A1999="","",IF(G1999="não","Sem tabela no Growths",IF(I1999="","Sem campo no Growths",IF(J1999=K1999,"Importa direto","Ajustar tipo"))))</f>
        <v/>
      </c>
      <c r="M1999" s="9"/>
    </row>
    <row r="2000" customFormat="false" ht="15" hidden="false" customHeight="false" outlineLevel="0" collapsed="false">
      <c r="A2000" s="7" t="str">
        <f aca="false">IF('Outro banco'!A2000="","",IF(LEFT('Outro banco'!A2000,1)="(","",'Outro banco'!A2000))</f>
        <v/>
      </c>
      <c r="B2000" s="7" t="str">
        <f aca="false">IF(A2000="","",'Outro banco'!B2000)</f>
        <v/>
      </c>
      <c r="C2000" s="7" t="str">
        <f aca="false">IF(A2000="","",'Outro banco'!C2000)</f>
        <v/>
      </c>
      <c r="D2000" s="7" t="str">
        <f aca="false">IF(A2000="","",'Outro banco'!D2000)</f>
        <v/>
      </c>
      <c r="E2000" s="9"/>
      <c r="F2000" s="9"/>
      <c r="G2000" s="7" t="str">
        <f aca="false">IF(A2000="","",IF(COUNTIF(Tabelas!$A:$A,IF(E2000="",A2000,E2000))&gt;0,"sim","não"))</f>
        <v/>
      </c>
      <c r="H2000" s="7" t="str">
        <f aca="false">IF(A2000="","",IF(E2000="",A2000,E2000)&amp;"."&amp;IF(F2000="",B2000,F2000))</f>
        <v/>
      </c>
      <c r="I2000" s="7" t="str">
        <f aca="false">IF(A2000="","",IFERROR(INDEX('Campos Growths'!$F:$F,MATCH(H2000,'Campos Growths'!$A:$A,0)),""))</f>
        <v/>
      </c>
      <c r="J2000" s="7" t="str">
        <f aca="false">IF(A2000="","",IFERROR(VLOOKUP(IF(ISNUMBER(SEARCH("(",C2000)),LEFT(C2000,SEARCH("(",C2000)-1),C2000),Tipos!$A:$B,2,FALSE()),"outro"))</f>
        <v/>
      </c>
      <c r="K2000" s="7" t="str">
        <f aca="false">IF(I2000="","",IFERROR(INDEX('Campos Growths'!$L:$L,MATCH(H2000,'Campos Growths'!$A:$A,0)),""))</f>
        <v/>
      </c>
      <c r="L2000" s="7" t="str">
        <f aca="false">IF(A2000="","",IF(G2000="não","Sem tabela no Growths",IF(I2000="","Sem campo no Growths",IF(J2000=K2000,"Importa direto","Ajustar tipo"))))</f>
        <v/>
      </c>
      <c r="M2000" s="9"/>
    </row>
    <row r="2001" customFormat="false" ht="15" hidden="false" customHeight="false" outlineLevel="0" collapsed="false">
      <c r="A2001" s="7" t="str">
        <f aca="false">IF('Outro banco'!A2001="","",IF(LEFT('Outro banco'!A2001,1)="(","",'Outro banco'!A2001))</f>
        <v/>
      </c>
      <c r="B2001" s="7" t="str">
        <f aca="false">IF(A2001="","",'Outro banco'!B2001)</f>
        <v/>
      </c>
      <c r="C2001" s="7" t="str">
        <f aca="false">IF(A2001="","",'Outro banco'!C2001)</f>
        <v/>
      </c>
      <c r="D2001" s="7" t="str">
        <f aca="false">IF(A2001="","",'Outro banco'!D2001)</f>
        <v/>
      </c>
      <c r="E2001" s="9"/>
      <c r="F2001" s="9"/>
      <c r="G2001" s="7" t="str">
        <f aca="false">IF(A2001="","",IF(COUNTIF(Tabelas!$A:$A,IF(E2001="",A2001,E2001))&gt;0,"sim","não"))</f>
        <v/>
      </c>
      <c r="H2001" s="7" t="str">
        <f aca="false">IF(A2001="","",IF(E2001="",A2001,E2001)&amp;"."&amp;IF(F2001="",B2001,F2001))</f>
        <v/>
      </c>
      <c r="I2001" s="7" t="str">
        <f aca="false">IF(A2001="","",IFERROR(INDEX('Campos Growths'!$F:$F,MATCH(H2001,'Campos Growths'!$A:$A,0)),""))</f>
        <v/>
      </c>
      <c r="J2001" s="7" t="str">
        <f aca="false">IF(A2001="","",IFERROR(VLOOKUP(IF(ISNUMBER(SEARCH("(",C2001)),LEFT(C2001,SEARCH("(",C2001)-1),C2001),Tipos!$A:$B,2,FALSE()),"outro"))</f>
        <v/>
      </c>
      <c r="K2001" s="7" t="str">
        <f aca="false">IF(I2001="","",IFERROR(INDEX('Campos Growths'!$L:$L,MATCH(H2001,'Campos Growths'!$A:$A,0)),""))</f>
        <v/>
      </c>
      <c r="L2001" s="7" t="str">
        <f aca="false">IF(A2001="","",IF(G2001="não","Sem tabela no Growths",IF(I2001="","Sem campo no Growths",IF(J2001=K2001,"Importa direto","Ajustar tipo"))))</f>
        <v/>
      </c>
      <c r="M2001" s="9"/>
    </row>
    <row r="2002" customFormat="false" ht="15" hidden="false" customHeight="false" outlineLevel="0" collapsed="false">
      <c r="A2002" s="7" t="str">
        <f aca="false">IF('Outro banco'!A2002="","",IF(LEFT('Outro banco'!A2002,1)="(","",'Outro banco'!A2002))</f>
        <v/>
      </c>
      <c r="B2002" s="7" t="str">
        <f aca="false">IF(A2002="","",'Outro banco'!B2002)</f>
        <v/>
      </c>
      <c r="C2002" s="7" t="str">
        <f aca="false">IF(A2002="","",'Outro banco'!C2002)</f>
        <v/>
      </c>
      <c r="D2002" s="7" t="str">
        <f aca="false">IF(A2002="","",'Outro banco'!D2002)</f>
        <v/>
      </c>
      <c r="E2002" s="9"/>
      <c r="F2002" s="9"/>
      <c r="G2002" s="7" t="str">
        <f aca="false">IF(A2002="","",IF(COUNTIF(Tabelas!$A:$A,IF(E2002="",A2002,E2002))&gt;0,"sim","não"))</f>
        <v/>
      </c>
      <c r="H2002" s="7" t="str">
        <f aca="false">IF(A2002="","",IF(E2002="",A2002,E2002)&amp;"."&amp;IF(F2002="",B2002,F2002))</f>
        <v/>
      </c>
      <c r="I2002" s="7" t="str">
        <f aca="false">IF(A2002="","",IFERROR(INDEX('Campos Growths'!$F:$F,MATCH(H2002,'Campos Growths'!$A:$A,0)),""))</f>
        <v/>
      </c>
      <c r="J2002" s="7" t="str">
        <f aca="false">IF(A2002="","",IFERROR(VLOOKUP(IF(ISNUMBER(SEARCH("(",C2002)),LEFT(C2002,SEARCH("(",C2002)-1),C2002),Tipos!$A:$B,2,FALSE()),"outro"))</f>
        <v/>
      </c>
      <c r="K2002" s="7" t="str">
        <f aca="false">IF(I2002="","",IFERROR(INDEX('Campos Growths'!$L:$L,MATCH(H2002,'Campos Growths'!$A:$A,0)),""))</f>
        <v/>
      </c>
      <c r="L2002" s="7" t="str">
        <f aca="false">IF(A2002="","",IF(G2002="não","Sem tabela no Growths",IF(I2002="","Sem campo no Growths",IF(J2002=K2002,"Importa direto","Ajustar tipo"))))</f>
        <v/>
      </c>
      <c r="M2002" s="9"/>
    </row>
    <row r="2003" customFormat="false" ht="15" hidden="false" customHeight="false" outlineLevel="0" collapsed="false">
      <c r="A2003" s="7" t="str">
        <f aca="false">IF('Outro banco'!A2003="","",IF(LEFT('Outro banco'!A2003,1)="(","",'Outro banco'!A2003))</f>
        <v/>
      </c>
      <c r="B2003" s="7" t="str">
        <f aca="false">IF(A2003="","",'Outro banco'!B2003)</f>
        <v/>
      </c>
      <c r="C2003" s="7" t="str">
        <f aca="false">IF(A2003="","",'Outro banco'!C2003)</f>
        <v/>
      </c>
      <c r="D2003" s="7" t="str">
        <f aca="false">IF(A2003="","",'Outro banco'!D2003)</f>
        <v/>
      </c>
      <c r="E2003" s="9"/>
      <c r="F2003" s="9"/>
      <c r="G2003" s="7" t="str">
        <f aca="false">IF(A2003="","",IF(COUNTIF(Tabelas!$A:$A,IF(E2003="",A2003,E2003))&gt;0,"sim","não"))</f>
        <v/>
      </c>
      <c r="H2003" s="7" t="str">
        <f aca="false">IF(A2003="","",IF(E2003="",A2003,E2003)&amp;"."&amp;IF(F2003="",B2003,F2003))</f>
        <v/>
      </c>
      <c r="I2003" s="7" t="str">
        <f aca="false">IF(A2003="","",IFERROR(INDEX('Campos Growths'!$F:$F,MATCH(H2003,'Campos Growths'!$A:$A,0)),""))</f>
        <v/>
      </c>
      <c r="J2003" s="7" t="str">
        <f aca="false">IF(A2003="","",IFERROR(VLOOKUP(IF(ISNUMBER(SEARCH("(",C2003)),LEFT(C2003,SEARCH("(",C2003)-1),C2003),Tipos!$A:$B,2,FALSE()),"outro"))</f>
        <v/>
      </c>
      <c r="K2003" s="7" t="str">
        <f aca="false">IF(I2003="","",IFERROR(INDEX('Campos Growths'!$L:$L,MATCH(H2003,'Campos Growths'!$A:$A,0)),""))</f>
        <v/>
      </c>
      <c r="L2003" s="7" t="str">
        <f aca="false">IF(A2003="","",IF(G2003="não","Sem tabela no Growths",IF(I2003="","Sem campo no Growths",IF(J2003=K2003,"Importa direto","Ajustar tipo"))))</f>
        <v/>
      </c>
      <c r="M2003" s="9"/>
    </row>
    <row r="2004" customFormat="false" ht="15" hidden="false" customHeight="false" outlineLevel="0" collapsed="false">
      <c r="A2004" s="7" t="str">
        <f aca="false">IF('Outro banco'!A2004="","",IF(LEFT('Outro banco'!A2004,1)="(","",'Outro banco'!A2004))</f>
        <v/>
      </c>
      <c r="B2004" s="7" t="str">
        <f aca="false">IF(A2004="","",'Outro banco'!B2004)</f>
        <v/>
      </c>
      <c r="C2004" s="7" t="str">
        <f aca="false">IF(A2004="","",'Outro banco'!C2004)</f>
        <v/>
      </c>
      <c r="D2004" s="7" t="str">
        <f aca="false">IF(A2004="","",'Outro banco'!D2004)</f>
        <v/>
      </c>
      <c r="E2004" s="9"/>
      <c r="F2004" s="9"/>
      <c r="G2004" s="7" t="str">
        <f aca="false">IF(A2004="","",IF(COUNTIF(Tabelas!$A:$A,IF(E2004="",A2004,E2004))&gt;0,"sim","não"))</f>
        <v/>
      </c>
      <c r="H2004" s="7" t="str">
        <f aca="false">IF(A2004="","",IF(E2004="",A2004,E2004)&amp;"."&amp;IF(F2004="",B2004,F2004))</f>
        <v/>
      </c>
      <c r="I2004" s="7" t="str">
        <f aca="false">IF(A2004="","",IFERROR(INDEX('Campos Growths'!$F:$F,MATCH(H2004,'Campos Growths'!$A:$A,0)),""))</f>
        <v/>
      </c>
      <c r="J2004" s="7" t="str">
        <f aca="false">IF(A2004="","",IFERROR(VLOOKUP(IF(ISNUMBER(SEARCH("(",C2004)),LEFT(C2004,SEARCH("(",C2004)-1),C2004),Tipos!$A:$B,2,FALSE()),"outro"))</f>
        <v/>
      </c>
      <c r="K2004" s="7" t="str">
        <f aca="false">IF(I2004="","",IFERROR(INDEX('Campos Growths'!$L:$L,MATCH(H2004,'Campos Growths'!$A:$A,0)),""))</f>
        <v/>
      </c>
      <c r="L2004" s="7" t="str">
        <f aca="false">IF(A2004="","",IF(G2004="não","Sem tabela no Growths",IF(I2004="","Sem campo no Growths",IF(J2004=K2004,"Importa direto","Ajustar tipo"))))</f>
        <v/>
      </c>
      <c r="M2004" s="9"/>
    </row>
    <row r="2005" customFormat="false" ht="15" hidden="false" customHeight="false" outlineLevel="0" collapsed="false">
      <c r="A2005" s="7" t="str">
        <f aca="false">IF('Outro banco'!A2005="","",IF(LEFT('Outro banco'!A2005,1)="(","",'Outro banco'!A2005))</f>
        <v/>
      </c>
      <c r="B2005" s="7" t="str">
        <f aca="false">IF(A2005="","",'Outro banco'!B2005)</f>
        <v/>
      </c>
      <c r="C2005" s="7" t="str">
        <f aca="false">IF(A2005="","",'Outro banco'!C2005)</f>
        <v/>
      </c>
      <c r="D2005" s="7" t="str">
        <f aca="false">IF(A2005="","",'Outro banco'!D2005)</f>
        <v/>
      </c>
      <c r="E2005" s="9"/>
      <c r="F2005" s="9"/>
      <c r="G2005" s="7" t="str">
        <f aca="false">IF(A2005="","",IF(COUNTIF(Tabelas!$A:$A,IF(E2005="",A2005,E2005))&gt;0,"sim","não"))</f>
        <v/>
      </c>
      <c r="H2005" s="7" t="str">
        <f aca="false">IF(A2005="","",IF(E2005="",A2005,E2005)&amp;"."&amp;IF(F2005="",B2005,F2005))</f>
        <v/>
      </c>
      <c r="I2005" s="7" t="str">
        <f aca="false">IF(A2005="","",IFERROR(INDEX('Campos Growths'!$F:$F,MATCH(H2005,'Campos Growths'!$A:$A,0)),""))</f>
        <v/>
      </c>
      <c r="J2005" s="7" t="str">
        <f aca="false">IF(A2005="","",IFERROR(VLOOKUP(IF(ISNUMBER(SEARCH("(",C2005)),LEFT(C2005,SEARCH("(",C2005)-1),C2005),Tipos!$A:$B,2,FALSE()),"outro"))</f>
        <v/>
      </c>
      <c r="K2005" s="7" t="str">
        <f aca="false">IF(I2005="","",IFERROR(INDEX('Campos Growths'!$L:$L,MATCH(H2005,'Campos Growths'!$A:$A,0)),""))</f>
        <v/>
      </c>
      <c r="L2005" s="7" t="str">
        <f aca="false">IF(A2005="","",IF(G2005="não","Sem tabela no Growths",IF(I2005="","Sem campo no Growths",IF(J2005=K2005,"Importa direto","Ajustar tipo"))))</f>
        <v/>
      </c>
      <c r="M2005" s="9"/>
    </row>
    <row r="2006" customFormat="false" ht="15" hidden="false" customHeight="false" outlineLevel="0" collapsed="false">
      <c r="A2006" s="7" t="str">
        <f aca="false">IF('Outro banco'!A2006="","",IF(LEFT('Outro banco'!A2006,1)="(","",'Outro banco'!A2006))</f>
        <v/>
      </c>
      <c r="B2006" s="7" t="str">
        <f aca="false">IF(A2006="","",'Outro banco'!B2006)</f>
        <v/>
      </c>
      <c r="C2006" s="7" t="str">
        <f aca="false">IF(A2006="","",'Outro banco'!C2006)</f>
        <v/>
      </c>
      <c r="D2006" s="7" t="str">
        <f aca="false">IF(A2006="","",'Outro banco'!D2006)</f>
        <v/>
      </c>
      <c r="E2006" s="9"/>
      <c r="F2006" s="9"/>
      <c r="G2006" s="7" t="str">
        <f aca="false">IF(A2006="","",IF(COUNTIF(Tabelas!$A:$A,IF(E2006="",A2006,E2006))&gt;0,"sim","não"))</f>
        <v/>
      </c>
      <c r="H2006" s="7" t="str">
        <f aca="false">IF(A2006="","",IF(E2006="",A2006,E2006)&amp;"."&amp;IF(F2006="",B2006,F2006))</f>
        <v/>
      </c>
      <c r="I2006" s="7" t="str">
        <f aca="false">IF(A2006="","",IFERROR(INDEX('Campos Growths'!$F:$F,MATCH(H2006,'Campos Growths'!$A:$A,0)),""))</f>
        <v/>
      </c>
      <c r="J2006" s="7" t="str">
        <f aca="false">IF(A2006="","",IFERROR(VLOOKUP(IF(ISNUMBER(SEARCH("(",C2006)),LEFT(C2006,SEARCH("(",C2006)-1),C2006),Tipos!$A:$B,2,FALSE()),"outro"))</f>
        <v/>
      </c>
      <c r="K2006" s="7" t="str">
        <f aca="false">IF(I2006="","",IFERROR(INDEX('Campos Growths'!$L:$L,MATCH(H2006,'Campos Growths'!$A:$A,0)),""))</f>
        <v/>
      </c>
      <c r="L2006" s="7" t="str">
        <f aca="false">IF(A2006="","",IF(G2006="não","Sem tabela no Growths",IF(I2006="","Sem campo no Growths",IF(J2006=K2006,"Importa direto","Ajustar tipo"))))</f>
        <v/>
      </c>
      <c r="M2006" s="9"/>
    </row>
    <row r="2007" customFormat="false" ht="15" hidden="false" customHeight="false" outlineLevel="0" collapsed="false">
      <c r="A2007" s="7" t="str">
        <f aca="false">IF('Outro banco'!A2007="","",IF(LEFT('Outro banco'!A2007,1)="(","",'Outro banco'!A2007))</f>
        <v/>
      </c>
      <c r="B2007" s="7" t="str">
        <f aca="false">IF(A2007="","",'Outro banco'!B2007)</f>
        <v/>
      </c>
      <c r="C2007" s="7" t="str">
        <f aca="false">IF(A2007="","",'Outro banco'!C2007)</f>
        <v/>
      </c>
      <c r="D2007" s="7" t="str">
        <f aca="false">IF(A2007="","",'Outro banco'!D2007)</f>
        <v/>
      </c>
      <c r="E2007" s="9"/>
      <c r="F2007" s="9"/>
      <c r="G2007" s="7" t="str">
        <f aca="false">IF(A2007="","",IF(COUNTIF(Tabelas!$A:$A,IF(E2007="",A2007,E2007))&gt;0,"sim","não"))</f>
        <v/>
      </c>
      <c r="H2007" s="7" t="str">
        <f aca="false">IF(A2007="","",IF(E2007="",A2007,E2007)&amp;"."&amp;IF(F2007="",B2007,F2007))</f>
        <v/>
      </c>
      <c r="I2007" s="7" t="str">
        <f aca="false">IF(A2007="","",IFERROR(INDEX('Campos Growths'!$F:$F,MATCH(H2007,'Campos Growths'!$A:$A,0)),""))</f>
        <v/>
      </c>
      <c r="J2007" s="7" t="str">
        <f aca="false">IF(A2007="","",IFERROR(VLOOKUP(IF(ISNUMBER(SEARCH("(",C2007)),LEFT(C2007,SEARCH("(",C2007)-1),C2007),Tipos!$A:$B,2,FALSE()),"outro"))</f>
        <v/>
      </c>
      <c r="K2007" s="7" t="str">
        <f aca="false">IF(I2007="","",IFERROR(INDEX('Campos Growths'!$L:$L,MATCH(H2007,'Campos Growths'!$A:$A,0)),""))</f>
        <v/>
      </c>
      <c r="L2007" s="7" t="str">
        <f aca="false">IF(A2007="","",IF(G2007="não","Sem tabela no Growths",IF(I2007="","Sem campo no Growths",IF(J2007=K2007,"Importa direto","Ajustar tipo"))))</f>
        <v/>
      </c>
      <c r="M2007" s="9"/>
    </row>
    <row r="2008" customFormat="false" ht="15" hidden="false" customHeight="false" outlineLevel="0" collapsed="false">
      <c r="A2008" s="7" t="str">
        <f aca="false">IF('Outro banco'!A2008="","",IF(LEFT('Outro banco'!A2008,1)="(","",'Outro banco'!A2008))</f>
        <v/>
      </c>
      <c r="B2008" s="7" t="str">
        <f aca="false">IF(A2008="","",'Outro banco'!B2008)</f>
        <v/>
      </c>
      <c r="C2008" s="7" t="str">
        <f aca="false">IF(A2008="","",'Outro banco'!C2008)</f>
        <v/>
      </c>
      <c r="D2008" s="7" t="str">
        <f aca="false">IF(A2008="","",'Outro banco'!D2008)</f>
        <v/>
      </c>
      <c r="E2008" s="9"/>
      <c r="F2008" s="9"/>
      <c r="G2008" s="7" t="str">
        <f aca="false">IF(A2008="","",IF(COUNTIF(Tabelas!$A:$A,IF(E2008="",A2008,E2008))&gt;0,"sim","não"))</f>
        <v/>
      </c>
      <c r="H2008" s="7" t="str">
        <f aca="false">IF(A2008="","",IF(E2008="",A2008,E2008)&amp;"."&amp;IF(F2008="",B2008,F2008))</f>
        <v/>
      </c>
      <c r="I2008" s="7" t="str">
        <f aca="false">IF(A2008="","",IFERROR(INDEX('Campos Growths'!$F:$F,MATCH(H2008,'Campos Growths'!$A:$A,0)),""))</f>
        <v/>
      </c>
      <c r="J2008" s="7" t="str">
        <f aca="false">IF(A2008="","",IFERROR(VLOOKUP(IF(ISNUMBER(SEARCH("(",C2008)),LEFT(C2008,SEARCH("(",C2008)-1),C2008),Tipos!$A:$B,2,FALSE()),"outro"))</f>
        <v/>
      </c>
      <c r="K2008" s="7" t="str">
        <f aca="false">IF(I2008="","",IFERROR(INDEX('Campos Growths'!$L:$L,MATCH(H2008,'Campos Growths'!$A:$A,0)),""))</f>
        <v/>
      </c>
      <c r="L2008" s="7" t="str">
        <f aca="false">IF(A2008="","",IF(G2008="não","Sem tabela no Growths",IF(I2008="","Sem campo no Growths",IF(J2008=K2008,"Importa direto","Ajustar tipo"))))</f>
        <v/>
      </c>
      <c r="M2008" s="9"/>
    </row>
    <row r="2009" customFormat="false" ht="15" hidden="false" customHeight="false" outlineLevel="0" collapsed="false">
      <c r="A2009" s="7" t="str">
        <f aca="false">IF('Outro banco'!A2009="","",IF(LEFT('Outro banco'!A2009,1)="(","",'Outro banco'!A2009))</f>
        <v/>
      </c>
      <c r="B2009" s="7" t="str">
        <f aca="false">IF(A2009="","",'Outro banco'!B2009)</f>
        <v/>
      </c>
      <c r="C2009" s="7" t="str">
        <f aca="false">IF(A2009="","",'Outro banco'!C2009)</f>
        <v/>
      </c>
      <c r="D2009" s="7" t="str">
        <f aca="false">IF(A2009="","",'Outro banco'!D2009)</f>
        <v/>
      </c>
      <c r="E2009" s="9"/>
      <c r="F2009" s="9"/>
      <c r="G2009" s="7" t="str">
        <f aca="false">IF(A2009="","",IF(COUNTIF(Tabelas!$A:$A,IF(E2009="",A2009,E2009))&gt;0,"sim","não"))</f>
        <v/>
      </c>
      <c r="H2009" s="7" t="str">
        <f aca="false">IF(A2009="","",IF(E2009="",A2009,E2009)&amp;"."&amp;IF(F2009="",B2009,F2009))</f>
        <v/>
      </c>
      <c r="I2009" s="7" t="str">
        <f aca="false">IF(A2009="","",IFERROR(INDEX('Campos Growths'!$F:$F,MATCH(H2009,'Campos Growths'!$A:$A,0)),""))</f>
        <v/>
      </c>
      <c r="J2009" s="7" t="str">
        <f aca="false">IF(A2009="","",IFERROR(VLOOKUP(IF(ISNUMBER(SEARCH("(",C2009)),LEFT(C2009,SEARCH("(",C2009)-1),C2009),Tipos!$A:$B,2,FALSE()),"outro"))</f>
        <v/>
      </c>
      <c r="K2009" s="7" t="str">
        <f aca="false">IF(I2009="","",IFERROR(INDEX('Campos Growths'!$L:$L,MATCH(H2009,'Campos Growths'!$A:$A,0)),""))</f>
        <v/>
      </c>
      <c r="L2009" s="7" t="str">
        <f aca="false">IF(A2009="","",IF(G2009="não","Sem tabela no Growths",IF(I2009="","Sem campo no Growths",IF(J2009=K2009,"Importa direto","Ajustar tipo"))))</f>
        <v/>
      </c>
      <c r="M2009" s="9"/>
    </row>
    <row r="2010" customFormat="false" ht="15" hidden="false" customHeight="false" outlineLevel="0" collapsed="false">
      <c r="A2010" s="7" t="str">
        <f aca="false">IF('Outro banco'!A2010="","",IF(LEFT('Outro banco'!A2010,1)="(","",'Outro banco'!A2010))</f>
        <v/>
      </c>
      <c r="B2010" s="7" t="str">
        <f aca="false">IF(A2010="","",'Outro banco'!B2010)</f>
        <v/>
      </c>
      <c r="C2010" s="7" t="str">
        <f aca="false">IF(A2010="","",'Outro banco'!C2010)</f>
        <v/>
      </c>
      <c r="D2010" s="7" t="str">
        <f aca="false">IF(A2010="","",'Outro banco'!D2010)</f>
        <v/>
      </c>
      <c r="E2010" s="9"/>
      <c r="F2010" s="9"/>
      <c r="G2010" s="7" t="str">
        <f aca="false">IF(A2010="","",IF(COUNTIF(Tabelas!$A:$A,IF(E2010="",A2010,E2010))&gt;0,"sim","não"))</f>
        <v/>
      </c>
      <c r="H2010" s="7" t="str">
        <f aca="false">IF(A2010="","",IF(E2010="",A2010,E2010)&amp;"."&amp;IF(F2010="",B2010,F2010))</f>
        <v/>
      </c>
      <c r="I2010" s="7" t="str">
        <f aca="false">IF(A2010="","",IFERROR(INDEX('Campos Growths'!$F:$F,MATCH(H2010,'Campos Growths'!$A:$A,0)),""))</f>
        <v/>
      </c>
      <c r="J2010" s="7" t="str">
        <f aca="false">IF(A2010="","",IFERROR(VLOOKUP(IF(ISNUMBER(SEARCH("(",C2010)),LEFT(C2010,SEARCH("(",C2010)-1),C2010),Tipos!$A:$B,2,FALSE()),"outro"))</f>
        <v/>
      </c>
      <c r="K2010" s="7" t="str">
        <f aca="false">IF(I2010="","",IFERROR(INDEX('Campos Growths'!$L:$L,MATCH(H2010,'Campos Growths'!$A:$A,0)),""))</f>
        <v/>
      </c>
      <c r="L2010" s="7" t="str">
        <f aca="false">IF(A2010="","",IF(G2010="não","Sem tabela no Growths",IF(I2010="","Sem campo no Growths",IF(J2010=K2010,"Importa direto","Ajustar tipo"))))</f>
        <v/>
      </c>
      <c r="M2010" s="9"/>
    </row>
    <row r="2011" customFormat="false" ht="15" hidden="false" customHeight="false" outlineLevel="0" collapsed="false">
      <c r="A2011" s="7" t="str">
        <f aca="false">IF('Outro banco'!A2011="","",IF(LEFT('Outro banco'!A2011,1)="(","",'Outro banco'!A2011))</f>
        <v/>
      </c>
      <c r="B2011" s="7" t="str">
        <f aca="false">IF(A2011="","",'Outro banco'!B2011)</f>
        <v/>
      </c>
      <c r="C2011" s="7" t="str">
        <f aca="false">IF(A2011="","",'Outro banco'!C2011)</f>
        <v/>
      </c>
      <c r="D2011" s="7" t="str">
        <f aca="false">IF(A2011="","",'Outro banco'!D2011)</f>
        <v/>
      </c>
      <c r="E2011" s="9"/>
      <c r="F2011" s="9"/>
      <c r="G2011" s="7" t="str">
        <f aca="false">IF(A2011="","",IF(COUNTIF(Tabelas!$A:$A,IF(E2011="",A2011,E2011))&gt;0,"sim","não"))</f>
        <v/>
      </c>
      <c r="H2011" s="7" t="str">
        <f aca="false">IF(A2011="","",IF(E2011="",A2011,E2011)&amp;"."&amp;IF(F2011="",B2011,F2011))</f>
        <v/>
      </c>
      <c r="I2011" s="7" t="str">
        <f aca="false">IF(A2011="","",IFERROR(INDEX('Campos Growths'!$F:$F,MATCH(H2011,'Campos Growths'!$A:$A,0)),""))</f>
        <v/>
      </c>
      <c r="J2011" s="7" t="str">
        <f aca="false">IF(A2011="","",IFERROR(VLOOKUP(IF(ISNUMBER(SEARCH("(",C2011)),LEFT(C2011,SEARCH("(",C2011)-1),C2011),Tipos!$A:$B,2,FALSE()),"outro"))</f>
        <v/>
      </c>
      <c r="K2011" s="7" t="str">
        <f aca="false">IF(I2011="","",IFERROR(INDEX('Campos Growths'!$L:$L,MATCH(H2011,'Campos Growths'!$A:$A,0)),""))</f>
        <v/>
      </c>
      <c r="L2011" s="7" t="str">
        <f aca="false">IF(A2011="","",IF(G2011="não","Sem tabela no Growths",IF(I2011="","Sem campo no Growths",IF(J2011=K2011,"Importa direto","Ajustar tipo"))))</f>
        <v/>
      </c>
      <c r="M2011" s="9"/>
    </row>
    <row r="2012" customFormat="false" ht="15" hidden="false" customHeight="false" outlineLevel="0" collapsed="false">
      <c r="A2012" s="7" t="str">
        <f aca="false">IF('Outro banco'!A2012="","",IF(LEFT('Outro banco'!A2012,1)="(","",'Outro banco'!A2012))</f>
        <v/>
      </c>
      <c r="B2012" s="7" t="str">
        <f aca="false">IF(A2012="","",'Outro banco'!B2012)</f>
        <v/>
      </c>
      <c r="C2012" s="7" t="str">
        <f aca="false">IF(A2012="","",'Outro banco'!C2012)</f>
        <v/>
      </c>
      <c r="D2012" s="7" t="str">
        <f aca="false">IF(A2012="","",'Outro banco'!D2012)</f>
        <v/>
      </c>
      <c r="E2012" s="9"/>
      <c r="F2012" s="9"/>
      <c r="G2012" s="7" t="str">
        <f aca="false">IF(A2012="","",IF(COUNTIF(Tabelas!$A:$A,IF(E2012="",A2012,E2012))&gt;0,"sim","não"))</f>
        <v/>
      </c>
      <c r="H2012" s="7" t="str">
        <f aca="false">IF(A2012="","",IF(E2012="",A2012,E2012)&amp;"."&amp;IF(F2012="",B2012,F2012))</f>
        <v/>
      </c>
      <c r="I2012" s="7" t="str">
        <f aca="false">IF(A2012="","",IFERROR(INDEX('Campos Growths'!$F:$F,MATCH(H2012,'Campos Growths'!$A:$A,0)),""))</f>
        <v/>
      </c>
      <c r="J2012" s="7" t="str">
        <f aca="false">IF(A2012="","",IFERROR(VLOOKUP(IF(ISNUMBER(SEARCH("(",C2012)),LEFT(C2012,SEARCH("(",C2012)-1),C2012),Tipos!$A:$B,2,FALSE()),"outro"))</f>
        <v/>
      </c>
      <c r="K2012" s="7" t="str">
        <f aca="false">IF(I2012="","",IFERROR(INDEX('Campos Growths'!$L:$L,MATCH(H2012,'Campos Growths'!$A:$A,0)),""))</f>
        <v/>
      </c>
      <c r="L2012" s="7" t="str">
        <f aca="false">IF(A2012="","",IF(G2012="não","Sem tabela no Growths",IF(I2012="","Sem campo no Growths",IF(J2012=K2012,"Importa direto","Ajustar tipo"))))</f>
        <v/>
      </c>
      <c r="M2012" s="9"/>
    </row>
    <row r="2013" customFormat="false" ht="15" hidden="false" customHeight="false" outlineLevel="0" collapsed="false">
      <c r="A2013" s="7" t="str">
        <f aca="false">IF('Outro banco'!A2013="","",IF(LEFT('Outro banco'!A2013,1)="(","",'Outro banco'!A2013))</f>
        <v/>
      </c>
      <c r="B2013" s="7" t="str">
        <f aca="false">IF(A2013="","",'Outro banco'!B2013)</f>
        <v/>
      </c>
      <c r="C2013" s="7" t="str">
        <f aca="false">IF(A2013="","",'Outro banco'!C2013)</f>
        <v/>
      </c>
      <c r="D2013" s="7" t="str">
        <f aca="false">IF(A2013="","",'Outro banco'!D2013)</f>
        <v/>
      </c>
      <c r="E2013" s="9"/>
      <c r="F2013" s="9"/>
      <c r="G2013" s="7" t="str">
        <f aca="false">IF(A2013="","",IF(COUNTIF(Tabelas!$A:$A,IF(E2013="",A2013,E2013))&gt;0,"sim","não"))</f>
        <v/>
      </c>
      <c r="H2013" s="7" t="str">
        <f aca="false">IF(A2013="","",IF(E2013="",A2013,E2013)&amp;"."&amp;IF(F2013="",B2013,F2013))</f>
        <v/>
      </c>
      <c r="I2013" s="7" t="str">
        <f aca="false">IF(A2013="","",IFERROR(INDEX('Campos Growths'!$F:$F,MATCH(H2013,'Campos Growths'!$A:$A,0)),""))</f>
        <v/>
      </c>
      <c r="J2013" s="7" t="str">
        <f aca="false">IF(A2013="","",IFERROR(VLOOKUP(IF(ISNUMBER(SEARCH("(",C2013)),LEFT(C2013,SEARCH("(",C2013)-1),C2013),Tipos!$A:$B,2,FALSE()),"outro"))</f>
        <v/>
      </c>
      <c r="K2013" s="7" t="str">
        <f aca="false">IF(I2013="","",IFERROR(INDEX('Campos Growths'!$L:$L,MATCH(H2013,'Campos Growths'!$A:$A,0)),""))</f>
        <v/>
      </c>
      <c r="L2013" s="7" t="str">
        <f aca="false">IF(A2013="","",IF(G2013="não","Sem tabela no Growths",IF(I2013="","Sem campo no Growths",IF(J2013=K2013,"Importa direto","Ajustar tipo"))))</f>
        <v/>
      </c>
      <c r="M2013" s="9"/>
    </row>
    <row r="2014" customFormat="false" ht="15" hidden="false" customHeight="false" outlineLevel="0" collapsed="false">
      <c r="A2014" s="7" t="str">
        <f aca="false">IF('Outro banco'!A2014="","",IF(LEFT('Outro banco'!A2014,1)="(","",'Outro banco'!A2014))</f>
        <v/>
      </c>
      <c r="B2014" s="7" t="str">
        <f aca="false">IF(A2014="","",'Outro banco'!B2014)</f>
        <v/>
      </c>
      <c r="C2014" s="7" t="str">
        <f aca="false">IF(A2014="","",'Outro banco'!C2014)</f>
        <v/>
      </c>
      <c r="D2014" s="7" t="str">
        <f aca="false">IF(A2014="","",'Outro banco'!D2014)</f>
        <v/>
      </c>
      <c r="E2014" s="9"/>
      <c r="F2014" s="9"/>
      <c r="G2014" s="7" t="str">
        <f aca="false">IF(A2014="","",IF(COUNTIF(Tabelas!$A:$A,IF(E2014="",A2014,E2014))&gt;0,"sim","não"))</f>
        <v/>
      </c>
      <c r="H2014" s="7" t="str">
        <f aca="false">IF(A2014="","",IF(E2014="",A2014,E2014)&amp;"."&amp;IF(F2014="",B2014,F2014))</f>
        <v/>
      </c>
      <c r="I2014" s="7" t="str">
        <f aca="false">IF(A2014="","",IFERROR(INDEX('Campos Growths'!$F:$F,MATCH(H2014,'Campos Growths'!$A:$A,0)),""))</f>
        <v/>
      </c>
      <c r="J2014" s="7" t="str">
        <f aca="false">IF(A2014="","",IFERROR(VLOOKUP(IF(ISNUMBER(SEARCH("(",C2014)),LEFT(C2014,SEARCH("(",C2014)-1),C2014),Tipos!$A:$B,2,FALSE()),"outro"))</f>
        <v/>
      </c>
      <c r="K2014" s="7" t="str">
        <f aca="false">IF(I2014="","",IFERROR(INDEX('Campos Growths'!$L:$L,MATCH(H2014,'Campos Growths'!$A:$A,0)),""))</f>
        <v/>
      </c>
      <c r="L2014" s="7" t="str">
        <f aca="false">IF(A2014="","",IF(G2014="não","Sem tabela no Growths",IF(I2014="","Sem campo no Growths",IF(J2014=K2014,"Importa direto","Ajustar tipo"))))</f>
        <v/>
      </c>
      <c r="M2014" s="9"/>
    </row>
    <row r="2015" customFormat="false" ht="15" hidden="false" customHeight="false" outlineLevel="0" collapsed="false">
      <c r="A2015" s="7" t="str">
        <f aca="false">IF('Outro banco'!A2015="","",IF(LEFT('Outro banco'!A2015,1)="(","",'Outro banco'!A2015))</f>
        <v/>
      </c>
      <c r="B2015" s="7" t="str">
        <f aca="false">IF(A2015="","",'Outro banco'!B2015)</f>
        <v/>
      </c>
      <c r="C2015" s="7" t="str">
        <f aca="false">IF(A2015="","",'Outro banco'!C2015)</f>
        <v/>
      </c>
      <c r="D2015" s="7" t="str">
        <f aca="false">IF(A2015="","",'Outro banco'!D2015)</f>
        <v/>
      </c>
      <c r="E2015" s="9"/>
      <c r="F2015" s="9"/>
      <c r="G2015" s="7" t="str">
        <f aca="false">IF(A2015="","",IF(COUNTIF(Tabelas!$A:$A,IF(E2015="",A2015,E2015))&gt;0,"sim","não"))</f>
        <v/>
      </c>
      <c r="H2015" s="7" t="str">
        <f aca="false">IF(A2015="","",IF(E2015="",A2015,E2015)&amp;"."&amp;IF(F2015="",B2015,F2015))</f>
        <v/>
      </c>
      <c r="I2015" s="7" t="str">
        <f aca="false">IF(A2015="","",IFERROR(INDEX('Campos Growths'!$F:$F,MATCH(H2015,'Campos Growths'!$A:$A,0)),""))</f>
        <v/>
      </c>
      <c r="J2015" s="7" t="str">
        <f aca="false">IF(A2015="","",IFERROR(VLOOKUP(IF(ISNUMBER(SEARCH("(",C2015)),LEFT(C2015,SEARCH("(",C2015)-1),C2015),Tipos!$A:$B,2,FALSE()),"outro"))</f>
        <v/>
      </c>
      <c r="K2015" s="7" t="str">
        <f aca="false">IF(I2015="","",IFERROR(INDEX('Campos Growths'!$L:$L,MATCH(H2015,'Campos Growths'!$A:$A,0)),""))</f>
        <v/>
      </c>
      <c r="L2015" s="7" t="str">
        <f aca="false">IF(A2015="","",IF(G2015="não","Sem tabela no Growths",IF(I2015="","Sem campo no Growths",IF(J2015=K2015,"Importa direto","Ajustar tipo"))))</f>
        <v/>
      </c>
      <c r="M2015" s="9"/>
    </row>
    <row r="2016" customFormat="false" ht="15" hidden="false" customHeight="false" outlineLevel="0" collapsed="false">
      <c r="A2016" s="7" t="str">
        <f aca="false">IF('Outro banco'!A2016="","",IF(LEFT('Outro banco'!A2016,1)="(","",'Outro banco'!A2016))</f>
        <v/>
      </c>
      <c r="B2016" s="7" t="str">
        <f aca="false">IF(A2016="","",'Outro banco'!B2016)</f>
        <v/>
      </c>
      <c r="C2016" s="7" t="str">
        <f aca="false">IF(A2016="","",'Outro banco'!C2016)</f>
        <v/>
      </c>
      <c r="D2016" s="7" t="str">
        <f aca="false">IF(A2016="","",'Outro banco'!D2016)</f>
        <v/>
      </c>
      <c r="E2016" s="9"/>
      <c r="F2016" s="9"/>
      <c r="G2016" s="7" t="str">
        <f aca="false">IF(A2016="","",IF(COUNTIF(Tabelas!$A:$A,IF(E2016="",A2016,E2016))&gt;0,"sim","não"))</f>
        <v/>
      </c>
      <c r="H2016" s="7" t="str">
        <f aca="false">IF(A2016="","",IF(E2016="",A2016,E2016)&amp;"."&amp;IF(F2016="",B2016,F2016))</f>
        <v/>
      </c>
      <c r="I2016" s="7" t="str">
        <f aca="false">IF(A2016="","",IFERROR(INDEX('Campos Growths'!$F:$F,MATCH(H2016,'Campos Growths'!$A:$A,0)),""))</f>
        <v/>
      </c>
      <c r="J2016" s="7" t="str">
        <f aca="false">IF(A2016="","",IFERROR(VLOOKUP(IF(ISNUMBER(SEARCH("(",C2016)),LEFT(C2016,SEARCH("(",C2016)-1),C2016),Tipos!$A:$B,2,FALSE()),"outro"))</f>
        <v/>
      </c>
      <c r="K2016" s="7" t="str">
        <f aca="false">IF(I2016="","",IFERROR(INDEX('Campos Growths'!$L:$L,MATCH(H2016,'Campos Growths'!$A:$A,0)),""))</f>
        <v/>
      </c>
      <c r="L2016" s="7" t="str">
        <f aca="false">IF(A2016="","",IF(G2016="não","Sem tabela no Growths",IF(I2016="","Sem campo no Growths",IF(J2016=K2016,"Importa direto","Ajustar tipo"))))</f>
        <v/>
      </c>
      <c r="M2016" s="9"/>
    </row>
    <row r="2017" customFormat="false" ht="15" hidden="false" customHeight="false" outlineLevel="0" collapsed="false">
      <c r="A2017" s="7" t="str">
        <f aca="false">IF('Outro banco'!A2017="","",IF(LEFT('Outro banco'!A2017,1)="(","",'Outro banco'!A2017))</f>
        <v/>
      </c>
      <c r="B2017" s="7" t="str">
        <f aca="false">IF(A2017="","",'Outro banco'!B2017)</f>
        <v/>
      </c>
      <c r="C2017" s="7" t="str">
        <f aca="false">IF(A2017="","",'Outro banco'!C2017)</f>
        <v/>
      </c>
      <c r="D2017" s="7" t="str">
        <f aca="false">IF(A2017="","",'Outro banco'!D2017)</f>
        <v/>
      </c>
      <c r="E2017" s="9"/>
      <c r="F2017" s="9"/>
      <c r="G2017" s="7" t="str">
        <f aca="false">IF(A2017="","",IF(COUNTIF(Tabelas!$A:$A,IF(E2017="",A2017,E2017))&gt;0,"sim","não"))</f>
        <v/>
      </c>
      <c r="H2017" s="7" t="str">
        <f aca="false">IF(A2017="","",IF(E2017="",A2017,E2017)&amp;"."&amp;IF(F2017="",B2017,F2017))</f>
        <v/>
      </c>
      <c r="I2017" s="7" t="str">
        <f aca="false">IF(A2017="","",IFERROR(INDEX('Campos Growths'!$F:$F,MATCH(H2017,'Campos Growths'!$A:$A,0)),""))</f>
        <v/>
      </c>
      <c r="J2017" s="7" t="str">
        <f aca="false">IF(A2017="","",IFERROR(VLOOKUP(IF(ISNUMBER(SEARCH("(",C2017)),LEFT(C2017,SEARCH("(",C2017)-1),C2017),Tipos!$A:$B,2,FALSE()),"outro"))</f>
        <v/>
      </c>
      <c r="K2017" s="7" t="str">
        <f aca="false">IF(I2017="","",IFERROR(INDEX('Campos Growths'!$L:$L,MATCH(H2017,'Campos Growths'!$A:$A,0)),""))</f>
        <v/>
      </c>
      <c r="L2017" s="7" t="str">
        <f aca="false">IF(A2017="","",IF(G2017="não","Sem tabela no Growths",IF(I2017="","Sem campo no Growths",IF(J2017=K2017,"Importa direto","Ajustar tipo"))))</f>
        <v/>
      </c>
      <c r="M2017" s="9"/>
    </row>
    <row r="2018" customFormat="false" ht="15" hidden="false" customHeight="false" outlineLevel="0" collapsed="false">
      <c r="A2018" s="7" t="str">
        <f aca="false">IF('Outro banco'!A2018="","",IF(LEFT('Outro banco'!A2018,1)="(","",'Outro banco'!A2018))</f>
        <v/>
      </c>
      <c r="B2018" s="7" t="str">
        <f aca="false">IF(A2018="","",'Outro banco'!B2018)</f>
        <v/>
      </c>
      <c r="C2018" s="7" t="str">
        <f aca="false">IF(A2018="","",'Outro banco'!C2018)</f>
        <v/>
      </c>
      <c r="D2018" s="7" t="str">
        <f aca="false">IF(A2018="","",'Outro banco'!D2018)</f>
        <v/>
      </c>
      <c r="E2018" s="9"/>
      <c r="F2018" s="9"/>
      <c r="G2018" s="7" t="str">
        <f aca="false">IF(A2018="","",IF(COUNTIF(Tabelas!$A:$A,IF(E2018="",A2018,E2018))&gt;0,"sim","não"))</f>
        <v/>
      </c>
      <c r="H2018" s="7" t="str">
        <f aca="false">IF(A2018="","",IF(E2018="",A2018,E2018)&amp;"."&amp;IF(F2018="",B2018,F2018))</f>
        <v/>
      </c>
      <c r="I2018" s="7" t="str">
        <f aca="false">IF(A2018="","",IFERROR(INDEX('Campos Growths'!$F:$F,MATCH(H2018,'Campos Growths'!$A:$A,0)),""))</f>
        <v/>
      </c>
      <c r="J2018" s="7" t="str">
        <f aca="false">IF(A2018="","",IFERROR(VLOOKUP(IF(ISNUMBER(SEARCH("(",C2018)),LEFT(C2018,SEARCH("(",C2018)-1),C2018),Tipos!$A:$B,2,FALSE()),"outro"))</f>
        <v/>
      </c>
      <c r="K2018" s="7" t="str">
        <f aca="false">IF(I2018="","",IFERROR(INDEX('Campos Growths'!$L:$L,MATCH(H2018,'Campos Growths'!$A:$A,0)),""))</f>
        <v/>
      </c>
      <c r="L2018" s="7" t="str">
        <f aca="false">IF(A2018="","",IF(G2018="não","Sem tabela no Growths",IF(I2018="","Sem campo no Growths",IF(J2018=K2018,"Importa direto","Ajustar tipo"))))</f>
        <v/>
      </c>
      <c r="M2018" s="9"/>
    </row>
    <row r="2019" customFormat="false" ht="15" hidden="false" customHeight="false" outlineLevel="0" collapsed="false">
      <c r="A2019" s="7" t="str">
        <f aca="false">IF('Outro banco'!A2019="","",IF(LEFT('Outro banco'!A2019,1)="(","",'Outro banco'!A2019))</f>
        <v/>
      </c>
      <c r="B2019" s="7" t="str">
        <f aca="false">IF(A2019="","",'Outro banco'!B2019)</f>
        <v/>
      </c>
      <c r="C2019" s="7" t="str">
        <f aca="false">IF(A2019="","",'Outro banco'!C2019)</f>
        <v/>
      </c>
      <c r="D2019" s="7" t="str">
        <f aca="false">IF(A2019="","",'Outro banco'!D2019)</f>
        <v/>
      </c>
      <c r="E2019" s="9"/>
      <c r="F2019" s="9"/>
      <c r="G2019" s="7" t="str">
        <f aca="false">IF(A2019="","",IF(COUNTIF(Tabelas!$A:$A,IF(E2019="",A2019,E2019))&gt;0,"sim","não"))</f>
        <v/>
      </c>
      <c r="H2019" s="7" t="str">
        <f aca="false">IF(A2019="","",IF(E2019="",A2019,E2019)&amp;"."&amp;IF(F2019="",B2019,F2019))</f>
        <v/>
      </c>
      <c r="I2019" s="7" t="str">
        <f aca="false">IF(A2019="","",IFERROR(INDEX('Campos Growths'!$F:$F,MATCH(H2019,'Campos Growths'!$A:$A,0)),""))</f>
        <v/>
      </c>
      <c r="J2019" s="7" t="str">
        <f aca="false">IF(A2019="","",IFERROR(VLOOKUP(IF(ISNUMBER(SEARCH("(",C2019)),LEFT(C2019,SEARCH("(",C2019)-1),C2019),Tipos!$A:$B,2,FALSE()),"outro"))</f>
        <v/>
      </c>
      <c r="K2019" s="7" t="str">
        <f aca="false">IF(I2019="","",IFERROR(INDEX('Campos Growths'!$L:$L,MATCH(H2019,'Campos Growths'!$A:$A,0)),""))</f>
        <v/>
      </c>
      <c r="L2019" s="7" t="str">
        <f aca="false">IF(A2019="","",IF(G2019="não","Sem tabela no Growths",IF(I2019="","Sem campo no Growths",IF(J2019=K2019,"Importa direto","Ajustar tipo"))))</f>
        <v/>
      </c>
      <c r="M2019" s="9"/>
    </row>
    <row r="2020" customFormat="false" ht="15" hidden="false" customHeight="false" outlineLevel="0" collapsed="false">
      <c r="A2020" s="7" t="str">
        <f aca="false">IF('Outro banco'!A2020="","",IF(LEFT('Outro banco'!A2020,1)="(","",'Outro banco'!A2020))</f>
        <v/>
      </c>
      <c r="B2020" s="7" t="str">
        <f aca="false">IF(A2020="","",'Outro banco'!B2020)</f>
        <v/>
      </c>
      <c r="C2020" s="7" t="str">
        <f aca="false">IF(A2020="","",'Outro banco'!C2020)</f>
        <v/>
      </c>
      <c r="D2020" s="7" t="str">
        <f aca="false">IF(A2020="","",'Outro banco'!D2020)</f>
        <v/>
      </c>
      <c r="E2020" s="9"/>
      <c r="F2020" s="9"/>
      <c r="G2020" s="7" t="str">
        <f aca="false">IF(A2020="","",IF(COUNTIF(Tabelas!$A:$A,IF(E2020="",A2020,E2020))&gt;0,"sim","não"))</f>
        <v/>
      </c>
      <c r="H2020" s="7" t="str">
        <f aca="false">IF(A2020="","",IF(E2020="",A2020,E2020)&amp;"."&amp;IF(F2020="",B2020,F2020))</f>
        <v/>
      </c>
      <c r="I2020" s="7" t="str">
        <f aca="false">IF(A2020="","",IFERROR(INDEX('Campos Growths'!$F:$F,MATCH(H2020,'Campos Growths'!$A:$A,0)),""))</f>
        <v/>
      </c>
      <c r="J2020" s="7" t="str">
        <f aca="false">IF(A2020="","",IFERROR(VLOOKUP(IF(ISNUMBER(SEARCH("(",C2020)),LEFT(C2020,SEARCH("(",C2020)-1),C2020),Tipos!$A:$B,2,FALSE()),"outro"))</f>
        <v/>
      </c>
      <c r="K2020" s="7" t="str">
        <f aca="false">IF(I2020="","",IFERROR(INDEX('Campos Growths'!$L:$L,MATCH(H2020,'Campos Growths'!$A:$A,0)),""))</f>
        <v/>
      </c>
      <c r="L2020" s="7" t="str">
        <f aca="false">IF(A2020="","",IF(G2020="não","Sem tabela no Growths",IF(I2020="","Sem campo no Growths",IF(J2020=K2020,"Importa direto","Ajustar tipo"))))</f>
        <v/>
      </c>
      <c r="M2020" s="9"/>
    </row>
    <row r="2021" customFormat="false" ht="15" hidden="false" customHeight="false" outlineLevel="0" collapsed="false">
      <c r="A2021" s="7" t="str">
        <f aca="false">IF('Outro banco'!A2021="","",IF(LEFT('Outro banco'!A2021,1)="(","",'Outro banco'!A2021))</f>
        <v/>
      </c>
      <c r="B2021" s="7" t="str">
        <f aca="false">IF(A2021="","",'Outro banco'!B2021)</f>
        <v/>
      </c>
      <c r="C2021" s="7" t="str">
        <f aca="false">IF(A2021="","",'Outro banco'!C2021)</f>
        <v/>
      </c>
      <c r="D2021" s="7" t="str">
        <f aca="false">IF(A2021="","",'Outro banco'!D2021)</f>
        <v/>
      </c>
      <c r="E2021" s="9"/>
      <c r="F2021" s="9"/>
      <c r="G2021" s="7" t="str">
        <f aca="false">IF(A2021="","",IF(COUNTIF(Tabelas!$A:$A,IF(E2021="",A2021,E2021))&gt;0,"sim","não"))</f>
        <v/>
      </c>
      <c r="H2021" s="7" t="str">
        <f aca="false">IF(A2021="","",IF(E2021="",A2021,E2021)&amp;"."&amp;IF(F2021="",B2021,F2021))</f>
        <v/>
      </c>
      <c r="I2021" s="7" t="str">
        <f aca="false">IF(A2021="","",IFERROR(INDEX('Campos Growths'!$F:$F,MATCH(H2021,'Campos Growths'!$A:$A,0)),""))</f>
        <v/>
      </c>
      <c r="J2021" s="7" t="str">
        <f aca="false">IF(A2021="","",IFERROR(VLOOKUP(IF(ISNUMBER(SEARCH("(",C2021)),LEFT(C2021,SEARCH("(",C2021)-1),C2021),Tipos!$A:$B,2,FALSE()),"outro"))</f>
        <v/>
      </c>
      <c r="K2021" s="7" t="str">
        <f aca="false">IF(I2021="","",IFERROR(INDEX('Campos Growths'!$L:$L,MATCH(H2021,'Campos Growths'!$A:$A,0)),""))</f>
        <v/>
      </c>
      <c r="L2021" s="7" t="str">
        <f aca="false">IF(A2021="","",IF(G2021="não","Sem tabela no Growths",IF(I2021="","Sem campo no Growths",IF(J2021=K2021,"Importa direto","Ajustar tipo"))))</f>
        <v/>
      </c>
      <c r="M2021" s="9"/>
    </row>
    <row r="2022" customFormat="false" ht="15" hidden="false" customHeight="false" outlineLevel="0" collapsed="false">
      <c r="A2022" s="7" t="str">
        <f aca="false">IF('Outro banco'!A2022="","",IF(LEFT('Outro banco'!A2022,1)="(","",'Outro banco'!A2022))</f>
        <v/>
      </c>
      <c r="B2022" s="7" t="str">
        <f aca="false">IF(A2022="","",'Outro banco'!B2022)</f>
        <v/>
      </c>
      <c r="C2022" s="7" t="str">
        <f aca="false">IF(A2022="","",'Outro banco'!C2022)</f>
        <v/>
      </c>
      <c r="D2022" s="7" t="str">
        <f aca="false">IF(A2022="","",'Outro banco'!D2022)</f>
        <v/>
      </c>
      <c r="E2022" s="9"/>
      <c r="F2022" s="9"/>
      <c r="G2022" s="7" t="str">
        <f aca="false">IF(A2022="","",IF(COUNTIF(Tabelas!$A:$A,IF(E2022="",A2022,E2022))&gt;0,"sim","não"))</f>
        <v/>
      </c>
      <c r="H2022" s="7" t="str">
        <f aca="false">IF(A2022="","",IF(E2022="",A2022,E2022)&amp;"."&amp;IF(F2022="",B2022,F2022))</f>
        <v/>
      </c>
      <c r="I2022" s="7" t="str">
        <f aca="false">IF(A2022="","",IFERROR(INDEX('Campos Growths'!$F:$F,MATCH(H2022,'Campos Growths'!$A:$A,0)),""))</f>
        <v/>
      </c>
      <c r="J2022" s="7" t="str">
        <f aca="false">IF(A2022="","",IFERROR(VLOOKUP(IF(ISNUMBER(SEARCH("(",C2022)),LEFT(C2022,SEARCH("(",C2022)-1),C2022),Tipos!$A:$B,2,FALSE()),"outro"))</f>
        <v/>
      </c>
      <c r="K2022" s="7" t="str">
        <f aca="false">IF(I2022="","",IFERROR(INDEX('Campos Growths'!$L:$L,MATCH(H2022,'Campos Growths'!$A:$A,0)),""))</f>
        <v/>
      </c>
      <c r="L2022" s="7" t="str">
        <f aca="false">IF(A2022="","",IF(G2022="não","Sem tabela no Growths",IF(I2022="","Sem campo no Growths",IF(J2022=K2022,"Importa direto","Ajustar tipo"))))</f>
        <v/>
      </c>
      <c r="M2022" s="9"/>
    </row>
    <row r="2023" customFormat="false" ht="15" hidden="false" customHeight="false" outlineLevel="0" collapsed="false">
      <c r="A2023" s="7" t="str">
        <f aca="false">IF('Outro banco'!A2023="","",IF(LEFT('Outro banco'!A2023,1)="(","",'Outro banco'!A2023))</f>
        <v/>
      </c>
      <c r="B2023" s="7" t="str">
        <f aca="false">IF(A2023="","",'Outro banco'!B2023)</f>
        <v/>
      </c>
      <c r="C2023" s="7" t="str">
        <f aca="false">IF(A2023="","",'Outro banco'!C2023)</f>
        <v/>
      </c>
      <c r="D2023" s="7" t="str">
        <f aca="false">IF(A2023="","",'Outro banco'!D2023)</f>
        <v/>
      </c>
      <c r="E2023" s="9"/>
      <c r="F2023" s="9"/>
      <c r="G2023" s="7" t="str">
        <f aca="false">IF(A2023="","",IF(COUNTIF(Tabelas!$A:$A,IF(E2023="",A2023,E2023))&gt;0,"sim","não"))</f>
        <v/>
      </c>
      <c r="H2023" s="7" t="str">
        <f aca="false">IF(A2023="","",IF(E2023="",A2023,E2023)&amp;"."&amp;IF(F2023="",B2023,F2023))</f>
        <v/>
      </c>
      <c r="I2023" s="7" t="str">
        <f aca="false">IF(A2023="","",IFERROR(INDEX('Campos Growths'!$F:$F,MATCH(H2023,'Campos Growths'!$A:$A,0)),""))</f>
        <v/>
      </c>
      <c r="J2023" s="7" t="str">
        <f aca="false">IF(A2023="","",IFERROR(VLOOKUP(IF(ISNUMBER(SEARCH("(",C2023)),LEFT(C2023,SEARCH("(",C2023)-1),C2023),Tipos!$A:$B,2,FALSE()),"outro"))</f>
        <v/>
      </c>
      <c r="K2023" s="7" t="str">
        <f aca="false">IF(I2023="","",IFERROR(INDEX('Campos Growths'!$L:$L,MATCH(H2023,'Campos Growths'!$A:$A,0)),""))</f>
        <v/>
      </c>
      <c r="L2023" s="7" t="str">
        <f aca="false">IF(A2023="","",IF(G2023="não","Sem tabela no Growths",IF(I2023="","Sem campo no Growths",IF(J2023=K2023,"Importa direto","Ajustar tipo"))))</f>
        <v/>
      </c>
      <c r="M2023" s="9"/>
    </row>
    <row r="2024" customFormat="false" ht="15" hidden="false" customHeight="false" outlineLevel="0" collapsed="false">
      <c r="A2024" s="7" t="str">
        <f aca="false">IF('Outro banco'!A2024="","",IF(LEFT('Outro banco'!A2024,1)="(","",'Outro banco'!A2024))</f>
        <v/>
      </c>
      <c r="B2024" s="7" t="str">
        <f aca="false">IF(A2024="","",'Outro banco'!B2024)</f>
        <v/>
      </c>
      <c r="C2024" s="7" t="str">
        <f aca="false">IF(A2024="","",'Outro banco'!C2024)</f>
        <v/>
      </c>
      <c r="D2024" s="7" t="str">
        <f aca="false">IF(A2024="","",'Outro banco'!D2024)</f>
        <v/>
      </c>
      <c r="E2024" s="9"/>
      <c r="F2024" s="9"/>
      <c r="G2024" s="7" t="str">
        <f aca="false">IF(A2024="","",IF(COUNTIF(Tabelas!$A:$A,IF(E2024="",A2024,E2024))&gt;0,"sim","não"))</f>
        <v/>
      </c>
      <c r="H2024" s="7" t="str">
        <f aca="false">IF(A2024="","",IF(E2024="",A2024,E2024)&amp;"."&amp;IF(F2024="",B2024,F2024))</f>
        <v/>
      </c>
      <c r="I2024" s="7" t="str">
        <f aca="false">IF(A2024="","",IFERROR(INDEX('Campos Growths'!$F:$F,MATCH(H2024,'Campos Growths'!$A:$A,0)),""))</f>
        <v/>
      </c>
      <c r="J2024" s="7" t="str">
        <f aca="false">IF(A2024="","",IFERROR(VLOOKUP(IF(ISNUMBER(SEARCH("(",C2024)),LEFT(C2024,SEARCH("(",C2024)-1),C2024),Tipos!$A:$B,2,FALSE()),"outro"))</f>
        <v/>
      </c>
      <c r="K2024" s="7" t="str">
        <f aca="false">IF(I2024="","",IFERROR(INDEX('Campos Growths'!$L:$L,MATCH(H2024,'Campos Growths'!$A:$A,0)),""))</f>
        <v/>
      </c>
      <c r="L2024" s="7" t="str">
        <f aca="false">IF(A2024="","",IF(G2024="não","Sem tabela no Growths",IF(I2024="","Sem campo no Growths",IF(J2024=K2024,"Importa direto","Ajustar tipo"))))</f>
        <v/>
      </c>
      <c r="M2024" s="9"/>
    </row>
    <row r="2025" customFormat="false" ht="15" hidden="false" customHeight="false" outlineLevel="0" collapsed="false">
      <c r="A2025" s="7" t="str">
        <f aca="false">IF('Outro banco'!A2025="","",IF(LEFT('Outro banco'!A2025,1)="(","",'Outro banco'!A2025))</f>
        <v/>
      </c>
      <c r="B2025" s="7" t="str">
        <f aca="false">IF(A2025="","",'Outro banco'!B2025)</f>
        <v/>
      </c>
      <c r="C2025" s="7" t="str">
        <f aca="false">IF(A2025="","",'Outro banco'!C2025)</f>
        <v/>
      </c>
      <c r="D2025" s="7" t="str">
        <f aca="false">IF(A2025="","",'Outro banco'!D2025)</f>
        <v/>
      </c>
      <c r="E2025" s="9"/>
      <c r="F2025" s="9"/>
      <c r="G2025" s="7" t="str">
        <f aca="false">IF(A2025="","",IF(COUNTIF(Tabelas!$A:$A,IF(E2025="",A2025,E2025))&gt;0,"sim","não"))</f>
        <v/>
      </c>
      <c r="H2025" s="7" t="str">
        <f aca="false">IF(A2025="","",IF(E2025="",A2025,E2025)&amp;"."&amp;IF(F2025="",B2025,F2025))</f>
        <v/>
      </c>
      <c r="I2025" s="7" t="str">
        <f aca="false">IF(A2025="","",IFERROR(INDEX('Campos Growths'!$F:$F,MATCH(H2025,'Campos Growths'!$A:$A,0)),""))</f>
        <v/>
      </c>
      <c r="J2025" s="7" t="str">
        <f aca="false">IF(A2025="","",IFERROR(VLOOKUP(IF(ISNUMBER(SEARCH("(",C2025)),LEFT(C2025,SEARCH("(",C2025)-1),C2025),Tipos!$A:$B,2,FALSE()),"outro"))</f>
        <v/>
      </c>
      <c r="K2025" s="7" t="str">
        <f aca="false">IF(I2025="","",IFERROR(INDEX('Campos Growths'!$L:$L,MATCH(H2025,'Campos Growths'!$A:$A,0)),""))</f>
        <v/>
      </c>
      <c r="L2025" s="7" t="str">
        <f aca="false">IF(A2025="","",IF(G2025="não","Sem tabela no Growths",IF(I2025="","Sem campo no Growths",IF(J2025=K2025,"Importa direto","Ajustar tipo"))))</f>
        <v/>
      </c>
      <c r="M2025" s="9"/>
    </row>
    <row r="2026" customFormat="false" ht="15" hidden="false" customHeight="false" outlineLevel="0" collapsed="false">
      <c r="A2026" s="7" t="str">
        <f aca="false">IF('Outro banco'!A2026="","",IF(LEFT('Outro banco'!A2026,1)="(","",'Outro banco'!A2026))</f>
        <v/>
      </c>
      <c r="B2026" s="7" t="str">
        <f aca="false">IF(A2026="","",'Outro banco'!B2026)</f>
        <v/>
      </c>
      <c r="C2026" s="7" t="str">
        <f aca="false">IF(A2026="","",'Outro banco'!C2026)</f>
        <v/>
      </c>
      <c r="D2026" s="7" t="str">
        <f aca="false">IF(A2026="","",'Outro banco'!D2026)</f>
        <v/>
      </c>
      <c r="E2026" s="9"/>
      <c r="F2026" s="9"/>
      <c r="G2026" s="7" t="str">
        <f aca="false">IF(A2026="","",IF(COUNTIF(Tabelas!$A:$A,IF(E2026="",A2026,E2026))&gt;0,"sim","não"))</f>
        <v/>
      </c>
      <c r="H2026" s="7" t="str">
        <f aca="false">IF(A2026="","",IF(E2026="",A2026,E2026)&amp;"."&amp;IF(F2026="",B2026,F2026))</f>
        <v/>
      </c>
      <c r="I2026" s="7" t="str">
        <f aca="false">IF(A2026="","",IFERROR(INDEX('Campos Growths'!$F:$F,MATCH(H2026,'Campos Growths'!$A:$A,0)),""))</f>
        <v/>
      </c>
      <c r="J2026" s="7" t="str">
        <f aca="false">IF(A2026="","",IFERROR(VLOOKUP(IF(ISNUMBER(SEARCH("(",C2026)),LEFT(C2026,SEARCH("(",C2026)-1),C2026),Tipos!$A:$B,2,FALSE()),"outro"))</f>
        <v/>
      </c>
      <c r="K2026" s="7" t="str">
        <f aca="false">IF(I2026="","",IFERROR(INDEX('Campos Growths'!$L:$L,MATCH(H2026,'Campos Growths'!$A:$A,0)),""))</f>
        <v/>
      </c>
      <c r="L2026" s="7" t="str">
        <f aca="false">IF(A2026="","",IF(G2026="não","Sem tabela no Growths",IF(I2026="","Sem campo no Growths",IF(J2026=K2026,"Importa direto","Ajustar tipo"))))</f>
        <v/>
      </c>
      <c r="M2026" s="9"/>
    </row>
    <row r="2027" customFormat="false" ht="15" hidden="false" customHeight="false" outlineLevel="0" collapsed="false">
      <c r="A2027" s="7" t="str">
        <f aca="false">IF('Outro banco'!A2027="","",IF(LEFT('Outro banco'!A2027,1)="(","",'Outro banco'!A2027))</f>
        <v/>
      </c>
      <c r="B2027" s="7" t="str">
        <f aca="false">IF(A2027="","",'Outro banco'!B2027)</f>
        <v/>
      </c>
      <c r="C2027" s="7" t="str">
        <f aca="false">IF(A2027="","",'Outro banco'!C2027)</f>
        <v/>
      </c>
      <c r="D2027" s="7" t="str">
        <f aca="false">IF(A2027="","",'Outro banco'!D2027)</f>
        <v/>
      </c>
      <c r="E2027" s="9"/>
      <c r="F2027" s="9"/>
      <c r="G2027" s="7" t="str">
        <f aca="false">IF(A2027="","",IF(COUNTIF(Tabelas!$A:$A,IF(E2027="",A2027,E2027))&gt;0,"sim","não"))</f>
        <v/>
      </c>
      <c r="H2027" s="7" t="str">
        <f aca="false">IF(A2027="","",IF(E2027="",A2027,E2027)&amp;"."&amp;IF(F2027="",B2027,F2027))</f>
        <v/>
      </c>
      <c r="I2027" s="7" t="str">
        <f aca="false">IF(A2027="","",IFERROR(INDEX('Campos Growths'!$F:$F,MATCH(H2027,'Campos Growths'!$A:$A,0)),""))</f>
        <v/>
      </c>
      <c r="J2027" s="7" t="str">
        <f aca="false">IF(A2027="","",IFERROR(VLOOKUP(IF(ISNUMBER(SEARCH("(",C2027)),LEFT(C2027,SEARCH("(",C2027)-1),C2027),Tipos!$A:$B,2,FALSE()),"outro"))</f>
        <v/>
      </c>
      <c r="K2027" s="7" t="str">
        <f aca="false">IF(I2027="","",IFERROR(INDEX('Campos Growths'!$L:$L,MATCH(H2027,'Campos Growths'!$A:$A,0)),""))</f>
        <v/>
      </c>
      <c r="L2027" s="7" t="str">
        <f aca="false">IF(A2027="","",IF(G2027="não","Sem tabela no Growths",IF(I2027="","Sem campo no Growths",IF(J2027=K2027,"Importa direto","Ajustar tipo"))))</f>
        <v/>
      </c>
      <c r="M2027" s="9"/>
    </row>
    <row r="2028" customFormat="false" ht="15" hidden="false" customHeight="false" outlineLevel="0" collapsed="false">
      <c r="A2028" s="7" t="str">
        <f aca="false">IF('Outro banco'!A2028="","",IF(LEFT('Outro banco'!A2028,1)="(","",'Outro banco'!A2028))</f>
        <v/>
      </c>
      <c r="B2028" s="7" t="str">
        <f aca="false">IF(A2028="","",'Outro banco'!B2028)</f>
        <v/>
      </c>
      <c r="C2028" s="7" t="str">
        <f aca="false">IF(A2028="","",'Outro banco'!C2028)</f>
        <v/>
      </c>
      <c r="D2028" s="7" t="str">
        <f aca="false">IF(A2028="","",'Outro banco'!D2028)</f>
        <v/>
      </c>
      <c r="E2028" s="9"/>
      <c r="F2028" s="9"/>
      <c r="G2028" s="7" t="str">
        <f aca="false">IF(A2028="","",IF(COUNTIF(Tabelas!$A:$A,IF(E2028="",A2028,E2028))&gt;0,"sim","não"))</f>
        <v/>
      </c>
      <c r="H2028" s="7" t="str">
        <f aca="false">IF(A2028="","",IF(E2028="",A2028,E2028)&amp;"."&amp;IF(F2028="",B2028,F2028))</f>
        <v/>
      </c>
      <c r="I2028" s="7" t="str">
        <f aca="false">IF(A2028="","",IFERROR(INDEX('Campos Growths'!$F:$F,MATCH(H2028,'Campos Growths'!$A:$A,0)),""))</f>
        <v/>
      </c>
      <c r="J2028" s="7" t="str">
        <f aca="false">IF(A2028="","",IFERROR(VLOOKUP(IF(ISNUMBER(SEARCH("(",C2028)),LEFT(C2028,SEARCH("(",C2028)-1),C2028),Tipos!$A:$B,2,FALSE()),"outro"))</f>
        <v/>
      </c>
      <c r="K2028" s="7" t="str">
        <f aca="false">IF(I2028="","",IFERROR(INDEX('Campos Growths'!$L:$L,MATCH(H2028,'Campos Growths'!$A:$A,0)),""))</f>
        <v/>
      </c>
      <c r="L2028" s="7" t="str">
        <f aca="false">IF(A2028="","",IF(G2028="não","Sem tabela no Growths",IF(I2028="","Sem campo no Growths",IF(J2028=K2028,"Importa direto","Ajustar tipo"))))</f>
        <v/>
      </c>
      <c r="M2028" s="9"/>
    </row>
    <row r="2029" customFormat="false" ht="15" hidden="false" customHeight="false" outlineLevel="0" collapsed="false">
      <c r="A2029" s="7" t="str">
        <f aca="false">IF('Outro banco'!A2029="","",IF(LEFT('Outro banco'!A2029,1)="(","",'Outro banco'!A2029))</f>
        <v/>
      </c>
      <c r="B2029" s="7" t="str">
        <f aca="false">IF(A2029="","",'Outro banco'!B2029)</f>
        <v/>
      </c>
      <c r="C2029" s="7" t="str">
        <f aca="false">IF(A2029="","",'Outro banco'!C2029)</f>
        <v/>
      </c>
      <c r="D2029" s="7" t="str">
        <f aca="false">IF(A2029="","",'Outro banco'!D2029)</f>
        <v/>
      </c>
      <c r="E2029" s="9"/>
      <c r="F2029" s="9"/>
      <c r="G2029" s="7" t="str">
        <f aca="false">IF(A2029="","",IF(COUNTIF(Tabelas!$A:$A,IF(E2029="",A2029,E2029))&gt;0,"sim","não"))</f>
        <v/>
      </c>
      <c r="H2029" s="7" t="str">
        <f aca="false">IF(A2029="","",IF(E2029="",A2029,E2029)&amp;"."&amp;IF(F2029="",B2029,F2029))</f>
        <v/>
      </c>
      <c r="I2029" s="7" t="str">
        <f aca="false">IF(A2029="","",IFERROR(INDEX('Campos Growths'!$F:$F,MATCH(H2029,'Campos Growths'!$A:$A,0)),""))</f>
        <v/>
      </c>
      <c r="J2029" s="7" t="str">
        <f aca="false">IF(A2029="","",IFERROR(VLOOKUP(IF(ISNUMBER(SEARCH("(",C2029)),LEFT(C2029,SEARCH("(",C2029)-1),C2029),Tipos!$A:$B,2,FALSE()),"outro"))</f>
        <v/>
      </c>
      <c r="K2029" s="7" t="str">
        <f aca="false">IF(I2029="","",IFERROR(INDEX('Campos Growths'!$L:$L,MATCH(H2029,'Campos Growths'!$A:$A,0)),""))</f>
        <v/>
      </c>
      <c r="L2029" s="7" t="str">
        <f aca="false">IF(A2029="","",IF(G2029="não","Sem tabela no Growths",IF(I2029="","Sem campo no Growths",IF(J2029=K2029,"Importa direto","Ajustar tipo"))))</f>
        <v/>
      </c>
      <c r="M2029" s="9"/>
    </row>
    <row r="2030" customFormat="false" ht="15" hidden="false" customHeight="false" outlineLevel="0" collapsed="false">
      <c r="A2030" s="7" t="str">
        <f aca="false">IF('Outro banco'!A2030="","",IF(LEFT('Outro banco'!A2030,1)="(","",'Outro banco'!A2030))</f>
        <v/>
      </c>
      <c r="B2030" s="7" t="str">
        <f aca="false">IF(A2030="","",'Outro banco'!B2030)</f>
        <v/>
      </c>
      <c r="C2030" s="7" t="str">
        <f aca="false">IF(A2030="","",'Outro banco'!C2030)</f>
        <v/>
      </c>
      <c r="D2030" s="7" t="str">
        <f aca="false">IF(A2030="","",'Outro banco'!D2030)</f>
        <v/>
      </c>
      <c r="E2030" s="9"/>
      <c r="F2030" s="9"/>
      <c r="G2030" s="7" t="str">
        <f aca="false">IF(A2030="","",IF(COUNTIF(Tabelas!$A:$A,IF(E2030="",A2030,E2030))&gt;0,"sim","não"))</f>
        <v/>
      </c>
      <c r="H2030" s="7" t="str">
        <f aca="false">IF(A2030="","",IF(E2030="",A2030,E2030)&amp;"."&amp;IF(F2030="",B2030,F2030))</f>
        <v/>
      </c>
      <c r="I2030" s="7" t="str">
        <f aca="false">IF(A2030="","",IFERROR(INDEX('Campos Growths'!$F:$F,MATCH(H2030,'Campos Growths'!$A:$A,0)),""))</f>
        <v/>
      </c>
      <c r="J2030" s="7" t="str">
        <f aca="false">IF(A2030="","",IFERROR(VLOOKUP(IF(ISNUMBER(SEARCH("(",C2030)),LEFT(C2030,SEARCH("(",C2030)-1),C2030),Tipos!$A:$B,2,FALSE()),"outro"))</f>
        <v/>
      </c>
      <c r="K2030" s="7" t="str">
        <f aca="false">IF(I2030="","",IFERROR(INDEX('Campos Growths'!$L:$L,MATCH(H2030,'Campos Growths'!$A:$A,0)),""))</f>
        <v/>
      </c>
      <c r="L2030" s="7" t="str">
        <f aca="false">IF(A2030="","",IF(G2030="não","Sem tabela no Growths",IF(I2030="","Sem campo no Growths",IF(J2030=K2030,"Importa direto","Ajustar tipo"))))</f>
        <v/>
      </c>
      <c r="M2030" s="9"/>
    </row>
    <row r="2031" customFormat="false" ht="15" hidden="false" customHeight="false" outlineLevel="0" collapsed="false">
      <c r="A2031" s="7" t="str">
        <f aca="false">IF('Outro banco'!A2031="","",IF(LEFT('Outro banco'!A2031,1)="(","",'Outro banco'!A2031))</f>
        <v/>
      </c>
      <c r="B2031" s="7" t="str">
        <f aca="false">IF(A2031="","",'Outro banco'!B2031)</f>
        <v/>
      </c>
      <c r="C2031" s="7" t="str">
        <f aca="false">IF(A2031="","",'Outro banco'!C2031)</f>
        <v/>
      </c>
      <c r="D2031" s="7" t="str">
        <f aca="false">IF(A2031="","",'Outro banco'!D2031)</f>
        <v/>
      </c>
      <c r="E2031" s="9"/>
      <c r="F2031" s="9"/>
      <c r="G2031" s="7" t="str">
        <f aca="false">IF(A2031="","",IF(COUNTIF(Tabelas!$A:$A,IF(E2031="",A2031,E2031))&gt;0,"sim","não"))</f>
        <v/>
      </c>
      <c r="H2031" s="7" t="str">
        <f aca="false">IF(A2031="","",IF(E2031="",A2031,E2031)&amp;"."&amp;IF(F2031="",B2031,F2031))</f>
        <v/>
      </c>
      <c r="I2031" s="7" t="str">
        <f aca="false">IF(A2031="","",IFERROR(INDEX('Campos Growths'!$F:$F,MATCH(H2031,'Campos Growths'!$A:$A,0)),""))</f>
        <v/>
      </c>
      <c r="J2031" s="7" t="str">
        <f aca="false">IF(A2031="","",IFERROR(VLOOKUP(IF(ISNUMBER(SEARCH("(",C2031)),LEFT(C2031,SEARCH("(",C2031)-1),C2031),Tipos!$A:$B,2,FALSE()),"outro"))</f>
        <v/>
      </c>
      <c r="K2031" s="7" t="str">
        <f aca="false">IF(I2031="","",IFERROR(INDEX('Campos Growths'!$L:$L,MATCH(H2031,'Campos Growths'!$A:$A,0)),""))</f>
        <v/>
      </c>
      <c r="L2031" s="7" t="str">
        <f aca="false">IF(A2031="","",IF(G2031="não","Sem tabela no Growths",IF(I2031="","Sem campo no Growths",IF(J2031=K2031,"Importa direto","Ajustar tipo"))))</f>
        <v/>
      </c>
      <c r="M2031" s="9"/>
    </row>
    <row r="2032" customFormat="false" ht="15" hidden="false" customHeight="false" outlineLevel="0" collapsed="false">
      <c r="A2032" s="7" t="str">
        <f aca="false">IF('Outro banco'!A2032="","",IF(LEFT('Outro banco'!A2032,1)="(","",'Outro banco'!A2032))</f>
        <v/>
      </c>
      <c r="B2032" s="7" t="str">
        <f aca="false">IF(A2032="","",'Outro banco'!B2032)</f>
        <v/>
      </c>
      <c r="C2032" s="7" t="str">
        <f aca="false">IF(A2032="","",'Outro banco'!C2032)</f>
        <v/>
      </c>
      <c r="D2032" s="7" t="str">
        <f aca="false">IF(A2032="","",'Outro banco'!D2032)</f>
        <v/>
      </c>
      <c r="E2032" s="9"/>
      <c r="F2032" s="9"/>
      <c r="G2032" s="7" t="str">
        <f aca="false">IF(A2032="","",IF(COUNTIF(Tabelas!$A:$A,IF(E2032="",A2032,E2032))&gt;0,"sim","não"))</f>
        <v/>
      </c>
      <c r="H2032" s="7" t="str">
        <f aca="false">IF(A2032="","",IF(E2032="",A2032,E2032)&amp;"."&amp;IF(F2032="",B2032,F2032))</f>
        <v/>
      </c>
      <c r="I2032" s="7" t="str">
        <f aca="false">IF(A2032="","",IFERROR(INDEX('Campos Growths'!$F:$F,MATCH(H2032,'Campos Growths'!$A:$A,0)),""))</f>
        <v/>
      </c>
      <c r="J2032" s="7" t="str">
        <f aca="false">IF(A2032="","",IFERROR(VLOOKUP(IF(ISNUMBER(SEARCH("(",C2032)),LEFT(C2032,SEARCH("(",C2032)-1),C2032),Tipos!$A:$B,2,FALSE()),"outro"))</f>
        <v/>
      </c>
      <c r="K2032" s="7" t="str">
        <f aca="false">IF(I2032="","",IFERROR(INDEX('Campos Growths'!$L:$L,MATCH(H2032,'Campos Growths'!$A:$A,0)),""))</f>
        <v/>
      </c>
      <c r="L2032" s="7" t="str">
        <f aca="false">IF(A2032="","",IF(G2032="não","Sem tabela no Growths",IF(I2032="","Sem campo no Growths",IF(J2032=K2032,"Importa direto","Ajustar tipo"))))</f>
        <v/>
      </c>
      <c r="M2032" s="9"/>
    </row>
    <row r="2033" customFormat="false" ht="15" hidden="false" customHeight="false" outlineLevel="0" collapsed="false">
      <c r="A2033" s="7" t="str">
        <f aca="false">IF('Outro banco'!A2033="","",IF(LEFT('Outro banco'!A2033,1)="(","",'Outro banco'!A2033))</f>
        <v/>
      </c>
      <c r="B2033" s="7" t="str">
        <f aca="false">IF(A2033="","",'Outro banco'!B2033)</f>
        <v/>
      </c>
      <c r="C2033" s="7" t="str">
        <f aca="false">IF(A2033="","",'Outro banco'!C2033)</f>
        <v/>
      </c>
      <c r="D2033" s="7" t="str">
        <f aca="false">IF(A2033="","",'Outro banco'!D2033)</f>
        <v/>
      </c>
      <c r="E2033" s="9"/>
      <c r="F2033" s="9"/>
      <c r="G2033" s="7" t="str">
        <f aca="false">IF(A2033="","",IF(COUNTIF(Tabelas!$A:$A,IF(E2033="",A2033,E2033))&gt;0,"sim","não"))</f>
        <v/>
      </c>
      <c r="H2033" s="7" t="str">
        <f aca="false">IF(A2033="","",IF(E2033="",A2033,E2033)&amp;"."&amp;IF(F2033="",B2033,F2033))</f>
        <v/>
      </c>
      <c r="I2033" s="7" t="str">
        <f aca="false">IF(A2033="","",IFERROR(INDEX('Campos Growths'!$F:$F,MATCH(H2033,'Campos Growths'!$A:$A,0)),""))</f>
        <v/>
      </c>
      <c r="J2033" s="7" t="str">
        <f aca="false">IF(A2033="","",IFERROR(VLOOKUP(IF(ISNUMBER(SEARCH("(",C2033)),LEFT(C2033,SEARCH("(",C2033)-1),C2033),Tipos!$A:$B,2,FALSE()),"outro"))</f>
        <v/>
      </c>
      <c r="K2033" s="7" t="str">
        <f aca="false">IF(I2033="","",IFERROR(INDEX('Campos Growths'!$L:$L,MATCH(H2033,'Campos Growths'!$A:$A,0)),""))</f>
        <v/>
      </c>
      <c r="L2033" s="7" t="str">
        <f aca="false">IF(A2033="","",IF(G2033="não","Sem tabela no Growths",IF(I2033="","Sem campo no Growths",IF(J2033=K2033,"Importa direto","Ajustar tipo"))))</f>
        <v/>
      </c>
      <c r="M2033" s="9"/>
    </row>
    <row r="2034" customFormat="false" ht="15" hidden="false" customHeight="false" outlineLevel="0" collapsed="false">
      <c r="A2034" s="7" t="str">
        <f aca="false">IF('Outro banco'!A2034="","",IF(LEFT('Outro banco'!A2034,1)="(","",'Outro banco'!A2034))</f>
        <v/>
      </c>
      <c r="B2034" s="7" t="str">
        <f aca="false">IF(A2034="","",'Outro banco'!B2034)</f>
        <v/>
      </c>
      <c r="C2034" s="7" t="str">
        <f aca="false">IF(A2034="","",'Outro banco'!C2034)</f>
        <v/>
      </c>
      <c r="D2034" s="7" t="str">
        <f aca="false">IF(A2034="","",'Outro banco'!D2034)</f>
        <v/>
      </c>
      <c r="E2034" s="9"/>
      <c r="F2034" s="9"/>
      <c r="G2034" s="7" t="str">
        <f aca="false">IF(A2034="","",IF(COUNTIF(Tabelas!$A:$A,IF(E2034="",A2034,E2034))&gt;0,"sim","não"))</f>
        <v/>
      </c>
      <c r="H2034" s="7" t="str">
        <f aca="false">IF(A2034="","",IF(E2034="",A2034,E2034)&amp;"."&amp;IF(F2034="",B2034,F2034))</f>
        <v/>
      </c>
      <c r="I2034" s="7" t="str">
        <f aca="false">IF(A2034="","",IFERROR(INDEX('Campos Growths'!$F:$F,MATCH(H2034,'Campos Growths'!$A:$A,0)),""))</f>
        <v/>
      </c>
      <c r="J2034" s="7" t="str">
        <f aca="false">IF(A2034="","",IFERROR(VLOOKUP(IF(ISNUMBER(SEARCH("(",C2034)),LEFT(C2034,SEARCH("(",C2034)-1),C2034),Tipos!$A:$B,2,FALSE()),"outro"))</f>
        <v/>
      </c>
      <c r="K2034" s="7" t="str">
        <f aca="false">IF(I2034="","",IFERROR(INDEX('Campos Growths'!$L:$L,MATCH(H2034,'Campos Growths'!$A:$A,0)),""))</f>
        <v/>
      </c>
      <c r="L2034" s="7" t="str">
        <f aca="false">IF(A2034="","",IF(G2034="não","Sem tabela no Growths",IF(I2034="","Sem campo no Growths",IF(J2034=K2034,"Importa direto","Ajustar tipo"))))</f>
        <v/>
      </c>
      <c r="M2034" s="9"/>
    </row>
    <row r="2035" customFormat="false" ht="15" hidden="false" customHeight="false" outlineLevel="0" collapsed="false">
      <c r="A2035" s="7" t="str">
        <f aca="false">IF('Outro banco'!A2035="","",IF(LEFT('Outro banco'!A2035,1)="(","",'Outro banco'!A2035))</f>
        <v/>
      </c>
      <c r="B2035" s="7" t="str">
        <f aca="false">IF(A2035="","",'Outro banco'!B2035)</f>
        <v/>
      </c>
      <c r="C2035" s="7" t="str">
        <f aca="false">IF(A2035="","",'Outro banco'!C2035)</f>
        <v/>
      </c>
      <c r="D2035" s="7" t="str">
        <f aca="false">IF(A2035="","",'Outro banco'!D2035)</f>
        <v/>
      </c>
      <c r="E2035" s="9"/>
      <c r="F2035" s="9"/>
      <c r="G2035" s="7" t="str">
        <f aca="false">IF(A2035="","",IF(COUNTIF(Tabelas!$A:$A,IF(E2035="",A2035,E2035))&gt;0,"sim","não"))</f>
        <v/>
      </c>
      <c r="H2035" s="7" t="str">
        <f aca="false">IF(A2035="","",IF(E2035="",A2035,E2035)&amp;"."&amp;IF(F2035="",B2035,F2035))</f>
        <v/>
      </c>
      <c r="I2035" s="7" t="str">
        <f aca="false">IF(A2035="","",IFERROR(INDEX('Campos Growths'!$F:$F,MATCH(H2035,'Campos Growths'!$A:$A,0)),""))</f>
        <v/>
      </c>
      <c r="J2035" s="7" t="str">
        <f aca="false">IF(A2035="","",IFERROR(VLOOKUP(IF(ISNUMBER(SEARCH("(",C2035)),LEFT(C2035,SEARCH("(",C2035)-1),C2035),Tipos!$A:$B,2,FALSE()),"outro"))</f>
        <v/>
      </c>
      <c r="K2035" s="7" t="str">
        <f aca="false">IF(I2035="","",IFERROR(INDEX('Campos Growths'!$L:$L,MATCH(H2035,'Campos Growths'!$A:$A,0)),""))</f>
        <v/>
      </c>
      <c r="L2035" s="7" t="str">
        <f aca="false">IF(A2035="","",IF(G2035="não","Sem tabela no Growths",IF(I2035="","Sem campo no Growths",IF(J2035=K2035,"Importa direto","Ajustar tipo"))))</f>
        <v/>
      </c>
      <c r="M2035" s="9"/>
    </row>
    <row r="2036" customFormat="false" ht="15" hidden="false" customHeight="false" outlineLevel="0" collapsed="false">
      <c r="A2036" s="7" t="str">
        <f aca="false">IF('Outro banco'!A2036="","",IF(LEFT('Outro banco'!A2036,1)="(","",'Outro banco'!A2036))</f>
        <v/>
      </c>
      <c r="B2036" s="7" t="str">
        <f aca="false">IF(A2036="","",'Outro banco'!B2036)</f>
        <v/>
      </c>
      <c r="C2036" s="7" t="str">
        <f aca="false">IF(A2036="","",'Outro banco'!C2036)</f>
        <v/>
      </c>
      <c r="D2036" s="7" t="str">
        <f aca="false">IF(A2036="","",'Outro banco'!D2036)</f>
        <v/>
      </c>
      <c r="E2036" s="9"/>
      <c r="F2036" s="9"/>
      <c r="G2036" s="7" t="str">
        <f aca="false">IF(A2036="","",IF(COUNTIF(Tabelas!$A:$A,IF(E2036="",A2036,E2036))&gt;0,"sim","não"))</f>
        <v/>
      </c>
      <c r="H2036" s="7" t="str">
        <f aca="false">IF(A2036="","",IF(E2036="",A2036,E2036)&amp;"."&amp;IF(F2036="",B2036,F2036))</f>
        <v/>
      </c>
      <c r="I2036" s="7" t="str">
        <f aca="false">IF(A2036="","",IFERROR(INDEX('Campos Growths'!$F:$F,MATCH(H2036,'Campos Growths'!$A:$A,0)),""))</f>
        <v/>
      </c>
      <c r="J2036" s="7" t="str">
        <f aca="false">IF(A2036="","",IFERROR(VLOOKUP(IF(ISNUMBER(SEARCH("(",C2036)),LEFT(C2036,SEARCH("(",C2036)-1),C2036),Tipos!$A:$B,2,FALSE()),"outro"))</f>
        <v/>
      </c>
      <c r="K2036" s="7" t="str">
        <f aca="false">IF(I2036="","",IFERROR(INDEX('Campos Growths'!$L:$L,MATCH(H2036,'Campos Growths'!$A:$A,0)),""))</f>
        <v/>
      </c>
      <c r="L2036" s="7" t="str">
        <f aca="false">IF(A2036="","",IF(G2036="não","Sem tabela no Growths",IF(I2036="","Sem campo no Growths",IF(J2036=K2036,"Importa direto","Ajustar tipo"))))</f>
        <v/>
      </c>
      <c r="M2036" s="9"/>
    </row>
    <row r="2037" customFormat="false" ht="15" hidden="false" customHeight="false" outlineLevel="0" collapsed="false">
      <c r="A2037" s="7" t="str">
        <f aca="false">IF('Outro banco'!A2037="","",IF(LEFT('Outro banco'!A2037,1)="(","",'Outro banco'!A2037))</f>
        <v/>
      </c>
      <c r="B2037" s="7" t="str">
        <f aca="false">IF(A2037="","",'Outro banco'!B2037)</f>
        <v/>
      </c>
      <c r="C2037" s="7" t="str">
        <f aca="false">IF(A2037="","",'Outro banco'!C2037)</f>
        <v/>
      </c>
      <c r="D2037" s="7" t="str">
        <f aca="false">IF(A2037="","",'Outro banco'!D2037)</f>
        <v/>
      </c>
      <c r="E2037" s="9"/>
      <c r="F2037" s="9"/>
      <c r="G2037" s="7" t="str">
        <f aca="false">IF(A2037="","",IF(COUNTIF(Tabelas!$A:$A,IF(E2037="",A2037,E2037))&gt;0,"sim","não"))</f>
        <v/>
      </c>
      <c r="H2037" s="7" t="str">
        <f aca="false">IF(A2037="","",IF(E2037="",A2037,E2037)&amp;"."&amp;IF(F2037="",B2037,F2037))</f>
        <v/>
      </c>
      <c r="I2037" s="7" t="str">
        <f aca="false">IF(A2037="","",IFERROR(INDEX('Campos Growths'!$F:$F,MATCH(H2037,'Campos Growths'!$A:$A,0)),""))</f>
        <v/>
      </c>
      <c r="J2037" s="7" t="str">
        <f aca="false">IF(A2037="","",IFERROR(VLOOKUP(IF(ISNUMBER(SEARCH("(",C2037)),LEFT(C2037,SEARCH("(",C2037)-1),C2037),Tipos!$A:$B,2,FALSE()),"outro"))</f>
        <v/>
      </c>
      <c r="K2037" s="7" t="str">
        <f aca="false">IF(I2037="","",IFERROR(INDEX('Campos Growths'!$L:$L,MATCH(H2037,'Campos Growths'!$A:$A,0)),""))</f>
        <v/>
      </c>
      <c r="L2037" s="7" t="str">
        <f aca="false">IF(A2037="","",IF(G2037="não","Sem tabela no Growths",IF(I2037="","Sem campo no Growths",IF(J2037=K2037,"Importa direto","Ajustar tipo"))))</f>
        <v/>
      </c>
      <c r="M2037" s="9"/>
    </row>
    <row r="2038" customFormat="false" ht="15" hidden="false" customHeight="false" outlineLevel="0" collapsed="false">
      <c r="A2038" s="7" t="str">
        <f aca="false">IF('Outro banco'!A2038="","",IF(LEFT('Outro banco'!A2038,1)="(","",'Outro banco'!A2038))</f>
        <v/>
      </c>
      <c r="B2038" s="7" t="str">
        <f aca="false">IF(A2038="","",'Outro banco'!B2038)</f>
        <v/>
      </c>
      <c r="C2038" s="7" t="str">
        <f aca="false">IF(A2038="","",'Outro banco'!C2038)</f>
        <v/>
      </c>
      <c r="D2038" s="7" t="str">
        <f aca="false">IF(A2038="","",'Outro banco'!D2038)</f>
        <v/>
      </c>
      <c r="E2038" s="9"/>
      <c r="F2038" s="9"/>
      <c r="G2038" s="7" t="str">
        <f aca="false">IF(A2038="","",IF(COUNTIF(Tabelas!$A:$A,IF(E2038="",A2038,E2038))&gt;0,"sim","não"))</f>
        <v/>
      </c>
      <c r="H2038" s="7" t="str">
        <f aca="false">IF(A2038="","",IF(E2038="",A2038,E2038)&amp;"."&amp;IF(F2038="",B2038,F2038))</f>
        <v/>
      </c>
      <c r="I2038" s="7" t="str">
        <f aca="false">IF(A2038="","",IFERROR(INDEX('Campos Growths'!$F:$F,MATCH(H2038,'Campos Growths'!$A:$A,0)),""))</f>
        <v/>
      </c>
      <c r="J2038" s="7" t="str">
        <f aca="false">IF(A2038="","",IFERROR(VLOOKUP(IF(ISNUMBER(SEARCH("(",C2038)),LEFT(C2038,SEARCH("(",C2038)-1),C2038),Tipos!$A:$B,2,FALSE()),"outro"))</f>
        <v/>
      </c>
      <c r="K2038" s="7" t="str">
        <f aca="false">IF(I2038="","",IFERROR(INDEX('Campos Growths'!$L:$L,MATCH(H2038,'Campos Growths'!$A:$A,0)),""))</f>
        <v/>
      </c>
      <c r="L2038" s="7" t="str">
        <f aca="false">IF(A2038="","",IF(G2038="não","Sem tabela no Growths",IF(I2038="","Sem campo no Growths",IF(J2038=K2038,"Importa direto","Ajustar tipo"))))</f>
        <v/>
      </c>
      <c r="M2038" s="9"/>
    </row>
    <row r="2039" customFormat="false" ht="15" hidden="false" customHeight="false" outlineLevel="0" collapsed="false">
      <c r="A2039" s="7" t="str">
        <f aca="false">IF('Outro banco'!A2039="","",IF(LEFT('Outro banco'!A2039,1)="(","",'Outro banco'!A2039))</f>
        <v/>
      </c>
      <c r="B2039" s="7" t="str">
        <f aca="false">IF(A2039="","",'Outro banco'!B2039)</f>
        <v/>
      </c>
      <c r="C2039" s="7" t="str">
        <f aca="false">IF(A2039="","",'Outro banco'!C2039)</f>
        <v/>
      </c>
      <c r="D2039" s="7" t="str">
        <f aca="false">IF(A2039="","",'Outro banco'!D2039)</f>
        <v/>
      </c>
      <c r="E2039" s="9"/>
      <c r="F2039" s="9"/>
      <c r="G2039" s="7" t="str">
        <f aca="false">IF(A2039="","",IF(COUNTIF(Tabelas!$A:$A,IF(E2039="",A2039,E2039))&gt;0,"sim","não"))</f>
        <v/>
      </c>
      <c r="H2039" s="7" t="str">
        <f aca="false">IF(A2039="","",IF(E2039="",A2039,E2039)&amp;"."&amp;IF(F2039="",B2039,F2039))</f>
        <v/>
      </c>
      <c r="I2039" s="7" t="str">
        <f aca="false">IF(A2039="","",IFERROR(INDEX('Campos Growths'!$F:$F,MATCH(H2039,'Campos Growths'!$A:$A,0)),""))</f>
        <v/>
      </c>
      <c r="J2039" s="7" t="str">
        <f aca="false">IF(A2039="","",IFERROR(VLOOKUP(IF(ISNUMBER(SEARCH("(",C2039)),LEFT(C2039,SEARCH("(",C2039)-1),C2039),Tipos!$A:$B,2,FALSE()),"outro"))</f>
        <v/>
      </c>
      <c r="K2039" s="7" t="str">
        <f aca="false">IF(I2039="","",IFERROR(INDEX('Campos Growths'!$L:$L,MATCH(H2039,'Campos Growths'!$A:$A,0)),""))</f>
        <v/>
      </c>
      <c r="L2039" s="7" t="str">
        <f aca="false">IF(A2039="","",IF(G2039="não","Sem tabela no Growths",IF(I2039="","Sem campo no Growths",IF(J2039=K2039,"Importa direto","Ajustar tipo"))))</f>
        <v/>
      </c>
      <c r="M2039" s="9"/>
    </row>
    <row r="2040" customFormat="false" ht="15" hidden="false" customHeight="false" outlineLevel="0" collapsed="false">
      <c r="A2040" s="7" t="str">
        <f aca="false">IF('Outro banco'!A2040="","",IF(LEFT('Outro banco'!A2040,1)="(","",'Outro banco'!A2040))</f>
        <v/>
      </c>
      <c r="B2040" s="7" t="str">
        <f aca="false">IF(A2040="","",'Outro banco'!B2040)</f>
        <v/>
      </c>
      <c r="C2040" s="7" t="str">
        <f aca="false">IF(A2040="","",'Outro banco'!C2040)</f>
        <v/>
      </c>
      <c r="D2040" s="7" t="str">
        <f aca="false">IF(A2040="","",'Outro banco'!D2040)</f>
        <v/>
      </c>
      <c r="E2040" s="9"/>
      <c r="F2040" s="9"/>
      <c r="G2040" s="7" t="str">
        <f aca="false">IF(A2040="","",IF(COUNTIF(Tabelas!$A:$A,IF(E2040="",A2040,E2040))&gt;0,"sim","não"))</f>
        <v/>
      </c>
      <c r="H2040" s="7" t="str">
        <f aca="false">IF(A2040="","",IF(E2040="",A2040,E2040)&amp;"."&amp;IF(F2040="",B2040,F2040))</f>
        <v/>
      </c>
      <c r="I2040" s="7" t="str">
        <f aca="false">IF(A2040="","",IFERROR(INDEX('Campos Growths'!$F:$F,MATCH(H2040,'Campos Growths'!$A:$A,0)),""))</f>
        <v/>
      </c>
      <c r="J2040" s="7" t="str">
        <f aca="false">IF(A2040="","",IFERROR(VLOOKUP(IF(ISNUMBER(SEARCH("(",C2040)),LEFT(C2040,SEARCH("(",C2040)-1),C2040),Tipos!$A:$B,2,FALSE()),"outro"))</f>
        <v/>
      </c>
      <c r="K2040" s="7" t="str">
        <f aca="false">IF(I2040="","",IFERROR(INDEX('Campos Growths'!$L:$L,MATCH(H2040,'Campos Growths'!$A:$A,0)),""))</f>
        <v/>
      </c>
      <c r="L2040" s="7" t="str">
        <f aca="false">IF(A2040="","",IF(G2040="não","Sem tabela no Growths",IF(I2040="","Sem campo no Growths",IF(J2040=K2040,"Importa direto","Ajustar tipo"))))</f>
        <v/>
      </c>
      <c r="M2040" s="9"/>
    </row>
    <row r="2041" customFormat="false" ht="15" hidden="false" customHeight="false" outlineLevel="0" collapsed="false">
      <c r="A2041" s="7" t="str">
        <f aca="false">IF('Outro banco'!A2041="","",IF(LEFT('Outro banco'!A2041,1)="(","",'Outro banco'!A2041))</f>
        <v/>
      </c>
      <c r="B2041" s="7" t="str">
        <f aca="false">IF(A2041="","",'Outro banco'!B2041)</f>
        <v/>
      </c>
      <c r="C2041" s="7" t="str">
        <f aca="false">IF(A2041="","",'Outro banco'!C2041)</f>
        <v/>
      </c>
      <c r="D2041" s="7" t="str">
        <f aca="false">IF(A2041="","",'Outro banco'!D2041)</f>
        <v/>
      </c>
      <c r="E2041" s="9"/>
      <c r="F2041" s="9"/>
      <c r="G2041" s="7" t="str">
        <f aca="false">IF(A2041="","",IF(COUNTIF(Tabelas!$A:$A,IF(E2041="",A2041,E2041))&gt;0,"sim","não"))</f>
        <v/>
      </c>
      <c r="H2041" s="7" t="str">
        <f aca="false">IF(A2041="","",IF(E2041="",A2041,E2041)&amp;"."&amp;IF(F2041="",B2041,F2041))</f>
        <v/>
      </c>
      <c r="I2041" s="7" t="str">
        <f aca="false">IF(A2041="","",IFERROR(INDEX('Campos Growths'!$F:$F,MATCH(H2041,'Campos Growths'!$A:$A,0)),""))</f>
        <v/>
      </c>
      <c r="J2041" s="7" t="str">
        <f aca="false">IF(A2041="","",IFERROR(VLOOKUP(IF(ISNUMBER(SEARCH("(",C2041)),LEFT(C2041,SEARCH("(",C2041)-1),C2041),Tipos!$A:$B,2,FALSE()),"outro"))</f>
        <v/>
      </c>
      <c r="K2041" s="7" t="str">
        <f aca="false">IF(I2041="","",IFERROR(INDEX('Campos Growths'!$L:$L,MATCH(H2041,'Campos Growths'!$A:$A,0)),""))</f>
        <v/>
      </c>
      <c r="L2041" s="7" t="str">
        <f aca="false">IF(A2041="","",IF(G2041="não","Sem tabela no Growths",IF(I2041="","Sem campo no Growths",IF(J2041=K2041,"Importa direto","Ajustar tipo"))))</f>
        <v/>
      </c>
      <c r="M2041" s="9"/>
    </row>
    <row r="2042" customFormat="false" ht="15" hidden="false" customHeight="false" outlineLevel="0" collapsed="false">
      <c r="A2042" s="7" t="str">
        <f aca="false">IF('Outro banco'!A2042="","",IF(LEFT('Outro banco'!A2042,1)="(","",'Outro banco'!A2042))</f>
        <v/>
      </c>
      <c r="B2042" s="7" t="str">
        <f aca="false">IF(A2042="","",'Outro banco'!B2042)</f>
        <v/>
      </c>
      <c r="C2042" s="7" t="str">
        <f aca="false">IF(A2042="","",'Outro banco'!C2042)</f>
        <v/>
      </c>
      <c r="D2042" s="7" t="str">
        <f aca="false">IF(A2042="","",'Outro banco'!D2042)</f>
        <v/>
      </c>
      <c r="E2042" s="9"/>
      <c r="F2042" s="9"/>
      <c r="G2042" s="7" t="str">
        <f aca="false">IF(A2042="","",IF(COUNTIF(Tabelas!$A:$A,IF(E2042="",A2042,E2042))&gt;0,"sim","não"))</f>
        <v/>
      </c>
      <c r="H2042" s="7" t="str">
        <f aca="false">IF(A2042="","",IF(E2042="",A2042,E2042)&amp;"."&amp;IF(F2042="",B2042,F2042))</f>
        <v/>
      </c>
      <c r="I2042" s="7" t="str">
        <f aca="false">IF(A2042="","",IFERROR(INDEX('Campos Growths'!$F:$F,MATCH(H2042,'Campos Growths'!$A:$A,0)),""))</f>
        <v/>
      </c>
      <c r="J2042" s="7" t="str">
        <f aca="false">IF(A2042="","",IFERROR(VLOOKUP(IF(ISNUMBER(SEARCH("(",C2042)),LEFT(C2042,SEARCH("(",C2042)-1),C2042),Tipos!$A:$B,2,FALSE()),"outro"))</f>
        <v/>
      </c>
      <c r="K2042" s="7" t="str">
        <f aca="false">IF(I2042="","",IFERROR(INDEX('Campos Growths'!$L:$L,MATCH(H2042,'Campos Growths'!$A:$A,0)),""))</f>
        <v/>
      </c>
      <c r="L2042" s="7" t="str">
        <f aca="false">IF(A2042="","",IF(G2042="não","Sem tabela no Growths",IF(I2042="","Sem campo no Growths",IF(J2042=K2042,"Importa direto","Ajustar tipo"))))</f>
        <v/>
      </c>
      <c r="M2042" s="9"/>
    </row>
    <row r="2043" customFormat="false" ht="15" hidden="false" customHeight="false" outlineLevel="0" collapsed="false">
      <c r="A2043" s="7" t="str">
        <f aca="false">IF('Outro banco'!A2043="","",IF(LEFT('Outro banco'!A2043,1)="(","",'Outro banco'!A2043))</f>
        <v/>
      </c>
      <c r="B2043" s="7" t="str">
        <f aca="false">IF(A2043="","",'Outro banco'!B2043)</f>
        <v/>
      </c>
      <c r="C2043" s="7" t="str">
        <f aca="false">IF(A2043="","",'Outro banco'!C2043)</f>
        <v/>
      </c>
      <c r="D2043" s="7" t="str">
        <f aca="false">IF(A2043="","",'Outro banco'!D2043)</f>
        <v/>
      </c>
      <c r="E2043" s="9"/>
      <c r="F2043" s="9"/>
      <c r="G2043" s="7" t="str">
        <f aca="false">IF(A2043="","",IF(COUNTIF(Tabelas!$A:$A,IF(E2043="",A2043,E2043))&gt;0,"sim","não"))</f>
        <v/>
      </c>
      <c r="H2043" s="7" t="str">
        <f aca="false">IF(A2043="","",IF(E2043="",A2043,E2043)&amp;"."&amp;IF(F2043="",B2043,F2043))</f>
        <v/>
      </c>
      <c r="I2043" s="7" t="str">
        <f aca="false">IF(A2043="","",IFERROR(INDEX('Campos Growths'!$F:$F,MATCH(H2043,'Campos Growths'!$A:$A,0)),""))</f>
        <v/>
      </c>
      <c r="J2043" s="7" t="str">
        <f aca="false">IF(A2043="","",IFERROR(VLOOKUP(IF(ISNUMBER(SEARCH("(",C2043)),LEFT(C2043,SEARCH("(",C2043)-1),C2043),Tipos!$A:$B,2,FALSE()),"outro"))</f>
        <v/>
      </c>
      <c r="K2043" s="7" t="str">
        <f aca="false">IF(I2043="","",IFERROR(INDEX('Campos Growths'!$L:$L,MATCH(H2043,'Campos Growths'!$A:$A,0)),""))</f>
        <v/>
      </c>
      <c r="L2043" s="7" t="str">
        <f aca="false">IF(A2043="","",IF(G2043="não","Sem tabela no Growths",IF(I2043="","Sem campo no Growths",IF(J2043=K2043,"Importa direto","Ajustar tipo"))))</f>
        <v/>
      </c>
      <c r="M2043" s="9"/>
    </row>
    <row r="2044" customFormat="false" ht="15" hidden="false" customHeight="false" outlineLevel="0" collapsed="false">
      <c r="A2044" s="7" t="str">
        <f aca="false">IF('Outro banco'!A2044="","",IF(LEFT('Outro banco'!A2044,1)="(","",'Outro banco'!A2044))</f>
        <v/>
      </c>
      <c r="B2044" s="7" t="str">
        <f aca="false">IF(A2044="","",'Outro banco'!B2044)</f>
        <v/>
      </c>
      <c r="C2044" s="7" t="str">
        <f aca="false">IF(A2044="","",'Outro banco'!C2044)</f>
        <v/>
      </c>
      <c r="D2044" s="7" t="str">
        <f aca="false">IF(A2044="","",'Outro banco'!D2044)</f>
        <v/>
      </c>
      <c r="E2044" s="9"/>
      <c r="F2044" s="9"/>
      <c r="G2044" s="7" t="str">
        <f aca="false">IF(A2044="","",IF(COUNTIF(Tabelas!$A:$A,IF(E2044="",A2044,E2044))&gt;0,"sim","não"))</f>
        <v/>
      </c>
      <c r="H2044" s="7" t="str">
        <f aca="false">IF(A2044="","",IF(E2044="",A2044,E2044)&amp;"."&amp;IF(F2044="",B2044,F2044))</f>
        <v/>
      </c>
      <c r="I2044" s="7" t="str">
        <f aca="false">IF(A2044="","",IFERROR(INDEX('Campos Growths'!$F:$F,MATCH(H2044,'Campos Growths'!$A:$A,0)),""))</f>
        <v/>
      </c>
      <c r="J2044" s="7" t="str">
        <f aca="false">IF(A2044="","",IFERROR(VLOOKUP(IF(ISNUMBER(SEARCH("(",C2044)),LEFT(C2044,SEARCH("(",C2044)-1),C2044),Tipos!$A:$B,2,FALSE()),"outro"))</f>
        <v/>
      </c>
      <c r="K2044" s="7" t="str">
        <f aca="false">IF(I2044="","",IFERROR(INDEX('Campos Growths'!$L:$L,MATCH(H2044,'Campos Growths'!$A:$A,0)),""))</f>
        <v/>
      </c>
      <c r="L2044" s="7" t="str">
        <f aca="false">IF(A2044="","",IF(G2044="não","Sem tabela no Growths",IF(I2044="","Sem campo no Growths",IF(J2044=K2044,"Importa direto","Ajustar tipo"))))</f>
        <v/>
      </c>
      <c r="M2044" s="9"/>
    </row>
    <row r="2045" customFormat="false" ht="15" hidden="false" customHeight="false" outlineLevel="0" collapsed="false">
      <c r="A2045" s="7" t="str">
        <f aca="false">IF('Outro banco'!A2045="","",IF(LEFT('Outro banco'!A2045,1)="(","",'Outro banco'!A2045))</f>
        <v/>
      </c>
      <c r="B2045" s="7" t="str">
        <f aca="false">IF(A2045="","",'Outro banco'!B2045)</f>
        <v/>
      </c>
      <c r="C2045" s="7" t="str">
        <f aca="false">IF(A2045="","",'Outro banco'!C2045)</f>
        <v/>
      </c>
      <c r="D2045" s="7" t="str">
        <f aca="false">IF(A2045="","",'Outro banco'!D2045)</f>
        <v/>
      </c>
      <c r="E2045" s="9"/>
      <c r="F2045" s="9"/>
      <c r="G2045" s="7" t="str">
        <f aca="false">IF(A2045="","",IF(COUNTIF(Tabelas!$A:$A,IF(E2045="",A2045,E2045))&gt;0,"sim","não"))</f>
        <v/>
      </c>
      <c r="H2045" s="7" t="str">
        <f aca="false">IF(A2045="","",IF(E2045="",A2045,E2045)&amp;"."&amp;IF(F2045="",B2045,F2045))</f>
        <v/>
      </c>
      <c r="I2045" s="7" t="str">
        <f aca="false">IF(A2045="","",IFERROR(INDEX('Campos Growths'!$F:$F,MATCH(H2045,'Campos Growths'!$A:$A,0)),""))</f>
        <v/>
      </c>
      <c r="J2045" s="7" t="str">
        <f aca="false">IF(A2045="","",IFERROR(VLOOKUP(IF(ISNUMBER(SEARCH("(",C2045)),LEFT(C2045,SEARCH("(",C2045)-1),C2045),Tipos!$A:$B,2,FALSE()),"outro"))</f>
        <v/>
      </c>
      <c r="K2045" s="7" t="str">
        <f aca="false">IF(I2045="","",IFERROR(INDEX('Campos Growths'!$L:$L,MATCH(H2045,'Campos Growths'!$A:$A,0)),""))</f>
        <v/>
      </c>
      <c r="L2045" s="7" t="str">
        <f aca="false">IF(A2045="","",IF(G2045="não","Sem tabela no Growths",IF(I2045="","Sem campo no Growths",IF(J2045=K2045,"Importa direto","Ajustar tipo"))))</f>
        <v/>
      </c>
      <c r="M2045" s="9"/>
    </row>
    <row r="2046" customFormat="false" ht="15" hidden="false" customHeight="false" outlineLevel="0" collapsed="false">
      <c r="A2046" s="7" t="str">
        <f aca="false">IF('Outro banco'!A2046="","",IF(LEFT('Outro banco'!A2046,1)="(","",'Outro banco'!A2046))</f>
        <v/>
      </c>
      <c r="B2046" s="7" t="str">
        <f aca="false">IF(A2046="","",'Outro banco'!B2046)</f>
        <v/>
      </c>
      <c r="C2046" s="7" t="str">
        <f aca="false">IF(A2046="","",'Outro banco'!C2046)</f>
        <v/>
      </c>
      <c r="D2046" s="7" t="str">
        <f aca="false">IF(A2046="","",'Outro banco'!D2046)</f>
        <v/>
      </c>
      <c r="E2046" s="9"/>
      <c r="F2046" s="9"/>
      <c r="G2046" s="7" t="str">
        <f aca="false">IF(A2046="","",IF(COUNTIF(Tabelas!$A:$A,IF(E2046="",A2046,E2046))&gt;0,"sim","não"))</f>
        <v/>
      </c>
      <c r="H2046" s="7" t="str">
        <f aca="false">IF(A2046="","",IF(E2046="",A2046,E2046)&amp;"."&amp;IF(F2046="",B2046,F2046))</f>
        <v/>
      </c>
      <c r="I2046" s="7" t="str">
        <f aca="false">IF(A2046="","",IFERROR(INDEX('Campos Growths'!$F:$F,MATCH(H2046,'Campos Growths'!$A:$A,0)),""))</f>
        <v/>
      </c>
      <c r="J2046" s="7" t="str">
        <f aca="false">IF(A2046="","",IFERROR(VLOOKUP(IF(ISNUMBER(SEARCH("(",C2046)),LEFT(C2046,SEARCH("(",C2046)-1),C2046),Tipos!$A:$B,2,FALSE()),"outro"))</f>
        <v/>
      </c>
      <c r="K2046" s="7" t="str">
        <f aca="false">IF(I2046="","",IFERROR(INDEX('Campos Growths'!$L:$L,MATCH(H2046,'Campos Growths'!$A:$A,0)),""))</f>
        <v/>
      </c>
      <c r="L2046" s="7" t="str">
        <f aca="false">IF(A2046="","",IF(G2046="não","Sem tabela no Growths",IF(I2046="","Sem campo no Growths",IF(J2046=K2046,"Importa direto","Ajustar tipo"))))</f>
        <v/>
      </c>
      <c r="M2046" s="9"/>
    </row>
    <row r="2047" customFormat="false" ht="15" hidden="false" customHeight="false" outlineLevel="0" collapsed="false">
      <c r="A2047" s="7" t="str">
        <f aca="false">IF('Outro banco'!A2047="","",IF(LEFT('Outro banco'!A2047,1)="(","",'Outro banco'!A2047))</f>
        <v/>
      </c>
      <c r="B2047" s="7" t="str">
        <f aca="false">IF(A2047="","",'Outro banco'!B2047)</f>
        <v/>
      </c>
      <c r="C2047" s="7" t="str">
        <f aca="false">IF(A2047="","",'Outro banco'!C2047)</f>
        <v/>
      </c>
      <c r="D2047" s="7" t="str">
        <f aca="false">IF(A2047="","",'Outro banco'!D2047)</f>
        <v/>
      </c>
      <c r="E2047" s="9"/>
      <c r="F2047" s="9"/>
      <c r="G2047" s="7" t="str">
        <f aca="false">IF(A2047="","",IF(COUNTIF(Tabelas!$A:$A,IF(E2047="",A2047,E2047))&gt;0,"sim","não"))</f>
        <v/>
      </c>
      <c r="H2047" s="7" t="str">
        <f aca="false">IF(A2047="","",IF(E2047="",A2047,E2047)&amp;"."&amp;IF(F2047="",B2047,F2047))</f>
        <v/>
      </c>
      <c r="I2047" s="7" t="str">
        <f aca="false">IF(A2047="","",IFERROR(INDEX('Campos Growths'!$F:$F,MATCH(H2047,'Campos Growths'!$A:$A,0)),""))</f>
        <v/>
      </c>
      <c r="J2047" s="7" t="str">
        <f aca="false">IF(A2047="","",IFERROR(VLOOKUP(IF(ISNUMBER(SEARCH("(",C2047)),LEFT(C2047,SEARCH("(",C2047)-1),C2047),Tipos!$A:$B,2,FALSE()),"outro"))</f>
        <v/>
      </c>
      <c r="K2047" s="7" t="str">
        <f aca="false">IF(I2047="","",IFERROR(INDEX('Campos Growths'!$L:$L,MATCH(H2047,'Campos Growths'!$A:$A,0)),""))</f>
        <v/>
      </c>
      <c r="L2047" s="7" t="str">
        <f aca="false">IF(A2047="","",IF(G2047="não","Sem tabela no Growths",IF(I2047="","Sem campo no Growths",IF(J2047=K2047,"Importa direto","Ajustar tipo"))))</f>
        <v/>
      </c>
      <c r="M2047" s="9"/>
    </row>
    <row r="2048" customFormat="false" ht="15" hidden="false" customHeight="false" outlineLevel="0" collapsed="false">
      <c r="A2048" s="7" t="str">
        <f aca="false">IF('Outro banco'!A2048="","",IF(LEFT('Outro banco'!A2048,1)="(","",'Outro banco'!A2048))</f>
        <v/>
      </c>
      <c r="B2048" s="7" t="str">
        <f aca="false">IF(A2048="","",'Outro banco'!B2048)</f>
        <v/>
      </c>
      <c r="C2048" s="7" t="str">
        <f aca="false">IF(A2048="","",'Outro banco'!C2048)</f>
        <v/>
      </c>
      <c r="D2048" s="7" t="str">
        <f aca="false">IF(A2048="","",'Outro banco'!D2048)</f>
        <v/>
      </c>
      <c r="E2048" s="9"/>
      <c r="F2048" s="9"/>
      <c r="G2048" s="7" t="str">
        <f aca="false">IF(A2048="","",IF(COUNTIF(Tabelas!$A:$A,IF(E2048="",A2048,E2048))&gt;0,"sim","não"))</f>
        <v/>
      </c>
      <c r="H2048" s="7" t="str">
        <f aca="false">IF(A2048="","",IF(E2048="",A2048,E2048)&amp;"."&amp;IF(F2048="",B2048,F2048))</f>
        <v/>
      </c>
      <c r="I2048" s="7" t="str">
        <f aca="false">IF(A2048="","",IFERROR(INDEX('Campos Growths'!$F:$F,MATCH(H2048,'Campos Growths'!$A:$A,0)),""))</f>
        <v/>
      </c>
      <c r="J2048" s="7" t="str">
        <f aca="false">IF(A2048="","",IFERROR(VLOOKUP(IF(ISNUMBER(SEARCH("(",C2048)),LEFT(C2048,SEARCH("(",C2048)-1),C2048),Tipos!$A:$B,2,FALSE()),"outro"))</f>
        <v/>
      </c>
      <c r="K2048" s="7" t="str">
        <f aca="false">IF(I2048="","",IFERROR(INDEX('Campos Growths'!$L:$L,MATCH(H2048,'Campos Growths'!$A:$A,0)),""))</f>
        <v/>
      </c>
      <c r="L2048" s="7" t="str">
        <f aca="false">IF(A2048="","",IF(G2048="não","Sem tabela no Growths",IF(I2048="","Sem campo no Growths",IF(J2048=K2048,"Importa direto","Ajustar tipo"))))</f>
        <v/>
      </c>
      <c r="M2048" s="9"/>
    </row>
    <row r="2049" customFormat="false" ht="15" hidden="false" customHeight="false" outlineLevel="0" collapsed="false">
      <c r="A2049" s="7" t="str">
        <f aca="false">IF('Outro banco'!A2049="","",IF(LEFT('Outro banco'!A2049,1)="(","",'Outro banco'!A2049))</f>
        <v/>
      </c>
      <c r="B2049" s="7" t="str">
        <f aca="false">IF(A2049="","",'Outro banco'!B2049)</f>
        <v/>
      </c>
      <c r="C2049" s="7" t="str">
        <f aca="false">IF(A2049="","",'Outro banco'!C2049)</f>
        <v/>
      </c>
      <c r="D2049" s="7" t="str">
        <f aca="false">IF(A2049="","",'Outro banco'!D2049)</f>
        <v/>
      </c>
      <c r="E2049" s="9"/>
      <c r="F2049" s="9"/>
      <c r="G2049" s="7" t="str">
        <f aca="false">IF(A2049="","",IF(COUNTIF(Tabelas!$A:$A,IF(E2049="",A2049,E2049))&gt;0,"sim","não"))</f>
        <v/>
      </c>
      <c r="H2049" s="7" t="str">
        <f aca="false">IF(A2049="","",IF(E2049="",A2049,E2049)&amp;"."&amp;IF(F2049="",B2049,F2049))</f>
        <v/>
      </c>
      <c r="I2049" s="7" t="str">
        <f aca="false">IF(A2049="","",IFERROR(INDEX('Campos Growths'!$F:$F,MATCH(H2049,'Campos Growths'!$A:$A,0)),""))</f>
        <v/>
      </c>
      <c r="J2049" s="7" t="str">
        <f aca="false">IF(A2049="","",IFERROR(VLOOKUP(IF(ISNUMBER(SEARCH("(",C2049)),LEFT(C2049,SEARCH("(",C2049)-1),C2049),Tipos!$A:$B,2,FALSE()),"outro"))</f>
        <v/>
      </c>
      <c r="K2049" s="7" t="str">
        <f aca="false">IF(I2049="","",IFERROR(INDEX('Campos Growths'!$L:$L,MATCH(H2049,'Campos Growths'!$A:$A,0)),""))</f>
        <v/>
      </c>
      <c r="L2049" s="7" t="str">
        <f aca="false">IF(A2049="","",IF(G2049="não","Sem tabela no Growths",IF(I2049="","Sem campo no Growths",IF(J2049=K2049,"Importa direto","Ajustar tipo"))))</f>
        <v/>
      </c>
      <c r="M2049" s="9"/>
    </row>
    <row r="2050" customFormat="false" ht="15" hidden="false" customHeight="false" outlineLevel="0" collapsed="false">
      <c r="A2050" s="7" t="str">
        <f aca="false">IF('Outro banco'!A2050="","",IF(LEFT('Outro banco'!A2050,1)="(","",'Outro banco'!A2050))</f>
        <v/>
      </c>
      <c r="B2050" s="7" t="str">
        <f aca="false">IF(A2050="","",'Outro banco'!B2050)</f>
        <v/>
      </c>
      <c r="C2050" s="7" t="str">
        <f aca="false">IF(A2050="","",'Outro banco'!C2050)</f>
        <v/>
      </c>
      <c r="D2050" s="7" t="str">
        <f aca="false">IF(A2050="","",'Outro banco'!D2050)</f>
        <v/>
      </c>
      <c r="E2050" s="9"/>
      <c r="F2050" s="9"/>
      <c r="G2050" s="7" t="str">
        <f aca="false">IF(A2050="","",IF(COUNTIF(Tabelas!$A:$A,IF(E2050="",A2050,E2050))&gt;0,"sim","não"))</f>
        <v/>
      </c>
      <c r="H2050" s="7" t="str">
        <f aca="false">IF(A2050="","",IF(E2050="",A2050,E2050)&amp;"."&amp;IF(F2050="",B2050,F2050))</f>
        <v/>
      </c>
      <c r="I2050" s="7" t="str">
        <f aca="false">IF(A2050="","",IFERROR(INDEX('Campos Growths'!$F:$F,MATCH(H2050,'Campos Growths'!$A:$A,0)),""))</f>
        <v/>
      </c>
      <c r="J2050" s="7" t="str">
        <f aca="false">IF(A2050="","",IFERROR(VLOOKUP(IF(ISNUMBER(SEARCH("(",C2050)),LEFT(C2050,SEARCH("(",C2050)-1),C2050),Tipos!$A:$B,2,FALSE()),"outro"))</f>
        <v/>
      </c>
      <c r="K2050" s="7" t="str">
        <f aca="false">IF(I2050="","",IFERROR(INDEX('Campos Growths'!$L:$L,MATCH(H2050,'Campos Growths'!$A:$A,0)),""))</f>
        <v/>
      </c>
      <c r="L2050" s="7" t="str">
        <f aca="false">IF(A2050="","",IF(G2050="não","Sem tabela no Growths",IF(I2050="","Sem campo no Growths",IF(J2050=K2050,"Importa direto","Ajustar tipo"))))</f>
        <v/>
      </c>
      <c r="M2050" s="9"/>
    </row>
    <row r="2051" customFormat="false" ht="15" hidden="false" customHeight="false" outlineLevel="0" collapsed="false">
      <c r="A2051" s="7" t="str">
        <f aca="false">IF('Outro banco'!A2051="","",IF(LEFT('Outro banco'!A2051,1)="(","",'Outro banco'!A2051))</f>
        <v/>
      </c>
      <c r="B2051" s="7" t="str">
        <f aca="false">IF(A2051="","",'Outro banco'!B2051)</f>
        <v/>
      </c>
      <c r="C2051" s="7" t="str">
        <f aca="false">IF(A2051="","",'Outro banco'!C2051)</f>
        <v/>
      </c>
      <c r="D2051" s="7" t="str">
        <f aca="false">IF(A2051="","",'Outro banco'!D2051)</f>
        <v/>
      </c>
      <c r="E2051" s="9"/>
      <c r="F2051" s="9"/>
      <c r="G2051" s="7" t="str">
        <f aca="false">IF(A2051="","",IF(COUNTIF(Tabelas!$A:$A,IF(E2051="",A2051,E2051))&gt;0,"sim","não"))</f>
        <v/>
      </c>
      <c r="H2051" s="7" t="str">
        <f aca="false">IF(A2051="","",IF(E2051="",A2051,E2051)&amp;"."&amp;IF(F2051="",B2051,F2051))</f>
        <v/>
      </c>
      <c r="I2051" s="7" t="str">
        <f aca="false">IF(A2051="","",IFERROR(INDEX('Campos Growths'!$F:$F,MATCH(H2051,'Campos Growths'!$A:$A,0)),""))</f>
        <v/>
      </c>
      <c r="J2051" s="7" t="str">
        <f aca="false">IF(A2051="","",IFERROR(VLOOKUP(IF(ISNUMBER(SEARCH("(",C2051)),LEFT(C2051,SEARCH("(",C2051)-1),C2051),Tipos!$A:$B,2,FALSE()),"outro"))</f>
        <v/>
      </c>
      <c r="K2051" s="7" t="str">
        <f aca="false">IF(I2051="","",IFERROR(INDEX('Campos Growths'!$L:$L,MATCH(H2051,'Campos Growths'!$A:$A,0)),""))</f>
        <v/>
      </c>
      <c r="L2051" s="7" t="str">
        <f aca="false">IF(A2051="","",IF(G2051="não","Sem tabela no Growths",IF(I2051="","Sem campo no Growths",IF(J2051=K2051,"Importa direto","Ajustar tipo"))))</f>
        <v/>
      </c>
      <c r="M2051" s="9"/>
    </row>
    <row r="2052" customFormat="false" ht="15" hidden="false" customHeight="false" outlineLevel="0" collapsed="false">
      <c r="A2052" s="7" t="str">
        <f aca="false">IF('Outro banco'!A2052="","",IF(LEFT('Outro banco'!A2052,1)="(","",'Outro banco'!A2052))</f>
        <v/>
      </c>
      <c r="B2052" s="7" t="str">
        <f aca="false">IF(A2052="","",'Outro banco'!B2052)</f>
        <v/>
      </c>
      <c r="C2052" s="7" t="str">
        <f aca="false">IF(A2052="","",'Outro banco'!C2052)</f>
        <v/>
      </c>
      <c r="D2052" s="7" t="str">
        <f aca="false">IF(A2052="","",'Outro banco'!D2052)</f>
        <v/>
      </c>
      <c r="E2052" s="9"/>
      <c r="F2052" s="9"/>
      <c r="G2052" s="7" t="str">
        <f aca="false">IF(A2052="","",IF(COUNTIF(Tabelas!$A:$A,IF(E2052="",A2052,E2052))&gt;0,"sim","não"))</f>
        <v/>
      </c>
      <c r="H2052" s="7" t="str">
        <f aca="false">IF(A2052="","",IF(E2052="",A2052,E2052)&amp;"."&amp;IF(F2052="",B2052,F2052))</f>
        <v/>
      </c>
      <c r="I2052" s="7" t="str">
        <f aca="false">IF(A2052="","",IFERROR(INDEX('Campos Growths'!$F:$F,MATCH(H2052,'Campos Growths'!$A:$A,0)),""))</f>
        <v/>
      </c>
      <c r="J2052" s="7" t="str">
        <f aca="false">IF(A2052="","",IFERROR(VLOOKUP(IF(ISNUMBER(SEARCH("(",C2052)),LEFT(C2052,SEARCH("(",C2052)-1),C2052),Tipos!$A:$B,2,FALSE()),"outro"))</f>
        <v/>
      </c>
      <c r="K2052" s="7" t="str">
        <f aca="false">IF(I2052="","",IFERROR(INDEX('Campos Growths'!$L:$L,MATCH(H2052,'Campos Growths'!$A:$A,0)),""))</f>
        <v/>
      </c>
      <c r="L2052" s="7" t="str">
        <f aca="false">IF(A2052="","",IF(G2052="não","Sem tabela no Growths",IF(I2052="","Sem campo no Growths",IF(J2052=K2052,"Importa direto","Ajustar tipo"))))</f>
        <v/>
      </c>
      <c r="M2052" s="9"/>
    </row>
    <row r="2053" customFormat="false" ht="15" hidden="false" customHeight="false" outlineLevel="0" collapsed="false">
      <c r="A2053" s="7" t="str">
        <f aca="false">IF('Outro banco'!A2053="","",IF(LEFT('Outro banco'!A2053,1)="(","",'Outro banco'!A2053))</f>
        <v/>
      </c>
      <c r="B2053" s="7" t="str">
        <f aca="false">IF(A2053="","",'Outro banco'!B2053)</f>
        <v/>
      </c>
      <c r="C2053" s="7" t="str">
        <f aca="false">IF(A2053="","",'Outro banco'!C2053)</f>
        <v/>
      </c>
      <c r="D2053" s="7" t="str">
        <f aca="false">IF(A2053="","",'Outro banco'!D2053)</f>
        <v/>
      </c>
      <c r="E2053" s="9"/>
      <c r="F2053" s="9"/>
      <c r="G2053" s="7" t="str">
        <f aca="false">IF(A2053="","",IF(COUNTIF(Tabelas!$A:$A,IF(E2053="",A2053,E2053))&gt;0,"sim","não"))</f>
        <v/>
      </c>
      <c r="H2053" s="7" t="str">
        <f aca="false">IF(A2053="","",IF(E2053="",A2053,E2053)&amp;"."&amp;IF(F2053="",B2053,F2053))</f>
        <v/>
      </c>
      <c r="I2053" s="7" t="str">
        <f aca="false">IF(A2053="","",IFERROR(INDEX('Campos Growths'!$F:$F,MATCH(H2053,'Campos Growths'!$A:$A,0)),""))</f>
        <v/>
      </c>
      <c r="J2053" s="7" t="str">
        <f aca="false">IF(A2053="","",IFERROR(VLOOKUP(IF(ISNUMBER(SEARCH("(",C2053)),LEFT(C2053,SEARCH("(",C2053)-1),C2053),Tipos!$A:$B,2,FALSE()),"outro"))</f>
        <v/>
      </c>
      <c r="K2053" s="7" t="str">
        <f aca="false">IF(I2053="","",IFERROR(INDEX('Campos Growths'!$L:$L,MATCH(H2053,'Campos Growths'!$A:$A,0)),""))</f>
        <v/>
      </c>
      <c r="L2053" s="7" t="str">
        <f aca="false">IF(A2053="","",IF(G2053="não","Sem tabela no Growths",IF(I2053="","Sem campo no Growths",IF(J2053=K2053,"Importa direto","Ajustar tipo"))))</f>
        <v/>
      </c>
      <c r="M2053" s="9"/>
    </row>
    <row r="2054" customFormat="false" ht="15" hidden="false" customHeight="false" outlineLevel="0" collapsed="false">
      <c r="A2054" s="7" t="str">
        <f aca="false">IF('Outro banco'!A2054="","",IF(LEFT('Outro banco'!A2054,1)="(","",'Outro banco'!A2054))</f>
        <v/>
      </c>
      <c r="B2054" s="7" t="str">
        <f aca="false">IF(A2054="","",'Outro banco'!B2054)</f>
        <v/>
      </c>
      <c r="C2054" s="7" t="str">
        <f aca="false">IF(A2054="","",'Outro banco'!C2054)</f>
        <v/>
      </c>
      <c r="D2054" s="7" t="str">
        <f aca="false">IF(A2054="","",'Outro banco'!D2054)</f>
        <v/>
      </c>
      <c r="E2054" s="9"/>
      <c r="F2054" s="9"/>
      <c r="G2054" s="7" t="str">
        <f aca="false">IF(A2054="","",IF(COUNTIF(Tabelas!$A:$A,IF(E2054="",A2054,E2054))&gt;0,"sim","não"))</f>
        <v/>
      </c>
      <c r="H2054" s="7" t="str">
        <f aca="false">IF(A2054="","",IF(E2054="",A2054,E2054)&amp;"."&amp;IF(F2054="",B2054,F2054))</f>
        <v/>
      </c>
      <c r="I2054" s="7" t="str">
        <f aca="false">IF(A2054="","",IFERROR(INDEX('Campos Growths'!$F:$F,MATCH(H2054,'Campos Growths'!$A:$A,0)),""))</f>
        <v/>
      </c>
      <c r="J2054" s="7" t="str">
        <f aca="false">IF(A2054="","",IFERROR(VLOOKUP(IF(ISNUMBER(SEARCH("(",C2054)),LEFT(C2054,SEARCH("(",C2054)-1),C2054),Tipos!$A:$B,2,FALSE()),"outro"))</f>
        <v/>
      </c>
      <c r="K2054" s="7" t="str">
        <f aca="false">IF(I2054="","",IFERROR(INDEX('Campos Growths'!$L:$L,MATCH(H2054,'Campos Growths'!$A:$A,0)),""))</f>
        <v/>
      </c>
      <c r="L2054" s="7" t="str">
        <f aca="false">IF(A2054="","",IF(G2054="não","Sem tabela no Growths",IF(I2054="","Sem campo no Growths",IF(J2054=K2054,"Importa direto","Ajustar tipo"))))</f>
        <v/>
      </c>
      <c r="M2054" s="9"/>
    </row>
    <row r="2055" customFormat="false" ht="15" hidden="false" customHeight="false" outlineLevel="0" collapsed="false">
      <c r="A2055" s="7" t="str">
        <f aca="false">IF('Outro banco'!A2055="","",IF(LEFT('Outro banco'!A2055,1)="(","",'Outro banco'!A2055))</f>
        <v/>
      </c>
      <c r="B2055" s="7" t="str">
        <f aca="false">IF(A2055="","",'Outro banco'!B2055)</f>
        <v/>
      </c>
      <c r="C2055" s="7" t="str">
        <f aca="false">IF(A2055="","",'Outro banco'!C2055)</f>
        <v/>
      </c>
      <c r="D2055" s="7" t="str">
        <f aca="false">IF(A2055="","",'Outro banco'!D2055)</f>
        <v/>
      </c>
      <c r="E2055" s="9"/>
      <c r="F2055" s="9"/>
      <c r="G2055" s="7" t="str">
        <f aca="false">IF(A2055="","",IF(COUNTIF(Tabelas!$A:$A,IF(E2055="",A2055,E2055))&gt;0,"sim","não"))</f>
        <v/>
      </c>
      <c r="H2055" s="7" t="str">
        <f aca="false">IF(A2055="","",IF(E2055="",A2055,E2055)&amp;"."&amp;IF(F2055="",B2055,F2055))</f>
        <v/>
      </c>
      <c r="I2055" s="7" t="str">
        <f aca="false">IF(A2055="","",IFERROR(INDEX('Campos Growths'!$F:$F,MATCH(H2055,'Campos Growths'!$A:$A,0)),""))</f>
        <v/>
      </c>
      <c r="J2055" s="7" t="str">
        <f aca="false">IF(A2055="","",IFERROR(VLOOKUP(IF(ISNUMBER(SEARCH("(",C2055)),LEFT(C2055,SEARCH("(",C2055)-1),C2055),Tipos!$A:$B,2,FALSE()),"outro"))</f>
        <v/>
      </c>
      <c r="K2055" s="7" t="str">
        <f aca="false">IF(I2055="","",IFERROR(INDEX('Campos Growths'!$L:$L,MATCH(H2055,'Campos Growths'!$A:$A,0)),""))</f>
        <v/>
      </c>
      <c r="L2055" s="7" t="str">
        <f aca="false">IF(A2055="","",IF(G2055="não","Sem tabela no Growths",IF(I2055="","Sem campo no Growths",IF(J2055=K2055,"Importa direto","Ajustar tipo"))))</f>
        <v/>
      </c>
      <c r="M2055" s="9"/>
    </row>
    <row r="2056" customFormat="false" ht="15" hidden="false" customHeight="false" outlineLevel="0" collapsed="false">
      <c r="A2056" s="7" t="str">
        <f aca="false">IF('Outro banco'!A2056="","",IF(LEFT('Outro banco'!A2056,1)="(","",'Outro banco'!A2056))</f>
        <v/>
      </c>
      <c r="B2056" s="7" t="str">
        <f aca="false">IF(A2056="","",'Outro banco'!B2056)</f>
        <v/>
      </c>
      <c r="C2056" s="7" t="str">
        <f aca="false">IF(A2056="","",'Outro banco'!C2056)</f>
        <v/>
      </c>
      <c r="D2056" s="7" t="str">
        <f aca="false">IF(A2056="","",'Outro banco'!D2056)</f>
        <v/>
      </c>
      <c r="E2056" s="9"/>
      <c r="F2056" s="9"/>
      <c r="G2056" s="7" t="str">
        <f aca="false">IF(A2056="","",IF(COUNTIF(Tabelas!$A:$A,IF(E2056="",A2056,E2056))&gt;0,"sim","não"))</f>
        <v/>
      </c>
      <c r="H2056" s="7" t="str">
        <f aca="false">IF(A2056="","",IF(E2056="",A2056,E2056)&amp;"."&amp;IF(F2056="",B2056,F2056))</f>
        <v/>
      </c>
      <c r="I2056" s="7" t="str">
        <f aca="false">IF(A2056="","",IFERROR(INDEX('Campos Growths'!$F:$F,MATCH(H2056,'Campos Growths'!$A:$A,0)),""))</f>
        <v/>
      </c>
      <c r="J2056" s="7" t="str">
        <f aca="false">IF(A2056="","",IFERROR(VLOOKUP(IF(ISNUMBER(SEARCH("(",C2056)),LEFT(C2056,SEARCH("(",C2056)-1),C2056),Tipos!$A:$B,2,FALSE()),"outro"))</f>
        <v/>
      </c>
      <c r="K2056" s="7" t="str">
        <f aca="false">IF(I2056="","",IFERROR(INDEX('Campos Growths'!$L:$L,MATCH(H2056,'Campos Growths'!$A:$A,0)),""))</f>
        <v/>
      </c>
      <c r="L2056" s="7" t="str">
        <f aca="false">IF(A2056="","",IF(G2056="não","Sem tabela no Growths",IF(I2056="","Sem campo no Growths",IF(J2056=K2056,"Importa direto","Ajustar tipo"))))</f>
        <v/>
      </c>
      <c r="M2056" s="9"/>
    </row>
    <row r="2057" customFormat="false" ht="15" hidden="false" customHeight="false" outlineLevel="0" collapsed="false">
      <c r="A2057" s="7" t="str">
        <f aca="false">IF('Outro banco'!A2057="","",IF(LEFT('Outro banco'!A2057,1)="(","",'Outro banco'!A2057))</f>
        <v/>
      </c>
      <c r="B2057" s="7" t="str">
        <f aca="false">IF(A2057="","",'Outro banco'!B2057)</f>
        <v/>
      </c>
      <c r="C2057" s="7" t="str">
        <f aca="false">IF(A2057="","",'Outro banco'!C2057)</f>
        <v/>
      </c>
      <c r="D2057" s="7" t="str">
        <f aca="false">IF(A2057="","",'Outro banco'!D2057)</f>
        <v/>
      </c>
      <c r="E2057" s="9"/>
      <c r="F2057" s="9"/>
      <c r="G2057" s="7" t="str">
        <f aca="false">IF(A2057="","",IF(COUNTIF(Tabelas!$A:$A,IF(E2057="",A2057,E2057))&gt;0,"sim","não"))</f>
        <v/>
      </c>
      <c r="H2057" s="7" t="str">
        <f aca="false">IF(A2057="","",IF(E2057="",A2057,E2057)&amp;"."&amp;IF(F2057="",B2057,F2057))</f>
        <v/>
      </c>
      <c r="I2057" s="7" t="str">
        <f aca="false">IF(A2057="","",IFERROR(INDEX('Campos Growths'!$F:$F,MATCH(H2057,'Campos Growths'!$A:$A,0)),""))</f>
        <v/>
      </c>
      <c r="J2057" s="7" t="str">
        <f aca="false">IF(A2057="","",IFERROR(VLOOKUP(IF(ISNUMBER(SEARCH("(",C2057)),LEFT(C2057,SEARCH("(",C2057)-1),C2057),Tipos!$A:$B,2,FALSE()),"outro"))</f>
        <v/>
      </c>
      <c r="K2057" s="7" t="str">
        <f aca="false">IF(I2057="","",IFERROR(INDEX('Campos Growths'!$L:$L,MATCH(H2057,'Campos Growths'!$A:$A,0)),""))</f>
        <v/>
      </c>
      <c r="L2057" s="7" t="str">
        <f aca="false">IF(A2057="","",IF(G2057="não","Sem tabela no Growths",IF(I2057="","Sem campo no Growths",IF(J2057=K2057,"Importa direto","Ajustar tipo"))))</f>
        <v/>
      </c>
      <c r="M2057" s="9"/>
    </row>
    <row r="2058" customFormat="false" ht="15" hidden="false" customHeight="false" outlineLevel="0" collapsed="false">
      <c r="A2058" s="7" t="str">
        <f aca="false">IF('Outro banco'!A2058="","",IF(LEFT('Outro banco'!A2058,1)="(","",'Outro banco'!A2058))</f>
        <v/>
      </c>
      <c r="B2058" s="7" t="str">
        <f aca="false">IF(A2058="","",'Outro banco'!B2058)</f>
        <v/>
      </c>
      <c r="C2058" s="7" t="str">
        <f aca="false">IF(A2058="","",'Outro banco'!C2058)</f>
        <v/>
      </c>
      <c r="D2058" s="7" t="str">
        <f aca="false">IF(A2058="","",'Outro banco'!D2058)</f>
        <v/>
      </c>
      <c r="E2058" s="9"/>
      <c r="F2058" s="9"/>
      <c r="G2058" s="7" t="str">
        <f aca="false">IF(A2058="","",IF(COUNTIF(Tabelas!$A:$A,IF(E2058="",A2058,E2058))&gt;0,"sim","não"))</f>
        <v/>
      </c>
      <c r="H2058" s="7" t="str">
        <f aca="false">IF(A2058="","",IF(E2058="",A2058,E2058)&amp;"."&amp;IF(F2058="",B2058,F2058))</f>
        <v/>
      </c>
      <c r="I2058" s="7" t="str">
        <f aca="false">IF(A2058="","",IFERROR(INDEX('Campos Growths'!$F:$F,MATCH(H2058,'Campos Growths'!$A:$A,0)),""))</f>
        <v/>
      </c>
      <c r="J2058" s="7" t="str">
        <f aca="false">IF(A2058="","",IFERROR(VLOOKUP(IF(ISNUMBER(SEARCH("(",C2058)),LEFT(C2058,SEARCH("(",C2058)-1),C2058),Tipos!$A:$B,2,FALSE()),"outro"))</f>
        <v/>
      </c>
      <c r="K2058" s="7" t="str">
        <f aca="false">IF(I2058="","",IFERROR(INDEX('Campos Growths'!$L:$L,MATCH(H2058,'Campos Growths'!$A:$A,0)),""))</f>
        <v/>
      </c>
      <c r="L2058" s="7" t="str">
        <f aca="false">IF(A2058="","",IF(G2058="não","Sem tabela no Growths",IF(I2058="","Sem campo no Growths",IF(J2058=K2058,"Importa direto","Ajustar tipo"))))</f>
        <v/>
      </c>
      <c r="M2058" s="9"/>
    </row>
    <row r="2059" customFormat="false" ht="15" hidden="false" customHeight="false" outlineLevel="0" collapsed="false">
      <c r="A2059" s="7" t="str">
        <f aca="false">IF('Outro banco'!A2059="","",IF(LEFT('Outro banco'!A2059,1)="(","",'Outro banco'!A2059))</f>
        <v/>
      </c>
      <c r="B2059" s="7" t="str">
        <f aca="false">IF(A2059="","",'Outro banco'!B2059)</f>
        <v/>
      </c>
      <c r="C2059" s="7" t="str">
        <f aca="false">IF(A2059="","",'Outro banco'!C2059)</f>
        <v/>
      </c>
      <c r="D2059" s="7" t="str">
        <f aca="false">IF(A2059="","",'Outro banco'!D2059)</f>
        <v/>
      </c>
      <c r="E2059" s="9"/>
      <c r="F2059" s="9"/>
      <c r="G2059" s="7" t="str">
        <f aca="false">IF(A2059="","",IF(COUNTIF(Tabelas!$A:$A,IF(E2059="",A2059,E2059))&gt;0,"sim","não"))</f>
        <v/>
      </c>
      <c r="H2059" s="7" t="str">
        <f aca="false">IF(A2059="","",IF(E2059="",A2059,E2059)&amp;"."&amp;IF(F2059="",B2059,F2059))</f>
        <v/>
      </c>
      <c r="I2059" s="7" t="str">
        <f aca="false">IF(A2059="","",IFERROR(INDEX('Campos Growths'!$F:$F,MATCH(H2059,'Campos Growths'!$A:$A,0)),""))</f>
        <v/>
      </c>
      <c r="J2059" s="7" t="str">
        <f aca="false">IF(A2059="","",IFERROR(VLOOKUP(IF(ISNUMBER(SEARCH("(",C2059)),LEFT(C2059,SEARCH("(",C2059)-1),C2059),Tipos!$A:$B,2,FALSE()),"outro"))</f>
        <v/>
      </c>
      <c r="K2059" s="7" t="str">
        <f aca="false">IF(I2059="","",IFERROR(INDEX('Campos Growths'!$L:$L,MATCH(H2059,'Campos Growths'!$A:$A,0)),""))</f>
        <v/>
      </c>
      <c r="L2059" s="7" t="str">
        <f aca="false">IF(A2059="","",IF(G2059="não","Sem tabela no Growths",IF(I2059="","Sem campo no Growths",IF(J2059=K2059,"Importa direto","Ajustar tipo"))))</f>
        <v/>
      </c>
      <c r="M2059" s="9"/>
    </row>
    <row r="2060" customFormat="false" ht="15" hidden="false" customHeight="false" outlineLevel="0" collapsed="false">
      <c r="A2060" s="7" t="str">
        <f aca="false">IF('Outro banco'!A2060="","",IF(LEFT('Outro banco'!A2060,1)="(","",'Outro banco'!A2060))</f>
        <v/>
      </c>
      <c r="B2060" s="7" t="str">
        <f aca="false">IF(A2060="","",'Outro banco'!B2060)</f>
        <v/>
      </c>
      <c r="C2060" s="7" t="str">
        <f aca="false">IF(A2060="","",'Outro banco'!C2060)</f>
        <v/>
      </c>
      <c r="D2060" s="7" t="str">
        <f aca="false">IF(A2060="","",'Outro banco'!D2060)</f>
        <v/>
      </c>
      <c r="E2060" s="9"/>
      <c r="F2060" s="9"/>
      <c r="G2060" s="7" t="str">
        <f aca="false">IF(A2060="","",IF(COUNTIF(Tabelas!$A:$A,IF(E2060="",A2060,E2060))&gt;0,"sim","não"))</f>
        <v/>
      </c>
      <c r="H2060" s="7" t="str">
        <f aca="false">IF(A2060="","",IF(E2060="",A2060,E2060)&amp;"."&amp;IF(F2060="",B2060,F2060))</f>
        <v/>
      </c>
      <c r="I2060" s="7" t="str">
        <f aca="false">IF(A2060="","",IFERROR(INDEX('Campos Growths'!$F:$F,MATCH(H2060,'Campos Growths'!$A:$A,0)),""))</f>
        <v/>
      </c>
      <c r="J2060" s="7" t="str">
        <f aca="false">IF(A2060="","",IFERROR(VLOOKUP(IF(ISNUMBER(SEARCH("(",C2060)),LEFT(C2060,SEARCH("(",C2060)-1),C2060),Tipos!$A:$B,2,FALSE()),"outro"))</f>
        <v/>
      </c>
      <c r="K2060" s="7" t="str">
        <f aca="false">IF(I2060="","",IFERROR(INDEX('Campos Growths'!$L:$L,MATCH(H2060,'Campos Growths'!$A:$A,0)),""))</f>
        <v/>
      </c>
      <c r="L2060" s="7" t="str">
        <f aca="false">IF(A2060="","",IF(G2060="não","Sem tabela no Growths",IF(I2060="","Sem campo no Growths",IF(J2060=K2060,"Importa direto","Ajustar tipo"))))</f>
        <v/>
      </c>
      <c r="M2060" s="9"/>
    </row>
    <row r="2061" customFormat="false" ht="15" hidden="false" customHeight="false" outlineLevel="0" collapsed="false">
      <c r="A2061" s="7" t="str">
        <f aca="false">IF('Outro banco'!A2061="","",IF(LEFT('Outro banco'!A2061,1)="(","",'Outro banco'!A2061))</f>
        <v/>
      </c>
      <c r="B2061" s="7" t="str">
        <f aca="false">IF(A2061="","",'Outro banco'!B2061)</f>
        <v/>
      </c>
      <c r="C2061" s="7" t="str">
        <f aca="false">IF(A2061="","",'Outro banco'!C2061)</f>
        <v/>
      </c>
      <c r="D2061" s="7" t="str">
        <f aca="false">IF(A2061="","",'Outro banco'!D2061)</f>
        <v/>
      </c>
      <c r="E2061" s="9"/>
      <c r="F2061" s="9"/>
      <c r="G2061" s="7" t="str">
        <f aca="false">IF(A2061="","",IF(COUNTIF(Tabelas!$A:$A,IF(E2061="",A2061,E2061))&gt;0,"sim","não"))</f>
        <v/>
      </c>
      <c r="H2061" s="7" t="str">
        <f aca="false">IF(A2061="","",IF(E2061="",A2061,E2061)&amp;"."&amp;IF(F2061="",B2061,F2061))</f>
        <v/>
      </c>
      <c r="I2061" s="7" t="str">
        <f aca="false">IF(A2061="","",IFERROR(INDEX('Campos Growths'!$F:$F,MATCH(H2061,'Campos Growths'!$A:$A,0)),""))</f>
        <v/>
      </c>
      <c r="J2061" s="7" t="str">
        <f aca="false">IF(A2061="","",IFERROR(VLOOKUP(IF(ISNUMBER(SEARCH("(",C2061)),LEFT(C2061,SEARCH("(",C2061)-1),C2061),Tipos!$A:$B,2,FALSE()),"outro"))</f>
        <v/>
      </c>
      <c r="K2061" s="7" t="str">
        <f aca="false">IF(I2061="","",IFERROR(INDEX('Campos Growths'!$L:$L,MATCH(H2061,'Campos Growths'!$A:$A,0)),""))</f>
        <v/>
      </c>
      <c r="L2061" s="7" t="str">
        <f aca="false">IF(A2061="","",IF(G2061="não","Sem tabela no Growths",IF(I2061="","Sem campo no Growths",IF(J2061=K2061,"Importa direto","Ajustar tipo"))))</f>
        <v/>
      </c>
      <c r="M2061" s="9"/>
    </row>
    <row r="2062" customFormat="false" ht="15" hidden="false" customHeight="false" outlineLevel="0" collapsed="false">
      <c r="A2062" s="7" t="str">
        <f aca="false">IF('Outro banco'!A2062="","",IF(LEFT('Outro banco'!A2062,1)="(","",'Outro banco'!A2062))</f>
        <v/>
      </c>
      <c r="B2062" s="7" t="str">
        <f aca="false">IF(A2062="","",'Outro banco'!B2062)</f>
        <v/>
      </c>
      <c r="C2062" s="7" t="str">
        <f aca="false">IF(A2062="","",'Outro banco'!C2062)</f>
        <v/>
      </c>
      <c r="D2062" s="7" t="str">
        <f aca="false">IF(A2062="","",'Outro banco'!D2062)</f>
        <v/>
      </c>
      <c r="E2062" s="9"/>
      <c r="F2062" s="9"/>
      <c r="G2062" s="7" t="str">
        <f aca="false">IF(A2062="","",IF(COUNTIF(Tabelas!$A:$A,IF(E2062="",A2062,E2062))&gt;0,"sim","não"))</f>
        <v/>
      </c>
      <c r="H2062" s="7" t="str">
        <f aca="false">IF(A2062="","",IF(E2062="",A2062,E2062)&amp;"."&amp;IF(F2062="",B2062,F2062))</f>
        <v/>
      </c>
      <c r="I2062" s="7" t="str">
        <f aca="false">IF(A2062="","",IFERROR(INDEX('Campos Growths'!$F:$F,MATCH(H2062,'Campos Growths'!$A:$A,0)),""))</f>
        <v/>
      </c>
      <c r="J2062" s="7" t="str">
        <f aca="false">IF(A2062="","",IFERROR(VLOOKUP(IF(ISNUMBER(SEARCH("(",C2062)),LEFT(C2062,SEARCH("(",C2062)-1),C2062),Tipos!$A:$B,2,FALSE()),"outro"))</f>
        <v/>
      </c>
      <c r="K2062" s="7" t="str">
        <f aca="false">IF(I2062="","",IFERROR(INDEX('Campos Growths'!$L:$L,MATCH(H2062,'Campos Growths'!$A:$A,0)),""))</f>
        <v/>
      </c>
      <c r="L2062" s="7" t="str">
        <f aca="false">IF(A2062="","",IF(G2062="não","Sem tabela no Growths",IF(I2062="","Sem campo no Growths",IF(J2062=K2062,"Importa direto","Ajustar tipo"))))</f>
        <v/>
      </c>
      <c r="M2062" s="9"/>
    </row>
    <row r="2063" customFormat="false" ht="15" hidden="false" customHeight="false" outlineLevel="0" collapsed="false">
      <c r="A2063" s="7" t="str">
        <f aca="false">IF('Outro banco'!A2063="","",IF(LEFT('Outro banco'!A2063,1)="(","",'Outro banco'!A2063))</f>
        <v/>
      </c>
      <c r="B2063" s="7" t="str">
        <f aca="false">IF(A2063="","",'Outro banco'!B2063)</f>
        <v/>
      </c>
      <c r="C2063" s="7" t="str">
        <f aca="false">IF(A2063="","",'Outro banco'!C2063)</f>
        <v/>
      </c>
      <c r="D2063" s="7" t="str">
        <f aca="false">IF(A2063="","",'Outro banco'!D2063)</f>
        <v/>
      </c>
      <c r="E2063" s="9"/>
      <c r="F2063" s="9"/>
      <c r="G2063" s="7" t="str">
        <f aca="false">IF(A2063="","",IF(COUNTIF(Tabelas!$A:$A,IF(E2063="",A2063,E2063))&gt;0,"sim","não"))</f>
        <v/>
      </c>
      <c r="H2063" s="7" t="str">
        <f aca="false">IF(A2063="","",IF(E2063="",A2063,E2063)&amp;"."&amp;IF(F2063="",B2063,F2063))</f>
        <v/>
      </c>
      <c r="I2063" s="7" t="str">
        <f aca="false">IF(A2063="","",IFERROR(INDEX('Campos Growths'!$F:$F,MATCH(H2063,'Campos Growths'!$A:$A,0)),""))</f>
        <v/>
      </c>
      <c r="J2063" s="7" t="str">
        <f aca="false">IF(A2063="","",IFERROR(VLOOKUP(IF(ISNUMBER(SEARCH("(",C2063)),LEFT(C2063,SEARCH("(",C2063)-1),C2063),Tipos!$A:$B,2,FALSE()),"outro"))</f>
        <v/>
      </c>
      <c r="K2063" s="7" t="str">
        <f aca="false">IF(I2063="","",IFERROR(INDEX('Campos Growths'!$L:$L,MATCH(H2063,'Campos Growths'!$A:$A,0)),""))</f>
        <v/>
      </c>
      <c r="L2063" s="7" t="str">
        <f aca="false">IF(A2063="","",IF(G2063="não","Sem tabela no Growths",IF(I2063="","Sem campo no Growths",IF(J2063=K2063,"Importa direto","Ajustar tipo"))))</f>
        <v/>
      </c>
      <c r="M2063" s="9"/>
    </row>
    <row r="2064" customFormat="false" ht="15" hidden="false" customHeight="false" outlineLevel="0" collapsed="false">
      <c r="A2064" s="7" t="str">
        <f aca="false">IF('Outro banco'!A2064="","",IF(LEFT('Outro banco'!A2064,1)="(","",'Outro banco'!A2064))</f>
        <v/>
      </c>
      <c r="B2064" s="7" t="str">
        <f aca="false">IF(A2064="","",'Outro banco'!B2064)</f>
        <v/>
      </c>
      <c r="C2064" s="7" t="str">
        <f aca="false">IF(A2064="","",'Outro banco'!C2064)</f>
        <v/>
      </c>
      <c r="D2064" s="7" t="str">
        <f aca="false">IF(A2064="","",'Outro banco'!D2064)</f>
        <v/>
      </c>
      <c r="E2064" s="9"/>
      <c r="F2064" s="9"/>
      <c r="G2064" s="7" t="str">
        <f aca="false">IF(A2064="","",IF(COUNTIF(Tabelas!$A:$A,IF(E2064="",A2064,E2064))&gt;0,"sim","não"))</f>
        <v/>
      </c>
      <c r="H2064" s="7" t="str">
        <f aca="false">IF(A2064="","",IF(E2064="",A2064,E2064)&amp;"."&amp;IF(F2064="",B2064,F2064))</f>
        <v/>
      </c>
      <c r="I2064" s="7" t="str">
        <f aca="false">IF(A2064="","",IFERROR(INDEX('Campos Growths'!$F:$F,MATCH(H2064,'Campos Growths'!$A:$A,0)),""))</f>
        <v/>
      </c>
      <c r="J2064" s="7" t="str">
        <f aca="false">IF(A2064="","",IFERROR(VLOOKUP(IF(ISNUMBER(SEARCH("(",C2064)),LEFT(C2064,SEARCH("(",C2064)-1),C2064),Tipos!$A:$B,2,FALSE()),"outro"))</f>
        <v/>
      </c>
      <c r="K2064" s="7" t="str">
        <f aca="false">IF(I2064="","",IFERROR(INDEX('Campos Growths'!$L:$L,MATCH(H2064,'Campos Growths'!$A:$A,0)),""))</f>
        <v/>
      </c>
      <c r="L2064" s="7" t="str">
        <f aca="false">IF(A2064="","",IF(G2064="não","Sem tabela no Growths",IF(I2064="","Sem campo no Growths",IF(J2064=K2064,"Importa direto","Ajustar tipo"))))</f>
        <v/>
      </c>
      <c r="M2064" s="9"/>
    </row>
    <row r="2065" customFormat="false" ht="15" hidden="false" customHeight="false" outlineLevel="0" collapsed="false">
      <c r="A2065" s="7" t="str">
        <f aca="false">IF('Outro banco'!A2065="","",IF(LEFT('Outro banco'!A2065,1)="(","",'Outro banco'!A2065))</f>
        <v/>
      </c>
      <c r="B2065" s="7" t="str">
        <f aca="false">IF(A2065="","",'Outro banco'!B2065)</f>
        <v/>
      </c>
      <c r="C2065" s="7" t="str">
        <f aca="false">IF(A2065="","",'Outro banco'!C2065)</f>
        <v/>
      </c>
      <c r="D2065" s="7" t="str">
        <f aca="false">IF(A2065="","",'Outro banco'!D2065)</f>
        <v/>
      </c>
      <c r="E2065" s="9"/>
      <c r="F2065" s="9"/>
      <c r="G2065" s="7" t="str">
        <f aca="false">IF(A2065="","",IF(COUNTIF(Tabelas!$A:$A,IF(E2065="",A2065,E2065))&gt;0,"sim","não"))</f>
        <v/>
      </c>
      <c r="H2065" s="7" t="str">
        <f aca="false">IF(A2065="","",IF(E2065="",A2065,E2065)&amp;"."&amp;IF(F2065="",B2065,F2065))</f>
        <v/>
      </c>
      <c r="I2065" s="7" t="str">
        <f aca="false">IF(A2065="","",IFERROR(INDEX('Campos Growths'!$F:$F,MATCH(H2065,'Campos Growths'!$A:$A,0)),""))</f>
        <v/>
      </c>
      <c r="J2065" s="7" t="str">
        <f aca="false">IF(A2065="","",IFERROR(VLOOKUP(IF(ISNUMBER(SEARCH("(",C2065)),LEFT(C2065,SEARCH("(",C2065)-1),C2065),Tipos!$A:$B,2,FALSE()),"outro"))</f>
        <v/>
      </c>
      <c r="K2065" s="7" t="str">
        <f aca="false">IF(I2065="","",IFERROR(INDEX('Campos Growths'!$L:$L,MATCH(H2065,'Campos Growths'!$A:$A,0)),""))</f>
        <v/>
      </c>
      <c r="L2065" s="7" t="str">
        <f aca="false">IF(A2065="","",IF(G2065="não","Sem tabela no Growths",IF(I2065="","Sem campo no Growths",IF(J2065=K2065,"Importa direto","Ajustar tipo"))))</f>
        <v/>
      </c>
      <c r="M2065" s="9"/>
    </row>
    <row r="2066" customFormat="false" ht="15" hidden="false" customHeight="false" outlineLevel="0" collapsed="false">
      <c r="A2066" s="7" t="str">
        <f aca="false">IF('Outro banco'!A2066="","",IF(LEFT('Outro banco'!A2066,1)="(","",'Outro banco'!A2066))</f>
        <v/>
      </c>
      <c r="B2066" s="7" t="str">
        <f aca="false">IF(A2066="","",'Outro banco'!B2066)</f>
        <v/>
      </c>
      <c r="C2066" s="7" t="str">
        <f aca="false">IF(A2066="","",'Outro banco'!C2066)</f>
        <v/>
      </c>
      <c r="D2066" s="7" t="str">
        <f aca="false">IF(A2066="","",'Outro banco'!D2066)</f>
        <v/>
      </c>
      <c r="E2066" s="9"/>
      <c r="F2066" s="9"/>
      <c r="G2066" s="7" t="str">
        <f aca="false">IF(A2066="","",IF(COUNTIF(Tabelas!$A:$A,IF(E2066="",A2066,E2066))&gt;0,"sim","não"))</f>
        <v/>
      </c>
      <c r="H2066" s="7" t="str">
        <f aca="false">IF(A2066="","",IF(E2066="",A2066,E2066)&amp;"."&amp;IF(F2066="",B2066,F2066))</f>
        <v/>
      </c>
      <c r="I2066" s="7" t="str">
        <f aca="false">IF(A2066="","",IFERROR(INDEX('Campos Growths'!$F:$F,MATCH(H2066,'Campos Growths'!$A:$A,0)),""))</f>
        <v/>
      </c>
      <c r="J2066" s="7" t="str">
        <f aca="false">IF(A2066="","",IFERROR(VLOOKUP(IF(ISNUMBER(SEARCH("(",C2066)),LEFT(C2066,SEARCH("(",C2066)-1),C2066),Tipos!$A:$B,2,FALSE()),"outro"))</f>
        <v/>
      </c>
      <c r="K2066" s="7" t="str">
        <f aca="false">IF(I2066="","",IFERROR(INDEX('Campos Growths'!$L:$L,MATCH(H2066,'Campos Growths'!$A:$A,0)),""))</f>
        <v/>
      </c>
      <c r="L2066" s="7" t="str">
        <f aca="false">IF(A2066="","",IF(G2066="não","Sem tabela no Growths",IF(I2066="","Sem campo no Growths",IF(J2066=K2066,"Importa direto","Ajustar tipo"))))</f>
        <v/>
      </c>
      <c r="M2066" s="9"/>
    </row>
    <row r="2067" customFormat="false" ht="15" hidden="false" customHeight="false" outlineLevel="0" collapsed="false">
      <c r="A2067" s="7" t="str">
        <f aca="false">IF('Outro banco'!A2067="","",IF(LEFT('Outro banco'!A2067,1)="(","",'Outro banco'!A2067))</f>
        <v/>
      </c>
      <c r="B2067" s="7" t="str">
        <f aca="false">IF(A2067="","",'Outro banco'!B2067)</f>
        <v/>
      </c>
      <c r="C2067" s="7" t="str">
        <f aca="false">IF(A2067="","",'Outro banco'!C2067)</f>
        <v/>
      </c>
      <c r="D2067" s="7" t="str">
        <f aca="false">IF(A2067="","",'Outro banco'!D2067)</f>
        <v/>
      </c>
      <c r="E2067" s="9"/>
      <c r="F2067" s="9"/>
      <c r="G2067" s="7" t="str">
        <f aca="false">IF(A2067="","",IF(COUNTIF(Tabelas!$A:$A,IF(E2067="",A2067,E2067))&gt;0,"sim","não"))</f>
        <v/>
      </c>
      <c r="H2067" s="7" t="str">
        <f aca="false">IF(A2067="","",IF(E2067="",A2067,E2067)&amp;"."&amp;IF(F2067="",B2067,F2067))</f>
        <v/>
      </c>
      <c r="I2067" s="7" t="str">
        <f aca="false">IF(A2067="","",IFERROR(INDEX('Campos Growths'!$F:$F,MATCH(H2067,'Campos Growths'!$A:$A,0)),""))</f>
        <v/>
      </c>
      <c r="J2067" s="7" t="str">
        <f aca="false">IF(A2067="","",IFERROR(VLOOKUP(IF(ISNUMBER(SEARCH("(",C2067)),LEFT(C2067,SEARCH("(",C2067)-1),C2067),Tipos!$A:$B,2,FALSE()),"outro"))</f>
        <v/>
      </c>
      <c r="K2067" s="7" t="str">
        <f aca="false">IF(I2067="","",IFERROR(INDEX('Campos Growths'!$L:$L,MATCH(H2067,'Campos Growths'!$A:$A,0)),""))</f>
        <v/>
      </c>
      <c r="L2067" s="7" t="str">
        <f aca="false">IF(A2067="","",IF(G2067="não","Sem tabela no Growths",IF(I2067="","Sem campo no Growths",IF(J2067=K2067,"Importa direto","Ajustar tipo"))))</f>
        <v/>
      </c>
      <c r="M2067" s="9"/>
    </row>
    <row r="2068" customFormat="false" ht="15" hidden="false" customHeight="false" outlineLevel="0" collapsed="false">
      <c r="A2068" s="7" t="str">
        <f aca="false">IF('Outro banco'!A2068="","",IF(LEFT('Outro banco'!A2068,1)="(","",'Outro banco'!A2068))</f>
        <v/>
      </c>
      <c r="B2068" s="7" t="str">
        <f aca="false">IF(A2068="","",'Outro banco'!B2068)</f>
        <v/>
      </c>
      <c r="C2068" s="7" t="str">
        <f aca="false">IF(A2068="","",'Outro banco'!C2068)</f>
        <v/>
      </c>
      <c r="D2068" s="7" t="str">
        <f aca="false">IF(A2068="","",'Outro banco'!D2068)</f>
        <v/>
      </c>
      <c r="E2068" s="9"/>
      <c r="F2068" s="9"/>
      <c r="G2068" s="7" t="str">
        <f aca="false">IF(A2068="","",IF(COUNTIF(Tabelas!$A:$A,IF(E2068="",A2068,E2068))&gt;0,"sim","não"))</f>
        <v/>
      </c>
      <c r="H2068" s="7" t="str">
        <f aca="false">IF(A2068="","",IF(E2068="",A2068,E2068)&amp;"."&amp;IF(F2068="",B2068,F2068))</f>
        <v/>
      </c>
      <c r="I2068" s="7" t="str">
        <f aca="false">IF(A2068="","",IFERROR(INDEX('Campos Growths'!$F:$F,MATCH(H2068,'Campos Growths'!$A:$A,0)),""))</f>
        <v/>
      </c>
      <c r="J2068" s="7" t="str">
        <f aca="false">IF(A2068="","",IFERROR(VLOOKUP(IF(ISNUMBER(SEARCH("(",C2068)),LEFT(C2068,SEARCH("(",C2068)-1),C2068),Tipos!$A:$B,2,FALSE()),"outro"))</f>
        <v/>
      </c>
      <c r="K2068" s="7" t="str">
        <f aca="false">IF(I2068="","",IFERROR(INDEX('Campos Growths'!$L:$L,MATCH(H2068,'Campos Growths'!$A:$A,0)),""))</f>
        <v/>
      </c>
      <c r="L2068" s="7" t="str">
        <f aca="false">IF(A2068="","",IF(G2068="não","Sem tabela no Growths",IF(I2068="","Sem campo no Growths",IF(J2068=K2068,"Importa direto","Ajustar tipo"))))</f>
        <v/>
      </c>
      <c r="M2068" s="9"/>
    </row>
    <row r="2069" customFormat="false" ht="15" hidden="false" customHeight="false" outlineLevel="0" collapsed="false">
      <c r="A2069" s="7" t="str">
        <f aca="false">IF('Outro banco'!A2069="","",IF(LEFT('Outro banco'!A2069,1)="(","",'Outro banco'!A2069))</f>
        <v/>
      </c>
      <c r="B2069" s="7" t="str">
        <f aca="false">IF(A2069="","",'Outro banco'!B2069)</f>
        <v/>
      </c>
      <c r="C2069" s="7" t="str">
        <f aca="false">IF(A2069="","",'Outro banco'!C2069)</f>
        <v/>
      </c>
      <c r="D2069" s="7" t="str">
        <f aca="false">IF(A2069="","",'Outro banco'!D2069)</f>
        <v/>
      </c>
      <c r="E2069" s="9"/>
      <c r="F2069" s="9"/>
      <c r="G2069" s="7" t="str">
        <f aca="false">IF(A2069="","",IF(COUNTIF(Tabelas!$A:$A,IF(E2069="",A2069,E2069))&gt;0,"sim","não"))</f>
        <v/>
      </c>
      <c r="H2069" s="7" t="str">
        <f aca="false">IF(A2069="","",IF(E2069="",A2069,E2069)&amp;"."&amp;IF(F2069="",B2069,F2069))</f>
        <v/>
      </c>
      <c r="I2069" s="7" t="str">
        <f aca="false">IF(A2069="","",IFERROR(INDEX('Campos Growths'!$F:$F,MATCH(H2069,'Campos Growths'!$A:$A,0)),""))</f>
        <v/>
      </c>
      <c r="J2069" s="7" t="str">
        <f aca="false">IF(A2069="","",IFERROR(VLOOKUP(IF(ISNUMBER(SEARCH("(",C2069)),LEFT(C2069,SEARCH("(",C2069)-1),C2069),Tipos!$A:$B,2,FALSE()),"outro"))</f>
        <v/>
      </c>
      <c r="K2069" s="7" t="str">
        <f aca="false">IF(I2069="","",IFERROR(INDEX('Campos Growths'!$L:$L,MATCH(H2069,'Campos Growths'!$A:$A,0)),""))</f>
        <v/>
      </c>
      <c r="L2069" s="7" t="str">
        <f aca="false">IF(A2069="","",IF(G2069="não","Sem tabela no Growths",IF(I2069="","Sem campo no Growths",IF(J2069=K2069,"Importa direto","Ajustar tipo"))))</f>
        <v/>
      </c>
      <c r="M2069" s="9"/>
    </row>
    <row r="2070" customFormat="false" ht="15" hidden="false" customHeight="false" outlineLevel="0" collapsed="false">
      <c r="A2070" s="7" t="str">
        <f aca="false">IF('Outro banco'!A2070="","",IF(LEFT('Outro banco'!A2070,1)="(","",'Outro banco'!A2070))</f>
        <v/>
      </c>
      <c r="B2070" s="7" t="str">
        <f aca="false">IF(A2070="","",'Outro banco'!B2070)</f>
        <v/>
      </c>
      <c r="C2070" s="7" t="str">
        <f aca="false">IF(A2070="","",'Outro banco'!C2070)</f>
        <v/>
      </c>
      <c r="D2070" s="7" t="str">
        <f aca="false">IF(A2070="","",'Outro banco'!D2070)</f>
        <v/>
      </c>
      <c r="E2070" s="9"/>
      <c r="F2070" s="9"/>
      <c r="G2070" s="7" t="str">
        <f aca="false">IF(A2070="","",IF(COUNTIF(Tabelas!$A:$A,IF(E2070="",A2070,E2070))&gt;0,"sim","não"))</f>
        <v/>
      </c>
      <c r="H2070" s="7" t="str">
        <f aca="false">IF(A2070="","",IF(E2070="",A2070,E2070)&amp;"."&amp;IF(F2070="",B2070,F2070))</f>
        <v/>
      </c>
      <c r="I2070" s="7" t="str">
        <f aca="false">IF(A2070="","",IFERROR(INDEX('Campos Growths'!$F:$F,MATCH(H2070,'Campos Growths'!$A:$A,0)),""))</f>
        <v/>
      </c>
      <c r="J2070" s="7" t="str">
        <f aca="false">IF(A2070="","",IFERROR(VLOOKUP(IF(ISNUMBER(SEARCH("(",C2070)),LEFT(C2070,SEARCH("(",C2070)-1),C2070),Tipos!$A:$B,2,FALSE()),"outro"))</f>
        <v/>
      </c>
      <c r="K2070" s="7" t="str">
        <f aca="false">IF(I2070="","",IFERROR(INDEX('Campos Growths'!$L:$L,MATCH(H2070,'Campos Growths'!$A:$A,0)),""))</f>
        <v/>
      </c>
      <c r="L2070" s="7" t="str">
        <f aca="false">IF(A2070="","",IF(G2070="não","Sem tabela no Growths",IF(I2070="","Sem campo no Growths",IF(J2070=K2070,"Importa direto","Ajustar tipo"))))</f>
        <v/>
      </c>
      <c r="M2070" s="9"/>
    </row>
    <row r="2071" customFormat="false" ht="15" hidden="false" customHeight="false" outlineLevel="0" collapsed="false">
      <c r="A2071" s="7" t="str">
        <f aca="false">IF('Outro banco'!A2071="","",IF(LEFT('Outro banco'!A2071,1)="(","",'Outro banco'!A2071))</f>
        <v/>
      </c>
      <c r="B2071" s="7" t="str">
        <f aca="false">IF(A2071="","",'Outro banco'!B2071)</f>
        <v/>
      </c>
      <c r="C2071" s="7" t="str">
        <f aca="false">IF(A2071="","",'Outro banco'!C2071)</f>
        <v/>
      </c>
      <c r="D2071" s="7" t="str">
        <f aca="false">IF(A2071="","",'Outro banco'!D2071)</f>
        <v/>
      </c>
      <c r="E2071" s="9"/>
      <c r="F2071" s="9"/>
      <c r="G2071" s="7" t="str">
        <f aca="false">IF(A2071="","",IF(COUNTIF(Tabelas!$A:$A,IF(E2071="",A2071,E2071))&gt;0,"sim","não"))</f>
        <v/>
      </c>
      <c r="H2071" s="7" t="str">
        <f aca="false">IF(A2071="","",IF(E2071="",A2071,E2071)&amp;"."&amp;IF(F2071="",B2071,F2071))</f>
        <v/>
      </c>
      <c r="I2071" s="7" t="str">
        <f aca="false">IF(A2071="","",IFERROR(INDEX('Campos Growths'!$F:$F,MATCH(H2071,'Campos Growths'!$A:$A,0)),""))</f>
        <v/>
      </c>
      <c r="J2071" s="7" t="str">
        <f aca="false">IF(A2071="","",IFERROR(VLOOKUP(IF(ISNUMBER(SEARCH("(",C2071)),LEFT(C2071,SEARCH("(",C2071)-1),C2071),Tipos!$A:$B,2,FALSE()),"outro"))</f>
        <v/>
      </c>
      <c r="K2071" s="7" t="str">
        <f aca="false">IF(I2071="","",IFERROR(INDEX('Campos Growths'!$L:$L,MATCH(H2071,'Campos Growths'!$A:$A,0)),""))</f>
        <v/>
      </c>
      <c r="L2071" s="7" t="str">
        <f aca="false">IF(A2071="","",IF(G2071="não","Sem tabela no Growths",IF(I2071="","Sem campo no Growths",IF(J2071=K2071,"Importa direto","Ajustar tipo"))))</f>
        <v/>
      </c>
      <c r="M2071" s="9"/>
    </row>
    <row r="2072" customFormat="false" ht="15" hidden="false" customHeight="false" outlineLevel="0" collapsed="false">
      <c r="A2072" s="7" t="str">
        <f aca="false">IF('Outro banco'!A2072="","",IF(LEFT('Outro banco'!A2072,1)="(","",'Outro banco'!A2072))</f>
        <v/>
      </c>
      <c r="B2072" s="7" t="str">
        <f aca="false">IF(A2072="","",'Outro banco'!B2072)</f>
        <v/>
      </c>
      <c r="C2072" s="7" t="str">
        <f aca="false">IF(A2072="","",'Outro banco'!C2072)</f>
        <v/>
      </c>
      <c r="D2072" s="7" t="str">
        <f aca="false">IF(A2072="","",'Outro banco'!D2072)</f>
        <v/>
      </c>
      <c r="E2072" s="9"/>
      <c r="F2072" s="9"/>
      <c r="G2072" s="7" t="str">
        <f aca="false">IF(A2072="","",IF(COUNTIF(Tabelas!$A:$A,IF(E2072="",A2072,E2072))&gt;0,"sim","não"))</f>
        <v/>
      </c>
      <c r="H2072" s="7" t="str">
        <f aca="false">IF(A2072="","",IF(E2072="",A2072,E2072)&amp;"."&amp;IF(F2072="",B2072,F2072))</f>
        <v/>
      </c>
      <c r="I2072" s="7" t="str">
        <f aca="false">IF(A2072="","",IFERROR(INDEX('Campos Growths'!$F:$F,MATCH(H2072,'Campos Growths'!$A:$A,0)),""))</f>
        <v/>
      </c>
      <c r="J2072" s="7" t="str">
        <f aca="false">IF(A2072="","",IFERROR(VLOOKUP(IF(ISNUMBER(SEARCH("(",C2072)),LEFT(C2072,SEARCH("(",C2072)-1),C2072),Tipos!$A:$B,2,FALSE()),"outro"))</f>
        <v/>
      </c>
      <c r="K2072" s="7" t="str">
        <f aca="false">IF(I2072="","",IFERROR(INDEX('Campos Growths'!$L:$L,MATCH(H2072,'Campos Growths'!$A:$A,0)),""))</f>
        <v/>
      </c>
      <c r="L2072" s="7" t="str">
        <f aca="false">IF(A2072="","",IF(G2072="não","Sem tabela no Growths",IF(I2072="","Sem campo no Growths",IF(J2072=K2072,"Importa direto","Ajustar tipo"))))</f>
        <v/>
      </c>
      <c r="M2072" s="9"/>
    </row>
    <row r="2073" customFormat="false" ht="15" hidden="false" customHeight="false" outlineLevel="0" collapsed="false">
      <c r="A2073" s="7" t="str">
        <f aca="false">IF('Outro banco'!A2073="","",IF(LEFT('Outro banco'!A2073,1)="(","",'Outro banco'!A2073))</f>
        <v/>
      </c>
      <c r="B2073" s="7" t="str">
        <f aca="false">IF(A2073="","",'Outro banco'!B2073)</f>
        <v/>
      </c>
      <c r="C2073" s="7" t="str">
        <f aca="false">IF(A2073="","",'Outro banco'!C2073)</f>
        <v/>
      </c>
      <c r="D2073" s="7" t="str">
        <f aca="false">IF(A2073="","",'Outro banco'!D2073)</f>
        <v/>
      </c>
      <c r="E2073" s="9"/>
      <c r="F2073" s="9"/>
      <c r="G2073" s="7" t="str">
        <f aca="false">IF(A2073="","",IF(COUNTIF(Tabelas!$A:$A,IF(E2073="",A2073,E2073))&gt;0,"sim","não"))</f>
        <v/>
      </c>
      <c r="H2073" s="7" t="str">
        <f aca="false">IF(A2073="","",IF(E2073="",A2073,E2073)&amp;"."&amp;IF(F2073="",B2073,F2073))</f>
        <v/>
      </c>
      <c r="I2073" s="7" t="str">
        <f aca="false">IF(A2073="","",IFERROR(INDEX('Campos Growths'!$F:$F,MATCH(H2073,'Campos Growths'!$A:$A,0)),""))</f>
        <v/>
      </c>
      <c r="J2073" s="7" t="str">
        <f aca="false">IF(A2073="","",IFERROR(VLOOKUP(IF(ISNUMBER(SEARCH("(",C2073)),LEFT(C2073,SEARCH("(",C2073)-1),C2073),Tipos!$A:$B,2,FALSE()),"outro"))</f>
        <v/>
      </c>
      <c r="K2073" s="7" t="str">
        <f aca="false">IF(I2073="","",IFERROR(INDEX('Campos Growths'!$L:$L,MATCH(H2073,'Campos Growths'!$A:$A,0)),""))</f>
        <v/>
      </c>
      <c r="L2073" s="7" t="str">
        <f aca="false">IF(A2073="","",IF(G2073="não","Sem tabela no Growths",IF(I2073="","Sem campo no Growths",IF(J2073=K2073,"Importa direto","Ajustar tipo"))))</f>
        <v/>
      </c>
      <c r="M2073" s="9"/>
    </row>
    <row r="2074" customFormat="false" ht="15" hidden="false" customHeight="false" outlineLevel="0" collapsed="false">
      <c r="A2074" s="7" t="str">
        <f aca="false">IF('Outro banco'!A2074="","",IF(LEFT('Outro banco'!A2074,1)="(","",'Outro banco'!A2074))</f>
        <v/>
      </c>
      <c r="B2074" s="7" t="str">
        <f aca="false">IF(A2074="","",'Outro banco'!B2074)</f>
        <v/>
      </c>
      <c r="C2074" s="7" t="str">
        <f aca="false">IF(A2074="","",'Outro banco'!C2074)</f>
        <v/>
      </c>
      <c r="D2074" s="7" t="str">
        <f aca="false">IF(A2074="","",'Outro banco'!D2074)</f>
        <v/>
      </c>
      <c r="E2074" s="9"/>
      <c r="F2074" s="9"/>
      <c r="G2074" s="7" t="str">
        <f aca="false">IF(A2074="","",IF(COUNTIF(Tabelas!$A:$A,IF(E2074="",A2074,E2074))&gt;0,"sim","não"))</f>
        <v/>
      </c>
      <c r="H2074" s="7" t="str">
        <f aca="false">IF(A2074="","",IF(E2074="",A2074,E2074)&amp;"."&amp;IF(F2074="",B2074,F2074))</f>
        <v/>
      </c>
      <c r="I2074" s="7" t="str">
        <f aca="false">IF(A2074="","",IFERROR(INDEX('Campos Growths'!$F:$F,MATCH(H2074,'Campos Growths'!$A:$A,0)),""))</f>
        <v/>
      </c>
      <c r="J2074" s="7" t="str">
        <f aca="false">IF(A2074="","",IFERROR(VLOOKUP(IF(ISNUMBER(SEARCH("(",C2074)),LEFT(C2074,SEARCH("(",C2074)-1),C2074),Tipos!$A:$B,2,FALSE()),"outro"))</f>
        <v/>
      </c>
      <c r="K2074" s="7" t="str">
        <f aca="false">IF(I2074="","",IFERROR(INDEX('Campos Growths'!$L:$L,MATCH(H2074,'Campos Growths'!$A:$A,0)),""))</f>
        <v/>
      </c>
      <c r="L2074" s="7" t="str">
        <f aca="false">IF(A2074="","",IF(G2074="não","Sem tabela no Growths",IF(I2074="","Sem campo no Growths",IF(J2074=K2074,"Importa direto","Ajustar tipo"))))</f>
        <v/>
      </c>
      <c r="M2074" s="9"/>
    </row>
    <row r="2075" customFormat="false" ht="15" hidden="false" customHeight="false" outlineLevel="0" collapsed="false">
      <c r="A2075" s="7" t="str">
        <f aca="false">IF('Outro banco'!A2075="","",IF(LEFT('Outro banco'!A2075,1)="(","",'Outro banco'!A2075))</f>
        <v/>
      </c>
      <c r="B2075" s="7" t="str">
        <f aca="false">IF(A2075="","",'Outro banco'!B2075)</f>
        <v/>
      </c>
      <c r="C2075" s="7" t="str">
        <f aca="false">IF(A2075="","",'Outro banco'!C2075)</f>
        <v/>
      </c>
      <c r="D2075" s="7" t="str">
        <f aca="false">IF(A2075="","",'Outro banco'!D2075)</f>
        <v/>
      </c>
      <c r="E2075" s="9"/>
      <c r="F2075" s="9"/>
      <c r="G2075" s="7" t="str">
        <f aca="false">IF(A2075="","",IF(COUNTIF(Tabelas!$A:$A,IF(E2075="",A2075,E2075))&gt;0,"sim","não"))</f>
        <v/>
      </c>
      <c r="H2075" s="7" t="str">
        <f aca="false">IF(A2075="","",IF(E2075="",A2075,E2075)&amp;"."&amp;IF(F2075="",B2075,F2075))</f>
        <v/>
      </c>
      <c r="I2075" s="7" t="str">
        <f aca="false">IF(A2075="","",IFERROR(INDEX('Campos Growths'!$F:$F,MATCH(H2075,'Campos Growths'!$A:$A,0)),""))</f>
        <v/>
      </c>
      <c r="J2075" s="7" t="str">
        <f aca="false">IF(A2075="","",IFERROR(VLOOKUP(IF(ISNUMBER(SEARCH("(",C2075)),LEFT(C2075,SEARCH("(",C2075)-1),C2075),Tipos!$A:$B,2,FALSE()),"outro"))</f>
        <v/>
      </c>
      <c r="K2075" s="7" t="str">
        <f aca="false">IF(I2075="","",IFERROR(INDEX('Campos Growths'!$L:$L,MATCH(H2075,'Campos Growths'!$A:$A,0)),""))</f>
        <v/>
      </c>
      <c r="L2075" s="7" t="str">
        <f aca="false">IF(A2075="","",IF(G2075="não","Sem tabela no Growths",IF(I2075="","Sem campo no Growths",IF(J2075=K2075,"Importa direto","Ajustar tipo"))))</f>
        <v/>
      </c>
      <c r="M2075" s="9"/>
    </row>
    <row r="2076" customFormat="false" ht="15" hidden="false" customHeight="false" outlineLevel="0" collapsed="false">
      <c r="A2076" s="7" t="str">
        <f aca="false">IF('Outro banco'!A2076="","",IF(LEFT('Outro banco'!A2076,1)="(","",'Outro banco'!A2076))</f>
        <v/>
      </c>
      <c r="B2076" s="7" t="str">
        <f aca="false">IF(A2076="","",'Outro banco'!B2076)</f>
        <v/>
      </c>
      <c r="C2076" s="7" t="str">
        <f aca="false">IF(A2076="","",'Outro banco'!C2076)</f>
        <v/>
      </c>
      <c r="D2076" s="7" t="str">
        <f aca="false">IF(A2076="","",'Outro banco'!D2076)</f>
        <v/>
      </c>
      <c r="E2076" s="9"/>
      <c r="F2076" s="9"/>
      <c r="G2076" s="7" t="str">
        <f aca="false">IF(A2076="","",IF(COUNTIF(Tabelas!$A:$A,IF(E2076="",A2076,E2076))&gt;0,"sim","não"))</f>
        <v/>
      </c>
      <c r="H2076" s="7" t="str">
        <f aca="false">IF(A2076="","",IF(E2076="",A2076,E2076)&amp;"."&amp;IF(F2076="",B2076,F2076))</f>
        <v/>
      </c>
      <c r="I2076" s="7" t="str">
        <f aca="false">IF(A2076="","",IFERROR(INDEX('Campos Growths'!$F:$F,MATCH(H2076,'Campos Growths'!$A:$A,0)),""))</f>
        <v/>
      </c>
      <c r="J2076" s="7" t="str">
        <f aca="false">IF(A2076="","",IFERROR(VLOOKUP(IF(ISNUMBER(SEARCH("(",C2076)),LEFT(C2076,SEARCH("(",C2076)-1),C2076),Tipos!$A:$B,2,FALSE()),"outro"))</f>
        <v/>
      </c>
      <c r="K2076" s="7" t="str">
        <f aca="false">IF(I2076="","",IFERROR(INDEX('Campos Growths'!$L:$L,MATCH(H2076,'Campos Growths'!$A:$A,0)),""))</f>
        <v/>
      </c>
      <c r="L2076" s="7" t="str">
        <f aca="false">IF(A2076="","",IF(G2076="não","Sem tabela no Growths",IF(I2076="","Sem campo no Growths",IF(J2076=K2076,"Importa direto","Ajustar tipo"))))</f>
        <v/>
      </c>
      <c r="M2076" s="9"/>
    </row>
    <row r="2077" customFormat="false" ht="15" hidden="false" customHeight="false" outlineLevel="0" collapsed="false">
      <c r="A2077" s="7" t="str">
        <f aca="false">IF('Outro banco'!A2077="","",IF(LEFT('Outro banco'!A2077,1)="(","",'Outro banco'!A2077))</f>
        <v/>
      </c>
      <c r="B2077" s="7" t="str">
        <f aca="false">IF(A2077="","",'Outro banco'!B2077)</f>
        <v/>
      </c>
      <c r="C2077" s="7" t="str">
        <f aca="false">IF(A2077="","",'Outro banco'!C2077)</f>
        <v/>
      </c>
      <c r="D2077" s="7" t="str">
        <f aca="false">IF(A2077="","",'Outro banco'!D2077)</f>
        <v/>
      </c>
      <c r="E2077" s="9"/>
      <c r="F2077" s="9"/>
      <c r="G2077" s="7" t="str">
        <f aca="false">IF(A2077="","",IF(COUNTIF(Tabelas!$A:$A,IF(E2077="",A2077,E2077))&gt;0,"sim","não"))</f>
        <v/>
      </c>
      <c r="H2077" s="7" t="str">
        <f aca="false">IF(A2077="","",IF(E2077="",A2077,E2077)&amp;"."&amp;IF(F2077="",B2077,F2077))</f>
        <v/>
      </c>
      <c r="I2077" s="7" t="str">
        <f aca="false">IF(A2077="","",IFERROR(INDEX('Campos Growths'!$F:$F,MATCH(H2077,'Campos Growths'!$A:$A,0)),""))</f>
        <v/>
      </c>
      <c r="J2077" s="7" t="str">
        <f aca="false">IF(A2077="","",IFERROR(VLOOKUP(IF(ISNUMBER(SEARCH("(",C2077)),LEFT(C2077,SEARCH("(",C2077)-1),C2077),Tipos!$A:$B,2,FALSE()),"outro"))</f>
        <v/>
      </c>
      <c r="K2077" s="7" t="str">
        <f aca="false">IF(I2077="","",IFERROR(INDEX('Campos Growths'!$L:$L,MATCH(H2077,'Campos Growths'!$A:$A,0)),""))</f>
        <v/>
      </c>
      <c r="L2077" s="7" t="str">
        <f aca="false">IF(A2077="","",IF(G2077="não","Sem tabela no Growths",IF(I2077="","Sem campo no Growths",IF(J2077=K2077,"Importa direto","Ajustar tipo"))))</f>
        <v/>
      </c>
      <c r="M2077" s="9"/>
    </row>
    <row r="2078" customFormat="false" ht="15" hidden="false" customHeight="false" outlineLevel="0" collapsed="false">
      <c r="A2078" s="7" t="str">
        <f aca="false">IF('Outro banco'!A2078="","",IF(LEFT('Outro banco'!A2078,1)="(","",'Outro banco'!A2078))</f>
        <v/>
      </c>
      <c r="B2078" s="7" t="str">
        <f aca="false">IF(A2078="","",'Outro banco'!B2078)</f>
        <v/>
      </c>
      <c r="C2078" s="7" t="str">
        <f aca="false">IF(A2078="","",'Outro banco'!C2078)</f>
        <v/>
      </c>
      <c r="D2078" s="7" t="str">
        <f aca="false">IF(A2078="","",'Outro banco'!D2078)</f>
        <v/>
      </c>
      <c r="E2078" s="9"/>
      <c r="F2078" s="9"/>
      <c r="G2078" s="7" t="str">
        <f aca="false">IF(A2078="","",IF(COUNTIF(Tabelas!$A:$A,IF(E2078="",A2078,E2078))&gt;0,"sim","não"))</f>
        <v/>
      </c>
      <c r="H2078" s="7" t="str">
        <f aca="false">IF(A2078="","",IF(E2078="",A2078,E2078)&amp;"."&amp;IF(F2078="",B2078,F2078))</f>
        <v/>
      </c>
      <c r="I2078" s="7" t="str">
        <f aca="false">IF(A2078="","",IFERROR(INDEX('Campos Growths'!$F:$F,MATCH(H2078,'Campos Growths'!$A:$A,0)),""))</f>
        <v/>
      </c>
      <c r="J2078" s="7" t="str">
        <f aca="false">IF(A2078="","",IFERROR(VLOOKUP(IF(ISNUMBER(SEARCH("(",C2078)),LEFT(C2078,SEARCH("(",C2078)-1),C2078),Tipos!$A:$B,2,FALSE()),"outro"))</f>
        <v/>
      </c>
      <c r="K2078" s="7" t="str">
        <f aca="false">IF(I2078="","",IFERROR(INDEX('Campos Growths'!$L:$L,MATCH(H2078,'Campos Growths'!$A:$A,0)),""))</f>
        <v/>
      </c>
      <c r="L2078" s="7" t="str">
        <f aca="false">IF(A2078="","",IF(G2078="não","Sem tabela no Growths",IF(I2078="","Sem campo no Growths",IF(J2078=K2078,"Importa direto","Ajustar tipo"))))</f>
        <v/>
      </c>
      <c r="M2078" s="9"/>
    </row>
    <row r="2079" customFormat="false" ht="15" hidden="false" customHeight="false" outlineLevel="0" collapsed="false">
      <c r="A2079" s="7" t="str">
        <f aca="false">IF('Outro banco'!A2079="","",IF(LEFT('Outro banco'!A2079,1)="(","",'Outro banco'!A2079))</f>
        <v/>
      </c>
      <c r="B2079" s="7" t="str">
        <f aca="false">IF(A2079="","",'Outro banco'!B2079)</f>
        <v/>
      </c>
      <c r="C2079" s="7" t="str">
        <f aca="false">IF(A2079="","",'Outro banco'!C2079)</f>
        <v/>
      </c>
      <c r="D2079" s="7" t="str">
        <f aca="false">IF(A2079="","",'Outro banco'!D2079)</f>
        <v/>
      </c>
      <c r="E2079" s="9"/>
      <c r="F2079" s="9"/>
      <c r="G2079" s="7" t="str">
        <f aca="false">IF(A2079="","",IF(COUNTIF(Tabelas!$A:$A,IF(E2079="",A2079,E2079))&gt;0,"sim","não"))</f>
        <v/>
      </c>
      <c r="H2079" s="7" t="str">
        <f aca="false">IF(A2079="","",IF(E2079="",A2079,E2079)&amp;"."&amp;IF(F2079="",B2079,F2079))</f>
        <v/>
      </c>
      <c r="I2079" s="7" t="str">
        <f aca="false">IF(A2079="","",IFERROR(INDEX('Campos Growths'!$F:$F,MATCH(H2079,'Campos Growths'!$A:$A,0)),""))</f>
        <v/>
      </c>
      <c r="J2079" s="7" t="str">
        <f aca="false">IF(A2079="","",IFERROR(VLOOKUP(IF(ISNUMBER(SEARCH("(",C2079)),LEFT(C2079,SEARCH("(",C2079)-1),C2079),Tipos!$A:$B,2,FALSE()),"outro"))</f>
        <v/>
      </c>
      <c r="K2079" s="7" t="str">
        <f aca="false">IF(I2079="","",IFERROR(INDEX('Campos Growths'!$L:$L,MATCH(H2079,'Campos Growths'!$A:$A,0)),""))</f>
        <v/>
      </c>
      <c r="L2079" s="7" t="str">
        <f aca="false">IF(A2079="","",IF(G2079="não","Sem tabela no Growths",IF(I2079="","Sem campo no Growths",IF(J2079=K2079,"Importa direto","Ajustar tipo"))))</f>
        <v/>
      </c>
      <c r="M2079" s="9"/>
    </row>
    <row r="2080" customFormat="false" ht="15" hidden="false" customHeight="false" outlineLevel="0" collapsed="false">
      <c r="A2080" s="7" t="str">
        <f aca="false">IF('Outro banco'!A2080="","",IF(LEFT('Outro banco'!A2080,1)="(","",'Outro banco'!A2080))</f>
        <v/>
      </c>
      <c r="B2080" s="7" t="str">
        <f aca="false">IF(A2080="","",'Outro banco'!B2080)</f>
        <v/>
      </c>
      <c r="C2080" s="7" t="str">
        <f aca="false">IF(A2080="","",'Outro banco'!C2080)</f>
        <v/>
      </c>
      <c r="D2080" s="7" t="str">
        <f aca="false">IF(A2080="","",'Outro banco'!D2080)</f>
        <v/>
      </c>
      <c r="E2080" s="9"/>
      <c r="F2080" s="9"/>
      <c r="G2080" s="7" t="str">
        <f aca="false">IF(A2080="","",IF(COUNTIF(Tabelas!$A:$A,IF(E2080="",A2080,E2080))&gt;0,"sim","não"))</f>
        <v/>
      </c>
      <c r="H2080" s="7" t="str">
        <f aca="false">IF(A2080="","",IF(E2080="",A2080,E2080)&amp;"."&amp;IF(F2080="",B2080,F2080))</f>
        <v/>
      </c>
      <c r="I2080" s="7" t="str">
        <f aca="false">IF(A2080="","",IFERROR(INDEX('Campos Growths'!$F:$F,MATCH(H2080,'Campos Growths'!$A:$A,0)),""))</f>
        <v/>
      </c>
      <c r="J2080" s="7" t="str">
        <f aca="false">IF(A2080="","",IFERROR(VLOOKUP(IF(ISNUMBER(SEARCH("(",C2080)),LEFT(C2080,SEARCH("(",C2080)-1),C2080),Tipos!$A:$B,2,FALSE()),"outro"))</f>
        <v/>
      </c>
      <c r="K2080" s="7" t="str">
        <f aca="false">IF(I2080="","",IFERROR(INDEX('Campos Growths'!$L:$L,MATCH(H2080,'Campos Growths'!$A:$A,0)),""))</f>
        <v/>
      </c>
      <c r="L2080" s="7" t="str">
        <f aca="false">IF(A2080="","",IF(G2080="não","Sem tabela no Growths",IF(I2080="","Sem campo no Growths",IF(J2080=K2080,"Importa direto","Ajustar tipo"))))</f>
        <v/>
      </c>
      <c r="M2080" s="9"/>
    </row>
    <row r="2081" customFormat="false" ht="15" hidden="false" customHeight="false" outlineLevel="0" collapsed="false">
      <c r="A2081" s="7" t="str">
        <f aca="false">IF('Outro banco'!A2081="","",IF(LEFT('Outro banco'!A2081,1)="(","",'Outro banco'!A2081))</f>
        <v/>
      </c>
      <c r="B2081" s="7" t="str">
        <f aca="false">IF(A2081="","",'Outro banco'!B2081)</f>
        <v/>
      </c>
      <c r="C2081" s="7" t="str">
        <f aca="false">IF(A2081="","",'Outro banco'!C2081)</f>
        <v/>
      </c>
      <c r="D2081" s="7" t="str">
        <f aca="false">IF(A2081="","",'Outro banco'!D2081)</f>
        <v/>
      </c>
      <c r="E2081" s="9"/>
      <c r="F2081" s="9"/>
      <c r="G2081" s="7" t="str">
        <f aca="false">IF(A2081="","",IF(COUNTIF(Tabelas!$A:$A,IF(E2081="",A2081,E2081))&gt;0,"sim","não"))</f>
        <v/>
      </c>
      <c r="H2081" s="7" t="str">
        <f aca="false">IF(A2081="","",IF(E2081="",A2081,E2081)&amp;"."&amp;IF(F2081="",B2081,F2081))</f>
        <v/>
      </c>
      <c r="I2081" s="7" t="str">
        <f aca="false">IF(A2081="","",IFERROR(INDEX('Campos Growths'!$F:$F,MATCH(H2081,'Campos Growths'!$A:$A,0)),""))</f>
        <v/>
      </c>
      <c r="J2081" s="7" t="str">
        <f aca="false">IF(A2081="","",IFERROR(VLOOKUP(IF(ISNUMBER(SEARCH("(",C2081)),LEFT(C2081,SEARCH("(",C2081)-1),C2081),Tipos!$A:$B,2,FALSE()),"outro"))</f>
        <v/>
      </c>
      <c r="K2081" s="7" t="str">
        <f aca="false">IF(I2081="","",IFERROR(INDEX('Campos Growths'!$L:$L,MATCH(H2081,'Campos Growths'!$A:$A,0)),""))</f>
        <v/>
      </c>
      <c r="L2081" s="7" t="str">
        <f aca="false">IF(A2081="","",IF(G2081="não","Sem tabela no Growths",IF(I2081="","Sem campo no Growths",IF(J2081=K2081,"Importa direto","Ajustar tipo"))))</f>
        <v/>
      </c>
      <c r="M2081" s="9"/>
    </row>
    <row r="2082" customFormat="false" ht="15" hidden="false" customHeight="false" outlineLevel="0" collapsed="false">
      <c r="A2082" s="7" t="str">
        <f aca="false">IF('Outro banco'!A2082="","",IF(LEFT('Outro banco'!A2082,1)="(","",'Outro banco'!A2082))</f>
        <v/>
      </c>
      <c r="B2082" s="7" t="str">
        <f aca="false">IF(A2082="","",'Outro banco'!B2082)</f>
        <v/>
      </c>
      <c r="C2082" s="7" t="str">
        <f aca="false">IF(A2082="","",'Outro banco'!C2082)</f>
        <v/>
      </c>
      <c r="D2082" s="7" t="str">
        <f aca="false">IF(A2082="","",'Outro banco'!D2082)</f>
        <v/>
      </c>
      <c r="E2082" s="9"/>
      <c r="F2082" s="9"/>
      <c r="G2082" s="7" t="str">
        <f aca="false">IF(A2082="","",IF(COUNTIF(Tabelas!$A:$A,IF(E2082="",A2082,E2082))&gt;0,"sim","não"))</f>
        <v/>
      </c>
      <c r="H2082" s="7" t="str">
        <f aca="false">IF(A2082="","",IF(E2082="",A2082,E2082)&amp;"."&amp;IF(F2082="",B2082,F2082))</f>
        <v/>
      </c>
      <c r="I2082" s="7" t="str">
        <f aca="false">IF(A2082="","",IFERROR(INDEX('Campos Growths'!$F:$F,MATCH(H2082,'Campos Growths'!$A:$A,0)),""))</f>
        <v/>
      </c>
      <c r="J2082" s="7" t="str">
        <f aca="false">IF(A2082="","",IFERROR(VLOOKUP(IF(ISNUMBER(SEARCH("(",C2082)),LEFT(C2082,SEARCH("(",C2082)-1),C2082),Tipos!$A:$B,2,FALSE()),"outro"))</f>
        <v/>
      </c>
      <c r="K2082" s="7" t="str">
        <f aca="false">IF(I2082="","",IFERROR(INDEX('Campos Growths'!$L:$L,MATCH(H2082,'Campos Growths'!$A:$A,0)),""))</f>
        <v/>
      </c>
      <c r="L2082" s="7" t="str">
        <f aca="false">IF(A2082="","",IF(G2082="não","Sem tabela no Growths",IF(I2082="","Sem campo no Growths",IF(J2082=K2082,"Importa direto","Ajustar tipo"))))</f>
        <v/>
      </c>
      <c r="M2082" s="9"/>
    </row>
    <row r="2083" customFormat="false" ht="15" hidden="false" customHeight="false" outlineLevel="0" collapsed="false">
      <c r="A2083" s="7" t="str">
        <f aca="false">IF('Outro banco'!A2083="","",IF(LEFT('Outro banco'!A2083,1)="(","",'Outro banco'!A2083))</f>
        <v/>
      </c>
      <c r="B2083" s="7" t="str">
        <f aca="false">IF(A2083="","",'Outro banco'!B2083)</f>
        <v/>
      </c>
      <c r="C2083" s="7" t="str">
        <f aca="false">IF(A2083="","",'Outro banco'!C2083)</f>
        <v/>
      </c>
      <c r="D2083" s="7" t="str">
        <f aca="false">IF(A2083="","",'Outro banco'!D2083)</f>
        <v/>
      </c>
      <c r="E2083" s="9"/>
      <c r="F2083" s="9"/>
      <c r="G2083" s="7" t="str">
        <f aca="false">IF(A2083="","",IF(COUNTIF(Tabelas!$A:$A,IF(E2083="",A2083,E2083))&gt;0,"sim","não"))</f>
        <v/>
      </c>
      <c r="H2083" s="7" t="str">
        <f aca="false">IF(A2083="","",IF(E2083="",A2083,E2083)&amp;"."&amp;IF(F2083="",B2083,F2083))</f>
        <v/>
      </c>
      <c r="I2083" s="7" t="str">
        <f aca="false">IF(A2083="","",IFERROR(INDEX('Campos Growths'!$F:$F,MATCH(H2083,'Campos Growths'!$A:$A,0)),""))</f>
        <v/>
      </c>
      <c r="J2083" s="7" t="str">
        <f aca="false">IF(A2083="","",IFERROR(VLOOKUP(IF(ISNUMBER(SEARCH("(",C2083)),LEFT(C2083,SEARCH("(",C2083)-1),C2083),Tipos!$A:$B,2,FALSE()),"outro"))</f>
        <v/>
      </c>
      <c r="K2083" s="7" t="str">
        <f aca="false">IF(I2083="","",IFERROR(INDEX('Campos Growths'!$L:$L,MATCH(H2083,'Campos Growths'!$A:$A,0)),""))</f>
        <v/>
      </c>
      <c r="L2083" s="7" t="str">
        <f aca="false">IF(A2083="","",IF(G2083="não","Sem tabela no Growths",IF(I2083="","Sem campo no Growths",IF(J2083=K2083,"Importa direto","Ajustar tipo"))))</f>
        <v/>
      </c>
      <c r="M2083" s="9"/>
    </row>
    <row r="2084" customFormat="false" ht="15" hidden="false" customHeight="false" outlineLevel="0" collapsed="false">
      <c r="A2084" s="7" t="str">
        <f aca="false">IF('Outro banco'!A2084="","",IF(LEFT('Outro banco'!A2084,1)="(","",'Outro banco'!A2084))</f>
        <v/>
      </c>
      <c r="B2084" s="7" t="str">
        <f aca="false">IF(A2084="","",'Outro banco'!B2084)</f>
        <v/>
      </c>
      <c r="C2084" s="7" t="str">
        <f aca="false">IF(A2084="","",'Outro banco'!C2084)</f>
        <v/>
      </c>
      <c r="D2084" s="7" t="str">
        <f aca="false">IF(A2084="","",'Outro banco'!D2084)</f>
        <v/>
      </c>
      <c r="E2084" s="9"/>
      <c r="F2084" s="9"/>
      <c r="G2084" s="7" t="str">
        <f aca="false">IF(A2084="","",IF(COUNTIF(Tabelas!$A:$A,IF(E2084="",A2084,E2084))&gt;0,"sim","não"))</f>
        <v/>
      </c>
      <c r="H2084" s="7" t="str">
        <f aca="false">IF(A2084="","",IF(E2084="",A2084,E2084)&amp;"."&amp;IF(F2084="",B2084,F2084))</f>
        <v/>
      </c>
      <c r="I2084" s="7" t="str">
        <f aca="false">IF(A2084="","",IFERROR(INDEX('Campos Growths'!$F:$F,MATCH(H2084,'Campos Growths'!$A:$A,0)),""))</f>
        <v/>
      </c>
      <c r="J2084" s="7" t="str">
        <f aca="false">IF(A2084="","",IFERROR(VLOOKUP(IF(ISNUMBER(SEARCH("(",C2084)),LEFT(C2084,SEARCH("(",C2084)-1),C2084),Tipos!$A:$B,2,FALSE()),"outro"))</f>
        <v/>
      </c>
      <c r="K2084" s="7" t="str">
        <f aca="false">IF(I2084="","",IFERROR(INDEX('Campos Growths'!$L:$L,MATCH(H2084,'Campos Growths'!$A:$A,0)),""))</f>
        <v/>
      </c>
      <c r="L2084" s="7" t="str">
        <f aca="false">IF(A2084="","",IF(G2084="não","Sem tabela no Growths",IF(I2084="","Sem campo no Growths",IF(J2084=K2084,"Importa direto","Ajustar tipo"))))</f>
        <v/>
      </c>
      <c r="M2084" s="9"/>
    </row>
    <row r="2085" customFormat="false" ht="15" hidden="false" customHeight="false" outlineLevel="0" collapsed="false">
      <c r="A2085" s="7" t="str">
        <f aca="false">IF('Outro banco'!A2085="","",IF(LEFT('Outro banco'!A2085,1)="(","",'Outro banco'!A2085))</f>
        <v/>
      </c>
      <c r="B2085" s="7" t="str">
        <f aca="false">IF(A2085="","",'Outro banco'!B2085)</f>
        <v/>
      </c>
      <c r="C2085" s="7" t="str">
        <f aca="false">IF(A2085="","",'Outro banco'!C2085)</f>
        <v/>
      </c>
      <c r="D2085" s="7" t="str">
        <f aca="false">IF(A2085="","",'Outro banco'!D2085)</f>
        <v/>
      </c>
      <c r="E2085" s="9"/>
      <c r="F2085" s="9"/>
      <c r="G2085" s="7" t="str">
        <f aca="false">IF(A2085="","",IF(COUNTIF(Tabelas!$A:$A,IF(E2085="",A2085,E2085))&gt;0,"sim","não"))</f>
        <v/>
      </c>
      <c r="H2085" s="7" t="str">
        <f aca="false">IF(A2085="","",IF(E2085="",A2085,E2085)&amp;"."&amp;IF(F2085="",B2085,F2085))</f>
        <v/>
      </c>
      <c r="I2085" s="7" t="str">
        <f aca="false">IF(A2085="","",IFERROR(INDEX('Campos Growths'!$F:$F,MATCH(H2085,'Campos Growths'!$A:$A,0)),""))</f>
        <v/>
      </c>
      <c r="J2085" s="7" t="str">
        <f aca="false">IF(A2085="","",IFERROR(VLOOKUP(IF(ISNUMBER(SEARCH("(",C2085)),LEFT(C2085,SEARCH("(",C2085)-1),C2085),Tipos!$A:$B,2,FALSE()),"outro"))</f>
        <v/>
      </c>
      <c r="K2085" s="7" t="str">
        <f aca="false">IF(I2085="","",IFERROR(INDEX('Campos Growths'!$L:$L,MATCH(H2085,'Campos Growths'!$A:$A,0)),""))</f>
        <v/>
      </c>
      <c r="L2085" s="7" t="str">
        <f aca="false">IF(A2085="","",IF(G2085="não","Sem tabela no Growths",IF(I2085="","Sem campo no Growths",IF(J2085=K2085,"Importa direto","Ajustar tipo"))))</f>
        <v/>
      </c>
      <c r="M2085" s="9"/>
    </row>
    <row r="2086" customFormat="false" ht="15" hidden="false" customHeight="false" outlineLevel="0" collapsed="false">
      <c r="A2086" s="7" t="str">
        <f aca="false">IF('Outro banco'!A2086="","",IF(LEFT('Outro banco'!A2086,1)="(","",'Outro banco'!A2086))</f>
        <v/>
      </c>
      <c r="B2086" s="7" t="str">
        <f aca="false">IF(A2086="","",'Outro banco'!B2086)</f>
        <v/>
      </c>
      <c r="C2086" s="7" t="str">
        <f aca="false">IF(A2086="","",'Outro banco'!C2086)</f>
        <v/>
      </c>
      <c r="D2086" s="7" t="str">
        <f aca="false">IF(A2086="","",'Outro banco'!D2086)</f>
        <v/>
      </c>
      <c r="E2086" s="9"/>
      <c r="F2086" s="9"/>
      <c r="G2086" s="7" t="str">
        <f aca="false">IF(A2086="","",IF(COUNTIF(Tabelas!$A:$A,IF(E2086="",A2086,E2086))&gt;0,"sim","não"))</f>
        <v/>
      </c>
      <c r="H2086" s="7" t="str">
        <f aca="false">IF(A2086="","",IF(E2086="",A2086,E2086)&amp;"."&amp;IF(F2086="",B2086,F2086))</f>
        <v/>
      </c>
      <c r="I2086" s="7" t="str">
        <f aca="false">IF(A2086="","",IFERROR(INDEX('Campos Growths'!$F:$F,MATCH(H2086,'Campos Growths'!$A:$A,0)),""))</f>
        <v/>
      </c>
      <c r="J2086" s="7" t="str">
        <f aca="false">IF(A2086="","",IFERROR(VLOOKUP(IF(ISNUMBER(SEARCH("(",C2086)),LEFT(C2086,SEARCH("(",C2086)-1),C2086),Tipos!$A:$B,2,FALSE()),"outro"))</f>
        <v/>
      </c>
      <c r="K2086" s="7" t="str">
        <f aca="false">IF(I2086="","",IFERROR(INDEX('Campos Growths'!$L:$L,MATCH(H2086,'Campos Growths'!$A:$A,0)),""))</f>
        <v/>
      </c>
      <c r="L2086" s="7" t="str">
        <f aca="false">IF(A2086="","",IF(G2086="não","Sem tabela no Growths",IF(I2086="","Sem campo no Growths",IF(J2086=K2086,"Importa direto","Ajustar tipo"))))</f>
        <v/>
      </c>
      <c r="M2086" s="9"/>
    </row>
    <row r="2087" customFormat="false" ht="15" hidden="false" customHeight="false" outlineLevel="0" collapsed="false">
      <c r="A2087" s="7" t="str">
        <f aca="false">IF('Outro banco'!A2087="","",IF(LEFT('Outro banco'!A2087,1)="(","",'Outro banco'!A2087))</f>
        <v/>
      </c>
      <c r="B2087" s="7" t="str">
        <f aca="false">IF(A2087="","",'Outro banco'!B2087)</f>
        <v/>
      </c>
      <c r="C2087" s="7" t="str">
        <f aca="false">IF(A2087="","",'Outro banco'!C2087)</f>
        <v/>
      </c>
      <c r="D2087" s="7" t="str">
        <f aca="false">IF(A2087="","",'Outro banco'!D2087)</f>
        <v/>
      </c>
      <c r="E2087" s="9"/>
      <c r="F2087" s="9"/>
      <c r="G2087" s="7" t="str">
        <f aca="false">IF(A2087="","",IF(COUNTIF(Tabelas!$A:$A,IF(E2087="",A2087,E2087))&gt;0,"sim","não"))</f>
        <v/>
      </c>
      <c r="H2087" s="7" t="str">
        <f aca="false">IF(A2087="","",IF(E2087="",A2087,E2087)&amp;"."&amp;IF(F2087="",B2087,F2087))</f>
        <v/>
      </c>
      <c r="I2087" s="7" t="str">
        <f aca="false">IF(A2087="","",IFERROR(INDEX('Campos Growths'!$F:$F,MATCH(H2087,'Campos Growths'!$A:$A,0)),""))</f>
        <v/>
      </c>
      <c r="J2087" s="7" t="str">
        <f aca="false">IF(A2087="","",IFERROR(VLOOKUP(IF(ISNUMBER(SEARCH("(",C2087)),LEFT(C2087,SEARCH("(",C2087)-1),C2087),Tipos!$A:$B,2,FALSE()),"outro"))</f>
        <v/>
      </c>
      <c r="K2087" s="7" t="str">
        <f aca="false">IF(I2087="","",IFERROR(INDEX('Campos Growths'!$L:$L,MATCH(H2087,'Campos Growths'!$A:$A,0)),""))</f>
        <v/>
      </c>
      <c r="L2087" s="7" t="str">
        <f aca="false">IF(A2087="","",IF(G2087="não","Sem tabela no Growths",IF(I2087="","Sem campo no Growths",IF(J2087=K2087,"Importa direto","Ajustar tipo"))))</f>
        <v/>
      </c>
      <c r="M2087" s="9"/>
    </row>
    <row r="2088" customFormat="false" ht="15" hidden="false" customHeight="false" outlineLevel="0" collapsed="false">
      <c r="A2088" s="7" t="str">
        <f aca="false">IF('Outro banco'!A2088="","",IF(LEFT('Outro banco'!A2088,1)="(","",'Outro banco'!A2088))</f>
        <v/>
      </c>
      <c r="B2088" s="7" t="str">
        <f aca="false">IF(A2088="","",'Outro banco'!B2088)</f>
        <v/>
      </c>
      <c r="C2088" s="7" t="str">
        <f aca="false">IF(A2088="","",'Outro banco'!C2088)</f>
        <v/>
      </c>
      <c r="D2088" s="7" t="str">
        <f aca="false">IF(A2088="","",'Outro banco'!D2088)</f>
        <v/>
      </c>
      <c r="E2088" s="9"/>
      <c r="F2088" s="9"/>
      <c r="G2088" s="7" t="str">
        <f aca="false">IF(A2088="","",IF(COUNTIF(Tabelas!$A:$A,IF(E2088="",A2088,E2088))&gt;0,"sim","não"))</f>
        <v/>
      </c>
      <c r="H2088" s="7" t="str">
        <f aca="false">IF(A2088="","",IF(E2088="",A2088,E2088)&amp;"."&amp;IF(F2088="",B2088,F2088))</f>
        <v/>
      </c>
      <c r="I2088" s="7" t="str">
        <f aca="false">IF(A2088="","",IFERROR(INDEX('Campos Growths'!$F:$F,MATCH(H2088,'Campos Growths'!$A:$A,0)),""))</f>
        <v/>
      </c>
      <c r="J2088" s="7" t="str">
        <f aca="false">IF(A2088="","",IFERROR(VLOOKUP(IF(ISNUMBER(SEARCH("(",C2088)),LEFT(C2088,SEARCH("(",C2088)-1),C2088),Tipos!$A:$B,2,FALSE()),"outro"))</f>
        <v/>
      </c>
      <c r="K2088" s="7" t="str">
        <f aca="false">IF(I2088="","",IFERROR(INDEX('Campos Growths'!$L:$L,MATCH(H2088,'Campos Growths'!$A:$A,0)),""))</f>
        <v/>
      </c>
      <c r="L2088" s="7" t="str">
        <f aca="false">IF(A2088="","",IF(G2088="não","Sem tabela no Growths",IF(I2088="","Sem campo no Growths",IF(J2088=K2088,"Importa direto","Ajustar tipo"))))</f>
        <v/>
      </c>
      <c r="M2088" s="9"/>
    </row>
    <row r="2089" customFormat="false" ht="15" hidden="false" customHeight="false" outlineLevel="0" collapsed="false">
      <c r="A2089" s="7" t="str">
        <f aca="false">IF('Outro banco'!A2089="","",IF(LEFT('Outro banco'!A2089,1)="(","",'Outro banco'!A2089))</f>
        <v/>
      </c>
      <c r="B2089" s="7" t="str">
        <f aca="false">IF(A2089="","",'Outro banco'!B2089)</f>
        <v/>
      </c>
      <c r="C2089" s="7" t="str">
        <f aca="false">IF(A2089="","",'Outro banco'!C2089)</f>
        <v/>
      </c>
      <c r="D2089" s="7" t="str">
        <f aca="false">IF(A2089="","",'Outro banco'!D2089)</f>
        <v/>
      </c>
      <c r="E2089" s="9"/>
      <c r="F2089" s="9"/>
      <c r="G2089" s="7" t="str">
        <f aca="false">IF(A2089="","",IF(COUNTIF(Tabelas!$A:$A,IF(E2089="",A2089,E2089))&gt;0,"sim","não"))</f>
        <v/>
      </c>
      <c r="H2089" s="7" t="str">
        <f aca="false">IF(A2089="","",IF(E2089="",A2089,E2089)&amp;"."&amp;IF(F2089="",B2089,F2089))</f>
        <v/>
      </c>
      <c r="I2089" s="7" t="str">
        <f aca="false">IF(A2089="","",IFERROR(INDEX('Campos Growths'!$F:$F,MATCH(H2089,'Campos Growths'!$A:$A,0)),""))</f>
        <v/>
      </c>
      <c r="J2089" s="7" t="str">
        <f aca="false">IF(A2089="","",IFERROR(VLOOKUP(IF(ISNUMBER(SEARCH("(",C2089)),LEFT(C2089,SEARCH("(",C2089)-1),C2089),Tipos!$A:$B,2,FALSE()),"outro"))</f>
        <v/>
      </c>
      <c r="K2089" s="7" t="str">
        <f aca="false">IF(I2089="","",IFERROR(INDEX('Campos Growths'!$L:$L,MATCH(H2089,'Campos Growths'!$A:$A,0)),""))</f>
        <v/>
      </c>
      <c r="L2089" s="7" t="str">
        <f aca="false">IF(A2089="","",IF(G2089="não","Sem tabela no Growths",IF(I2089="","Sem campo no Growths",IF(J2089=K2089,"Importa direto","Ajustar tipo"))))</f>
        <v/>
      </c>
      <c r="M2089" s="9"/>
    </row>
    <row r="2090" customFormat="false" ht="15" hidden="false" customHeight="false" outlineLevel="0" collapsed="false">
      <c r="A2090" s="7" t="str">
        <f aca="false">IF('Outro banco'!A2090="","",IF(LEFT('Outro banco'!A2090,1)="(","",'Outro banco'!A2090))</f>
        <v/>
      </c>
      <c r="B2090" s="7" t="str">
        <f aca="false">IF(A2090="","",'Outro banco'!B2090)</f>
        <v/>
      </c>
      <c r="C2090" s="7" t="str">
        <f aca="false">IF(A2090="","",'Outro banco'!C2090)</f>
        <v/>
      </c>
      <c r="D2090" s="7" t="str">
        <f aca="false">IF(A2090="","",'Outro banco'!D2090)</f>
        <v/>
      </c>
      <c r="E2090" s="9"/>
      <c r="F2090" s="9"/>
      <c r="G2090" s="7" t="str">
        <f aca="false">IF(A2090="","",IF(COUNTIF(Tabelas!$A:$A,IF(E2090="",A2090,E2090))&gt;0,"sim","não"))</f>
        <v/>
      </c>
      <c r="H2090" s="7" t="str">
        <f aca="false">IF(A2090="","",IF(E2090="",A2090,E2090)&amp;"."&amp;IF(F2090="",B2090,F2090))</f>
        <v/>
      </c>
      <c r="I2090" s="7" t="str">
        <f aca="false">IF(A2090="","",IFERROR(INDEX('Campos Growths'!$F:$F,MATCH(H2090,'Campos Growths'!$A:$A,0)),""))</f>
        <v/>
      </c>
      <c r="J2090" s="7" t="str">
        <f aca="false">IF(A2090="","",IFERROR(VLOOKUP(IF(ISNUMBER(SEARCH("(",C2090)),LEFT(C2090,SEARCH("(",C2090)-1),C2090),Tipos!$A:$B,2,FALSE()),"outro"))</f>
        <v/>
      </c>
      <c r="K2090" s="7" t="str">
        <f aca="false">IF(I2090="","",IFERROR(INDEX('Campos Growths'!$L:$L,MATCH(H2090,'Campos Growths'!$A:$A,0)),""))</f>
        <v/>
      </c>
      <c r="L2090" s="7" t="str">
        <f aca="false">IF(A2090="","",IF(G2090="não","Sem tabela no Growths",IF(I2090="","Sem campo no Growths",IF(J2090=K2090,"Importa direto","Ajustar tipo"))))</f>
        <v/>
      </c>
      <c r="M2090" s="9"/>
    </row>
    <row r="2091" customFormat="false" ht="15" hidden="false" customHeight="false" outlineLevel="0" collapsed="false">
      <c r="A2091" s="7" t="str">
        <f aca="false">IF('Outro banco'!A2091="","",IF(LEFT('Outro banco'!A2091,1)="(","",'Outro banco'!A2091))</f>
        <v/>
      </c>
      <c r="B2091" s="7" t="str">
        <f aca="false">IF(A2091="","",'Outro banco'!B2091)</f>
        <v/>
      </c>
      <c r="C2091" s="7" t="str">
        <f aca="false">IF(A2091="","",'Outro banco'!C2091)</f>
        <v/>
      </c>
      <c r="D2091" s="7" t="str">
        <f aca="false">IF(A2091="","",'Outro banco'!D2091)</f>
        <v/>
      </c>
      <c r="E2091" s="9"/>
      <c r="F2091" s="9"/>
      <c r="G2091" s="7" t="str">
        <f aca="false">IF(A2091="","",IF(COUNTIF(Tabelas!$A:$A,IF(E2091="",A2091,E2091))&gt;0,"sim","não"))</f>
        <v/>
      </c>
      <c r="H2091" s="7" t="str">
        <f aca="false">IF(A2091="","",IF(E2091="",A2091,E2091)&amp;"."&amp;IF(F2091="",B2091,F2091))</f>
        <v/>
      </c>
      <c r="I2091" s="7" t="str">
        <f aca="false">IF(A2091="","",IFERROR(INDEX('Campos Growths'!$F:$F,MATCH(H2091,'Campos Growths'!$A:$A,0)),""))</f>
        <v/>
      </c>
      <c r="J2091" s="7" t="str">
        <f aca="false">IF(A2091="","",IFERROR(VLOOKUP(IF(ISNUMBER(SEARCH("(",C2091)),LEFT(C2091,SEARCH("(",C2091)-1),C2091),Tipos!$A:$B,2,FALSE()),"outro"))</f>
        <v/>
      </c>
      <c r="K2091" s="7" t="str">
        <f aca="false">IF(I2091="","",IFERROR(INDEX('Campos Growths'!$L:$L,MATCH(H2091,'Campos Growths'!$A:$A,0)),""))</f>
        <v/>
      </c>
      <c r="L2091" s="7" t="str">
        <f aca="false">IF(A2091="","",IF(G2091="não","Sem tabela no Growths",IF(I2091="","Sem campo no Growths",IF(J2091=K2091,"Importa direto","Ajustar tipo"))))</f>
        <v/>
      </c>
      <c r="M2091" s="9"/>
    </row>
    <row r="2092" customFormat="false" ht="15" hidden="false" customHeight="false" outlineLevel="0" collapsed="false">
      <c r="A2092" s="7" t="str">
        <f aca="false">IF('Outro banco'!A2092="","",IF(LEFT('Outro banco'!A2092,1)="(","",'Outro banco'!A2092))</f>
        <v/>
      </c>
      <c r="B2092" s="7" t="str">
        <f aca="false">IF(A2092="","",'Outro banco'!B2092)</f>
        <v/>
      </c>
      <c r="C2092" s="7" t="str">
        <f aca="false">IF(A2092="","",'Outro banco'!C2092)</f>
        <v/>
      </c>
      <c r="D2092" s="7" t="str">
        <f aca="false">IF(A2092="","",'Outro banco'!D2092)</f>
        <v/>
      </c>
      <c r="E2092" s="9"/>
      <c r="F2092" s="9"/>
      <c r="G2092" s="7" t="str">
        <f aca="false">IF(A2092="","",IF(COUNTIF(Tabelas!$A:$A,IF(E2092="",A2092,E2092))&gt;0,"sim","não"))</f>
        <v/>
      </c>
      <c r="H2092" s="7" t="str">
        <f aca="false">IF(A2092="","",IF(E2092="",A2092,E2092)&amp;"."&amp;IF(F2092="",B2092,F2092))</f>
        <v/>
      </c>
      <c r="I2092" s="7" t="str">
        <f aca="false">IF(A2092="","",IFERROR(INDEX('Campos Growths'!$F:$F,MATCH(H2092,'Campos Growths'!$A:$A,0)),""))</f>
        <v/>
      </c>
      <c r="J2092" s="7" t="str">
        <f aca="false">IF(A2092="","",IFERROR(VLOOKUP(IF(ISNUMBER(SEARCH("(",C2092)),LEFT(C2092,SEARCH("(",C2092)-1),C2092),Tipos!$A:$B,2,FALSE()),"outro"))</f>
        <v/>
      </c>
      <c r="K2092" s="7" t="str">
        <f aca="false">IF(I2092="","",IFERROR(INDEX('Campos Growths'!$L:$L,MATCH(H2092,'Campos Growths'!$A:$A,0)),""))</f>
        <v/>
      </c>
      <c r="L2092" s="7" t="str">
        <f aca="false">IF(A2092="","",IF(G2092="não","Sem tabela no Growths",IF(I2092="","Sem campo no Growths",IF(J2092=K2092,"Importa direto","Ajustar tipo"))))</f>
        <v/>
      </c>
      <c r="M2092" s="9"/>
    </row>
    <row r="2093" customFormat="false" ht="15" hidden="false" customHeight="false" outlineLevel="0" collapsed="false">
      <c r="A2093" s="7" t="str">
        <f aca="false">IF('Outro banco'!A2093="","",IF(LEFT('Outro banco'!A2093,1)="(","",'Outro banco'!A2093))</f>
        <v/>
      </c>
      <c r="B2093" s="7" t="str">
        <f aca="false">IF(A2093="","",'Outro banco'!B2093)</f>
        <v/>
      </c>
      <c r="C2093" s="7" t="str">
        <f aca="false">IF(A2093="","",'Outro banco'!C2093)</f>
        <v/>
      </c>
      <c r="D2093" s="7" t="str">
        <f aca="false">IF(A2093="","",'Outro banco'!D2093)</f>
        <v/>
      </c>
      <c r="E2093" s="9"/>
      <c r="F2093" s="9"/>
      <c r="G2093" s="7" t="str">
        <f aca="false">IF(A2093="","",IF(COUNTIF(Tabelas!$A:$A,IF(E2093="",A2093,E2093))&gt;0,"sim","não"))</f>
        <v/>
      </c>
      <c r="H2093" s="7" t="str">
        <f aca="false">IF(A2093="","",IF(E2093="",A2093,E2093)&amp;"."&amp;IF(F2093="",B2093,F2093))</f>
        <v/>
      </c>
      <c r="I2093" s="7" t="str">
        <f aca="false">IF(A2093="","",IFERROR(INDEX('Campos Growths'!$F:$F,MATCH(H2093,'Campos Growths'!$A:$A,0)),""))</f>
        <v/>
      </c>
      <c r="J2093" s="7" t="str">
        <f aca="false">IF(A2093="","",IFERROR(VLOOKUP(IF(ISNUMBER(SEARCH("(",C2093)),LEFT(C2093,SEARCH("(",C2093)-1),C2093),Tipos!$A:$B,2,FALSE()),"outro"))</f>
        <v/>
      </c>
      <c r="K2093" s="7" t="str">
        <f aca="false">IF(I2093="","",IFERROR(INDEX('Campos Growths'!$L:$L,MATCH(H2093,'Campos Growths'!$A:$A,0)),""))</f>
        <v/>
      </c>
      <c r="L2093" s="7" t="str">
        <f aca="false">IF(A2093="","",IF(G2093="não","Sem tabela no Growths",IF(I2093="","Sem campo no Growths",IF(J2093=K2093,"Importa direto","Ajustar tipo"))))</f>
        <v/>
      </c>
      <c r="M2093" s="9"/>
    </row>
    <row r="2094" customFormat="false" ht="15" hidden="false" customHeight="false" outlineLevel="0" collapsed="false">
      <c r="A2094" s="7" t="str">
        <f aca="false">IF('Outro banco'!A2094="","",IF(LEFT('Outro banco'!A2094,1)="(","",'Outro banco'!A2094))</f>
        <v/>
      </c>
      <c r="B2094" s="7" t="str">
        <f aca="false">IF(A2094="","",'Outro banco'!B2094)</f>
        <v/>
      </c>
      <c r="C2094" s="7" t="str">
        <f aca="false">IF(A2094="","",'Outro banco'!C2094)</f>
        <v/>
      </c>
      <c r="D2094" s="7" t="str">
        <f aca="false">IF(A2094="","",'Outro banco'!D2094)</f>
        <v/>
      </c>
      <c r="E2094" s="9"/>
      <c r="F2094" s="9"/>
      <c r="G2094" s="7" t="str">
        <f aca="false">IF(A2094="","",IF(COUNTIF(Tabelas!$A:$A,IF(E2094="",A2094,E2094))&gt;0,"sim","não"))</f>
        <v/>
      </c>
      <c r="H2094" s="7" t="str">
        <f aca="false">IF(A2094="","",IF(E2094="",A2094,E2094)&amp;"."&amp;IF(F2094="",B2094,F2094))</f>
        <v/>
      </c>
      <c r="I2094" s="7" t="str">
        <f aca="false">IF(A2094="","",IFERROR(INDEX('Campos Growths'!$F:$F,MATCH(H2094,'Campos Growths'!$A:$A,0)),""))</f>
        <v/>
      </c>
      <c r="J2094" s="7" t="str">
        <f aca="false">IF(A2094="","",IFERROR(VLOOKUP(IF(ISNUMBER(SEARCH("(",C2094)),LEFT(C2094,SEARCH("(",C2094)-1),C2094),Tipos!$A:$B,2,FALSE()),"outro"))</f>
        <v/>
      </c>
      <c r="K2094" s="7" t="str">
        <f aca="false">IF(I2094="","",IFERROR(INDEX('Campos Growths'!$L:$L,MATCH(H2094,'Campos Growths'!$A:$A,0)),""))</f>
        <v/>
      </c>
      <c r="L2094" s="7" t="str">
        <f aca="false">IF(A2094="","",IF(G2094="não","Sem tabela no Growths",IF(I2094="","Sem campo no Growths",IF(J2094=K2094,"Importa direto","Ajustar tipo"))))</f>
        <v/>
      </c>
      <c r="M2094" s="9"/>
    </row>
    <row r="2095" customFormat="false" ht="15" hidden="false" customHeight="false" outlineLevel="0" collapsed="false">
      <c r="A2095" s="7" t="str">
        <f aca="false">IF('Outro banco'!A2095="","",IF(LEFT('Outro banco'!A2095,1)="(","",'Outro banco'!A2095))</f>
        <v/>
      </c>
      <c r="B2095" s="7" t="str">
        <f aca="false">IF(A2095="","",'Outro banco'!B2095)</f>
        <v/>
      </c>
      <c r="C2095" s="7" t="str">
        <f aca="false">IF(A2095="","",'Outro banco'!C2095)</f>
        <v/>
      </c>
      <c r="D2095" s="7" t="str">
        <f aca="false">IF(A2095="","",'Outro banco'!D2095)</f>
        <v/>
      </c>
      <c r="E2095" s="9"/>
      <c r="F2095" s="9"/>
      <c r="G2095" s="7" t="str">
        <f aca="false">IF(A2095="","",IF(COUNTIF(Tabelas!$A:$A,IF(E2095="",A2095,E2095))&gt;0,"sim","não"))</f>
        <v/>
      </c>
      <c r="H2095" s="7" t="str">
        <f aca="false">IF(A2095="","",IF(E2095="",A2095,E2095)&amp;"."&amp;IF(F2095="",B2095,F2095))</f>
        <v/>
      </c>
      <c r="I2095" s="7" t="str">
        <f aca="false">IF(A2095="","",IFERROR(INDEX('Campos Growths'!$F:$F,MATCH(H2095,'Campos Growths'!$A:$A,0)),""))</f>
        <v/>
      </c>
      <c r="J2095" s="7" t="str">
        <f aca="false">IF(A2095="","",IFERROR(VLOOKUP(IF(ISNUMBER(SEARCH("(",C2095)),LEFT(C2095,SEARCH("(",C2095)-1),C2095),Tipos!$A:$B,2,FALSE()),"outro"))</f>
        <v/>
      </c>
      <c r="K2095" s="7" t="str">
        <f aca="false">IF(I2095="","",IFERROR(INDEX('Campos Growths'!$L:$L,MATCH(H2095,'Campos Growths'!$A:$A,0)),""))</f>
        <v/>
      </c>
      <c r="L2095" s="7" t="str">
        <f aca="false">IF(A2095="","",IF(G2095="não","Sem tabela no Growths",IF(I2095="","Sem campo no Growths",IF(J2095=K2095,"Importa direto","Ajustar tipo"))))</f>
        <v/>
      </c>
      <c r="M2095" s="9"/>
    </row>
    <row r="2096" customFormat="false" ht="15" hidden="false" customHeight="false" outlineLevel="0" collapsed="false">
      <c r="A2096" s="7" t="str">
        <f aca="false">IF('Outro banco'!A2096="","",IF(LEFT('Outro banco'!A2096,1)="(","",'Outro banco'!A2096))</f>
        <v/>
      </c>
      <c r="B2096" s="7" t="str">
        <f aca="false">IF(A2096="","",'Outro banco'!B2096)</f>
        <v/>
      </c>
      <c r="C2096" s="7" t="str">
        <f aca="false">IF(A2096="","",'Outro banco'!C2096)</f>
        <v/>
      </c>
      <c r="D2096" s="7" t="str">
        <f aca="false">IF(A2096="","",'Outro banco'!D2096)</f>
        <v/>
      </c>
      <c r="E2096" s="9"/>
      <c r="F2096" s="9"/>
      <c r="G2096" s="7" t="str">
        <f aca="false">IF(A2096="","",IF(COUNTIF(Tabelas!$A:$A,IF(E2096="",A2096,E2096))&gt;0,"sim","não"))</f>
        <v/>
      </c>
      <c r="H2096" s="7" t="str">
        <f aca="false">IF(A2096="","",IF(E2096="",A2096,E2096)&amp;"."&amp;IF(F2096="",B2096,F2096))</f>
        <v/>
      </c>
      <c r="I2096" s="7" t="str">
        <f aca="false">IF(A2096="","",IFERROR(INDEX('Campos Growths'!$F:$F,MATCH(H2096,'Campos Growths'!$A:$A,0)),""))</f>
        <v/>
      </c>
      <c r="J2096" s="7" t="str">
        <f aca="false">IF(A2096="","",IFERROR(VLOOKUP(IF(ISNUMBER(SEARCH("(",C2096)),LEFT(C2096,SEARCH("(",C2096)-1),C2096),Tipos!$A:$B,2,FALSE()),"outro"))</f>
        <v/>
      </c>
      <c r="K2096" s="7" t="str">
        <f aca="false">IF(I2096="","",IFERROR(INDEX('Campos Growths'!$L:$L,MATCH(H2096,'Campos Growths'!$A:$A,0)),""))</f>
        <v/>
      </c>
      <c r="L2096" s="7" t="str">
        <f aca="false">IF(A2096="","",IF(G2096="não","Sem tabela no Growths",IF(I2096="","Sem campo no Growths",IF(J2096=K2096,"Importa direto","Ajustar tipo"))))</f>
        <v/>
      </c>
      <c r="M2096" s="9"/>
    </row>
    <row r="2097" customFormat="false" ht="15" hidden="false" customHeight="false" outlineLevel="0" collapsed="false">
      <c r="A2097" s="7" t="str">
        <f aca="false">IF('Outro banco'!A2097="","",IF(LEFT('Outro banco'!A2097,1)="(","",'Outro banco'!A2097))</f>
        <v/>
      </c>
      <c r="B2097" s="7" t="str">
        <f aca="false">IF(A2097="","",'Outro banco'!B2097)</f>
        <v/>
      </c>
      <c r="C2097" s="7" t="str">
        <f aca="false">IF(A2097="","",'Outro banco'!C2097)</f>
        <v/>
      </c>
      <c r="D2097" s="7" t="str">
        <f aca="false">IF(A2097="","",'Outro banco'!D2097)</f>
        <v/>
      </c>
      <c r="E2097" s="9"/>
      <c r="F2097" s="9"/>
      <c r="G2097" s="7" t="str">
        <f aca="false">IF(A2097="","",IF(COUNTIF(Tabelas!$A:$A,IF(E2097="",A2097,E2097))&gt;0,"sim","não"))</f>
        <v/>
      </c>
      <c r="H2097" s="7" t="str">
        <f aca="false">IF(A2097="","",IF(E2097="",A2097,E2097)&amp;"."&amp;IF(F2097="",B2097,F2097))</f>
        <v/>
      </c>
      <c r="I2097" s="7" t="str">
        <f aca="false">IF(A2097="","",IFERROR(INDEX('Campos Growths'!$F:$F,MATCH(H2097,'Campos Growths'!$A:$A,0)),""))</f>
        <v/>
      </c>
      <c r="J2097" s="7" t="str">
        <f aca="false">IF(A2097="","",IFERROR(VLOOKUP(IF(ISNUMBER(SEARCH("(",C2097)),LEFT(C2097,SEARCH("(",C2097)-1),C2097),Tipos!$A:$B,2,FALSE()),"outro"))</f>
        <v/>
      </c>
      <c r="K2097" s="7" t="str">
        <f aca="false">IF(I2097="","",IFERROR(INDEX('Campos Growths'!$L:$L,MATCH(H2097,'Campos Growths'!$A:$A,0)),""))</f>
        <v/>
      </c>
      <c r="L2097" s="7" t="str">
        <f aca="false">IF(A2097="","",IF(G2097="não","Sem tabela no Growths",IF(I2097="","Sem campo no Growths",IF(J2097=K2097,"Importa direto","Ajustar tipo"))))</f>
        <v/>
      </c>
      <c r="M2097" s="9"/>
    </row>
    <row r="2098" customFormat="false" ht="15" hidden="false" customHeight="false" outlineLevel="0" collapsed="false">
      <c r="A2098" s="7" t="str">
        <f aca="false">IF('Outro banco'!A2098="","",IF(LEFT('Outro banco'!A2098,1)="(","",'Outro banco'!A2098))</f>
        <v/>
      </c>
      <c r="B2098" s="7" t="str">
        <f aca="false">IF(A2098="","",'Outro banco'!B2098)</f>
        <v/>
      </c>
      <c r="C2098" s="7" t="str">
        <f aca="false">IF(A2098="","",'Outro banco'!C2098)</f>
        <v/>
      </c>
      <c r="D2098" s="7" t="str">
        <f aca="false">IF(A2098="","",'Outro banco'!D2098)</f>
        <v/>
      </c>
      <c r="E2098" s="9"/>
      <c r="F2098" s="9"/>
      <c r="G2098" s="7" t="str">
        <f aca="false">IF(A2098="","",IF(COUNTIF(Tabelas!$A:$A,IF(E2098="",A2098,E2098))&gt;0,"sim","não"))</f>
        <v/>
      </c>
      <c r="H2098" s="7" t="str">
        <f aca="false">IF(A2098="","",IF(E2098="",A2098,E2098)&amp;"."&amp;IF(F2098="",B2098,F2098))</f>
        <v/>
      </c>
      <c r="I2098" s="7" t="str">
        <f aca="false">IF(A2098="","",IFERROR(INDEX('Campos Growths'!$F:$F,MATCH(H2098,'Campos Growths'!$A:$A,0)),""))</f>
        <v/>
      </c>
      <c r="J2098" s="7" t="str">
        <f aca="false">IF(A2098="","",IFERROR(VLOOKUP(IF(ISNUMBER(SEARCH("(",C2098)),LEFT(C2098,SEARCH("(",C2098)-1),C2098),Tipos!$A:$B,2,FALSE()),"outro"))</f>
        <v/>
      </c>
      <c r="K2098" s="7" t="str">
        <f aca="false">IF(I2098="","",IFERROR(INDEX('Campos Growths'!$L:$L,MATCH(H2098,'Campos Growths'!$A:$A,0)),""))</f>
        <v/>
      </c>
      <c r="L2098" s="7" t="str">
        <f aca="false">IF(A2098="","",IF(G2098="não","Sem tabela no Growths",IF(I2098="","Sem campo no Growths",IF(J2098=K2098,"Importa direto","Ajustar tipo"))))</f>
        <v/>
      </c>
      <c r="M2098" s="9"/>
    </row>
    <row r="2099" customFormat="false" ht="15" hidden="false" customHeight="false" outlineLevel="0" collapsed="false">
      <c r="A2099" s="7" t="str">
        <f aca="false">IF('Outro banco'!A2099="","",IF(LEFT('Outro banco'!A2099,1)="(","",'Outro banco'!A2099))</f>
        <v/>
      </c>
      <c r="B2099" s="7" t="str">
        <f aca="false">IF(A2099="","",'Outro banco'!B2099)</f>
        <v/>
      </c>
      <c r="C2099" s="7" t="str">
        <f aca="false">IF(A2099="","",'Outro banco'!C2099)</f>
        <v/>
      </c>
      <c r="D2099" s="7" t="str">
        <f aca="false">IF(A2099="","",'Outro banco'!D2099)</f>
        <v/>
      </c>
      <c r="E2099" s="9"/>
      <c r="F2099" s="9"/>
      <c r="G2099" s="7" t="str">
        <f aca="false">IF(A2099="","",IF(COUNTIF(Tabelas!$A:$A,IF(E2099="",A2099,E2099))&gt;0,"sim","não"))</f>
        <v/>
      </c>
      <c r="H2099" s="7" t="str">
        <f aca="false">IF(A2099="","",IF(E2099="",A2099,E2099)&amp;"."&amp;IF(F2099="",B2099,F2099))</f>
        <v/>
      </c>
      <c r="I2099" s="7" t="str">
        <f aca="false">IF(A2099="","",IFERROR(INDEX('Campos Growths'!$F:$F,MATCH(H2099,'Campos Growths'!$A:$A,0)),""))</f>
        <v/>
      </c>
      <c r="J2099" s="7" t="str">
        <f aca="false">IF(A2099="","",IFERROR(VLOOKUP(IF(ISNUMBER(SEARCH("(",C2099)),LEFT(C2099,SEARCH("(",C2099)-1),C2099),Tipos!$A:$B,2,FALSE()),"outro"))</f>
        <v/>
      </c>
      <c r="K2099" s="7" t="str">
        <f aca="false">IF(I2099="","",IFERROR(INDEX('Campos Growths'!$L:$L,MATCH(H2099,'Campos Growths'!$A:$A,0)),""))</f>
        <v/>
      </c>
      <c r="L2099" s="7" t="str">
        <f aca="false">IF(A2099="","",IF(G2099="não","Sem tabela no Growths",IF(I2099="","Sem campo no Growths",IF(J2099=K2099,"Importa direto","Ajustar tipo"))))</f>
        <v/>
      </c>
      <c r="M2099" s="9"/>
    </row>
    <row r="2100" customFormat="false" ht="15" hidden="false" customHeight="false" outlineLevel="0" collapsed="false">
      <c r="A2100" s="7" t="str">
        <f aca="false">IF('Outro banco'!A2100="","",IF(LEFT('Outro banco'!A2100,1)="(","",'Outro banco'!A2100))</f>
        <v/>
      </c>
      <c r="B2100" s="7" t="str">
        <f aca="false">IF(A2100="","",'Outro banco'!B2100)</f>
        <v/>
      </c>
      <c r="C2100" s="7" t="str">
        <f aca="false">IF(A2100="","",'Outro banco'!C2100)</f>
        <v/>
      </c>
      <c r="D2100" s="7" t="str">
        <f aca="false">IF(A2100="","",'Outro banco'!D2100)</f>
        <v/>
      </c>
      <c r="E2100" s="9"/>
      <c r="F2100" s="9"/>
      <c r="G2100" s="7" t="str">
        <f aca="false">IF(A2100="","",IF(COUNTIF(Tabelas!$A:$A,IF(E2100="",A2100,E2100))&gt;0,"sim","não"))</f>
        <v/>
      </c>
      <c r="H2100" s="7" t="str">
        <f aca="false">IF(A2100="","",IF(E2100="",A2100,E2100)&amp;"."&amp;IF(F2100="",B2100,F2100))</f>
        <v/>
      </c>
      <c r="I2100" s="7" t="str">
        <f aca="false">IF(A2100="","",IFERROR(INDEX('Campos Growths'!$F:$F,MATCH(H2100,'Campos Growths'!$A:$A,0)),""))</f>
        <v/>
      </c>
      <c r="J2100" s="7" t="str">
        <f aca="false">IF(A2100="","",IFERROR(VLOOKUP(IF(ISNUMBER(SEARCH("(",C2100)),LEFT(C2100,SEARCH("(",C2100)-1),C2100),Tipos!$A:$B,2,FALSE()),"outro"))</f>
        <v/>
      </c>
      <c r="K2100" s="7" t="str">
        <f aca="false">IF(I2100="","",IFERROR(INDEX('Campos Growths'!$L:$L,MATCH(H2100,'Campos Growths'!$A:$A,0)),""))</f>
        <v/>
      </c>
      <c r="L2100" s="7" t="str">
        <f aca="false">IF(A2100="","",IF(G2100="não","Sem tabela no Growths",IF(I2100="","Sem campo no Growths",IF(J2100=K2100,"Importa direto","Ajustar tipo"))))</f>
        <v/>
      </c>
      <c r="M2100" s="9"/>
    </row>
    <row r="2101" customFormat="false" ht="15" hidden="false" customHeight="false" outlineLevel="0" collapsed="false">
      <c r="A2101" s="7" t="str">
        <f aca="false">IF('Outro banco'!A2101="","",IF(LEFT('Outro banco'!A2101,1)="(","",'Outro banco'!A2101))</f>
        <v/>
      </c>
      <c r="B2101" s="7" t="str">
        <f aca="false">IF(A2101="","",'Outro banco'!B2101)</f>
        <v/>
      </c>
      <c r="C2101" s="7" t="str">
        <f aca="false">IF(A2101="","",'Outro banco'!C2101)</f>
        <v/>
      </c>
      <c r="D2101" s="7" t="str">
        <f aca="false">IF(A2101="","",'Outro banco'!D2101)</f>
        <v/>
      </c>
      <c r="E2101" s="9"/>
      <c r="F2101" s="9"/>
      <c r="G2101" s="7" t="str">
        <f aca="false">IF(A2101="","",IF(COUNTIF(Tabelas!$A:$A,IF(E2101="",A2101,E2101))&gt;0,"sim","não"))</f>
        <v/>
      </c>
      <c r="H2101" s="7" t="str">
        <f aca="false">IF(A2101="","",IF(E2101="",A2101,E2101)&amp;"."&amp;IF(F2101="",B2101,F2101))</f>
        <v/>
      </c>
      <c r="I2101" s="7" t="str">
        <f aca="false">IF(A2101="","",IFERROR(INDEX('Campos Growths'!$F:$F,MATCH(H2101,'Campos Growths'!$A:$A,0)),""))</f>
        <v/>
      </c>
      <c r="J2101" s="7" t="str">
        <f aca="false">IF(A2101="","",IFERROR(VLOOKUP(IF(ISNUMBER(SEARCH("(",C2101)),LEFT(C2101,SEARCH("(",C2101)-1),C2101),Tipos!$A:$B,2,FALSE()),"outro"))</f>
        <v/>
      </c>
      <c r="K2101" s="7" t="str">
        <f aca="false">IF(I2101="","",IFERROR(INDEX('Campos Growths'!$L:$L,MATCH(H2101,'Campos Growths'!$A:$A,0)),""))</f>
        <v/>
      </c>
      <c r="L2101" s="7" t="str">
        <f aca="false">IF(A2101="","",IF(G2101="não","Sem tabela no Growths",IF(I2101="","Sem campo no Growths",IF(J2101=K2101,"Importa direto","Ajustar tipo"))))</f>
        <v/>
      </c>
      <c r="M2101" s="9"/>
    </row>
    <row r="2102" customFormat="false" ht="15" hidden="false" customHeight="false" outlineLevel="0" collapsed="false">
      <c r="A2102" s="7" t="str">
        <f aca="false">IF('Outro banco'!A2102="","",IF(LEFT('Outro banco'!A2102,1)="(","",'Outro banco'!A2102))</f>
        <v/>
      </c>
      <c r="B2102" s="7" t="str">
        <f aca="false">IF(A2102="","",'Outro banco'!B2102)</f>
        <v/>
      </c>
      <c r="C2102" s="7" t="str">
        <f aca="false">IF(A2102="","",'Outro banco'!C2102)</f>
        <v/>
      </c>
      <c r="D2102" s="7" t="str">
        <f aca="false">IF(A2102="","",'Outro banco'!D2102)</f>
        <v/>
      </c>
      <c r="E2102" s="9"/>
      <c r="F2102" s="9"/>
      <c r="G2102" s="7" t="str">
        <f aca="false">IF(A2102="","",IF(COUNTIF(Tabelas!$A:$A,IF(E2102="",A2102,E2102))&gt;0,"sim","não"))</f>
        <v/>
      </c>
      <c r="H2102" s="7" t="str">
        <f aca="false">IF(A2102="","",IF(E2102="",A2102,E2102)&amp;"."&amp;IF(F2102="",B2102,F2102))</f>
        <v/>
      </c>
      <c r="I2102" s="7" t="str">
        <f aca="false">IF(A2102="","",IFERROR(INDEX('Campos Growths'!$F:$F,MATCH(H2102,'Campos Growths'!$A:$A,0)),""))</f>
        <v/>
      </c>
      <c r="J2102" s="7" t="str">
        <f aca="false">IF(A2102="","",IFERROR(VLOOKUP(IF(ISNUMBER(SEARCH("(",C2102)),LEFT(C2102,SEARCH("(",C2102)-1),C2102),Tipos!$A:$B,2,FALSE()),"outro"))</f>
        <v/>
      </c>
      <c r="K2102" s="7" t="str">
        <f aca="false">IF(I2102="","",IFERROR(INDEX('Campos Growths'!$L:$L,MATCH(H2102,'Campos Growths'!$A:$A,0)),""))</f>
        <v/>
      </c>
      <c r="L2102" s="7" t="str">
        <f aca="false">IF(A2102="","",IF(G2102="não","Sem tabela no Growths",IF(I2102="","Sem campo no Growths",IF(J2102=K2102,"Importa direto","Ajustar tipo"))))</f>
        <v/>
      </c>
      <c r="M2102" s="9"/>
    </row>
    <row r="2103" customFormat="false" ht="15" hidden="false" customHeight="false" outlineLevel="0" collapsed="false">
      <c r="A2103" s="7" t="str">
        <f aca="false">IF('Outro banco'!A2103="","",IF(LEFT('Outro banco'!A2103,1)="(","",'Outro banco'!A2103))</f>
        <v/>
      </c>
      <c r="B2103" s="7" t="str">
        <f aca="false">IF(A2103="","",'Outro banco'!B2103)</f>
        <v/>
      </c>
      <c r="C2103" s="7" t="str">
        <f aca="false">IF(A2103="","",'Outro banco'!C2103)</f>
        <v/>
      </c>
      <c r="D2103" s="7" t="str">
        <f aca="false">IF(A2103="","",'Outro banco'!D2103)</f>
        <v/>
      </c>
      <c r="E2103" s="9"/>
      <c r="F2103" s="9"/>
      <c r="G2103" s="7" t="str">
        <f aca="false">IF(A2103="","",IF(COUNTIF(Tabelas!$A:$A,IF(E2103="",A2103,E2103))&gt;0,"sim","não"))</f>
        <v/>
      </c>
      <c r="H2103" s="7" t="str">
        <f aca="false">IF(A2103="","",IF(E2103="",A2103,E2103)&amp;"."&amp;IF(F2103="",B2103,F2103))</f>
        <v/>
      </c>
      <c r="I2103" s="7" t="str">
        <f aca="false">IF(A2103="","",IFERROR(INDEX('Campos Growths'!$F:$F,MATCH(H2103,'Campos Growths'!$A:$A,0)),""))</f>
        <v/>
      </c>
      <c r="J2103" s="7" t="str">
        <f aca="false">IF(A2103="","",IFERROR(VLOOKUP(IF(ISNUMBER(SEARCH("(",C2103)),LEFT(C2103,SEARCH("(",C2103)-1),C2103),Tipos!$A:$B,2,FALSE()),"outro"))</f>
        <v/>
      </c>
      <c r="K2103" s="7" t="str">
        <f aca="false">IF(I2103="","",IFERROR(INDEX('Campos Growths'!$L:$L,MATCH(H2103,'Campos Growths'!$A:$A,0)),""))</f>
        <v/>
      </c>
      <c r="L2103" s="7" t="str">
        <f aca="false">IF(A2103="","",IF(G2103="não","Sem tabela no Growths",IF(I2103="","Sem campo no Growths",IF(J2103=K2103,"Importa direto","Ajustar tipo"))))</f>
        <v/>
      </c>
      <c r="M2103" s="9"/>
    </row>
    <row r="2104" customFormat="false" ht="15" hidden="false" customHeight="false" outlineLevel="0" collapsed="false">
      <c r="A2104" s="7" t="str">
        <f aca="false">IF('Outro banco'!A2104="","",IF(LEFT('Outro banco'!A2104,1)="(","",'Outro banco'!A2104))</f>
        <v/>
      </c>
      <c r="B2104" s="7" t="str">
        <f aca="false">IF(A2104="","",'Outro banco'!B2104)</f>
        <v/>
      </c>
      <c r="C2104" s="7" t="str">
        <f aca="false">IF(A2104="","",'Outro banco'!C2104)</f>
        <v/>
      </c>
      <c r="D2104" s="7" t="str">
        <f aca="false">IF(A2104="","",'Outro banco'!D2104)</f>
        <v/>
      </c>
      <c r="E2104" s="9"/>
      <c r="F2104" s="9"/>
      <c r="G2104" s="7" t="str">
        <f aca="false">IF(A2104="","",IF(COUNTIF(Tabelas!$A:$A,IF(E2104="",A2104,E2104))&gt;0,"sim","não"))</f>
        <v/>
      </c>
      <c r="H2104" s="7" t="str">
        <f aca="false">IF(A2104="","",IF(E2104="",A2104,E2104)&amp;"."&amp;IF(F2104="",B2104,F2104))</f>
        <v/>
      </c>
      <c r="I2104" s="7" t="str">
        <f aca="false">IF(A2104="","",IFERROR(INDEX('Campos Growths'!$F:$F,MATCH(H2104,'Campos Growths'!$A:$A,0)),""))</f>
        <v/>
      </c>
      <c r="J2104" s="7" t="str">
        <f aca="false">IF(A2104="","",IFERROR(VLOOKUP(IF(ISNUMBER(SEARCH("(",C2104)),LEFT(C2104,SEARCH("(",C2104)-1),C2104),Tipos!$A:$B,2,FALSE()),"outro"))</f>
        <v/>
      </c>
      <c r="K2104" s="7" t="str">
        <f aca="false">IF(I2104="","",IFERROR(INDEX('Campos Growths'!$L:$L,MATCH(H2104,'Campos Growths'!$A:$A,0)),""))</f>
        <v/>
      </c>
      <c r="L2104" s="7" t="str">
        <f aca="false">IF(A2104="","",IF(G2104="não","Sem tabela no Growths",IF(I2104="","Sem campo no Growths",IF(J2104=K2104,"Importa direto","Ajustar tipo"))))</f>
        <v/>
      </c>
      <c r="M2104" s="9"/>
    </row>
    <row r="2105" customFormat="false" ht="15" hidden="false" customHeight="false" outlineLevel="0" collapsed="false">
      <c r="A2105" s="7" t="str">
        <f aca="false">IF('Outro banco'!A2105="","",IF(LEFT('Outro banco'!A2105,1)="(","",'Outro banco'!A2105))</f>
        <v/>
      </c>
      <c r="B2105" s="7" t="str">
        <f aca="false">IF(A2105="","",'Outro banco'!B2105)</f>
        <v/>
      </c>
      <c r="C2105" s="7" t="str">
        <f aca="false">IF(A2105="","",'Outro banco'!C2105)</f>
        <v/>
      </c>
      <c r="D2105" s="7" t="str">
        <f aca="false">IF(A2105="","",'Outro banco'!D2105)</f>
        <v/>
      </c>
      <c r="E2105" s="9"/>
      <c r="F2105" s="9"/>
      <c r="G2105" s="7" t="str">
        <f aca="false">IF(A2105="","",IF(COUNTIF(Tabelas!$A:$A,IF(E2105="",A2105,E2105))&gt;0,"sim","não"))</f>
        <v/>
      </c>
      <c r="H2105" s="7" t="str">
        <f aca="false">IF(A2105="","",IF(E2105="",A2105,E2105)&amp;"."&amp;IF(F2105="",B2105,F2105))</f>
        <v/>
      </c>
      <c r="I2105" s="7" t="str">
        <f aca="false">IF(A2105="","",IFERROR(INDEX('Campos Growths'!$F:$F,MATCH(H2105,'Campos Growths'!$A:$A,0)),""))</f>
        <v/>
      </c>
      <c r="J2105" s="7" t="str">
        <f aca="false">IF(A2105="","",IFERROR(VLOOKUP(IF(ISNUMBER(SEARCH("(",C2105)),LEFT(C2105,SEARCH("(",C2105)-1),C2105),Tipos!$A:$B,2,FALSE()),"outro"))</f>
        <v/>
      </c>
      <c r="K2105" s="7" t="str">
        <f aca="false">IF(I2105="","",IFERROR(INDEX('Campos Growths'!$L:$L,MATCH(H2105,'Campos Growths'!$A:$A,0)),""))</f>
        <v/>
      </c>
      <c r="L2105" s="7" t="str">
        <f aca="false">IF(A2105="","",IF(G2105="não","Sem tabela no Growths",IF(I2105="","Sem campo no Growths",IF(J2105=K2105,"Importa direto","Ajustar tipo"))))</f>
        <v/>
      </c>
      <c r="M2105" s="9"/>
    </row>
    <row r="2106" customFormat="false" ht="15" hidden="false" customHeight="false" outlineLevel="0" collapsed="false">
      <c r="A2106" s="7" t="str">
        <f aca="false">IF('Outro banco'!A2106="","",IF(LEFT('Outro banco'!A2106,1)="(","",'Outro banco'!A2106))</f>
        <v/>
      </c>
      <c r="B2106" s="7" t="str">
        <f aca="false">IF(A2106="","",'Outro banco'!B2106)</f>
        <v/>
      </c>
      <c r="C2106" s="7" t="str">
        <f aca="false">IF(A2106="","",'Outro banco'!C2106)</f>
        <v/>
      </c>
      <c r="D2106" s="7" t="str">
        <f aca="false">IF(A2106="","",'Outro banco'!D2106)</f>
        <v/>
      </c>
      <c r="E2106" s="9"/>
      <c r="F2106" s="9"/>
      <c r="G2106" s="7" t="str">
        <f aca="false">IF(A2106="","",IF(COUNTIF(Tabelas!$A:$A,IF(E2106="",A2106,E2106))&gt;0,"sim","não"))</f>
        <v/>
      </c>
      <c r="H2106" s="7" t="str">
        <f aca="false">IF(A2106="","",IF(E2106="",A2106,E2106)&amp;"."&amp;IF(F2106="",B2106,F2106))</f>
        <v/>
      </c>
      <c r="I2106" s="7" t="str">
        <f aca="false">IF(A2106="","",IFERROR(INDEX('Campos Growths'!$F:$F,MATCH(H2106,'Campos Growths'!$A:$A,0)),""))</f>
        <v/>
      </c>
      <c r="J2106" s="7" t="str">
        <f aca="false">IF(A2106="","",IFERROR(VLOOKUP(IF(ISNUMBER(SEARCH("(",C2106)),LEFT(C2106,SEARCH("(",C2106)-1),C2106),Tipos!$A:$B,2,FALSE()),"outro"))</f>
        <v/>
      </c>
      <c r="K2106" s="7" t="str">
        <f aca="false">IF(I2106="","",IFERROR(INDEX('Campos Growths'!$L:$L,MATCH(H2106,'Campos Growths'!$A:$A,0)),""))</f>
        <v/>
      </c>
      <c r="L2106" s="7" t="str">
        <f aca="false">IF(A2106="","",IF(G2106="não","Sem tabela no Growths",IF(I2106="","Sem campo no Growths",IF(J2106=K2106,"Importa direto","Ajustar tipo"))))</f>
        <v/>
      </c>
      <c r="M2106" s="9"/>
    </row>
    <row r="2107" customFormat="false" ht="15" hidden="false" customHeight="false" outlineLevel="0" collapsed="false">
      <c r="A2107" s="7" t="str">
        <f aca="false">IF('Outro banco'!A2107="","",IF(LEFT('Outro banco'!A2107,1)="(","",'Outro banco'!A2107))</f>
        <v/>
      </c>
      <c r="B2107" s="7" t="str">
        <f aca="false">IF(A2107="","",'Outro banco'!B2107)</f>
        <v/>
      </c>
      <c r="C2107" s="7" t="str">
        <f aca="false">IF(A2107="","",'Outro banco'!C2107)</f>
        <v/>
      </c>
      <c r="D2107" s="7" t="str">
        <f aca="false">IF(A2107="","",'Outro banco'!D2107)</f>
        <v/>
      </c>
      <c r="E2107" s="9"/>
      <c r="F2107" s="9"/>
      <c r="G2107" s="7" t="str">
        <f aca="false">IF(A2107="","",IF(COUNTIF(Tabelas!$A:$A,IF(E2107="",A2107,E2107))&gt;0,"sim","não"))</f>
        <v/>
      </c>
      <c r="H2107" s="7" t="str">
        <f aca="false">IF(A2107="","",IF(E2107="",A2107,E2107)&amp;"."&amp;IF(F2107="",B2107,F2107))</f>
        <v/>
      </c>
      <c r="I2107" s="7" t="str">
        <f aca="false">IF(A2107="","",IFERROR(INDEX('Campos Growths'!$F:$F,MATCH(H2107,'Campos Growths'!$A:$A,0)),""))</f>
        <v/>
      </c>
      <c r="J2107" s="7" t="str">
        <f aca="false">IF(A2107="","",IFERROR(VLOOKUP(IF(ISNUMBER(SEARCH("(",C2107)),LEFT(C2107,SEARCH("(",C2107)-1),C2107),Tipos!$A:$B,2,FALSE()),"outro"))</f>
        <v/>
      </c>
      <c r="K2107" s="7" t="str">
        <f aca="false">IF(I2107="","",IFERROR(INDEX('Campos Growths'!$L:$L,MATCH(H2107,'Campos Growths'!$A:$A,0)),""))</f>
        <v/>
      </c>
      <c r="L2107" s="7" t="str">
        <f aca="false">IF(A2107="","",IF(G2107="não","Sem tabela no Growths",IF(I2107="","Sem campo no Growths",IF(J2107=K2107,"Importa direto","Ajustar tipo"))))</f>
        <v/>
      </c>
      <c r="M2107" s="9"/>
    </row>
    <row r="2108" customFormat="false" ht="15" hidden="false" customHeight="false" outlineLevel="0" collapsed="false">
      <c r="A2108" s="7" t="str">
        <f aca="false">IF('Outro banco'!A2108="","",IF(LEFT('Outro banco'!A2108,1)="(","",'Outro banco'!A2108))</f>
        <v/>
      </c>
      <c r="B2108" s="7" t="str">
        <f aca="false">IF(A2108="","",'Outro banco'!B2108)</f>
        <v/>
      </c>
      <c r="C2108" s="7" t="str">
        <f aca="false">IF(A2108="","",'Outro banco'!C2108)</f>
        <v/>
      </c>
      <c r="D2108" s="7" t="str">
        <f aca="false">IF(A2108="","",'Outro banco'!D2108)</f>
        <v/>
      </c>
      <c r="E2108" s="9"/>
      <c r="F2108" s="9"/>
      <c r="G2108" s="7" t="str">
        <f aca="false">IF(A2108="","",IF(COUNTIF(Tabelas!$A:$A,IF(E2108="",A2108,E2108))&gt;0,"sim","não"))</f>
        <v/>
      </c>
      <c r="H2108" s="7" t="str">
        <f aca="false">IF(A2108="","",IF(E2108="",A2108,E2108)&amp;"."&amp;IF(F2108="",B2108,F2108))</f>
        <v/>
      </c>
      <c r="I2108" s="7" t="str">
        <f aca="false">IF(A2108="","",IFERROR(INDEX('Campos Growths'!$F:$F,MATCH(H2108,'Campos Growths'!$A:$A,0)),""))</f>
        <v/>
      </c>
      <c r="J2108" s="7" t="str">
        <f aca="false">IF(A2108="","",IFERROR(VLOOKUP(IF(ISNUMBER(SEARCH("(",C2108)),LEFT(C2108,SEARCH("(",C2108)-1),C2108),Tipos!$A:$B,2,FALSE()),"outro"))</f>
        <v/>
      </c>
      <c r="K2108" s="7" t="str">
        <f aca="false">IF(I2108="","",IFERROR(INDEX('Campos Growths'!$L:$L,MATCH(H2108,'Campos Growths'!$A:$A,0)),""))</f>
        <v/>
      </c>
      <c r="L2108" s="7" t="str">
        <f aca="false">IF(A2108="","",IF(G2108="não","Sem tabela no Growths",IF(I2108="","Sem campo no Growths",IF(J2108=K2108,"Importa direto","Ajustar tipo"))))</f>
        <v/>
      </c>
      <c r="M2108" s="9"/>
    </row>
    <row r="2109" customFormat="false" ht="15" hidden="false" customHeight="false" outlineLevel="0" collapsed="false">
      <c r="A2109" s="7" t="str">
        <f aca="false">IF('Outro banco'!A2109="","",IF(LEFT('Outro banco'!A2109,1)="(","",'Outro banco'!A2109))</f>
        <v/>
      </c>
      <c r="B2109" s="7" t="str">
        <f aca="false">IF(A2109="","",'Outro banco'!B2109)</f>
        <v/>
      </c>
      <c r="C2109" s="7" t="str">
        <f aca="false">IF(A2109="","",'Outro banco'!C2109)</f>
        <v/>
      </c>
      <c r="D2109" s="7" t="str">
        <f aca="false">IF(A2109="","",'Outro banco'!D2109)</f>
        <v/>
      </c>
      <c r="E2109" s="9"/>
      <c r="F2109" s="9"/>
      <c r="G2109" s="7" t="str">
        <f aca="false">IF(A2109="","",IF(COUNTIF(Tabelas!$A:$A,IF(E2109="",A2109,E2109))&gt;0,"sim","não"))</f>
        <v/>
      </c>
      <c r="H2109" s="7" t="str">
        <f aca="false">IF(A2109="","",IF(E2109="",A2109,E2109)&amp;"."&amp;IF(F2109="",B2109,F2109))</f>
        <v/>
      </c>
      <c r="I2109" s="7" t="str">
        <f aca="false">IF(A2109="","",IFERROR(INDEX('Campos Growths'!$F:$F,MATCH(H2109,'Campos Growths'!$A:$A,0)),""))</f>
        <v/>
      </c>
      <c r="J2109" s="7" t="str">
        <f aca="false">IF(A2109="","",IFERROR(VLOOKUP(IF(ISNUMBER(SEARCH("(",C2109)),LEFT(C2109,SEARCH("(",C2109)-1),C2109),Tipos!$A:$B,2,FALSE()),"outro"))</f>
        <v/>
      </c>
      <c r="K2109" s="7" t="str">
        <f aca="false">IF(I2109="","",IFERROR(INDEX('Campos Growths'!$L:$L,MATCH(H2109,'Campos Growths'!$A:$A,0)),""))</f>
        <v/>
      </c>
      <c r="L2109" s="7" t="str">
        <f aca="false">IF(A2109="","",IF(G2109="não","Sem tabela no Growths",IF(I2109="","Sem campo no Growths",IF(J2109=K2109,"Importa direto","Ajustar tipo"))))</f>
        <v/>
      </c>
      <c r="M2109" s="9"/>
    </row>
    <row r="2110" customFormat="false" ht="15" hidden="false" customHeight="false" outlineLevel="0" collapsed="false">
      <c r="A2110" s="7" t="str">
        <f aca="false">IF('Outro banco'!A2110="","",IF(LEFT('Outro banco'!A2110,1)="(","",'Outro banco'!A2110))</f>
        <v/>
      </c>
      <c r="B2110" s="7" t="str">
        <f aca="false">IF(A2110="","",'Outro banco'!B2110)</f>
        <v/>
      </c>
      <c r="C2110" s="7" t="str">
        <f aca="false">IF(A2110="","",'Outro banco'!C2110)</f>
        <v/>
      </c>
      <c r="D2110" s="7" t="str">
        <f aca="false">IF(A2110="","",'Outro banco'!D2110)</f>
        <v/>
      </c>
      <c r="E2110" s="9"/>
      <c r="F2110" s="9"/>
      <c r="G2110" s="7" t="str">
        <f aca="false">IF(A2110="","",IF(COUNTIF(Tabelas!$A:$A,IF(E2110="",A2110,E2110))&gt;0,"sim","não"))</f>
        <v/>
      </c>
      <c r="H2110" s="7" t="str">
        <f aca="false">IF(A2110="","",IF(E2110="",A2110,E2110)&amp;"."&amp;IF(F2110="",B2110,F2110))</f>
        <v/>
      </c>
      <c r="I2110" s="7" t="str">
        <f aca="false">IF(A2110="","",IFERROR(INDEX('Campos Growths'!$F:$F,MATCH(H2110,'Campos Growths'!$A:$A,0)),""))</f>
        <v/>
      </c>
      <c r="J2110" s="7" t="str">
        <f aca="false">IF(A2110="","",IFERROR(VLOOKUP(IF(ISNUMBER(SEARCH("(",C2110)),LEFT(C2110,SEARCH("(",C2110)-1),C2110),Tipos!$A:$B,2,FALSE()),"outro"))</f>
        <v/>
      </c>
      <c r="K2110" s="7" t="str">
        <f aca="false">IF(I2110="","",IFERROR(INDEX('Campos Growths'!$L:$L,MATCH(H2110,'Campos Growths'!$A:$A,0)),""))</f>
        <v/>
      </c>
      <c r="L2110" s="7" t="str">
        <f aca="false">IF(A2110="","",IF(G2110="não","Sem tabela no Growths",IF(I2110="","Sem campo no Growths",IF(J2110=K2110,"Importa direto","Ajustar tipo"))))</f>
        <v/>
      </c>
      <c r="M2110" s="9"/>
    </row>
    <row r="2111" customFormat="false" ht="15" hidden="false" customHeight="false" outlineLevel="0" collapsed="false">
      <c r="A2111" s="7" t="str">
        <f aca="false">IF('Outro banco'!A2111="","",IF(LEFT('Outro banco'!A2111,1)="(","",'Outro banco'!A2111))</f>
        <v/>
      </c>
      <c r="B2111" s="7" t="str">
        <f aca="false">IF(A2111="","",'Outro banco'!B2111)</f>
        <v/>
      </c>
      <c r="C2111" s="7" t="str">
        <f aca="false">IF(A2111="","",'Outro banco'!C2111)</f>
        <v/>
      </c>
      <c r="D2111" s="7" t="str">
        <f aca="false">IF(A2111="","",'Outro banco'!D2111)</f>
        <v/>
      </c>
      <c r="E2111" s="9"/>
      <c r="F2111" s="9"/>
      <c r="G2111" s="7" t="str">
        <f aca="false">IF(A2111="","",IF(COUNTIF(Tabelas!$A:$A,IF(E2111="",A2111,E2111))&gt;0,"sim","não"))</f>
        <v/>
      </c>
      <c r="H2111" s="7" t="str">
        <f aca="false">IF(A2111="","",IF(E2111="",A2111,E2111)&amp;"."&amp;IF(F2111="",B2111,F2111))</f>
        <v/>
      </c>
      <c r="I2111" s="7" t="str">
        <f aca="false">IF(A2111="","",IFERROR(INDEX('Campos Growths'!$F:$F,MATCH(H2111,'Campos Growths'!$A:$A,0)),""))</f>
        <v/>
      </c>
      <c r="J2111" s="7" t="str">
        <f aca="false">IF(A2111="","",IFERROR(VLOOKUP(IF(ISNUMBER(SEARCH("(",C2111)),LEFT(C2111,SEARCH("(",C2111)-1),C2111),Tipos!$A:$B,2,FALSE()),"outro"))</f>
        <v/>
      </c>
      <c r="K2111" s="7" t="str">
        <f aca="false">IF(I2111="","",IFERROR(INDEX('Campos Growths'!$L:$L,MATCH(H2111,'Campos Growths'!$A:$A,0)),""))</f>
        <v/>
      </c>
      <c r="L2111" s="7" t="str">
        <f aca="false">IF(A2111="","",IF(G2111="não","Sem tabela no Growths",IF(I2111="","Sem campo no Growths",IF(J2111=K2111,"Importa direto","Ajustar tipo"))))</f>
        <v/>
      </c>
      <c r="M2111" s="9"/>
    </row>
    <row r="2112" customFormat="false" ht="15" hidden="false" customHeight="false" outlineLevel="0" collapsed="false">
      <c r="A2112" s="7" t="str">
        <f aca="false">IF('Outro banco'!A2112="","",IF(LEFT('Outro banco'!A2112,1)="(","",'Outro banco'!A2112))</f>
        <v/>
      </c>
      <c r="B2112" s="7" t="str">
        <f aca="false">IF(A2112="","",'Outro banco'!B2112)</f>
        <v/>
      </c>
      <c r="C2112" s="7" t="str">
        <f aca="false">IF(A2112="","",'Outro banco'!C2112)</f>
        <v/>
      </c>
      <c r="D2112" s="7" t="str">
        <f aca="false">IF(A2112="","",'Outro banco'!D2112)</f>
        <v/>
      </c>
      <c r="E2112" s="9"/>
      <c r="F2112" s="9"/>
      <c r="G2112" s="7" t="str">
        <f aca="false">IF(A2112="","",IF(COUNTIF(Tabelas!$A:$A,IF(E2112="",A2112,E2112))&gt;0,"sim","não"))</f>
        <v/>
      </c>
      <c r="H2112" s="7" t="str">
        <f aca="false">IF(A2112="","",IF(E2112="",A2112,E2112)&amp;"."&amp;IF(F2112="",B2112,F2112))</f>
        <v/>
      </c>
      <c r="I2112" s="7" t="str">
        <f aca="false">IF(A2112="","",IFERROR(INDEX('Campos Growths'!$F:$F,MATCH(H2112,'Campos Growths'!$A:$A,0)),""))</f>
        <v/>
      </c>
      <c r="J2112" s="7" t="str">
        <f aca="false">IF(A2112="","",IFERROR(VLOOKUP(IF(ISNUMBER(SEARCH("(",C2112)),LEFT(C2112,SEARCH("(",C2112)-1),C2112),Tipos!$A:$B,2,FALSE()),"outro"))</f>
        <v/>
      </c>
      <c r="K2112" s="7" t="str">
        <f aca="false">IF(I2112="","",IFERROR(INDEX('Campos Growths'!$L:$L,MATCH(H2112,'Campos Growths'!$A:$A,0)),""))</f>
        <v/>
      </c>
      <c r="L2112" s="7" t="str">
        <f aca="false">IF(A2112="","",IF(G2112="não","Sem tabela no Growths",IF(I2112="","Sem campo no Growths",IF(J2112=K2112,"Importa direto","Ajustar tipo"))))</f>
        <v/>
      </c>
      <c r="M2112" s="9"/>
    </row>
    <row r="2113" customFormat="false" ht="15" hidden="false" customHeight="false" outlineLevel="0" collapsed="false">
      <c r="A2113" s="7" t="str">
        <f aca="false">IF('Outro banco'!A2113="","",IF(LEFT('Outro banco'!A2113,1)="(","",'Outro banco'!A2113))</f>
        <v/>
      </c>
      <c r="B2113" s="7" t="str">
        <f aca="false">IF(A2113="","",'Outro banco'!B2113)</f>
        <v/>
      </c>
      <c r="C2113" s="7" t="str">
        <f aca="false">IF(A2113="","",'Outro banco'!C2113)</f>
        <v/>
      </c>
      <c r="D2113" s="7" t="str">
        <f aca="false">IF(A2113="","",'Outro banco'!D2113)</f>
        <v/>
      </c>
      <c r="E2113" s="9"/>
      <c r="F2113" s="9"/>
      <c r="G2113" s="7" t="str">
        <f aca="false">IF(A2113="","",IF(COUNTIF(Tabelas!$A:$A,IF(E2113="",A2113,E2113))&gt;0,"sim","não"))</f>
        <v/>
      </c>
      <c r="H2113" s="7" t="str">
        <f aca="false">IF(A2113="","",IF(E2113="",A2113,E2113)&amp;"."&amp;IF(F2113="",B2113,F2113))</f>
        <v/>
      </c>
      <c r="I2113" s="7" t="str">
        <f aca="false">IF(A2113="","",IFERROR(INDEX('Campos Growths'!$F:$F,MATCH(H2113,'Campos Growths'!$A:$A,0)),""))</f>
        <v/>
      </c>
      <c r="J2113" s="7" t="str">
        <f aca="false">IF(A2113="","",IFERROR(VLOOKUP(IF(ISNUMBER(SEARCH("(",C2113)),LEFT(C2113,SEARCH("(",C2113)-1),C2113),Tipos!$A:$B,2,FALSE()),"outro"))</f>
        <v/>
      </c>
      <c r="K2113" s="7" t="str">
        <f aca="false">IF(I2113="","",IFERROR(INDEX('Campos Growths'!$L:$L,MATCH(H2113,'Campos Growths'!$A:$A,0)),""))</f>
        <v/>
      </c>
      <c r="L2113" s="7" t="str">
        <f aca="false">IF(A2113="","",IF(G2113="não","Sem tabela no Growths",IF(I2113="","Sem campo no Growths",IF(J2113=K2113,"Importa direto","Ajustar tipo"))))</f>
        <v/>
      </c>
      <c r="M2113" s="9"/>
    </row>
    <row r="2114" customFormat="false" ht="15" hidden="false" customHeight="false" outlineLevel="0" collapsed="false">
      <c r="A2114" s="7" t="str">
        <f aca="false">IF('Outro banco'!A2114="","",IF(LEFT('Outro banco'!A2114,1)="(","",'Outro banco'!A2114))</f>
        <v/>
      </c>
      <c r="B2114" s="7" t="str">
        <f aca="false">IF(A2114="","",'Outro banco'!B2114)</f>
        <v/>
      </c>
      <c r="C2114" s="7" t="str">
        <f aca="false">IF(A2114="","",'Outro banco'!C2114)</f>
        <v/>
      </c>
      <c r="D2114" s="7" t="str">
        <f aca="false">IF(A2114="","",'Outro banco'!D2114)</f>
        <v/>
      </c>
      <c r="E2114" s="9"/>
      <c r="F2114" s="9"/>
      <c r="G2114" s="7" t="str">
        <f aca="false">IF(A2114="","",IF(COUNTIF(Tabelas!$A:$A,IF(E2114="",A2114,E2114))&gt;0,"sim","não"))</f>
        <v/>
      </c>
      <c r="H2114" s="7" t="str">
        <f aca="false">IF(A2114="","",IF(E2114="",A2114,E2114)&amp;"."&amp;IF(F2114="",B2114,F2114))</f>
        <v/>
      </c>
      <c r="I2114" s="7" t="str">
        <f aca="false">IF(A2114="","",IFERROR(INDEX('Campos Growths'!$F:$F,MATCH(H2114,'Campos Growths'!$A:$A,0)),""))</f>
        <v/>
      </c>
      <c r="J2114" s="7" t="str">
        <f aca="false">IF(A2114="","",IFERROR(VLOOKUP(IF(ISNUMBER(SEARCH("(",C2114)),LEFT(C2114,SEARCH("(",C2114)-1),C2114),Tipos!$A:$B,2,FALSE()),"outro"))</f>
        <v/>
      </c>
      <c r="K2114" s="7" t="str">
        <f aca="false">IF(I2114="","",IFERROR(INDEX('Campos Growths'!$L:$L,MATCH(H2114,'Campos Growths'!$A:$A,0)),""))</f>
        <v/>
      </c>
      <c r="L2114" s="7" t="str">
        <f aca="false">IF(A2114="","",IF(G2114="não","Sem tabela no Growths",IF(I2114="","Sem campo no Growths",IF(J2114=K2114,"Importa direto","Ajustar tipo"))))</f>
        <v/>
      </c>
      <c r="M2114" s="9"/>
    </row>
    <row r="2115" customFormat="false" ht="15" hidden="false" customHeight="false" outlineLevel="0" collapsed="false">
      <c r="A2115" s="7" t="str">
        <f aca="false">IF('Outro banco'!A2115="","",IF(LEFT('Outro banco'!A2115,1)="(","",'Outro banco'!A2115))</f>
        <v/>
      </c>
      <c r="B2115" s="7" t="str">
        <f aca="false">IF(A2115="","",'Outro banco'!B2115)</f>
        <v/>
      </c>
      <c r="C2115" s="7" t="str">
        <f aca="false">IF(A2115="","",'Outro banco'!C2115)</f>
        <v/>
      </c>
      <c r="D2115" s="7" t="str">
        <f aca="false">IF(A2115="","",'Outro banco'!D2115)</f>
        <v/>
      </c>
      <c r="E2115" s="9"/>
      <c r="F2115" s="9"/>
      <c r="G2115" s="7" t="str">
        <f aca="false">IF(A2115="","",IF(COUNTIF(Tabelas!$A:$A,IF(E2115="",A2115,E2115))&gt;0,"sim","não"))</f>
        <v/>
      </c>
      <c r="H2115" s="7" t="str">
        <f aca="false">IF(A2115="","",IF(E2115="",A2115,E2115)&amp;"."&amp;IF(F2115="",B2115,F2115))</f>
        <v/>
      </c>
      <c r="I2115" s="7" t="str">
        <f aca="false">IF(A2115="","",IFERROR(INDEX('Campos Growths'!$F:$F,MATCH(H2115,'Campos Growths'!$A:$A,0)),""))</f>
        <v/>
      </c>
      <c r="J2115" s="7" t="str">
        <f aca="false">IF(A2115="","",IFERROR(VLOOKUP(IF(ISNUMBER(SEARCH("(",C2115)),LEFT(C2115,SEARCH("(",C2115)-1),C2115),Tipos!$A:$B,2,FALSE()),"outro"))</f>
        <v/>
      </c>
      <c r="K2115" s="7" t="str">
        <f aca="false">IF(I2115="","",IFERROR(INDEX('Campos Growths'!$L:$L,MATCH(H2115,'Campos Growths'!$A:$A,0)),""))</f>
        <v/>
      </c>
      <c r="L2115" s="7" t="str">
        <f aca="false">IF(A2115="","",IF(G2115="não","Sem tabela no Growths",IF(I2115="","Sem campo no Growths",IF(J2115=K2115,"Importa direto","Ajustar tipo"))))</f>
        <v/>
      </c>
      <c r="M2115" s="9"/>
    </row>
    <row r="2116" customFormat="false" ht="15" hidden="false" customHeight="false" outlineLevel="0" collapsed="false">
      <c r="A2116" s="7" t="str">
        <f aca="false">IF('Outro banco'!A2116="","",IF(LEFT('Outro banco'!A2116,1)="(","",'Outro banco'!A2116))</f>
        <v/>
      </c>
      <c r="B2116" s="7" t="str">
        <f aca="false">IF(A2116="","",'Outro banco'!B2116)</f>
        <v/>
      </c>
      <c r="C2116" s="7" t="str">
        <f aca="false">IF(A2116="","",'Outro banco'!C2116)</f>
        <v/>
      </c>
      <c r="D2116" s="7" t="str">
        <f aca="false">IF(A2116="","",'Outro banco'!D2116)</f>
        <v/>
      </c>
      <c r="E2116" s="9"/>
      <c r="F2116" s="9"/>
      <c r="G2116" s="7" t="str">
        <f aca="false">IF(A2116="","",IF(COUNTIF(Tabelas!$A:$A,IF(E2116="",A2116,E2116))&gt;0,"sim","não"))</f>
        <v/>
      </c>
      <c r="H2116" s="7" t="str">
        <f aca="false">IF(A2116="","",IF(E2116="",A2116,E2116)&amp;"."&amp;IF(F2116="",B2116,F2116))</f>
        <v/>
      </c>
      <c r="I2116" s="7" t="str">
        <f aca="false">IF(A2116="","",IFERROR(INDEX('Campos Growths'!$F:$F,MATCH(H2116,'Campos Growths'!$A:$A,0)),""))</f>
        <v/>
      </c>
      <c r="J2116" s="7" t="str">
        <f aca="false">IF(A2116="","",IFERROR(VLOOKUP(IF(ISNUMBER(SEARCH("(",C2116)),LEFT(C2116,SEARCH("(",C2116)-1),C2116),Tipos!$A:$B,2,FALSE()),"outro"))</f>
        <v/>
      </c>
      <c r="K2116" s="7" t="str">
        <f aca="false">IF(I2116="","",IFERROR(INDEX('Campos Growths'!$L:$L,MATCH(H2116,'Campos Growths'!$A:$A,0)),""))</f>
        <v/>
      </c>
      <c r="L2116" s="7" t="str">
        <f aca="false">IF(A2116="","",IF(G2116="não","Sem tabela no Growths",IF(I2116="","Sem campo no Growths",IF(J2116=K2116,"Importa direto","Ajustar tipo"))))</f>
        <v/>
      </c>
      <c r="M2116" s="9"/>
    </row>
    <row r="2117" customFormat="false" ht="15" hidden="false" customHeight="false" outlineLevel="0" collapsed="false">
      <c r="A2117" s="7" t="str">
        <f aca="false">IF('Outro banco'!A2117="","",IF(LEFT('Outro banco'!A2117,1)="(","",'Outro banco'!A2117))</f>
        <v/>
      </c>
      <c r="B2117" s="7" t="str">
        <f aca="false">IF(A2117="","",'Outro banco'!B2117)</f>
        <v/>
      </c>
      <c r="C2117" s="7" t="str">
        <f aca="false">IF(A2117="","",'Outro banco'!C2117)</f>
        <v/>
      </c>
      <c r="D2117" s="7" t="str">
        <f aca="false">IF(A2117="","",'Outro banco'!D2117)</f>
        <v/>
      </c>
      <c r="E2117" s="9"/>
      <c r="F2117" s="9"/>
      <c r="G2117" s="7" t="str">
        <f aca="false">IF(A2117="","",IF(COUNTIF(Tabelas!$A:$A,IF(E2117="",A2117,E2117))&gt;0,"sim","não"))</f>
        <v/>
      </c>
      <c r="H2117" s="7" t="str">
        <f aca="false">IF(A2117="","",IF(E2117="",A2117,E2117)&amp;"."&amp;IF(F2117="",B2117,F2117))</f>
        <v/>
      </c>
      <c r="I2117" s="7" t="str">
        <f aca="false">IF(A2117="","",IFERROR(INDEX('Campos Growths'!$F:$F,MATCH(H2117,'Campos Growths'!$A:$A,0)),""))</f>
        <v/>
      </c>
      <c r="J2117" s="7" t="str">
        <f aca="false">IF(A2117="","",IFERROR(VLOOKUP(IF(ISNUMBER(SEARCH("(",C2117)),LEFT(C2117,SEARCH("(",C2117)-1),C2117),Tipos!$A:$B,2,FALSE()),"outro"))</f>
        <v/>
      </c>
      <c r="K2117" s="7" t="str">
        <f aca="false">IF(I2117="","",IFERROR(INDEX('Campos Growths'!$L:$L,MATCH(H2117,'Campos Growths'!$A:$A,0)),""))</f>
        <v/>
      </c>
      <c r="L2117" s="7" t="str">
        <f aca="false">IF(A2117="","",IF(G2117="não","Sem tabela no Growths",IF(I2117="","Sem campo no Growths",IF(J2117=K2117,"Importa direto","Ajustar tipo"))))</f>
        <v/>
      </c>
      <c r="M2117" s="9"/>
    </row>
    <row r="2118" customFormat="false" ht="15" hidden="false" customHeight="false" outlineLevel="0" collapsed="false">
      <c r="A2118" s="7" t="str">
        <f aca="false">IF('Outro banco'!A2118="","",IF(LEFT('Outro banco'!A2118,1)="(","",'Outro banco'!A2118))</f>
        <v/>
      </c>
      <c r="B2118" s="7" t="str">
        <f aca="false">IF(A2118="","",'Outro banco'!B2118)</f>
        <v/>
      </c>
      <c r="C2118" s="7" t="str">
        <f aca="false">IF(A2118="","",'Outro banco'!C2118)</f>
        <v/>
      </c>
      <c r="D2118" s="7" t="str">
        <f aca="false">IF(A2118="","",'Outro banco'!D2118)</f>
        <v/>
      </c>
      <c r="E2118" s="9"/>
      <c r="F2118" s="9"/>
      <c r="G2118" s="7" t="str">
        <f aca="false">IF(A2118="","",IF(COUNTIF(Tabelas!$A:$A,IF(E2118="",A2118,E2118))&gt;0,"sim","não"))</f>
        <v/>
      </c>
      <c r="H2118" s="7" t="str">
        <f aca="false">IF(A2118="","",IF(E2118="",A2118,E2118)&amp;"."&amp;IF(F2118="",B2118,F2118))</f>
        <v/>
      </c>
      <c r="I2118" s="7" t="str">
        <f aca="false">IF(A2118="","",IFERROR(INDEX('Campos Growths'!$F:$F,MATCH(H2118,'Campos Growths'!$A:$A,0)),""))</f>
        <v/>
      </c>
      <c r="J2118" s="7" t="str">
        <f aca="false">IF(A2118="","",IFERROR(VLOOKUP(IF(ISNUMBER(SEARCH("(",C2118)),LEFT(C2118,SEARCH("(",C2118)-1),C2118),Tipos!$A:$B,2,FALSE()),"outro"))</f>
        <v/>
      </c>
      <c r="K2118" s="7" t="str">
        <f aca="false">IF(I2118="","",IFERROR(INDEX('Campos Growths'!$L:$L,MATCH(H2118,'Campos Growths'!$A:$A,0)),""))</f>
        <v/>
      </c>
      <c r="L2118" s="7" t="str">
        <f aca="false">IF(A2118="","",IF(G2118="não","Sem tabela no Growths",IF(I2118="","Sem campo no Growths",IF(J2118=K2118,"Importa direto","Ajustar tipo"))))</f>
        <v/>
      </c>
      <c r="M2118" s="9"/>
    </row>
    <row r="2119" customFormat="false" ht="15" hidden="false" customHeight="false" outlineLevel="0" collapsed="false">
      <c r="A2119" s="7" t="str">
        <f aca="false">IF('Outro banco'!A2119="","",IF(LEFT('Outro banco'!A2119,1)="(","",'Outro banco'!A2119))</f>
        <v/>
      </c>
      <c r="B2119" s="7" t="str">
        <f aca="false">IF(A2119="","",'Outro banco'!B2119)</f>
        <v/>
      </c>
      <c r="C2119" s="7" t="str">
        <f aca="false">IF(A2119="","",'Outro banco'!C2119)</f>
        <v/>
      </c>
      <c r="D2119" s="7" t="str">
        <f aca="false">IF(A2119="","",'Outro banco'!D2119)</f>
        <v/>
      </c>
      <c r="E2119" s="9"/>
      <c r="F2119" s="9"/>
      <c r="G2119" s="7" t="str">
        <f aca="false">IF(A2119="","",IF(COUNTIF(Tabelas!$A:$A,IF(E2119="",A2119,E2119))&gt;0,"sim","não"))</f>
        <v/>
      </c>
      <c r="H2119" s="7" t="str">
        <f aca="false">IF(A2119="","",IF(E2119="",A2119,E2119)&amp;"."&amp;IF(F2119="",B2119,F2119))</f>
        <v/>
      </c>
      <c r="I2119" s="7" t="str">
        <f aca="false">IF(A2119="","",IFERROR(INDEX('Campos Growths'!$F:$F,MATCH(H2119,'Campos Growths'!$A:$A,0)),""))</f>
        <v/>
      </c>
      <c r="J2119" s="7" t="str">
        <f aca="false">IF(A2119="","",IFERROR(VLOOKUP(IF(ISNUMBER(SEARCH("(",C2119)),LEFT(C2119,SEARCH("(",C2119)-1),C2119),Tipos!$A:$B,2,FALSE()),"outro"))</f>
        <v/>
      </c>
      <c r="K2119" s="7" t="str">
        <f aca="false">IF(I2119="","",IFERROR(INDEX('Campos Growths'!$L:$L,MATCH(H2119,'Campos Growths'!$A:$A,0)),""))</f>
        <v/>
      </c>
      <c r="L2119" s="7" t="str">
        <f aca="false">IF(A2119="","",IF(G2119="não","Sem tabela no Growths",IF(I2119="","Sem campo no Growths",IF(J2119=K2119,"Importa direto","Ajustar tipo"))))</f>
        <v/>
      </c>
      <c r="M2119" s="9"/>
    </row>
    <row r="2120" customFormat="false" ht="15" hidden="false" customHeight="false" outlineLevel="0" collapsed="false">
      <c r="A2120" s="7" t="str">
        <f aca="false">IF('Outro banco'!A2120="","",IF(LEFT('Outro banco'!A2120,1)="(","",'Outro banco'!A2120))</f>
        <v/>
      </c>
      <c r="B2120" s="7" t="str">
        <f aca="false">IF(A2120="","",'Outro banco'!B2120)</f>
        <v/>
      </c>
      <c r="C2120" s="7" t="str">
        <f aca="false">IF(A2120="","",'Outro banco'!C2120)</f>
        <v/>
      </c>
      <c r="D2120" s="7" t="str">
        <f aca="false">IF(A2120="","",'Outro banco'!D2120)</f>
        <v/>
      </c>
      <c r="E2120" s="9"/>
      <c r="F2120" s="9"/>
      <c r="G2120" s="7" t="str">
        <f aca="false">IF(A2120="","",IF(COUNTIF(Tabelas!$A:$A,IF(E2120="",A2120,E2120))&gt;0,"sim","não"))</f>
        <v/>
      </c>
      <c r="H2120" s="7" t="str">
        <f aca="false">IF(A2120="","",IF(E2120="",A2120,E2120)&amp;"."&amp;IF(F2120="",B2120,F2120))</f>
        <v/>
      </c>
      <c r="I2120" s="7" t="str">
        <f aca="false">IF(A2120="","",IFERROR(INDEX('Campos Growths'!$F:$F,MATCH(H2120,'Campos Growths'!$A:$A,0)),""))</f>
        <v/>
      </c>
      <c r="J2120" s="7" t="str">
        <f aca="false">IF(A2120="","",IFERROR(VLOOKUP(IF(ISNUMBER(SEARCH("(",C2120)),LEFT(C2120,SEARCH("(",C2120)-1),C2120),Tipos!$A:$B,2,FALSE()),"outro"))</f>
        <v/>
      </c>
      <c r="K2120" s="7" t="str">
        <f aca="false">IF(I2120="","",IFERROR(INDEX('Campos Growths'!$L:$L,MATCH(H2120,'Campos Growths'!$A:$A,0)),""))</f>
        <v/>
      </c>
      <c r="L2120" s="7" t="str">
        <f aca="false">IF(A2120="","",IF(G2120="não","Sem tabela no Growths",IF(I2120="","Sem campo no Growths",IF(J2120=K2120,"Importa direto","Ajustar tipo"))))</f>
        <v/>
      </c>
      <c r="M2120" s="9"/>
    </row>
    <row r="2121" customFormat="false" ht="15" hidden="false" customHeight="false" outlineLevel="0" collapsed="false">
      <c r="A2121" s="7" t="str">
        <f aca="false">IF('Outro banco'!A2121="","",IF(LEFT('Outro banco'!A2121,1)="(","",'Outro banco'!A2121))</f>
        <v/>
      </c>
      <c r="B2121" s="7" t="str">
        <f aca="false">IF(A2121="","",'Outro banco'!B2121)</f>
        <v/>
      </c>
      <c r="C2121" s="7" t="str">
        <f aca="false">IF(A2121="","",'Outro banco'!C2121)</f>
        <v/>
      </c>
      <c r="D2121" s="7" t="str">
        <f aca="false">IF(A2121="","",'Outro banco'!D2121)</f>
        <v/>
      </c>
      <c r="E2121" s="9"/>
      <c r="F2121" s="9"/>
      <c r="G2121" s="7" t="str">
        <f aca="false">IF(A2121="","",IF(COUNTIF(Tabelas!$A:$A,IF(E2121="",A2121,E2121))&gt;0,"sim","não"))</f>
        <v/>
      </c>
      <c r="H2121" s="7" t="str">
        <f aca="false">IF(A2121="","",IF(E2121="",A2121,E2121)&amp;"."&amp;IF(F2121="",B2121,F2121))</f>
        <v/>
      </c>
      <c r="I2121" s="7" t="str">
        <f aca="false">IF(A2121="","",IFERROR(INDEX('Campos Growths'!$F:$F,MATCH(H2121,'Campos Growths'!$A:$A,0)),""))</f>
        <v/>
      </c>
      <c r="J2121" s="7" t="str">
        <f aca="false">IF(A2121="","",IFERROR(VLOOKUP(IF(ISNUMBER(SEARCH("(",C2121)),LEFT(C2121,SEARCH("(",C2121)-1),C2121),Tipos!$A:$B,2,FALSE()),"outro"))</f>
        <v/>
      </c>
      <c r="K2121" s="7" t="str">
        <f aca="false">IF(I2121="","",IFERROR(INDEX('Campos Growths'!$L:$L,MATCH(H2121,'Campos Growths'!$A:$A,0)),""))</f>
        <v/>
      </c>
      <c r="L2121" s="7" t="str">
        <f aca="false">IF(A2121="","",IF(G2121="não","Sem tabela no Growths",IF(I2121="","Sem campo no Growths",IF(J2121=K2121,"Importa direto","Ajustar tipo"))))</f>
        <v/>
      </c>
      <c r="M2121" s="9"/>
    </row>
    <row r="2122" customFormat="false" ht="15" hidden="false" customHeight="false" outlineLevel="0" collapsed="false">
      <c r="A2122" s="7" t="str">
        <f aca="false">IF('Outro banco'!A2122="","",IF(LEFT('Outro banco'!A2122,1)="(","",'Outro banco'!A2122))</f>
        <v/>
      </c>
      <c r="B2122" s="7" t="str">
        <f aca="false">IF(A2122="","",'Outro banco'!B2122)</f>
        <v/>
      </c>
      <c r="C2122" s="7" t="str">
        <f aca="false">IF(A2122="","",'Outro banco'!C2122)</f>
        <v/>
      </c>
      <c r="D2122" s="7" t="str">
        <f aca="false">IF(A2122="","",'Outro banco'!D2122)</f>
        <v/>
      </c>
      <c r="E2122" s="9"/>
      <c r="F2122" s="9"/>
      <c r="G2122" s="7" t="str">
        <f aca="false">IF(A2122="","",IF(COUNTIF(Tabelas!$A:$A,IF(E2122="",A2122,E2122))&gt;0,"sim","não"))</f>
        <v/>
      </c>
      <c r="H2122" s="7" t="str">
        <f aca="false">IF(A2122="","",IF(E2122="",A2122,E2122)&amp;"."&amp;IF(F2122="",B2122,F2122))</f>
        <v/>
      </c>
      <c r="I2122" s="7" t="str">
        <f aca="false">IF(A2122="","",IFERROR(INDEX('Campos Growths'!$F:$F,MATCH(H2122,'Campos Growths'!$A:$A,0)),""))</f>
        <v/>
      </c>
      <c r="J2122" s="7" t="str">
        <f aca="false">IF(A2122="","",IFERROR(VLOOKUP(IF(ISNUMBER(SEARCH("(",C2122)),LEFT(C2122,SEARCH("(",C2122)-1),C2122),Tipos!$A:$B,2,FALSE()),"outro"))</f>
        <v/>
      </c>
      <c r="K2122" s="7" t="str">
        <f aca="false">IF(I2122="","",IFERROR(INDEX('Campos Growths'!$L:$L,MATCH(H2122,'Campos Growths'!$A:$A,0)),""))</f>
        <v/>
      </c>
      <c r="L2122" s="7" t="str">
        <f aca="false">IF(A2122="","",IF(G2122="não","Sem tabela no Growths",IF(I2122="","Sem campo no Growths",IF(J2122=K2122,"Importa direto","Ajustar tipo"))))</f>
        <v/>
      </c>
      <c r="M2122" s="9"/>
    </row>
    <row r="2123" customFormat="false" ht="15" hidden="false" customHeight="false" outlineLevel="0" collapsed="false">
      <c r="A2123" s="7" t="str">
        <f aca="false">IF('Outro banco'!A2123="","",IF(LEFT('Outro banco'!A2123,1)="(","",'Outro banco'!A2123))</f>
        <v/>
      </c>
      <c r="B2123" s="7" t="str">
        <f aca="false">IF(A2123="","",'Outro banco'!B2123)</f>
        <v/>
      </c>
      <c r="C2123" s="7" t="str">
        <f aca="false">IF(A2123="","",'Outro banco'!C2123)</f>
        <v/>
      </c>
      <c r="D2123" s="7" t="str">
        <f aca="false">IF(A2123="","",'Outro banco'!D2123)</f>
        <v/>
      </c>
      <c r="E2123" s="9"/>
      <c r="F2123" s="9"/>
      <c r="G2123" s="7" t="str">
        <f aca="false">IF(A2123="","",IF(COUNTIF(Tabelas!$A:$A,IF(E2123="",A2123,E2123))&gt;0,"sim","não"))</f>
        <v/>
      </c>
      <c r="H2123" s="7" t="str">
        <f aca="false">IF(A2123="","",IF(E2123="",A2123,E2123)&amp;"."&amp;IF(F2123="",B2123,F2123))</f>
        <v/>
      </c>
      <c r="I2123" s="7" t="str">
        <f aca="false">IF(A2123="","",IFERROR(INDEX('Campos Growths'!$F:$F,MATCH(H2123,'Campos Growths'!$A:$A,0)),""))</f>
        <v/>
      </c>
      <c r="J2123" s="7" t="str">
        <f aca="false">IF(A2123="","",IFERROR(VLOOKUP(IF(ISNUMBER(SEARCH("(",C2123)),LEFT(C2123,SEARCH("(",C2123)-1),C2123),Tipos!$A:$B,2,FALSE()),"outro"))</f>
        <v/>
      </c>
      <c r="K2123" s="7" t="str">
        <f aca="false">IF(I2123="","",IFERROR(INDEX('Campos Growths'!$L:$L,MATCH(H2123,'Campos Growths'!$A:$A,0)),""))</f>
        <v/>
      </c>
      <c r="L2123" s="7" t="str">
        <f aca="false">IF(A2123="","",IF(G2123="não","Sem tabela no Growths",IF(I2123="","Sem campo no Growths",IF(J2123=K2123,"Importa direto","Ajustar tipo"))))</f>
        <v/>
      </c>
      <c r="M2123" s="9"/>
    </row>
    <row r="2124" customFormat="false" ht="15" hidden="false" customHeight="false" outlineLevel="0" collapsed="false">
      <c r="A2124" s="7" t="str">
        <f aca="false">IF('Outro banco'!A2124="","",IF(LEFT('Outro banco'!A2124,1)="(","",'Outro banco'!A2124))</f>
        <v/>
      </c>
      <c r="B2124" s="7" t="str">
        <f aca="false">IF(A2124="","",'Outro banco'!B2124)</f>
        <v/>
      </c>
      <c r="C2124" s="7" t="str">
        <f aca="false">IF(A2124="","",'Outro banco'!C2124)</f>
        <v/>
      </c>
      <c r="D2124" s="7" t="str">
        <f aca="false">IF(A2124="","",'Outro banco'!D2124)</f>
        <v/>
      </c>
      <c r="E2124" s="9"/>
      <c r="F2124" s="9"/>
      <c r="G2124" s="7" t="str">
        <f aca="false">IF(A2124="","",IF(COUNTIF(Tabelas!$A:$A,IF(E2124="",A2124,E2124))&gt;0,"sim","não"))</f>
        <v/>
      </c>
      <c r="H2124" s="7" t="str">
        <f aca="false">IF(A2124="","",IF(E2124="",A2124,E2124)&amp;"."&amp;IF(F2124="",B2124,F2124))</f>
        <v/>
      </c>
      <c r="I2124" s="7" t="str">
        <f aca="false">IF(A2124="","",IFERROR(INDEX('Campos Growths'!$F:$F,MATCH(H2124,'Campos Growths'!$A:$A,0)),""))</f>
        <v/>
      </c>
      <c r="J2124" s="7" t="str">
        <f aca="false">IF(A2124="","",IFERROR(VLOOKUP(IF(ISNUMBER(SEARCH("(",C2124)),LEFT(C2124,SEARCH("(",C2124)-1),C2124),Tipos!$A:$B,2,FALSE()),"outro"))</f>
        <v/>
      </c>
      <c r="K2124" s="7" t="str">
        <f aca="false">IF(I2124="","",IFERROR(INDEX('Campos Growths'!$L:$L,MATCH(H2124,'Campos Growths'!$A:$A,0)),""))</f>
        <v/>
      </c>
      <c r="L2124" s="7" t="str">
        <f aca="false">IF(A2124="","",IF(G2124="não","Sem tabela no Growths",IF(I2124="","Sem campo no Growths",IF(J2124=K2124,"Importa direto","Ajustar tipo"))))</f>
        <v/>
      </c>
      <c r="M2124" s="9"/>
    </row>
    <row r="2125" customFormat="false" ht="15" hidden="false" customHeight="false" outlineLevel="0" collapsed="false">
      <c r="A2125" s="7" t="str">
        <f aca="false">IF('Outro banco'!A2125="","",IF(LEFT('Outro banco'!A2125,1)="(","",'Outro banco'!A2125))</f>
        <v/>
      </c>
      <c r="B2125" s="7" t="str">
        <f aca="false">IF(A2125="","",'Outro banco'!B2125)</f>
        <v/>
      </c>
      <c r="C2125" s="7" t="str">
        <f aca="false">IF(A2125="","",'Outro banco'!C2125)</f>
        <v/>
      </c>
      <c r="D2125" s="7" t="str">
        <f aca="false">IF(A2125="","",'Outro banco'!D2125)</f>
        <v/>
      </c>
      <c r="E2125" s="9"/>
      <c r="F2125" s="9"/>
      <c r="G2125" s="7" t="str">
        <f aca="false">IF(A2125="","",IF(COUNTIF(Tabelas!$A:$A,IF(E2125="",A2125,E2125))&gt;0,"sim","não"))</f>
        <v/>
      </c>
      <c r="H2125" s="7" t="str">
        <f aca="false">IF(A2125="","",IF(E2125="",A2125,E2125)&amp;"."&amp;IF(F2125="",B2125,F2125))</f>
        <v/>
      </c>
      <c r="I2125" s="7" t="str">
        <f aca="false">IF(A2125="","",IFERROR(INDEX('Campos Growths'!$F:$F,MATCH(H2125,'Campos Growths'!$A:$A,0)),""))</f>
        <v/>
      </c>
      <c r="J2125" s="7" t="str">
        <f aca="false">IF(A2125="","",IFERROR(VLOOKUP(IF(ISNUMBER(SEARCH("(",C2125)),LEFT(C2125,SEARCH("(",C2125)-1),C2125),Tipos!$A:$B,2,FALSE()),"outro"))</f>
        <v/>
      </c>
      <c r="K2125" s="7" t="str">
        <f aca="false">IF(I2125="","",IFERROR(INDEX('Campos Growths'!$L:$L,MATCH(H2125,'Campos Growths'!$A:$A,0)),""))</f>
        <v/>
      </c>
      <c r="L2125" s="7" t="str">
        <f aca="false">IF(A2125="","",IF(G2125="não","Sem tabela no Growths",IF(I2125="","Sem campo no Growths",IF(J2125=K2125,"Importa direto","Ajustar tipo"))))</f>
        <v/>
      </c>
      <c r="M2125" s="9"/>
    </row>
    <row r="2126" customFormat="false" ht="15" hidden="false" customHeight="false" outlineLevel="0" collapsed="false">
      <c r="A2126" s="7" t="str">
        <f aca="false">IF('Outro banco'!A2126="","",IF(LEFT('Outro banco'!A2126,1)="(","",'Outro banco'!A2126))</f>
        <v/>
      </c>
      <c r="B2126" s="7" t="str">
        <f aca="false">IF(A2126="","",'Outro banco'!B2126)</f>
        <v/>
      </c>
      <c r="C2126" s="7" t="str">
        <f aca="false">IF(A2126="","",'Outro banco'!C2126)</f>
        <v/>
      </c>
      <c r="D2126" s="7" t="str">
        <f aca="false">IF(A2126="","",'Outro banco'!D2126)</f>
        <v/>
      </c>
      <c r="E2126" s="9"/>
      <c r="F2126" s="9"/>
      <c r="G2126" s="7" t="str">
        <f aca="false">IF(A2126="","",IF(COUNTIF(Tabelas!$A:$A,IF(E2126="",A2126,E2126))&gt;0,"sim","não"))</f>
        <v/>
      </c>
      <c r="H2126" s="7" t="str">
        <f aca="false">IF(A2126="","",IF(E2126="",A2126,E2126)&amp;"."&amp;IF(F2126="",B2126,F2126))</f>
        <v/>
      </c>
      <c r="I2126" s="7" t="str">
        <f aca="false">IF(A2126="","",IFERROR(INDEX('Campos Growths'!$F:$F,MATCH(H2126,'Campos Growths'!$A:$A,0)),""))</f>
        <v/>
      </c>
      <c r="J2126" s="7" t="str">
        <f aca="false">IF(A2126="","",IFERROR(VLOOKUP(IF(ISNUMBER(SEARCH("(",C2126)),LEFT(C2126,SEARCH("(",C2126)-1),C2126),Tipos!$A:$B,2,FALSE()),"outro"))</f>
        <v/>
      </c>
      <c r="K2126" s="7" t="str">
        <f aca="false">IF(I2126="","",IFERROR(INDEX('Campos Growths'!$L:$L,MATCH(H2126,'Campos Growths'!$A:$A,0)),""))</f>
        <v/>
      </c>
      <c r="L2126" s="7" t="str">
        <f aca="false">IF(A2126="","",IF(G2126="não","Sem tabela no Growths",IF(I2126="","Sem campo no Growths",IF(J2126=K2126,"Importa direto","Ajustar tipo"))))</f>
        <v/>
      </c>
      <c r="M2126" s="9"/>
    </row>
    <row r="2127" customFormat="false" ht="15" hidden="false" customHeight="false" outlineLevel="0" collapsed="false">
      <c r="A2127" s="7" t="str">
        <f aca="false">IF('Outro banco'!A2127="","",IF(LEFT('Outro banco'!A2127,1)="(","",'Outro banco'!A2127))</f>
        <v/>
      </c>
      <c r="B2127" s="7" t="str">
        <f aca="false">IF(A2127="","",'Outro banco'!B2127)</f>
        <v/>
      </c>
      <c r="C2127" s="7" t="str">
        <f aca="false">IF(A2127="","",'Outro banco'!C2127)</f>
        <v/>
      </c>
      <c r="D2127" s="7" t="str">
        <f aca="false">IF(A2127="","",'Outro banco'!D2127)</f>
        <v/>
      </c>
      <c r="E2127" s="9"/>
      <c r="F2127" s="9"/>
      <c r="G2127" s="7" t="str">
        <f aca="false">IF(A2127="","",IF(COUNTIF(Tabelas!$A:$A,IF(E2127="",A2127,E2127))&gt;0,"sim","não"))</f>
        <v/>
      </c>
      <c r="H2127" s="7" t="str">
        <f aca="false">IF(A2127="","",IF(E2127="",A2127,E2127)&amp;"."&amp;IF(F2127="",B2127,F2127))</f>
        <v/>
      </c>
      <c r="I2127" s="7" t="str">
        <f aca="false">IF(A2127="","",IFERROR(INDEX('Campos Growths'!$F:$F,MATCH(H2127,'Campos Growths'!$A:$A,0)),""))</f>
        <v/>
      </c>
      <c r="J2127" s="7" t="str">
        <f aca="false">IF(A2127="","",IFERROR(VLOOKUP(IF(ISNUMBER(SEARCH("(",C2127)),LEFT(C2127,SEARCH("(",C2127)-1),C2127),Tipos!$A:$B,2,FALSE()),"outro"))</f>
        <v/>
      </c>
      <c r="K2127" s="7" t="str">
        <f aca="false">IF(I2127="","",IFERROR(INDEX('Campos Growths'!$L:$L,MATCH(H2127,'Campos Growths'!$A:$A,0)),""))</f>
        <v/>
      </c>
      <c r="L2127" s="7" t="str">
        <f aca="false">IF(A2127="","",IF(G2127="não","Sem tabela no Growths",IF(I2127="","Sem campo no Growths",IF(J2127=K2127,"Importa direto","Ajustar tipo"))))</f>
        <v/>
      </c>
      <c r="M2127" s="9"/>
    </row>
    <row r="2128" customFormat="false" ht="15" hidden="false" customHeight="false" outlineLevel="0" collapsed="false">
      <c r="A2128" s="7" t="str">
        <f aca="false">IF('Outro banco'!A2128="","",IF(LEFT('Outro banco'!A2128,1)="(","",'Outro banco'!A2128))</f>
        <v/>
      </c>
      <c r="B2128" s="7" t="str">
        <f aca="false">IF(A2128="","",'Outro banco'!B2128)</f>
        <v/>
      </c>
      <c r="C2128" s="7" t="str">
        <f aca="false">IF(A2128="","",'Outro banco'!C2128)</f>
        <v/>
      </c>
      <c r="D2128" s="7" t="str">
        <f aca="false">IF(A2128="","",'Outro banco'!D2128)</f>
        <v/>
      </c>
      <c r="E2128" s="9"/>
      <c r="F2128" s="9"/>
      <c r="G2128" s="7" t="str">
        <f aca="false">IF(A2128="","",IF(COUNTIF(Tabelas!$A:$A,IF(E2128="",A2128,E2128))&gt;0,"sim","não"))</f>
        <v/>
      </c>
      <c r="H2128" s="7" t="str">
        <f aca="false">IF(A2128="","",IF(E2128="",A2128,E2128)&amp;"."&amp;IF(F2128="",B2128,F2128))</f>
        <v/>
      </c>
      <c r="I2128" s="7" t="str">
        <f aca="false">IF(A2128="","",IFERROR(INDEX('Campos Growths'!$F:$F,MATCH(H2128,'Campos Growths'!$A:$A,0)),""))</f>
        <v/>
      </c>
      <c r="J2128" s="7" t="str">
        <f aca="false">IF(A2128="","",IFERROR(VLOOKUP(IF(ISNUMBER(SEARCH("(",C2128)),LEFT(C2128,SEARCH("(",C2128)-1),C2128),Tipos!$A:$B,2,FALSE()),"outro"))</f>
        <v/>
      </c>
      <c r="K2128" s="7" t="str">
        <f aca="false">IF(I2128="","",IFERROR(INDEX('Campos Growths'!$L:$L,MATCH(H2128,'Campos Growths'!$A:$A,0)),""))</f>
        <v/>
      </c>
      <c r="L2128" s="7" t="str">
        <f aca="false">IF(A2128="","",IF(G2128="não","Sem tabela no Growths",IF(I2128="","Sem campo no Growths",IF(J2128=K2128,"Importa direto","Ajustar tipo"))))</f>
        <v/>
      </c>
      <c r="M2128" s="9"/>
    </row>
    <row r="2129" customFormat="false" ht="15" hidden="false" customHeight="false" outlineLevel="0" collapsed="false">
      <c r="A2129" s="7" t="str">
        <f aca="false">IF('Outro banco'!A2129="","",IF(LEFT('Outro banco'!A2129,1)="(","",'Outro banco'!A2129))</f>
        <v/>
      </c>
      <c r="B2129" s="7" t="str">
        <f aca="false">IF(A2129="","",'Outro banco'!B2129)</f>
        <v/>
      </c>
      <c r="C2129" s="7" t="str">
        <f aca="false">IF(A2129="","",'Outro banco'!C2129)</f>
        <v/>
      </c>
      <c r="D2129" s="7" t="str">
        <f aca="false">IF(A2129="","",'Outro banco'!D2129)</f>
        <v/>
      </c>
      <c r="E2129" s="9"/>
      <c r="F2129" s="9"/>
      <c r="G2129" s="7" t="str">
        <f aca="false">IF(A2129="","",IF(COUNTIF(Tabelas!$A:$A,IF(E2129="",A2129,E2129))&gt;0,"sim","não"))</f>
        <v/>
      </c>
      <c r="H2129" s="7" t="str">
        <f aca="false">IF(A2129="","",IF(E2129="",A2129,E2129)&amp;"."&amp;IF(F2129="",B2129,F2129))</f>
        <v/>
      </c>
      <c r="I2129" s="7" t="str">
        <f aca="false">IF(A2129="","",IFERROR(INDEX('Campos Growths'!$F:$F,MATCH(H2129,'Campos Growths'!$A:$A,0)),""))</f>
        <v/>
      </c>
      <c r="J2129" s="7" t="str">
        <f aca="false">IF(A2129="","",IFERROR(VLOOKUP(IF(ISNUMBER(SEARCH("(",C2129)),LEFT(C2129,SEARCH("(",C2129)-1),C2129),Tipos!$A:$B,2,FALSE()),"outro"))</f>
        <v/>
      </c>
      <c r="K2129" s="7" t="str">
        <f aca="false">IF(I2129="","",IFERROR(INDEX('Campos Growths'!$L:$L,MATCH(H2129,'Campos Growths'!$A:$A,0)),""))</f>
        <v/>
      </c>
      <c r="L2129" s="7" t="str">
        <f aca="false">IF(A2129="","",IF(G2129="não","Sem tabela no Growths",IF(I2129="","Sem campo no Growths",IF(J2129=K2129,"Importa direto","Ajustar tipo"))))</f>
        <v/>
      </c>
      <c r="M2129" s="9"/>
    </row>
    <row r="2130" customFormat="false" ht="15" hidden="false" customHeight="false" outlineLevel="0" collapsed="false">
      <c r="A2130" s="7" t="str">
        <f aca="false">IF('Outro banco'!A2130="","",IF(LEFT('Outro banco'!A2130,1)="(","",'Outro banco'!A2130))</f>
        <v/>
      </c>
      <c r="B2130" s="7" t="str">
        <f aca="false">IF(A2130="","",'Outro banco'!B2130)</f>
        <v/>
      </c>
      <c r="C2130" s="7" t="str">
        <f aca="false">IF(A2130="","",'Outro banco'!C2130)</f>
        <v/>
      </c>
      <c r="D2130" s="7" t="str">
        <f aca="false">IF(A2130="","",'Outro banco'!D2130)</f>
        <v/>
      </c>
      <c r="E2130" s="9"/>
      <c r="F2130" s="9"/>
      <c r="G2130" s="7" t="str">
        <f aca="false">IF(A2130="","",IF(COUNTIF(Tabelas!$A:$A,IF(E2130="",A2130,E2130))&gt;0,"sim","não"))</f>
        <v/>
      </c>
      <c r="H2130" s="7" t="str">
        <f aca="false">IF(A2130="","",IF(E2130="",A2130,E2130)&amp;"."&amp;IF(F2130="",B2130,F2130))</f>
        <v/>
      </c>
      <c r="I2130" s="7" t="str">
        <f aca="false">IF(A2130="","",IFERROR(INDEX('Campos Growths'!$F:$F,MATCH(H2130,'Campos Growths'!$A:$A,0)),""))</f>
        <v/>
      </c>
      <c r="J2130" s="7" t="str">
        <f aca="false">IF(A2130="","",IFERROR(VLOOKUP(IF(ISNUMBER(SEARCH("(",C2130)),LEFT(C2130,SEARCH("(",C2130)-1),C2130),Tipos!$A:$B,2,FALSE()),"outro"))</f>
        <v/>
      </c>
      <c r="K2130" s="7" t="str">
        <f aca="false">IF(I2130="","",IFERROR(INDEX('Campos Growths'!$L:$L,MATCH(H2130,'Campos Growths'!$A:$A,0)),""))</f>
        <v/>
      </c>
      <c r="L2130" s="7" t="str">
        <f aca="false">IF(A2130="","",IF(G2130="não","Sem tabela no Growths",IF(I2130="","Sem campo no Growths",IF(J2130=K2130,"Importa direto","Ajustar tipo"))))</f>
        <v/>
      </c>
      <c r="M2130" s="9"/>
    </row>
    <row r="2131" customFormat="false" ht="15" hidden="false" customHeight="false" outlineLevel="0" collapsed="false">
      <c r="A2131" s="7" t="str">
        <f aca="false">IF('Outro banco'!A2131="","",IF(LEFT('Outro banco'!A2131,1)="(","",'Outro banco'!A2131))</f>
        <v/>
      </c>
      <c r="B2131" s="7" t="str">
        <f aca="false">IF(A2131="","",'Outro banco'!B2131)</f>
        <v/>
      </c>
      <c r="C2131" s="7" t="str">
        <f aca="false">IF(A2131="","",'Outro banco'!C2131)</f>
        <v/>
      </c>
      <c r="D2131" s="7" t="str">
        <f aca="false">IF(A2131="","",'Outro banco'!D2131)</f>
        <v/>
      </c>
      <c r="E2131" s="9"/>
      <c r="F2131" s="9"/>
      <c r="G2131" s="7" t="str">
        <f aca="false">IF(A2131="","",IF(COUNTIF(Tabelas!$A:$A,IF(E2131="",A2131,E2131))&gt;0,"sim","não"))</f>
        <v/>
      </c>
      <c r="H2131" s="7" t="str">
        <f aca="false">IF(A2131="","",IF(E2131="",A2131,E2131)&amp;"."&amp;IF(F2131="",B2131,F2131))</f>
        <v/>
      </c>
      <c r="I2131" s="7" t="str">
        <f aca="false">IF(A2131="","",IFERROR(INDEX('Campos Growths'!$F:$F,MATCH(H2131,'Campos Growths'!$A:$A,0)),""))</f>
        <v/>
      </c>
      <c r="J2131" s="7" t="str">
        <f aca="false">IF(A2131="","",IFERROR(VLOOKUP(IF(ISNUMBER(SEARCH("(",C2131)),LEFT(C2131,SEARCH("(",C2131)-1),C2131),Tipos!$A:$B,2,FALSE()),"outro"))</f>
        <v/>
      </c>
      <c r="K2131" s="7" t="str">
        <f aca="false">IF(I2131="","",IFERROR(INDEX('Campos Growths'!$L:$L,MATCH(H2131,'Campos Growths'!$A:$A,0)),""))</f>
        <v/>
      </c>
      <c r="L2131" s="7" t="str">
        <f aca="false">IF(A2131="","",IF(G2131="não","Sem tabela no Growths",IF(I2131="","Sem campo no Growths",IF(J2131=K2131,"Importa direto","Ajustar tipo"))))</f>
        <v/>
      </c>
      <c r="M2131" s="9"/>
    </row>
    <row r="2132" customFormat="false" ht="15" hidden="false" customHeight="false" outlineLevel="0" collapsed="false">
      <c r="A2132" s="7" t="str">
        <f aca="false">IF('Outro banco'!A2132="","",IF(LEFT('Outro banco'!A2132,1)="(","",'Outro banco'!A2132))</f>
        <v/>
      </c>
      <c r="B2132" s="7" t="str">
        <f aca="false">IF(A2132="","",'Outro banco'!B2132)</f>
        <v/>
      </c>
      <c r="C2132" s="7" t="str">
        <f aca="false">IF(A2132="","",'Outro banco'!C2132)</f>
        <v/>
      </c>
      <c r="D2132" s="7" t="str">
        <f aca="false">IF(A2132="","",'Outro banco'!D2132)</f>
        <v/>
      </c>
      <c r="E2132" s="9"/>
      <c r="F2132" s="9"/>
      <c r="G2132" s="7" t="str">
        <f aca="false">IF(A2132="","",IF(COUNTIF(Tabelas!$A:$A,IF(E2132="",A2132,E2132))&gt;0,"sim","não"))</f>
        <v/>
      </c>
      <c r="H2132" s="7" t="str">
        <f aca="false">IF(A2132="","",IF(E2132="",A2132,E2132)&amp;"."&amp;IF(F2132="",B2132,F2132))</f>
        <v/>
      </c>
      <c r="I2132" s="7" t="str">
        <f aca="false">IF(A2132="","",IFERROR(INDEX('Campos Growths'!$F:$F,MATCH(H2132,'Campos Growths'!$A:$A,0)),""))</f>
        <v/>
      </c>
      <c r="J2132" s="7" t="str">
        <f aca="false">IF(A2132="","",IFERROR(VLOOKUP(IF(ISNUMBER(SEARCH("(",C2132)),LEFT(C2132,SEARCH("(",C2132)-1),C2132),Tipos!$A:$B,2,FALSE()),"outro"))</f>
        <v/>
      </c>
      <c r="K2132" s="7" t="str">
        <f aca="false">IF(I2132="","",IFERROR(INDEX('Campos Growths'!$L:$L,MATCH(H2132,'Campos Growths'!$A:$A,0)),""))</f>
        <v/>
      </c>
      <c r="L2132" s="7" t="str">
        <f aca="false">IF(A2132="","",IF(G2132="não","Sem tabela no Growths",IF(I2132="","Sem campo no Growths",IF(J2132=K2132,"Importa direto","Ajustar tipo"))))</f>
        <v/>
      </c>
      <c r="M2132" s="9"/>
    </row>
    <row r="2133" customFormat="false" ht="15" hidden="false" customHeight="false" outlineLevel="0" collapsed="false">
      <c r="A2133" s="7" t="str">
        <f aca="false">IF('Outro banco'!A2133="","",IF(LEFT('Outro banco'!A2133,1)="(","",'Outro banco'!A2133))</f>
        <v/>
      </c>
      <c r="B2133" s="7" t="str">
        <f aca="false">IF(A2133="","",'Outro banco'!B2133)</f>
        <v/>
      </c>
      <c r="C2133" s="7" t="str">
        <f aca="false">IF(A2133="","",'Outro banco'!C2133)</f>
        <v/>
      </c>
      <c r="D2133" s="7" t="str">
        <f aca="false">IF(A2133="","",'Outro banco'!D2133)</f>
        <v/>
      </c>
      <c r="E2133" s="9"/>
      <c r="F2133" s="9"/>
      <c r="G2133" s="7" t="str">
        <f aca="false">IF(A2133="","",IF(COUNTIF(Tabelas!$A:$A,IF(E2133="",A2133,E2133))&gt;0,"sim","não"))</f>
        <v/>
      </c>
      <c r="H2133" s="7" t="str">
        <f aca="false">IF(A2133="","",IF(E2133="",A2133,E2133)&amp;"."&amp;IF(F2133="",B2133,F2133))</f>
        <v/>
      </c>
      <c r="I2133" s="7" t="str">
        <f aca="false">IF(A2133="","",IFERROR(INDEX('Campos Growths'!$F:$F,MATCH(H2133,'Campos Growths'!$A:$A,0)),""))</f>
        <v/>
      </c>
      <c r="J2133" s="7" t="str">
        <f aca="false">IF(A2133="","",IFERROR(VLOOKUP(IF(ISNUMBER(SEARCH("(",C2133)),LEFT(C2133,SEARCH("(",C2133)-1),C2133),Tipos!$A:$B,2,FALSE()),"outro"))</f>
        <v/>
      </c>
      <c r="K2133" s="7" t="str">
        <f aca="false">IF(I2133="","",IFERROR(INDEX('Campos Growths'!$L:$L,MATCH(H2133,'Campos Growths'!$A:$A,0)),""))</f>
        <v/>
      </c>
      <c r="L2133" s="7" t="str">
        <f aca="false">IF(A2133="","",IF(G2133="não","Sem tabela no Growths",IF(I2133="","Sem campo no Growths",IF(J2133=K2133,"Importa direto","Ajustar tipo"))))</f>
        <v/>
      </c>
      <c r="M2133" s="9"/>
    </row>
    <row r="2134" customFormat="false" ht="15" hidden="false" customHeight="false" outlineLevel="0" collapsed="false">
      <c r="A2134" s="7" t="str">
        <f aca="false">IF('Outro banco'!A2134="","",IF(LEFT('Outro banco'!A2134,1)="(","",'Outro banco'!A2134))</f>
        <v/>
      </c>
      <c r="B2134" s="7" t="str">
        <f aca="false">IF(A2134="","",'Outro banco'!B2134)</f>
        <v/>
      </c>
      <c r="C2134" s="7" t="str">
        <f aca="false">IF(A2134="","",'Outro banco'!C2134)</f>
        <v/>
      </c>
      <c r="D2134" s="7" t="str">
        <f aca="false">IF(A2134="","",'Outro banco'!D2134)</f>
        <v/>
      </c>
      <c r="E2134" s="9"/>
      <c r="F2134" s="9"/>
      <c r="G2134" s="7" t="str">
        <f aca="false">IF(A2134="","",IF(COUNTIF(Tabelas!$A:$A,IF(E2134="",A2134,E2134))&gt;0,"sim","não"))</f>
        <v/>
      </c>
      <c r="H2134" s="7" t="str">
        <f aca="false">IF(A2134="","",IF(E2134="",A2134,E2134)&amp;"."&amp;IF(F2134="",B2134,F2134))</f>
        <v/>
      </c>
      <c r="I2134" s="7" t="str">
        <f aca="false">IF(A2134="","",IFERROR(INDEX('Campos Growths'!$F:$F,MATCH(H2134,'Campos Growths'!$A:$A,0)),""))</f>
        <v/>
      </c>
      <c r="J2134" s="7" t="str">
        <f aca="false">IF(A2134="","",IFERROR(VLOOKUP(IF(ISNUMBER(SEARCH("(",C2134)),LEFT(C2134,SEARCH("(",C2134)-1),C2134),Tipos!$A:$B,2,FALSE()),"outro"))</f>
        <v/>
      </c>
      <c r="K2134" s="7" t="str">
        <f aca="false">IF(I2134="","",IFERROR(INDEX('Campos Growths'!$L:$L,MATCH(H2134,'Campos Growths'!$A:$A,0)),""))</f>
        <v/>
      </c>
      <c r="L2134" s="7" t="str">
        <f aca="false">IF(A2134="","",IF(G2134="não","Sem tabela no Growths",IF(I2134="","Sem campo no Growths",IF(J2134=K2134,"Importa direto","Ajustar tipo"))))</f>
        <v/>
      </c>
      <c r="M2134" s="9"/>
    </row>
    <row r="2135" customFormat="false" ht="15" hidden="false" customHeight="false" outlineLevel="0" collapsed="false">
      <c r="A2135" s="7" t="str">
        <f aca="false">IF('Outro banco'!A2135="","",IF(LEFT('Outro banco'!A2135,1)="(","",'Outro banco'!A2135))</f>
        <v/>
      </c>
      <c r="B2135" s="7" t="str">
        <f aca="false">IF(A2135="","",'Outro banco'!B2135)</f>
        <v/>
      </c>
      <c r="C2135" s="7" t="str">
        <f aca="false">IF(A2135="","",'Outro banco'!C2135)</f>
        <v/>
      </c>
      <c r="D2135" s="7" t="str">
        <f aca="false">IF(A2135="","",'Outro banco'!D2135)</f>
        <v/>
      </c>
      <c r="E2135" s="9"/>
      <c r="F2135" s="9"/>
      <c r="G2135" s="7" t="str">
        <f aca="false">IF(A2135="","",IF(COUNTIF(Tabelas!$A:$A,IF(E2135="",A2135,E2135))&gt;0,"sim","não"))</f>
        <v/>
      </c>
      <c r="H2135" s="7" t="str">
        <f aca="false">IF(A2135="","",IF(E2135="",A2135,E2135)&amp;"."&amp;IF(F2135="",B2135,F2135))</f>
        <v/>
      </c>
      <c r="I2135" s="7" t="str">
        <f aca="false">IF(A2135="","",IFERROR(INDEX('Campos Growths'!$F:$F,MATCH(H2135,'Campos Growths'!$A:$A,0)),""))</f>
        <v/>
      </c>
      <c r="J2135" s="7" t="str">
        <f aca="false">IF(A2135="","",IFERROR(VLOOKUP(IF(ISNUMBER(SEARCH("(",C2135)),LEFT(C2135,SEARCH("(",C2135)-1),C2135),Tipos!$A:$B,2,FALSE()),"outro"))</f>
        <v/>
      </c>
      <c r="K2135" s="7" t="str">
        <f aca="false">IF(I2135="","",IFERROR(INDEX('Campos Growths'!$L:$L,MATCH(H2135,'Campos Growths'!$A:$A,0)),""))</f>
        <v/>
      </c>
      <c r="L2135" s="7" t="str">
        <f aca="false">IF(A2135="","",IF(G2135="não","Sem tabela no Growths",IF(I2135="","Sem campo no Growths",IF(J2135=K2135,"Importa direto","Ajustar tipo"))))</f>
        <v/>
      </c>
      <c r="M2135" s="9"/>
    </row>
    <row r="2136" customFormat="false" ht="15" hidden="false" customHeight="false" outlineLevel="0" collapsed="false">
      <c r="A2136" s="7" t="str">
        <f aca="false">IF('Outro banco'!A2136="","",IF(LEFT('Outro banco'!A2136,1)="(","",'Outro banco'!A2136))</f>
        <v/>
      </c>
      <c r="B2136" s="7" t="str">
        <f aca="false">IF(A2136="","",'Outro banco'!B2136)</f>
        <v/>
      </c>
      <c r="C2136" s="7" t="str">
        <f aca="false">IF(A2136="","",'Outro banco'!C2136)</f>
        <v/>
      </c>
      <c r="D2136" s="7" t="str">
        <f aca="false">IF(A2136="","",'Outro banco'!D2136)</f>
        <v/>
      </c>
      <c r="E2136" s="9"/>
      <c r="F2136" s="9"/>
      <c r="G2136" s="7" t="str">
        <f aca="false">IF(A2136="","",IF(COUNTIF(Tabelas!$A:$A,IF(E2136="",A2136,E2136))&gt;0,"sim","não"))</f>
        <v/>
      </c>
      <c r="H2136" s="7" t="str">
        <f aca="false">IF(A2136="","",IF(E2136="",A2136,E2136)&amp;"."&amp;IF(F2136="",B2136,F2136))</f>
        <v/>
      </c>
      <c r="I2136" s="7" t="str">
        <f aca="false">IF(A2136="","",IFERROR(INDEX('Campos Growths'!$F:$F,MATCH(H2136,'Campos Growths'!$A:$A,0)),""))</f>
        <v/>
      </c>
      <c r="J2136" s="7" t="str">
        <f aca="false">IF(A2136="","",IFERROR(VLOOKUP(IF(ISNUMBER(SEARCH("(",C2136)),LEFT(C2136,SEARCH("(",C2136)-1),C2136),Tipos!$A:$B,2,FALSE()),"outro"))</f>
        <v/>
      </c>
      <c r="K2136" s="7" t="str">
        <f aca="false">IF(I2136="","",IFERROR(INDEX('Campos Growths'!$L:$L,MATCH(H2136,'Campos Growths'!$A:$A,0)),""))</f>
        <v/>
      </c>
      <c r="L2136" s="7" t="str">
        <f aca="false">IF(A2136="","",IF(G2136="não","Sem tabela no Growths",IF(I2136="","Sem campo no Growths",IF(J2136=K2136,"Importa direto","Ajustar tipo"))))</f>
        <v/>
      </c>
      <c r="M2136" s="9"/>
    </row>
    <row r="2137" customFormat="false" ht="15" hidden="false" customHeight="false" outlineLevel="0" collapsed="false">
      <c r="A2137" s="7" t="str">
        <f aca="false">IF('Outro banco'!A2137="","",IF(LEFT('Outro banco'!A2137,1)="(","",'Outro banco'!A2137))</f>
        <v/>
      </c>
      <c r="B2137" s="7" t="str">
        <f aca="false">IF(A2137="","",'Outro banco'!B2137)</f>
        <v/>
      </c>
      <c r="C2137" s="7" t="str">
        <f aca="false">IF(A2137="","",'Outro banco'!C2137)</f>
        <v/>
      </c>
      <c r="D2137" s="7" t="str">
        <f aca="false">IF(A2137="","",'Outro banco'!D2137)</f>
        <v/>
      </c>
      <c r="E2137" s="9"/>
      <c r="F2137" s="9"/>
      <c r="G2137" s="7" t="str">
        <f aca="false">IF(A2137="","",IF(COUNTIF(Tabelas!$A:$A,IF(E2137="",A2137,E2137))&gt;0,"sim","não"))</f>
        <v/>
      </c>
      <c r="H2137" s="7" t="str">
        <f aca="false">IF(A2137="","",IF(E2137="",A2137,E2137)&amp;"."&amp;IF(F2137="",B2137,F2137))</f>
        <v/>
      </c>
      <c r="I2137" s="7" t="str">
        <f aca="false">IF(A2137="","",IFERROR(INDEX('Campos Growths'!$F:$F,MATCH(H2137,'Campos Growths'!$A:$A,0)),""))</f>
        <v/>
      </c>
      <c r="J2137" s="7" t="str">
        <f aca="false">IF(A2137="","",IFERROR(VLOOKUP(IF(ISNUMBER(SEARCH("(",C2137)),LEFT(C2137,SEARCH("(",C2137)-1),C2137),Tipos!$A:$B,2,FALSE()),"outro"))</f>
        <v/>
      </c>
      <c r="K2137" s="7" t="str">
        <f aca="false">IF(I2137="","",IFERROR(INDEX('Campos Growths'!$L:$L,MATCH(H2137,'Campos Growths'!$A:$A,0)),""))</f>
        <v/>
      </c>
      <c r="L2137" s="7" t="str">
        <f aca="false">IF(A2137="","",IF(G2137="não","Sem tabela no Growths",IF(I2137="","Sem campo no Growths",IF(J2137=K2137,"Importa direto","Ajustar tipo"))))</f>
        <v/>
      </c>
      <c r="M2137" s="9"/>
    </row>
    <row r="2138" customFormat="false" ht="15" hidden="false" customHeight="false" outlineLevel="0" collapsed="false">
      <c r="A2138" s="7" t="str">
        <f aca="false">IF('Outro banco'!A2138="","",IF(LEFT('Outro banco'!A2138,1)="(","",'Outro banco'!A2138))</f>
        <v/>
      </c>
      <c r="B2138" s="7" t="str">
        <f aca="false">IF(A2138="","",'Outro banco'!B2138)</f>
        <v/>
      </c>
      <c r="C2138" s="7" t="str">
        <f aca="false">IF(A2138="","",'Outro banco'!C2138)</f>
        <v/>
      </c>
      <c r="D2138" s="7" t="str">
        <f aca="false">IF(A2138="","",'Outro banco'!D2138)</f>
        <v/>
      </c>
      <c r="E2138" s="9"/>
      <c r="F2138" s="9"/>
      <c r="G2138" s="7" t="str">
        <f aca="false">IF(A2138="","",IF(COUNTIF(Tabelas!$A:$A,IF(E2138="",A2138,E2138))&gt;0,"sim","não"))</f>
        <v/>
      </c>
      <c r="H2138" s="7" t="str">
        <f aca="false">IF(A2138="","",IF(E2138="",A2138,E2138)&amp;"."&amp;IF(F2138="",B2138,F2138))</f>
        <v/>
      </c>
      <c r="I2138" s="7" t="str">
        <f aca="false">IF(A2138="","",IFERROR(INDEX('Campos Growths'!$F:$F,MATCH(H2138,'Campos Growths'!$A:$A,0)),""))</f>
        <v/>
      </c>
      <c r="J2138" s="7" t="str">
        <f aca="false">IF(A2138="","",IFERROR(VLOOKUP(IF(ISNUMBER(SEARCH("(",C2138)),LEFT(C2138,SEARCH("(",C2138)-1),C2138),Tipos!$A:$B,2,FALSE()),"outro"))</f>
        <v/>
      </c>
      <c r="K2138" s="7" t="str">
        <f aca="false">IF(I2138="","",IFERROR(INDEX('Campos Growths'!$L:$L,MATCH(H2138,'Campos Growths'!$A:$A,0)),""))</f>
        <v/>
      </c>
      <c r="L2138" s="7" t="str">
        <f aca="false">IF(A2138="","",IF(G2138="não","Sem tabela no Growths",IF(I2138="","Sem campo no Growths",IF(J2138=K2138,"Importa direto","Ajustar tipo"))))</f>
        <v/>
      </c>
      <c r="M2138" s="9"/>
    </row>
    <row r="2139" customFormat="false" ht="15" hidden="false" customHeight="false" outlineLevel="0" collapsed="false">
      <c r="A2139" s="7" t="str">
        <f aca="false">IF('Outro banco'!A2139="","",IF(LEFT('Outro banco'!A2139,1)="(","",'Outro banco'!A2139))</f>
        <v/>
      </c>
      <c r="B2139" s="7" t="str">
        <f aca="false">IF(A2139="","",'Outro banco'!B2139)</f>
        <v/>
      </c>
      <c r="C2139" s="7" t="str">
        <f aca="false">IF(A2139="","",'Outro banco'!C2139)</f>
        <v/>
      </c>
      <c r="D2139" s="7" t="str">
        <f aca="false">IF(A2139="","",'Outro banco'!D2139)</f>
        <v/>
      </c>
      <c r="E2139" s="9"/>
      <c r="F2139" s="9"/>
      <c r="G2139" s="7" t="str">
        <f aca="false">IF(A2139="","",IF(COUNTIF(Tabelas!$A:$A,IF(E2139="",A2139,E2139))&gt;0,"sim","não"))</f>
        <v/>
      </c>
      <c r="H2139" s="7" t="str">
        <f aca="false">IF(A2139="","",IF(E2139="",A2139,E2139)&amp;"."&amp;IF(F2139="",B2139,F2139))</f>
        <v/>
      </c>
      <c r="I2139" s="7" t="str">
        <f aca="false">IF(A2139="","",IFERROR(INDEX('Campos Growths'!$F:$F,MATCH(H2139,'Campos Growths'!$A:$A,0)),""))</f>
        <v/>
      </c>
      <c r="J2139" s="7" t="str">
        <f aca="false">IF(A2139="","",IFERROR(VLOOKUP(IF(ISNUMBER(SEARCH("(",C2139)),LEFT(C2139,SEARCH("(",C2139)-1),C2139),Tipos!$A:$B,2,FALSE()),"outro"))</f>
        <v/>
      </c>
      <c r="K2139" s="7" t="str">
        <f aca="false">IF(I2139="","",IFERROR(INDEX('Campos Growths'!$L:$L,MATCH(H2139,'Campos Growths'!$A:$A,0)),""))</f>
        <v/>
      </c>
      <c r="L2139" s="7" t="str">
        <f aca="false">IF(A2139="","",IF(G2139="não","Sem tabela no Growths",IF(I2139="","Sem campo no Growths",IF(J2139=K2139,"Importa direto","Ajustar tipo"))))</f>
        <v/>
      </c>
      <c r="M2139" s="9"/>
    </row>
    <row r="2140" customFormat="false" ht="15" hidden="false" customHeight="false" outlineLevel="0" collapsed="false">
      <c r="A2140" s="7" t="str">
        <f aca="false">IF('Outro banco'!A2140="","",IF(LEFT('Outro banco'!A2140,1)="(","",'Outro banco'!A2140))</f>
        <v/>
      </c>
      <c r="B2140" s="7" t="str">
        <f aca="false">IF(A2140="","",'Outro banco'!B2140)</f>
        <v/>
      </c>
      <c r="C2140" s="7" t="str">
        <f aca="false">IF(A2140="","",'Outro banco'!C2140)</f>
        <v/>
      </c>
      <c r="D2140" s="7" t="str">
        <f aca="false">IF(A2140="","",'Outro banco'!D2140)</f>
        <v/>
      </c>
      <c r="E2140" s="9"/>
      <c r="F2140" s="9"/>
      <c r="G2140" s="7" t="str">
        <f aca="false">IF(A2140="","",IF(COUNTIF(Tabelas!$A:$A,IF(E2140="",A2140,E2140))&gt;0,"sim","não"))</f>
        <v/>
      </c>
      <c r="H2140" s="7" t="str">
        <f aca="false">IF(A2140="","",IF(E2140="",A2140,E2140)&amp;"."&amp;IF(F2140="",B2140,F2140))</f>
        <v/>
      </c>
      <c r="I2140" s="7" t="str">
        <f aca="false">IF(A2140="","",IFERROR(INDEX('Campos Growths'!$F:$F,MATCH(H2140,'Campos Growths'!$A:$A,0)),""))</f>
        <v/>
      </c>
      <c r="J2140" s="7" t="str">
        <f aca="false">IF(A2140="","",IFERROR(VLOOKUP(IF(ISNUMBER(SEARCH("(",C2140)),LEFT(C2140,SEARCH("(",C2140)-1),C2140),Tipos!$A:$B,2,FALSE()),"outro"))</f>
        <v/>
      </c>
      <c r="K2140" s="7" t="str">
        <f aca="false">IF(I2140="","",IFERROR(INDEX('Campos Growths'!$L:$L,MATCH(H2140,'Campos Growths'!$A:$A,0)),""))</f>
        <v/>
      </c>
      <c r="L2140" s="7" t="str">
        <f aca="false">IF(A2140="","",IF(G2140="não","Sem tabela no Growths",IF(I2140="","Sem campo no Growths",IF(J2140=K2140,"Importa direto","Ajustar tipo"))))</f>
        <v/>
      </c>
      <c r="M2140" s="9"/>
    </row>
    <row r="2141" customFormat="false" ht="15" hidden="false" customHeight="false" outlineLevel="0" collapsed="false">
      <c r="A2141" s="7" t="str">
        <f aca="false">IF('Outro banco'!A2141="","",IF(LEFT('Outro banco'!A2141,1)="(","",'Outro banco'!A2141))</f>
        <v/>
      </c>
      <c r="B2141" s="7" t="str">
        <f aca="false">IF(A2141="","",'Outro banco'!B2141)</f>
        <v/>
      </c>
      <c r="C2141" s="7" t="str">
        <f aca="false">IF(A2141="","",'Outro banco'!C2141)</f>
        <v/>
      </c>
      <c r="D2141" s="7" t="str">
        <f aca="false">IF(A2141="","",'Outro banco'!D2141)</f>
        <v/>
      </c>
      <c r="E2141" s="9"/>
      <c r="F2141" s="9"/>
      <c r="G2141" s="7" t="str">
        <f aca="false">IF(A2141="","",IF(COUNTIF(Tabelas!$A:$A,IF(E2141="",A2141,E2141))&gt;0,"sim","não"))</f>
        <v/>
      </c>
      <c r="H2141" s="7" t="str">
        <f aca="false">IF(A2141="","",IF(E2141="",A2141,E2141)&amp;"."&amp;IF(F2141="",B2141,F2141))</f>
        <v/>
      </c>
      <c r="I2141" s="7" t="str">
        <f aca="false">IF(A2141="","",IFERROR(INDEX('Campos Growths'!$F:$F,MATCH(H2141,'Campos Growths'!$A:$A,0)),""))</f>
        <v/>
      </c>
      <c r="J2141" s="7" t="str">
        <f aca="false">IF(A2141="","",IFERROR(VLOOKUP(IF(ISNUMBER(SEARCH("(",C2141)),LEFT(C2141,SEARCH("(",C2141)-1),C2141),Tipos!$A:$B,2,FALSE()),"outro"))</f>
        <v/>
      </c>
      <c r="K2141" s="7" t="str">
        <f aca="false">IF(I2141="","",IFERROR(INDEX('Campos Growths'!$L:$L,MATCH(H2141,'Campos Growths'!$A:$A,0)),""))</f>
        <v/>
      </c>
      <c r="L2141" s="7" t="str">
        <f aca="false">IF(A2141="","",IF(G2141="não","Sem tabela no Growths",IF(I2141="","Sem campo no Growths",IF(J2141=K2141,"Importa direto","Ajustar tipo"))))</f>
        <v/>
      </c>
      <c r="M2141" s="9"/>
    </row>
    <row r="2142" customFormat="false" ht="15" hidden="false" customHeight="false" outlineLevel="0" collapsed="false">
      <c r="A2142" s="7" t="str">
        <f aca="false">IF('Outro banco'!A2142="","",IF(LEFT('Outro banco'!A2142,1)="(","",'Outro banco'!A2142))</f>
        <v/>
      </c>
      <c r="B2142" s="7" t="str">
        <f aca="false">IF(A2142="","",'Outro banco'!B2142)</f>
        <v/>
      </c>
      <c r="C2142" s="7" t="str">
        <f aca="false">IF(A2142="","",'Outro banco'!C2142)</f>
        <v/>
      </c>
      <c r="D2142" s="7" t="str">
        <f aca="false">IF(A2142="","",'Outro banco'!D2142)</f>
        <v/>
      </c>
      <c r="E2142" s="9"/>
      <c r="F2142" s="9"/>
      <c r="G2142" s="7" t="str">
        <f aca="false">IF(A2142="","",IF(COUNTIF(Tabelas!$A:$A,IF(E2142="",A2142,E2142))&gt;0,"sim","não"))</f>
        <v/>
      </c>
      <c r="H2142" s="7" t="str">
        <f aca="false">IF(A2142="","",IF(E2142="",A2142,E2142)&amp;"."&amp;IF(F2142="",B2142,F2142))</f>
        <v/>
      </c>
      <c r="I2142" s="7" t="str">
        <f aca="false">IF(A2142="","",IFERROR(INDEX('Campos Growths'!$F:$F,MATCH(H2142,'Campos Growths'!$A:$A,0)),""))</f>
        <v/>
      </c>
      <c r="J2142" s="7" t="str">
        <f aca="false">IF(A2142="","",IFERROR(VLOOKUP(IF(ISNUMBER(SEARCH("(",C2142)),LEFT(C2142,SEARCH("(",C2142)-1),C2142),Tipos!$A:$B,2,FALSE()),"outro"))</f>
        <v/>
      </c>
      <c r="K2142" s="7" t="str">
        <f aca="false">IF(I2142="","",IFERROR(INDEX('Campos Growths'!$L:$L,MATCH(H2142,'Campos Growths'!$A:$A,0)),""))</f>
        <v/>
      </c>
      <c r="L2142" s="7" t="str">
        <f aca="false">IF(A2142="","",IF(G2142="não","Sem tabela no Growths",IF(I2142="","Sem campo no Growths",IF(J2142=K2142,"Importa direto","Ajustar tipo"))))</f>
        <v/>
      </c>
      <c r="M2142" s="9"/>
    </row>
    <row r="2143" customFormat="false" ht="15" hidden="false" customHeight="false" outlineLevel="0" collapsed="false">
      <c r="A2143" s="7" t="str">
        <f aca="false">IF('Outro banco'!A2143="","",IF(LEFT('Outro banco'!A2143,1)="(","",'Outro banco'!A2143))</f>
        <v/>
      </c>
      <c r="B2143" s="7" t="str">
        <f aca="false">IF(A2143="","",'Outro banco'!B2143)</f>
        <v/>
      </c>
      <c r="C2143" s="7" t="str">
        <f aca="false">IF(A2143="","",'Outro banco'!C2143)</f>
        <v/>
      </c>
      <c r="D2143" s="7" t="str">
        <f aca="false">IF(A2143="","",'Outro banco'!D2143)</f>
        <v/>
      </c>
      <c r="E2143" s="9"/>
      <c r="F2143" s="9"/>
      <c r="G2143" s="7" t="str">
        <f aca="false">IF(A2143="","",IF(COUNTIF(Tabelas!$A:$A,IF(E2143="",A2143,E2143))&gt;0,"sim","não"))</f>
        <v/>
      </c>
      <c r="H2143" s="7" t="str">
        <f aca="false">IF(A2143="","",IF(E2143="",A2143,E2143)&amp;"."&amp;IF(F2143="",B2143,F2143))</f>
        <v/>
      </c>
      <c r="I2143" s="7" t="str">
        <f aca="false">IF(A2143="","",IFERROR(INDEX('Campos Growths'!$F:$F,MATCH(H2143,'Campos Growths'!$A:$A,0)),""))</f>
        <v/>
      </c>
      <c r="J2143" s="7" t="str">
        <f aca="false">IF(A2143="","",IFERROR(VLOOKUP(IF(ISNUMBER(SEARCH("(",C2143)),LEFT(C2143,SEARCH("(",C2143)-1),C2143),Tipos!$A:$B,2,FALSE()),"outro"))</f>
        <v/>
      </c>
      <c r="K2143" s="7" t="str">
        <f aca="false">IF(I2143="","",IFERROR(INDEX('Campos Growths'!$L:$L,MATCH(H2143,'Campos Growths'!$A:$A,0)),""))</f>
        <v/>
      </c>
      <c r="L2143" s="7" t="str">
        <f aca="false">IF(A2143="","",IF(G2143="não","Sem tabela no Growths",IF(I2143="","Sem campo no Growths",IF(J2143=K2143,"Importa direto","Ajustar tipo"))))</f>
        <v/>
      </c>
      <c r="M2143" s="9"/>
    </row>
    <row r="2144" customFormat="false" ht="15" hidden="false" customHeight="false" outlineLevel="0" collapsed="false">
      <c r="A2144" s="7" t="str">
        <f aca="false">IF('Outro banco'!A2144="","",IF(LEFT('Outro banco'!A2144,1)="(","",'Outro banco'!A2144))</f>
        <v/>
      </c>
      <c r="B2144" s="7" t="str">
        <f aca="false">IF(A2144="","",'Outro banco'!B2144)</f>
        <v/>
      </c>
      <c r="C2144" s="7" t="str">
        <f aca="false">IF(A2144="","",'Outro banco'!C2144)</f>
        <v/>
      </c>
      <c r="D2144" s="7" t="str">
        <f aca="false">IF(A2144="","",'Outro banco'!D2144)</f>
        <v/>
      </c>
      <c r="E2144" s="9"/>
      <c r="F2144" s="9"/>
      <c r="G2144" s="7" t="str">
        <f aca="false">IF(A2144="","",IF(COUNTIF(Tabelas!$A:$A,IF(E2144="",A2144,E2144))&gt;0,"sim","não"))</f>
        <v/>
      </c>
      <c r="H2144" s="7" t="str">
        <f aca="false">IF(A2144="","",IF(E2144="",A2144,E2144)&amp;"."&amp;IF(F2144="",B2144,F2144))</f>
        <v/>
      </c>
      <c r="I2144" s="7" t="str">
        <f aca="false">IF(A2144="","",IFERROR(INDEX('Campos Growths'!$F:$F,MATCH(H2144,'Campos Growths'!$A:$A,0)),""))</f>
        <v/>
      </c>
      <c r="J2144" s="7" t="str">
        <f aca="false">IF(A2144="","",IFERROR(VLOOKUP(IF(ISNUMBER(SEARCH("(",C2144)),LEFT(C2144,SEARCH("(",C2144)-1),C2144),Tipos!$A:$B,2,FALSE()),"outro"))</f>
        <v/>
      </c>
      <c r="K2144" s="7" t="str">
        <f aca="false">IF(I2144="","",IFERROR(INDEX('Campos Growths'!$L:$L,MATCH(H2144,'Campos Growths'!$A:$A,0)),""))</f>
        <v/>
      </c>
      <c r="L2144" s="7" t="str">
        <f aca="false">IF(A2144="","",IF(G2144="não","Sem tabela no Growths",IF(I2144="","Sem campo no Growths",IF(J2144=K2144,"Importa direto","Ajustar tipo"))))</f>
        <v/>
      </c>
      <c r="M2144" s="9"/>
    </row>
    <row r="2145" customFormat="false" ht="15" hidden="false" customHeight="false" outlineLevel="0" collapsed="false">
      <c r="A2145" s="7" t="str">
        <f aca="false">IF('Outro banco'!A2145="","",IF(LEFT('Outro banco'!A2145,1)="(","",'Outro banco'!A2145))</f>
        <v/>
      </c>
      <c r="B2145" s="7" t="str">
        <f aca="false">IF(A2145="","",'Outro banco'!B2145)</f>
        <v/>
      </c>
      <c r="C2145" s="7" t="str">
        <f aca="false">IF(A2145="","",'Outro banco'!C2145)</f>
        <v/>
      </c>
      <c r="D2145" s="7" t="str">
        <f aca="false">IF(A2145="","",'Outro banco'!D2145)</f>
        <v/>
      </c>
      <c r="E2145" s="9"/>
      <c r="F2145" s="9"/>
      <c r="G2145" s="7" t="str">
        <f aca="false">IF(A2145="","",IF(COUNTIF(Tabelas!$A:$A,IF(E2145="",A2145,E2145))&gt;0,"sim","não"))</f>
        <v/>
      </c>
      <c r="H2145" s="7" t="str">
        <f aca="false">IF(A2145="","",IF(E2145="",A2145,E2145)&amp;"."&amp;IF(F2145="",B2145,F2145))</f>
        <v/>
      </c>
      <c r="I2145" s="7" t="str">
        <f aca="false">IF(A2145="","",IFERROR(INDEX('Campos Growths'!$F:$F,MATCH(H2145,'Campos Growths'!$A:$A,0)),""))</f>
        <v/>
      </c>
      <c r="J2145" s="7" t="str">
        <f aca="false">IF(A2145="","",IFERROR(VLOOKUP(IF(ISNUMBER(SEARCH("(",C2145)),LEFT(C2145,SEARCH("(",C2145)-1),C2145),Tipos!$A:$B,2,FALSE()),"outro"))</f>
        <v/>
      </c>
      <c r="K2145" s="7" t="str">
        <f aca="false">IF(I2145="","",IFERROR(INDEX('Campos Growths'!$L:$L,MATCH(H2145,'Campos Growths'!$A:$A,0)),""))</f>
        <v/>
      </c>
      <c r="L2145" s="7" t="str">
        <f aca="false">IF(A2145="","",IF(G2145="não","Sem tabela no Growths",IF(I2145="","Sem campo no Growths",IF(J2145=K2145,"Importa direto","Ajustar tipo"))))</f>
        <v/>
      </c>
      <c r="M2145" s="9"/>
    </row>
    <row r="2146" customFormat="false" ht="15" hidden="false" customHeight="false" outlineLevel="0" collapsed="false">
      <c r="A2146" s="7" t="str">
        <f aca="false">IF('Outro banco'!A2146="","",IF(LEFT('Outro banco'!A2146,1)="(","",'Outro banco'!A2146))</f>
        <v/>
      </c>
      <c r="B2146" s="7" t="str">
        <f aca="false">IF(A2146="","",'Outro banco'!B2146)</f>
        <v/>
      </c>
      <c r="C2146" s="7" t="str">
        <f aca="false">IF(A2146="","",'Outro banco'!C2146)</f>
        <v/>
      </c>
      <c r="D2146" s="7" t="str">
        <f aca="false">IF(A2146="","",'Outro banco'!D2146)</f>
        <v/>
      </c>
      <c r="E2146" s="9"/>
      <c r="F2146" s="9"/>
      <c r="G2146" s="7" t="str">
        <f aca="false">IF(A2146="","",IF(COUNTIF(Tabelas!$A:$A,IF(E2146="",A2146,E2146))&gt;0,"sim","não"))</f>
        <v/>
      </c>
      <c r="H2146" s="7" t="str">
        <f aca="false">IF(A2146="","",IF(E2146="",A2146,E2146)&amp;"."&amp;IF(F2146="",B2146,F2146))</f>
        <v/>
      </c>
      <c r="I2146" s="7" t="str">
        <f aca="false">IF(A2146="","",IFERROR(INDEX('Campos Growths'!$F:$F,MATCH(H2146,'Campos Growths'!$A:$A,0)),""))</f>
        <v/>
      </c>
      <c r="J2146" s="7" t="str">
        <f aca="false">IF(A2146="","",IFERROR(VLOOKUP(IF(ISNUMBER(SEARCH("(",C2146)),LEFT(C2146,SEARCH("(",C2146)-1),C2146),Tipos!$A:$B,2,FALSE()),"outro"))</f>
        <v/>
      </c>
      <c r="K2146" s="7" t="str">
        <f aca="false">IF(I2146="","",IFERROR(INDEX('Campos Growths'!$L:$L,MATCH(H2146,'Campos Growths'!$A:$A,0)),""))</f>
        <v/>
      </c>
      <c r="L2146" s="7" t="str">
        <f aca="false">IF(A2146="","",IF(G2146="não","Sem tabela no Growths",IF(I2146="","Sem campo no Growths",IF(J2146=K2146,"Importa direto","Ajustar tipo"))))</f>
        <v/>
      </c>
      <c r="M2146" s="9"/>
    </row>
    <row r="2147" customFormat="false" ht="15" hidden="false" customHeight="false" outlineLevel="0" collapsed="false">
      <c r="A2147" s="7" t="str">
        <f aca="false">IF('Outro banco'!A2147="","",IF(LEFT('Outro banco'!A2147,1)="(","",'Outro banco'!A2147))</f>
        <v/>
      </c>
      <c r="B2147" s="7" t="str">
        <f aca="false">IF(A2147="","",'Outro banco'!B2147)</f>
        <v/>
      </c>
      <c r="C2147" s="7" t="str">
        <f aca="false">IF(A2147="","",'Outro banco'!C2147)</f>
        <v/>
      </c>
      <c r="D2147" s="7" t="str">
        <f aca="false">IF(A2147="","",'Outro banco'!D2147)</f>
        <v/>
      </c>
      <c r="E2147" s="9"/>
      <c r="F2147" s="9"/>
      <c r="G2147" s="7" t="str">
        <f aca="false">IF(A2147="","",IF(COUNTIF(Tabelas!$A:$A,IF(E2147="",A2147,E2147))&gt;0,"sim","não"))</f>
        <v/>
      </c>
      <c r="H2147" s="7" t="str">
        <f aca="false">IF(A2147="","",IF(E2147="",A2147,E2147)&amp;"."&amp;IF(F2147="",B2147,F2147))</f>
        <v/>
      </c>
      <c r="I2147" s="7" t="str">
        <f aca="false">IF(A2147="","",IFERROR(INDEX('Campos Growths'!$F:$F,MATCH(H2147,'Campos Growths'!$A:$A,0)),""))</f>
        <v/>
      </c>
      <c r="J2147" s="7" t="str">
        <f aca="false">IF(A2147="","",IFERROR(VLOOKUP(IF(ISNUMBER(SEARCH("(",C2147)),LEFT(C2147,SEARCH("(",C2147)-1),C2147),Tipos!$A:$B,2,FALSE()),"outro"))</f>
        <v/>
      </c>
      <c r="K2147" s="7" t="str">
        <f aca="false">IF(I2147="","",IFERROR(INDEX('Campos Growths'!$L:$L,MATCH(H2147,'Campos Growths'!$A:$A,0)),""))</f>
        <v/>
      </c>
      <c r="L2147" s="7" t="str">
        <f aca="false">IF(A2147="","",IF(G2147="não","Sem tabela no Growths",IF(I2147="","Sem campo no Growths",IF(J2147=K2147,"Importa direto","Ajustar tipo"))))</f>
        <v/>
      </c>
      <c r="M2147" s="9"/>
    </row>
    <row r="2148" customFormat="false" ht="15" hidden="false" customHeight="false" outlineLevel="0" collapsed="false">
      <c r="A2148" s="7" t="str">
        <f aca="false">IF('Outro banco'!A2148="","",IF(LEFT('Outro banco'!A2148,1)="(","",'Outro banco'!A2148))</f>
        <v/>
      </c>
      <c r="B2148" s="7" t="str">
        <f aca="false">IF(A2148="","",'Outro banco'!B2148)</f>
        <v/>
      </c>
      <c r="C2148" s="7" t="str">
        <f aca="false">IF(A2148="","",'Outro banco'!C2148)</f>
        <v/>
      </c>
      <c r="D2148" s="7" t="str">
        <f aca="false">IF(A2148="","",'Outro banco'!D2148)</f>
        <v/>
      </c>
      <c r="E2148" s="9"/>
      <c r="F2148" s="9"/>
      <c r="G2148" s="7" t="str">
        <f aca="false">IF(A2148="","",IF(COUNTIF(Tabelas!$A:$A,IF(E2148="",A2148,E2148))&gt;0,"sim","não"))</f>
        <v/>
      </c>
      <c r="H2148" s="7" t="str">
        <f aca="false">IF(A2148="","",IF(E2148="",A2148,E2148)&amp;"."&amp;IF(F2148="",B2148,F2148))</f>
        <v/>
      </c>
      <c r="I2148" s="7" t="str">
        <f aca="false">IF(A2148="","",IFERROR(INDEX('Campos Growths'!$F:$F,MATCH(H2148,'Campos Growths'!$A:$A,0)),""))</f>
        <v/>
      </c>
      <c r="J2148" s="7" t="str">
        <f aca="false">IF(A2148="","",IFERROR(VLOOKUP(IF(ISNUMBER(SEARCH("(",C2148)),LEFT(C2148,SEARCH("(",C2148)-1),C2148),Tipos!$A:$B,2,FALSE()),"outro"))</f>
        <v/>
      </c>
      <c r="K2148" s="7" t="str">
        <f aca="false">IF(I2148="","",IFERROR(INDEX('Campos Growths'!$L:$L,MATCH(H2148,'Campos Growths'!$A:$A,0)),""))</f>
        <v/>
      </c>
      <c r="L2148" s="7" t="str">
        <f aca="false">IF(A2148="","",IF(G2148="não","Sem tabela no Growths",IF(I2148="","Sem campo no Growths",IF(J2148=K2148,"Importa direto","Ajustar tipo"))))</f>
        <v/>
      </c>
      <c r="M2148" s="9"/>
    </row>
    <row r="2149" customFormat="false" ht="15" hidden="false" customHeight="false" outlineLevel="0" collapsed="false">
      <c r="A2149" s="7" t="str">
        <f aca="false">IF('Outro banco'!A2149="","",IF(LEFT('Outro banco'!A2149,1)="(","",'Outro banco'!A2149))</f>
        <v/>
      </c>
      <c r="B2149" s="7" t="str">
        <f aca="false">IF(A2149="","",'Outro banco'!B2149)</f>
        <v/>
      </c>
      <c r="C2149" s="7" t="str">
        <f aca="false">IF(A2149="","",'Outro banco'!C2149)</f>
        <v/>
      </c>
      <c r="D2149" s="7" t="str">
        <f aca="false">IF(A2149="","",'Outro banco'!D2149)</f>
        <v/>
      </c>
      <c r="E2149" s="9"/>
      <c r="F2149" s="9"/>
      <c r="G2149" s="7" t="str">
        <f aca="false">IF(A2149="","",IF(COUNTIF(Tabelas!$A:$A,IF(E2149="",A2149,E2149))&gt;0,"sim","não"))</f>
        <v/>
      </c>
      <c r="H2149" s="7" t="str">
        <f aca="false">IF(A2149="","",IF(E2149="",A2149,E2149)&amp;"."&amp;IF(F2149="",B2149,F2149))</f>
        <v/>
      </c>
      <c r="I2149" s="7" t="str">
        <f aca="false">IF(A2149="","",IFERROR(INDEX('Campos Growths'!$F:$F,MATCH(H2149,'Campos Growths'!$A:$A,0)),""))</f>
        <v/>
      </c>
      <c r="J2149" s="7" t="str">
        <f aca="false">IF(A2149="","",IFERROR(VLOOKUP(IF(ISNUMBER(SEARCH("(",C2149)),LEFT(C2149,SEARCH("(",C2149)-1),C2149),Tipos!$A:$B,2,FALSE()),"outro"))</f>
        <v/>
      </c>
      <c r="K2149" s="7" t="str">
        <f aca="false">IF(I2149="","",IFERROR(INDEX('Campos Growths'!$L:$L,MATCH(H2149,'Campos Growths'!$A:$A,0)),""))</f>
        <v/>
      </c>
      <c r="L2149" s="7" t="str">
        <f aca="false">IF(A2149="","",IF(G2149="não","Sem tabela no Growths",IF(I2149="","Sem campo no Growths",IF(J2149=K2149,"Importa direto","Ajustar tipo"))))</f>
        <v/>
      </c>
      <c r="M2149" s="9"/>
    </row>
    <row r="2150" customFormat="false" ht="15" hidden="false" customHeight="false" outlineLevel="0" collapsed="false">
      <c r="A2150" s="7" t="str">
        <f aca="false">IF('Outro banco'!A2150="","",IF(LEFT('Outro banco'!A2150,1)="(","",'Outro banco'!A2150))</f>
        <v/>
      </c>
      <c r="B2150" s="7" t="str">
        <f aca="false">IF(A2150="","",'Outro banco'!B2150)</f>
        <v/>
      </c>
      <c r="C2150" s="7" t="str">
        <f aca="false">IF(A2150="","",'Outro banco'!C2150)</f>
        <v/>
      </c>
      <c r="D2150" s="7" t="str">
        <f aca="false">IF(A2150="","",'Outro banco'!D2150)</f>
        <v/>
      </c>
      <c r="E2150" s="9"/>
      <c r="F2150" s="9"/>
      <c r="G2150" s="7" t="str">
        <f aca="false">IF(A2150="","",IF(COUNTIF(Tabelas!$A:$A,IF(E2150="",A2150,E2150))&gt;0,"sim","não"))</f>
        <v/>
      </c>
      <c r="H2150" s="7" t="str">
        <f aca="false">IF(A2150="","",IF(E2150="",A2150,E2150)&amp;"."&amp;IF(F2150="",B2150,F2150))</f>
        <v/>
      </c>
      <c r="I2150" s="7" t="str">
        <f aca="false">IF(A2150="","",IFERROR(INDEX('Campos Growths'!$F:$F,MATCH(H2150,'Campos Growths'!$A:$A,0)),""))</f>
        <v/>
      </c>
      <c r="J2150" s="7" t="str">
        <f aca="false">IF(A2150="","",IFERROR(VLOOKUP(IF(ISNUMBER(SEARCH("(",C2150)),LEFT(C2150,SEARCH("(",C2150)-1),C2150),Tipos!$A:$B,2,FALSE()),"outro"))</f>
        <v/>
      </c>
      <c r="K2150" s="7" t="str">
        <f aca="false">IF(I2150="","",IFERROR(INDEX('Campos Growths'!$L:$L,MATCH(H2150,'Campos Growths'!$A:$A,0)),""))</f>
        <v/>
      </c>
      <c r="L2150" s="7" t="str">
        <f aca="false">IF(A2150="","",IF(G2150="não","Sem tabela no Growths",IF(I2150="","Sem campo no Growths",IF(J2150=K2150,"Importa direto","Ajustar tipo"))))</f>
        <v/>
      </c>
      <c r="M2150" s="9"/>
    </row>
    <row r="2151" customFormat="false" ht="15" hidden="false" customHeight="false" outlineLevel="0" collapsed="false">
      <c r="A2151" s="7" t="str">
        <f aca="false">IF('Outro banco'!A2151="","",IF(LEFT('Outro banco'!A2151,1)="(","",'Outro banco'!A2151))</f>
        <v/>
      </c>
      <c r="B2151" s="7" t="str">
        <f aca="false">IF(A2151="","",'Outro banco'!B2151)</f>
        <v/>
      </c>
      <c r="C2151" s="7" t="str">
        <f aca="false">IF(A2151="","",'Outro banco'!C2151)</f>
        <v/>
      </c>
      <c r="D2151" s="7" t="str">
        <f aca="false">IF(A2151="","",'Outro banco'!D2151)</f>
        <v/>
      </c>
      <c r="E2151" s="9"/>
      <c r="F2151" s="9"/>
      <c r="G2151" s="7" t="str">
        <f aca="false">IF(A2151="","",IF(COUNTIF(Tabelas!$A:$A,IF(E2151="",A2151,E2151))&gt;0,"sim","não"))</f>
        <v/>
      </c>
      <c r="H2151" s="7" t="str">
        <f aca="false">IF(A2151="","",IF(E2151="",A2151,E2151)&amp;"."&amp;IF(F2151="",B2151,F2151))</f>
        <v/>
      </c>
      <c r="I2151" s="7" t="str">
        <f aca="false">IF(A2151="","",IFERROR(INDEX('Campos Growths'!$F:$F,MATCH(H2151,'Campos Growths'!$A:$A,0)),""))</f>
        <v/>
      </c>
      <c r="J2151" s="7" t="str">
        <f aca="false">IF(A2151="","",IFERROR(VLOOKUP(IF(ISNUMBER(SEARCH("(",C2151)),LEFT(C2151,SEARCH("(",C2151)-1),C2151),Tipos!$A:$B,2,FALSE()),"outro"))</f>
        <v/>
      </c>
      <c r="K2151" s="7" t="str">
        <f aca="false">IF(I2151="","",IFERROR(INDEX('Campos Growths'!$L:$L,MATCH(H2151,'Campos Growths'!$A:$A,0)),""))</f>
        <v/>
      </c>
      <c r="L2151" s="7" t="str">
        <f aca="false">IF(A2151="","",IF(G2151="não","Sem tabela no Growths",IF(I2151="","Sem campo no Growths",IF(J2151=K2151,"Importa direto","Ajustar tipo"))))</f>
        <v/>
      </c>
      <c r="M2151" s="9"/>
    </row>
    <row r="2152" customFormat="false" ht="15" hidden="false" customHeight="false" outlineLevel="0" collapsed="false">
      <c r="A2152" s="7" t="str">
        <f aca="false">IF('Outro banco'!A2152="","",IF(LEFT('Outro banco'!A2152,1)="(","",'Outro banco'!A2152))</f>
        <v/>
      </c>
      <c r="B2152" s="7" t="str">
        <f aca="false">IF(A2152="","",'Outro banco'!B2152)</f>
        <v/>
      </c>
      <c r="C2152" s="7" t="str">
        <f aca="false">IF(A2152="","",'Outro banco'!C2152)</f>
        <v/>
      </c>
      <c r="D2152" s="7" t="str">
        <f aca="false">IF(A2152="","",'Outro banco'!D2152)</f>
        <v/>
      </c>
      <c r="E2152" s="9"/>
      <c r="F2152" s="9"/>
      <c r="G2152" s="7" t="str">
        <f aca="false">IF(A2152="","",IF(COUNTIF(Tabelas!$A:$A,IF(E2152="",A2152,E2152))&gt;0,"sim","não"))</f>
        <v/>
      </c>
      <c r="H2152" s="7" t="str">
        <f aca="false">IF(A2152="","",IF(E2152="",A2152,E2152)&amp;"."&amp;IF(F2152="",B2152,F2152))</f>
        <v/>
      </c>
      <c r="I2152" s="7" t="str">
        <f aca="false">IF(A2152="","",IFERROR(INDEX('Campos Growths'!$F:$F,MATCH(H2152,'Campos Growths'!$A:$A,0)),""))</f>
        <v/>
      </c>
      <c r="J2152" s="7" t="str">
        <f aca="false">IF(A2152="","",IFERROR(VLOOKUP(IF(ISNUMBER(SEARCH("(",C2152)),LEFT(C2152,SEARCH("(",C2152)-1),C2152),Tipos!$A:$B,2,FALSE()),"outro"))</f>
        <v/>
      </c>
      <c r="K2152" s="7" t="str">
        <f aca="false">IF(I2152="","",IFERROR(INDEX('Campos Growths'!$L:$L,MATCH(H2152,'Campos Growths'!$A:$A,0)),""))</f>
        <v/>
      </c>
      <c r="L2152" s="7" t="str">
        <f aca="false">IF(A2152="","",IF(G2152="não","Sem tabela no Growths",IF(I2152="","Sem campo no Growths",IF(J2152=K2152,"Importa direto","Ajustar tipo"))))</f>
        <v/>
      </c>
      <c r="M2152" s="9"/>
    </row>
    <row r="2153" customFormat="false" ht="15" hidden="false" customHeight="false" outlineLevel="0" collapsed="false">
      <c r="A2153" s="7" t="str">
        <f aca="false">IF('Outro banco'!A2153="","",IF(LEFT('Outro banco'!A2153,1)="(","",'Outro banco'!A2153))</f>
        <v/>
      </c>
      <c r="B2153" s="7" t="str">
        <f aca="false">IF(A2153="","",'Outro banco'!B2153)</f>
        <v/>
      </c>
      <c r="C2153" s="7" t="str">
        <f aca="false">IF(A2153="","",'Outro banco'!C2153)</f>
        <v/>
      </c>
      <c r="D2153" s="7" t="str">
        <f aca="false">IF(A2153="","",'Outro banco'!D2153)</f>
        <v/>
      </c>
      <c r="E2153" s="9"/>
      <c r="F2153" s="9"/>
      <c r="G2153" s="7" t="str">
        <f aca="false">IF(A2153="","",IF(COUNTIF(Tabelas!$A:$A,IF(E2153="",A2153,E2153))&gt;0,"sim","não"))</f>
        <v/>
      </c>
      <c r="H2153" s="7" t="str">
        <f aca="false">IF(A2153="","",IF(E2153="",A2153,E2153)&amp;"."&amp;IF(F2153="",B2153,F2153))</f>
        <v/>
      </c>
      <c r="I2153" s="7" t="str">
        <f aca="false">IF(A2153="","",IFERROR(INDEX('Campos Growths'!$F:$F,MATCH(H2153,'Campos Growths'!$A:$A,0)),""))</f>
        <v/>
      </c>
      <c r="J2153" s="7" t="str">
        <f aca="false">IF(A2153="","",IFERROR(VLOOKUP(IF(ISNUMBER(SEARCH("(",C2153)),LEFT(C2153,SEARCH("(",C2153)-1),C2153),Tipos!$A:$B,2,FALSE()),"outro"))</f>
        <v/>
      </c>
      <c r="K2153" s="7" t="str">
        <f aca="false">IF(I2153="","",IFERROR(INDEX('Campos Growths'!$L:$L,MATCH(H2153,'Campos Growths'!$A:$A,0)),""))</f>
        <v/>
      </c>
      <c r="L2153" s="7" t="str">
        <f aca="false">IF(A2153="","",IF(G2153="não","Sem tabela no Growths",IF(I2153="","Sem campo no Growths",IF(J2153=K2153,"Importa direto","Ajustar tipo"))))</f>
        <v/>
      </c>
      <c r="M2153" s="9"/>
    </row>
    <row r="2154" customFormat="false" ht="15" hidden="false" customHeight="false" outlineLevel="0" collapsed="false">
      <c r="A2154" s="7" t="str">
        <f aca="false">IF('Outro banco'!A2154="","",IF(LEFT('Outro banco'!A2154,1)="(","",'Outro banco'!A2154))</f>
        <v/>
      </c>
      <c r="B2154" s="7" t="str">
        <f aca="false">IF(A2154="","",'Outro banco'!B2154)</f>
        <v/>
      </c>
      <c r="C2154" s="7" t="str">
        <f aca="false">IF(A2154="","",'Outro banco'!C2154)</f>
        <v/>
      </c>
      <c r="D2154" s="7" t="str">
        <f aca="false">IF(A2154="","",'Outro banco'!D2154)</f>
        <v/>
      </c>
      <c r="E2154" s="9"/>
      <c r="F2154" s="9"/>
      <c r="G2154" s="7" t="str">
        <f aca="false">IF(A2154="","",IF(COUNTIF(Tabelas!$A:$A,IF(E2154="",A2154,E2154))&gt;0,"sim","não"))</f>
        <v/>
      </c>
      <c r="H2154" s="7" t="str">
        <f aca="false">IF(A2154="","",IF(E2154="",A2154,E2154)&amp;"."&amp;IF(F2154="",B2154,F2154))</f>
        <v/>
      </c>
      <c r="I2154" s="7" t="str">
        <f aca="false">IF(A2154="","",IFERROR(INDEX('Campos Growths'!$F:$F,MATCH(H2154,'Campos Growths'!$A:$A,0)),""))</f>
        <v/>
      </c>
      <c r="J2154" s="7" t="str">
        <f aca="false">IF(A2154="","",IFERROR(VLOOKUP(IF(ISNUMBER(SEARCH("(",C2154)),LEFT(C2154,SEARCH("(",C2154)-1),C2154),Tipos!$A:$B,2,FALSE()),"outro"))</f>
        <v/>
      </c>
      <c r="K2154" s="7" t="str">
        <f aca="false">IF(I2154="","",IFERROR(INDEX('Campos Growths'!$L:$L,MATCH(H2154,'Campos Growths'!$A:$A,0)),""))</f>
        <v/>
      </c>
      <c r="L2154" s="7" t="str">
        <f aca="false">IF(A2154="","",IF(G2154="não","Sem tabela no Growths",IF(I2154="","Sem campo no Growths",IF(J2154=K2154,"Importa direto","Ajustar tipo"))))</f>
        <v/>
      </c>
      <c r="M2154" s="9"/>
    </row>
    <row r="2155" customFormat="false" ht="15" hidden="false" customHeight="false" outlineLevel="0" collapsed="false">
      <c r="A2155" s="7" t="str">
        <f aca="false">IF('Outro banco'!A2155="","",IF(LEFT('Outro banco'!A2155,1)="(","",'Outro banco'!A2155))</f>
        <v/>
      </c>
      <c r="B2155" s="7" t="str">
        <f aca="false">IF(A2155="","",'Outro banco'!B2155)</f>
        <v/>
      </c>
      <c r="C2155" s="7" t="str">
        <f aca="false">IF(A2155="","",'Outro banco'!C2155)</f>
        <v/>
      </c>
      <c r="D2155" s="7" t="str">
        <f aca="false">IF(A2155="","",'Outro banco'!D2155)</f>
        <v/>
      </c>
      <c r="E2155" s="9"/>
      <c r="F2155" s="9"/>
      <c r="G2155" s="7" t="str">
        <f aca="false">IF(A2155="","",IF(COUNTIF(Tabelas!$A:$A,IF(E2155="",A2155,E2155))&gt;0,"sim","não"))</f>
        <v/>
      </c>
      <c r="H2155" s="7" t="str">
        <f aca="false">IF(A2155="","",IF(E2155="",A2155,E2155)&amp;"."&amp;IF(F2155="",B2155,F2155))</f>
        <v/>
      </c>
      <c r="I2155" s="7" t="str">
        <f aca="false">IF(A2155="","",IFERROR(INDEX('Campos Growths'!$F:$F,MATCH(H2155,'Campos Growths'!$A:$A,0)),""))</f>
        <v/>
      </c>
      <c r="J2155" s="7" t="str">
        <f aca="false">IF(A2155="","",IFERROR(VLOOKUP(IF(ISNUMBER(SEARCH("(",C2155)),LEFT(C2155,SEARCH("(",C2155)-1),C2155),Tipos!$A:$B,2,FALSE()),"outro"))</f>
        <v/>
      </c>
      <c r="K2155" s="7" t="str">
        <f aca="false">IF(I2155="","",IFERROR(INDEX('Campos Growths'!$L:$L,MATCH(H2155,'Campos Growths'!$A:$A,0)),""))</f>
        <v/>
      </c>
      <c r="L2155" s="7" t="str">
        <f aca="false">IF(A2155="","",IF(G2155="não","Sem tabela no Growths",IF(I2155="","Sem campo no Growths",IF(J2155=K2155,"Importa direto","Ajustar tipo"))))</f>
        <v/>
      </c>
      <c r="M2155" s="9"/>
    </row>
    <row r="2156" customFormat="false" ht="15" hidden="false" customHeight="false" outlineLevel="0" collapsed="false">
      <c r="A2156" s="7" t="str">
        <f aca="false">IF('Outro banco'!A2156="","",IF(LEFT('Outro banco'!A2156,1)="(","",'Outro banco'!A2156))</f>
        <v/>
      </c>
      <c r="B2156" s="7" t="str">
        <f aca="false">IF(A2156="","",'Outro banco'!B2156)</f>
        <v/>
      </c>
      <c r="C2156" s="7" t="str">
        <f aca="false">IF(A2156="","",'Outro banco'!C2156)</f>
        <v/>
      </c>
      <c r="D2156" s="7" t="str">
        <f aca="false">IF(A2156="","",'Outro banco'!D2156)</f>
        <v/>
      </c>
      <c r="E2156" s="9"/>
      <c r="F2156" s="9"/>
      <c r="G2156" s="7" t="str">
        <f aca="false">IF(A2156="","",IF(COUNTIF(Tabelas!$A:$A,IF(E2156="",A2156,E2156))&gt;0,"sim","não"))</f>
        <v/>
      </c>
      <c r="H2156" s="7" t="str">
        <f aca="false">IF(A2156="","",IF(E2156="",A2156,E2156)&amp;"."&amp;IF(F2156="",B2156,F2156))</f>
        <v/>
      </c>
      <c r="I2156" s="7" t="str">
        <f aca="false">IF(A2156="","",IFERROR(INDEX('Campos Growths'!$F:$F,MATCH(H2156,'Campos Growths'!$A:$A,0)),""))</f>
        <v/>
      </c>
      <c r="J2156" s="7" t="str">
        <f aca="false">IF(A2156="","",IFERROR(VLOOKUP(IF(ISNUMBER(SEARCH("(",C2156)),LEFT(C2156,SEARCH("(",C2156)-1),C2156),Tipos!$A:$B,2,FALSE()),"outro"))</f>
        <v/>
      </c>
      <c r="K2156" s="7" t="str">
        <f aca="false">IF(I2156="","",IFERROR(INDEX('Campos Growths'!$L:$L,MATCH(H2156,'Campos Growths'!$A:$A,0)),""))</f>
        <v/>
      </c>
      <c r="L2156" s="7" t="str">
        <f aca="false">IF(A2156="","",IF(G2156="não","Sem tabela no Growths",IF(I2156="","Sem campo no Growths",IF(J2156=K2156,"Importa direto","Ajustar tipo"))))</f>
        <v/>
      </c>
      <c r="M2156" s="9"/>
    </row>
    <row r="2157" customFormat="false" ht="15" hidden="false" customHeight="false" outlineLevel="0" collapsed="false">
      <c r="A2157" s="7" t="str">
        <f aca="false">IF('Outro banco'!A2157="","",IF(LEFT('Outro banco'!A2157,1)="(","",'Outro banco'!A2157))</f>
        <v/>
      </c>
      <c r="B2157" s="7" t="str">
        <f aca="false">IF(A2157="","",'Outro banco'!B2157)</f>
        <v/>
      </c>
      <c r="C2157" s="7" t="str">
        <f aca="false">IF(A2157="","",'Outro banco'!C2157)</f>
        <v/>
      </c>
      <c r="D2157" s="7" t="str">
        <f aca="false">IF(A2157="","",'Outro banco'!D2157)</f>
        <v/>
      </c>
      <c r="E2157" s="9"/>
      <c r="F2157" s="9"/>
      <c r="G2157" s="7" t="str">
        <f aca="false">IF(A2157="","",IF(COUNTIF(Tabelas!$A:$A,IF(E2157="",A2157,E2157))&gt;0,"sim","não"))</f>
        <v/>
      </c>
      <c r="H2157" s="7" t="str">
        <f aca="false">IF(A2157="","",IF(E2157="",A2157,E2157)&amp;"."&amp;IF(F2157="",B2157,F2157))</f>
        <v/>
      </c>
      <c r="I2157" s="7" t="str">
        <f aca="false">IF(A2157="","",IFERROR(INDEX('Campos Growths'!$F:$F,MATCH(H2157,'Campos Growths'!$A:$A,0)),""))</f>
        <v/>
      </c>
      <c r="J2157" s="7" t="str">
        <f aca="false">IF(A2157="","",IFERROR(VLOOKUP(IF(ISNUMBER(SEARCH("(",C2157)),LEFT(C2157,SEARCH("(",C2157)-1),C2157),Tipos!$A:$B,2,FALSE()),"outro"))</f>
        <v/>
      </c>
      <c r="K2157" s="7" t="str">
        <f aca="false">IF(I2157="","",IFERROR(INDEX('Campos Growths'!$L:$L,MATCH(H2157,'Campos Growths'!$A:$A,0)),""))</f>
        <v/>
      </c>
      <c r="L2157" s="7" t="str">
        <f aca="false">IF(A2157="","",IF(G2157="não","Sem tabela no Growths",IF(I2157="","Sem campo no Growths",IF(J2157=K2157,"Importa direto","Ajustar tipo"))))</f>
        <v/>
      </c>
      <c r="M2157" s="9"/>
    </row>
    <row r="2158" customFormat="false" ht="15" hidden="false" customHeight="false" outlineLevel="0" collapsed="false">
      <c r="A2158" s="7" t="str">
        <f aca="false">IF('Outro banco'!A2158="","",IF(LEFT('Outro banco'!A2158,1)="(","",'Outro banco'!A2158))</f>
        <v/>
      </c>
      <c r="B2158" s="7" t="str">
        <f aca="false">IF(A2158="","",'Outro banco'!B2158)</f>
        <v/>
      </c>
      <c r="C2158" s="7" t="str">
        <f aca="false">IF(A2158="","",'Outro banco'!C2158)</f>
        <v/>
      </c>
      <c r="D2158" s="7" t="str">
        <f aca="false">IF(A2158="","",'Outro banco'!D2158)</f>
        <v/>
      </c>
      <c r="E2158" s="9"/>
      <c r="F2158" s="9"/>
      <c r="G2158" s="7" t="str">
        <f aca="false">IF(A2158="","",IF(COUNTIF(Tabelas!$A:$A,IF(E2158="",A2158,E2158))&gt;0,"sim","não"))</f>
        <v/>
      </c>
      <c r="H2158" s="7" t="str">
        <f aca="false">IF(A2158="","",IF(E2158="",A2158,E2158)&amp;"."&amp;IF(F2158="",B2158,F2158))</f>
        <v/>
      </c>
      <c r="I2158" s="7" t="str">
        <f aca="false">IF(A2158="","",IFERROR(INDEX('Campos Growths'!$F:$F,MATCH(H2158,'Campos Growths'!$A:$A,0)),""))</f>
        <v/>
      </c>
      <c r="J2158" s="7" t="str">
        <f aca="false">IF(A2158="","",IFERROR(VLOOKUP(IF(ISNUMBER(SEARCH("(",C2158)),LEFT(C2158,SEARCH("(",C2158)-1),C2158),Tipos!$A:$B,2,FALSE()),"outro"))</f>
        <v/>
      </c>
      <c r="K2158" s="7" t="str">
        <f aca="false">IF(I2158="","",IFERROR(INDEX('Campos Growths'!$L:$L,MATCH(H2158,'Campos Growths'!$A:$A,0)),""))</f>
        <v/>
      </c>
      <c r="L2158" s="7" t="str">
        <f aca="false">IF(A2158="","",IF(G2158="não","Sem tabela no Growths",IF(I2158="","Sem campo no Growths",IF(J2158=K2158,"Importa direto","Ajustar tipo"))))</f>
        <v/>
      </c>
      <c r="M2158" s="9"/>
    </row>
    <row r="2159" customFormat="false" ht="15" hidden="false" customHeight="false" outlineLevel="0" collapsed="false">
      <c r="A2159" s="7" t="str">
        <f aca="false">IF('Outro banco'!A2159="","",IF(LEFT('Outro banco'!A2159,1)="(","",'Outro banco'!A2159))</f>
        <v/>
      </c>
      <c r="B2159" s="7" t="str">
        <f aca="false">IF(A2159="","",'Outro banco'!B2159)</f>
        <v/>
      </c>
      <c r="C2159" s="7" t="str">
        <f aca="false">IF(A2159="","",'Outro banco'!C2159)</f>
        <v/>
      </c>
      <c r="D2159" s="7" t="str">
        <f aca="false">IF(A2159="","",'Outro banco'!D2159)</f>
        <v/>
      </c>
      <c r="E2159" s="9"/>
      <c r="F2159" s="9"/>
      <c r="G2159" s="7" t="str">
        <f aca="false">IF(A2159="","",IF(COUNTIF(Tabelas!$A:$A,IF(E2159="",A2159,E2159))&gt;0,"sim","não"))</f>
        <v/>
      </c>
      <c r="H2159" s="7" t="str">
        <f aca="false">IF(A2159="","",IF(E2159="",A2159,E2159)&amp;"."&amp;IF(F2159="",B2159,F2159))</f>
        <v/>
      </c>
      <c r="I2159" s="7" t="str">
        <f aca="false">IF(A2159="","",IFERROR(INDEX('Campos Growths'!$F:$F,MATCH(H2159,'Campos Growths'!$A:$A,0)),""))</f>
        <v/>
      </c>
      <c r="J2159" s="7" t="str">
        <f aca="false">IF(A2159="","",IFERROR(VLOOKUP(IF(ISNUMBER(SEARCH("(",C2159)),LEFT(C2159,SEARCH("(",C2159)-1),C2159),Tipos!$A:$B,2,FALSE()),"outro"))</f>
        <v/>
      </c>
      <c r="K2159" s="7" t="str">
        <f aca="false">IF(I2159="","",IFERROR(INDEX('Campos Growths'!$L:$L,MATCH(H2159,'Campos Growths'!$A:$A,0)),""))</f>
        <v/>
      </c>
      <c r="L2159" s="7" t="str">
        <f aca="false">IF(A2159="","",IF(G2159="não","Sem tabela no Growths",IF(I2159="","Sem campo no Growths",IF(J2159=K2159,"Importa direto","Ajustar tipo"))))</f>
        <v/>
      </c>
      <c r="M2159" s="9"/>
    </row>
    <row r="2160" customFormat="false" ht="15" hidden="false" customHeight="false" outlineLevel="0" collapsed="false">
      <c r="A2160" s="7" t="str">
        <f aca="false">IF('Outro banco'!A2160="","",IF(LEFT('Outro banco'!A2160,1)="(","",'Outro banco'!A2160))</f>
        <v/>
      </c>
      <c r="B2160" s="7" t="str">
        <f aca="false">IF(A2160="","",'Outro banco'!B2160)</f>
        <v/>
      </c>
      <c r="C2160" s="7" t="str">
        <f aca="false">IF(A2160="","",'Outro banco'!C2160)</f>
        <v/>
      </c>
      <c r="D2160" s="7" t="str">
        <f aca="false">IF(A2160="","",'Outro banco'!D2160)</f>
        <v/>
      </c>
      <c r="E2160" s="9"/>
      <c r="F2160" s="9"/>
      <c r="G2160" s="7" t="str">
        <f aca="false">IF(A2160="","",IF(COUNTIF(Tabelas!$A:$A,IF(E2160="",A2160,E2160))&gt;0,"sim","não"))</f>
        <v/>
      </c>
      <c r="H2160" s="7" t="str">
        <f aca="false">IF(A2160="","",IF(E2160="",A2160,E2160)&amp;"."&amp;IF(F2160="",B2160,F2160))</f>
        <v/>
      </c>
      <c r="I2160" s="7" t="str">
        <f aca="false">IF(A2160="","",IFERROR(INDEX('Campos Growths'!$F:$F,MATCH(H2160,'Campos Growths'!$A:$A,0)),""))</f>
        <v/>
      </c>
      <c r="J2160" s="7" t="str">
        <f aca="false">IF(A2160="","",IFERROR(VLOOKUP(IF(ISNUMBER(SEARCH("(",C2160)),LEFT(C2160,SEARCH("(",C2160)-1),C2160),Tipos!$A:$B,2,FALSE()),"outro"))</f>
        <v/>
      </c>
      <c r="K2160" s="7" t="str">
        <f aca="false">IF(I2160="","",IFERROR(INDEX('Campos Growths'!$L:$L,MATCH(H2160,'Campos Growths'!$A:$A,0)),""))</f>
        <v/>
      </c>
      <c r="L2160" s="7" t="str">
        <f aca="false">IF(A2160="","",IF(G2160="não","Sem tabela no Growths",IF(I2160="","Sem campo no Growths",IF(J2160=K2160,"Importa direto","Ajustar tipo"))))</f>
        <v/>
      </c>
      <c r="M2160" s="9"/>
    </row>
    <row r="2161" customFormat="false" ht="15" hidden="false" customHeight="false" outlineLevel="0" collapsed="false">
      <c r="A2161" s="7" t="str">
        <f aca="false">IF('Outro banco'!A2161="","",IF(LEFT('Outro banco'!A2161,1)="(","",'Outro banco'!A2161))</f>
        <v/>
      </c>
      <c r="B2161" s="7" t="str">
        <f aca="false">IF(A2161="","",'Outro banco'!B2161)</f>
        <v/>
      </c>
      <c r="C2161" s="7" t="str">
        <f aca="false">IF(A2161="","",'Outro banco'!C2161)</f>
        <v/>
      </c>
      <c r="D2161" s="7" t="str">
        <f aca="false">IF(A2161="","",'Outro banco'!D2161)</f>
        <v/>
      </c>
      <c r="E2161" s="9"/>
      <c r="F2161" s="9"/>
      <c r="G2161" s="7" t="str">
        <f aca="false">IF(A2161="","",IF(COUNTIF(Tabelas!$A:$A,IF(E2161="",A2161,E2161))&gt;0,"sim","não"))</f>
        <v/>
      </c>
      <c r="H2161" s="7" t="str">
        <f aca="false">IF(A2161="","",IF(E2161="",A2161,E2161)&amp;"."&amp;IF(F2161="",B2161,F2161))</f>
        <v/>
      </c>
      <c r="I2161" s="7" t="str">
        <f aca="false">IF(A2161="","",IFERROR(INDEX('Campos Growths'!$F:$F,MATCH(H2161,'Campos Growths'!$A:$A,0)),""))</f>
        <v/>
      </c>
      <c r="J2161" s="7" t="str">
        <f aca="false">IF(A2161="","",IFERROR(VLOOKUP(IF(ISNUMBER(SEARCH("(",C2161)),LEFT(C2161,SEARCH("(",C2161)-1),C2161),Tipos!$A:$B,2,FALSE()),"outro"))</f>
        <v/>
      </c>
      <c r="K2161" s="7" t="str">
        <f aca="false">IF(I2161="","",IFERROR(INDEX('Campos Growths'!$L:$L,MATCH(H2161,'Campos Growths'!$A:$A,0)),""))</f>
        <v/>
      </c>
      <c r="L2161" s="7" t="str">
        <f aca="false">IF(A2161="","",IF(G2161="não","Sem tabela no Growths",IF(I2161="","Sem campo no Growths",IF(J2161=K2161,"Importa direto","Ajustar tipo"))))</f>
        <v/>
      </c>
      <c r="M2161" s="9"/>
    </row>
    <row r="2162" customFormat="false" ht="15" hidden="false" customHeight="false" outlineLevel="0" collapsed="false">
      <c r="A2162" s="7" t="str">
        <f aca="false">IF('Outro banco'!A2162="","",IF(LEFT('Outro banco'!A2162,1)="(","",'Outro banco'!A2162))</f>
        <v/>
      </c>
      <c r="B2162" s="7" t="str">
        <f aca="false">IF(A2162="","",'Outro banco'!B2162)</f>
        <v/>
      </c>
      <c r="C2162" s="7" t="str">
        <f aca="false">IF(A2162="","",'Outro banco'!C2162)</f>
        <v/>
      </c>
      <c r="D2162" s="7" t="str">
        <f aca="false">IF(A2162="","",'Outro banco'!D2162)</f>
        <v/>
      </c>
      <c r="E2162" s="9"/>
      <c r="F2162" s="9"/>
      <c r="G2162" s="7" t="str">
        <f aca="false">IF(A2162="","",IF(COUNTIF(Tabelas!$A:$A,IF(E2162="",A2162,E2162))&gt;0,"sim","não"))</f>
        <v/>
      </c>
      <c r="H2162" s="7" t="str">
        <f aca="false">IF(A2162="","",IF(E2162="",A2162,E2162)&amp;"."&amp;IF(F2162="",B2162,F2162))</f>
        <v/>
      </c>
      <c r="I2162" s="7" t="str">
        <f aca="false">IF(A2162="","",IFERROR(INDEX('Campos Growths'!$F:$F,MATCH(H2162,'Campos Growths'!$A:$A,0)),""))</f>
        <v/>
      </c>
      <c r="J2162" s="7" t="str">
        <f aca="false">IF(A2162="","",IFERROR(VLOOKUP(IF(ISNUMBER(SEARCH("(",C2162)),LEFT(C2162,SEARCH("(",C2162)-1),C2162),Tipos!$A:$B,2,FALSE()),"outro"))</f>
        <v/>
      </c>
      <c r="K2162" s="7" t="str">
        <f aca="false">IF(I2162="","",IFERROR(INDEX('Campos Growths'!$L:$L,MATCH(H2162,'Campos Growths'!$A:$A,0)),""))</f>
        <v/>
      </c>
      <c r="L2162" s="7" t="str">
        <f aca="false">IF(A2162="","",IF(G2162="não","Sem tabela no Growths",IF(I2162="","Sem campo no Growths",IF(J2162=K2162,"Importa direto","Ajustar tipo"))))</f>
        <v/>
      </c>
      <c r="M2162" s="9"/>
    </row>
    <row r="2163" customFormat="false" ht="15" hidden="false" customHeight="false" outlineLevel="0" collapsed="false">
      <c r="A2163" s="7" t="str">
        <f aca="false">IF('Outro banco'!A2163="","",IF(LEFT('Outro banco'!A2163,1)="(","",'Outro banco'!A2163))</f>
        <v/>
      </c>
      <c r="B2163" s="7" t="str">
        <f aca="false">IF(A2163="","",'Outro banco'!B2163)</f>
        <v/>
      </c>
      <c r="C2163" s="7" t="str">
        <f aca="false">IF(A2163="","",'Outro banco'!C2163)</f>
        <v/>
      </c>
      <c r="D2163" s="7" t="str">
        <f aca="false">IF(A2163="","",'Outro banco'!D2163)</f>
        <v/>
      </c>
      <c r="E2163" s="9"/>
      <c r="F2163" s="9"/>
      <c r="G2163" s="7" t="str">
        <f aca="false">IF(A2163="","",IF(COUNTIF(Tabelas!$A:$A,IF(E2163="",A2163,E2163))&gt;0,"sim","não"))</f>
        <v/>
      </c>
      <c r="H2163" s="7" t="str">
        <f aca="false">IF(A2163="","",IF(E2163="",A2163,E2163)&amp;"."&amp;IF(F2163="",B2163,F2163))</f>
        <v/>
      </c>
      <c r="I2163" s="7" t="str">
        <f aca="false">IF(A2163="","",IFERROR(INDEX('Campos Growths'!$F:$F,MATCH(H2163,'Campos Growths'!$A:$A,0)),""))</f>
        <v/>
      </c>
      <c r="J2163" s="7" t="str">
        <f aca="false">IF(A2163="","",IFERROR(VLOOKUP(IF(ISNUMBER(SEARCH("(",C2163)),LEFT(C2163,SEARCH("(",C2163)-1),C2163),Tipos!$A:$B,2,FALSE()),"outro"))</f>
        <v/>
      </c>
      <c r="K2163" s="7" t="str">
        <f aca="false">IF(I2163="","",IFERROR(INDEX('Campos Growths'!$L:$L,MATCH(H2163,'Campos Growths'!$A:$A,0)),""))</f>
        <v/>
      </c>
      <c r="L2163" s="7" t="str">
        <f aca="false">IF(A2163="","",IF(G2163="não","Sem tabela no Growths",IF(I2163="","Sem campo no Growths",IF(J2163=K2163,"Importa direto","Ajustar tipo"))))</f>
        <v/>
      </c>
      <c r="M2163" s="9"/>
    </row>
    <row r="2164" customFormat="false" ht="15" hidden="false" customHeight="false" outlineLevel="0" collapsed="false">
      <c r="A2164" s="7" t="str">
        <f aca="false">IF('Outro banco'!A2164="","",IF(LEFT('Outro banco'!A2164,1)="(","",'Outro banco'!A2164))</f>
        <v/>
      </c>
      <c r="B2164" s="7" t="str">
        <f aca="false">IF(A2164="","",'Outro banco'!B2164)</f>
        <v/>
      </c>
      <c r="C2164" s="7" t="str">
        <f aca="false">IF(A2164="","",'Outro banco'!C2164)</f>
        <v/>
      </c>
      <c r="D2164" s="7" t="str">
        <f aca="false">IF(A2164="","",'Outro banco'!D2164)</f>
        <v/>
      </c>
      <c r="E2164" s="9"/>
      <c r="F2164" s="9"/>
      <c r="G2164" s="7" t="str">
        <f aca="false">IF(A2164="","",IF(COUNTIF(Tabelas!$A:$A,IF(E2164="",A2164,E2164))&gt;0,"sim","não"))</f>
        <v/>
      </c>
      <c r="H2164" s="7" t="str">
        <f aca="false">IF(A2164="","",IF(E2164="",A2164,E2164)&amp;"."&amp;IF(F2164="",B2164,F2164))</f>
        <v/>
      </c>
      <c r="I2164" s="7" t="str">
        <f aca="false">IF(A2164="","",IFERROR(INDEX('Campos Growths'!$F:$F,MATCH(H2164,'Campos Growths'!$A:$A,0)),""))</f>
        <v/>
      </c>
      <c r="J2164" s="7" t="str">
        <f aca="false">IF(A2164="","",IFERROR(VLOOKUP(IF(ISNUMBER(SEARCH("(",C2164)),LEFT(C2164,SEARCH("(",C2164)-1),C2164),Tipos!$A:$B,2,FALSE()),"outro"))</f>
        <v/>
      </c>
      <c r="K2164" s="7" t="str">
        <f aca="false">IF(I2164="","",IFERROR(INDEX('Campos Growths'!$L:$L,MATCH(H2164,'Campos Growths'!$A:$A,0)),""))</f>
        <v/>
      </c>
      <c r="L2164" s="7" t="str">
        <f aca="false">IF(A2164="","",IF(G2164="não","Sem tabela no Growths",IF(I2164="","Sem campo no Growths",IF(J2164=K2164,"Importa direto","Ajustar tipo"))))</f>
        <v/>
      </c>
      <c r="M2164" s="9"/>
    </row>
    <row r="2165" customFormat="false" ht="15" hidden="false" customHeight="false" outlineLevel="0" collapsed="false">
      <c r="A2165" s="7" t="str">
        <f aca="false">IF('Outro banco'!A2165="","",IF(LEFT('Outro banco'!A2165,1)="(","",'Outro banco'!A2165))</f>
        <v/>
      </c>
      <c r="B2165" s="7" t="str">
        <f aca="false">IF(A2165="","",'Outro banco'!B2165)</f>
        <v/>
      </c>
      <c r="C2165" s="7" t="str">
        <f aca="false">IF(A2165="","",'Outro banco'!C2165)</f>
        <v/>
      </c>
      <c r="D2165" s="7" t="str">
        <f aca="false">IF(A2165="","",'Outro banco'!D2165)</f>
        <v/>
      </c>
      <c r="E2165" s="9"/>
      <c r="F2165" s="9"/>
      <c r="G2165" s="7" t="str">
        <f aca="false">IF(A2165="","",IF(COUNTIF(Tabelas!$A:$A,IF(E2165="",A2165,E2165))&gt;0,"sim","não"))</f>
        <v/>
      </c>
      <c r="H2165" s="7" t="str">
        <f aca="false">IF(A2165="","",IF(E2165="",A2165,E2165)&amp;"."&amp;IF(F2165="",B2165,F2165))</f>
        <v/>
      </c>
      <c r="I2165" s="7" t="str">
        <f aca="false">IF(A2165="","",IFERROR(INDEX('Campos Growths'!$F:$F,MATCH(H2165,'Campos Growths'!$A:$A,0)),""))</f>
        <v/>
      </c>
      <c r="J2165" s="7" t="str">
        <f aca="false">IF(A2165="","",IFERROR(VLOOKUP(IF(ISNUMBER(SEARCH("(",C2165)),LEFT(C2165,SEARCH("(",C2165)-1),C2165),Tipos!$A:$B,2,FALSE()),"outro"))</f>
        <v/>
      </c>
      <c r="K2165" s="7" t="str">
        <f aca="false">IF(I2165="","",IFERROR(INDEX('Campos Growths'!$L:$L,MATCH(H2165,'Campos Growths'!$A:$A,0)),""))</f>
        <v/>
      </c>
      <c r="L2165" s="7" t="str">
        <f aca="false">IF(A2165="","",IF(G2165="não","Sem tabela no Growths",IF(I2165="","Sem campo no Growths",IF(J2165=K2165,"Importa direto","Ajustar tipo"))))</f>
        <v/>
      </c>
      <c r="M2165" s="9"/>
    </row>
    <row r="2166" customFormat="false" ht="15" hidden="false" customHeight="false" outlineLevel="0" collapsed="false">
      <c r="A2166" s="7" t="str">
        <f aca="false">IF('Outro banco'!A2166="","",IF(LEFT('Outro banco'!A2166,1)="(","",'Outro banco'!A2166))</f>
        <v/>
      </c>
      <c r="B2166" s="7" t="str">
        <f aca="false">IF(A2166="","",'Outro banco'!B2166)</f>
        <v/>
      </c>
      <c r="C2166" s="7" t="str">
        <f aca="false">IF(A2166="","",'Outro banco'!C2166)</f>
        <v/>
      </c>
      <c r="D2166" s="7" t="str">
        <f aca="false">IF(A2166="","",'Outro banco'!D2166)</f>
        <v/>
      </c>
      <c r="E2166" s="9"/>
      <c r="F2166" s="9"/>
      <c r="G2166" s="7" t="str">
        <f aca="false">IF(A2166="","",IF(COUNTIF(Tabelas!$A:$A,IF(E2166="",A2166,E2166))&gt;0,"sim","não"))</f>
        <v/>
      </c>
      <c r="H2166" s="7" t="str">
        <f aca="false">IF(A2166="","",IF(E2166="",A2166,E2166)&amp;"."&amp;IF(F2166="",B2166,F2166))</f>
        <v/>
      </c>
      <c r="I2166" s="7" t="str">
        <f aca="false">IF(A2166="","",IFERROR(INDEX('Campos Growths'!$F:$F,MATCH(H2166,'Campos Growths'!$A:$A,0)),""))</f>
        <v/>
      </c>
      <c r="J2166" s="7" t="str">
        <f aca="false">IF(A2166="","",IFERROR(VLOOKUP(IF(ISNUMBER(SEARCH("(",C2166)),LEFT(C2166,SEARCH("(",C2166)-1),C2166),Tipos!$A:$B,2,FALSE()),"outro"))</f>
        <v/>
      </c>
      <c r="K2166" s="7" t="str">
        <f aca="false">IF(I2166="","",IFERROR(INDEX('Campos Growths'!$L:$L,MATCH(H2166,'Campos Growths'!$A:$A,0)),""))</f>
        <v/>
      </c>
      <c r="L2166" s="7" t="str">
        <f aca="false">IF(A2166="","",IF(G2166="não","Sem tabela no Growths",IF(I2166="","Sem campo no Growths",IF(J2166=K2166,"Importa direto","Ajustar tipo"))))</f>
        <v/>
      </c>
      <c r="M2166" s="9"/>
    </row>
    <row r="2167" customFormat="false" ht="15" hidden="false" customHeight="false" outlineLevel="0" collapsed="false">
      <c r="A2167" s="7" t="str">
        <f aca="false">IF('Outro banco'!A2167="","",IF(LEFT('Outro banco'!A2167,1)="(","",'Outro banco'!A2167))</f>
        <v/>
      </c>
      <c r="B2167" s="7" t="str">
        <f aca="false">IF(A2167="","",'Outro banco'!B2167)</f>
        <v/>
      </c>
      <c r="C2167" s="7" t="str">
        <f aca="false">IF(A2167="","",'Outro banco'!C2167)</f>
        <v/>
      </c>
      <c r="D2167" s="7" t="str">
        <f aca="false">IF(A2167="","",'Outro banco'!D2167)</f>
        <v/>
      </c>
      <c r="E2167" s="9"/>
      <c r="F2167" s="9"/>
      <c r="G2167" s="7" t="str">
        <f aca="false">IF(A2167="","",IF(COUNTIF(Tabelas!$A:$A,IF(E2167="",A2167,E2167))&gt;0,"sim","não"))</f>
        <v/>
      </c>
      <c r="H2167" s="7" t="str">
        <f aca="false">IF(A2167="","",IF(E2167="",A2167,E2167)&amp;"."&amp;IF(F2167="",B2167,F2167))</f>
        <v/>
      </c>
      <c r="I2167" s="7" t="str">
        <f aca="false">IF(A2167="","",IFERROR(INDEX('Campos Growths'!$F:$F,MATCH(H2167,'Campos Growths'!$A:$A,0)),""))</f>
        <v/>
      </c>
      <c r="J2167" s="7" t="str">
        <f aca="false">IF(A2167="","",IFERROR(VLOOKUP(IF(ISNUMBER(SEARCH("(",C2167)),LEFT(C2167,SEARCH("(",C2167)-1),C2167),Tipos!$A:$B,2,FALSE()),"outro"))</f>
        <v/>
      </c>
      <c r="K2167" s="7" t="str">
        <f aca="false">IF(I2167="","",IFERROR(INDEX('Campos Growths'!$L:$L,MATCH(H2167,'Campos Growths'!$A:$A,0)),""))</f>
        <v/>
      </c>
      <c r="L2167" s="7" t="str">
        <f aca="false">IF(A2167="","",IF(G2167="não","Sem tabela no Growths",IF(I2167="","Sem campo no Growths",IF(J2167=K2167,"Importa direto","Ajustar tipo"))))</f>
        <v/>
      </c>
      <c r="M2167" s="9"/>
    </row>
    <row r="2168" customFormat="false" ht="15" hidden="false" customHeight="false" outlineLevel="0" collapsed="false">
      <c r="A2168" s="7" t="str">
        <f aca="false">IF('Outro banco'!A2168="","",IF(LEFT('Outro banco'!A2168,1)="(","",'Outro banco'!A2168))</f>
        <v/>
      </c>
      <c r="B2168" s="7" t="str">
        <f aca="false">IF(A2168="","",'Outro banco'!B2168)</f>
        <v/>
      </c>
      <c r="C2168" s="7" t="str">
        <f aca="false">IF(A2168="","",'Outro banco'!C2168)</f>
        <v/>
      </c>
      <c r="D2168" s="7" t="str">
        <f aca="false">IF(A2168="","",'Outro banco'!D2168)</f>
        <v/>
      </c>
      <c r="E2168" s="9"/>
      <c r="F2168" s="9"/>
      <c r="G2168" s="7" t="str">
        <f aca="false">IF(A2168="","",IF(COUNTIF(Tabelas!$A:$A,IF(E2168="",A2168,E2168))&gt;0,"sim","não"))</f>
        <v/>
      </c>
      <c r="H2168" s="7" t="str">
        <f aca="false">IF(A2168="","",IF(E2168="",A2168,E2168)&amp;"."&amp;IF(F2168="",B2168,F2168))</f>
        <v/>
      </c>
      <c r="I2168" s="7" t="str">
        <f aca="false">IF(A2168="","",IFERROR(INDEX('Campos Growths'!$F:$F,MATCH(H2168,'Campos Growths'!$A:$A,0)),""))</f>
        <v/>
      </c>
      <c r="J2168" s="7" t="str">
        <f aca="false">IF(A2168="","",IFERROR(VLOOKUP(IF(ISNUMBER(SEARCH("(",C2168)),LEFT(C2168,SEARCH("(",C2168)-1),C2168),Tipos!$A:$B,2,FALSE()),"outro"))</f>
        <v/>
      </c>
      <c r="K2168" s="7" t="str">
        <f aca="false">IF(I2168="","",IFERROR(INDEX('Campos Growths'!$L:$L,MATCH(H2168,'Campos Growths'!$A:$A,0)),""))</f>
        <v/>
      </c>
      <c r="L2168" s="7" t="str">
        <f aca="false">IF(A2168="","",IF(G2168="não","Sem tabela no Growths",IF(I2168="","Sem campo no Growths",IF(J2168=K2168,"Importa direto","Ajustar tipo"))))</f>
        <v/>
      </c>
      <c r="M2168" s="9"/>
    </row>
    <row r="2169" customFormat="false" ht="15" hidden="false" customHeight="false" outlineLevel="0" collapsed="false">
      <c r="A2169" s="7" t="str">
        <f aca="false">IF('Outro banco'!A2169="","",IF(LEFT('Outro banco'!A2169,1)="(","",'Outro banco'!A2169))</f>
        <v/>
      </c>
      <c r="B2169" s="7" t="str">
        <f aca="false">IF(A2169="","",'Outro banco'!B2169)</f>
        <v/>
      </c>
      <c r="C2169" s="7" t="str">
        <f aca="false">IF(A2169="","",'Outro banco'!C2169)</f>
        <v/>
      </c>
      <c r="D2169" s="7" t="str">
        <f aca="false">IF(A2169="","",'Outro banco'!D2169)</f>
        <v/>
      </c>
      <c r="E2169" s="9"/>
      <c r="F2169" s="9"/>
      <c r="G2169" s="7" t="str">
        <f aca="false">IF(A2169="","",IF(COUNTIF(Tabelas!$A:$A,IF(E2169="",A2169,E2169))&gt;0,"sim","não"))</f>
        <v/>
      </c>
      <c r="H2169" s="7" t="str">
        <f aca="false">IF(A2169="","",IF(E2169="",A2169,E2169)&amp;"."&amp;IF(F2169="",B2169,F2169))</f>
        <v/>
      </c>
      <c r="I2169" s="7" t="str">
        <f aca="false">IF(A2169="","",IFERROR(INDEX('Campos Growths'!$F:$F,MATCH(H2169,'Campos Growths'!$A:$A,0)),""))</f>
        <v/>
      </c>
      <c r="J2169" s="7" t="str">
        <f aca="false">IF(A2169="","",IFERROR(VLOOKUP(IF(ISNUMBER(SEARCH("(",C2169)),LEFT(C2169,SEARCH("(",C2169)-1),C2169),Tipos!$A:$B,2,FALSE()),"outro"))</f>
        <v/>
      </c>
      <c r="K2169" s="7" t="str">
        <f aca="false">IF(I2169="","",IFERROR(INDEX('Campos Growths'!$L:$L,MATCH(H2169,'Campos Growths'!$A:$A,0)),""))</f>
        <v/>
      </c>
      <c r="L2169" s="7" t="str">
        <f aca="false">IF(A2169="","",IF(G2169="não","Sem tabela no Growths",IF(I2169="","Sem campo no Growths",IF(J2169=K2169,"Importa direto","Ajustar tipo"))))</f>
        <v/>
      </c>
      <c r="M2169" s="9"/>
    </row>
    <row r="2170" customFormat="false" ht="15" hidden="false" customHeight="false" outlineLevel="0" collapsed="false">
      <c r="A2170" s="7" t="str">
        <f aca="false">IF('Outro banco'!A2170="","",IF(LEFT('Outro banco'!A2170,1)="(","",'Outro banco'!A2170))</f>
        <v/>
      </c>
      <c r="B2170" s="7" t="str">
        <f aca="false">IF(A2170="","",'Outro banco'!B2170)</f>
        <v/>
      </c>
      <c r="C2170" s="7" t="str">
        <f aca="false">IF(A2170="","",'Outro banco'!C2170)</f>
        <v/>
      </c>
      <c r="D2170" s="7" t="str">
        <f aca="false">IF(A2170="","",'Outro banco'!D2170)</f>
        <v/>
      </c>
      <c r="E2170" s="9"/>
      <c r="F2170" s="9"/>
      <c r="G2170" s="7" t="str">
        <f aca="false">IF(A2170="","",IF(COUNTIF(Tabelas!$A:$A,IF(E2170="",A2170,E2170))&gt;0,"sim","não"))</f>
        <v/>
      </c>
      <c r="H2170" s="7" t="str">
        <f aca="false">IF(A2170="","",IF(E2170="",A2170,E2170)&amp;"."&amp;IF(F2170="",B2170,F2170))</f>
        <v/>
      </c>
      <c r="I2170" s="7" t="str">
        <f aca="false">IF(A2170="","",IFERROR(INDEX('Campos Growths'!$F:$F,MATCH(H2170,'Campos Growths'!$A:$A,0)),""))</f>
        <v/>
      </c>
      <c r="J2170" s="7" t="str">
        <f aca="false">IF(A2170="","",IFERROR(VLOOKUP(IF(ISNUMBER(SEARCH("(",C2170)),LEFT(C2170,SEARCH("(",C2170)-1),C2170),Tipos!$A:$B,2,FALSE()),"outro"))</f>
        <v/>
      </c>
      <c r="K2170" s="7" t="str">
        <f aca="false">IF(I2170="","",IFERROR(INDEX('Campos Growths'!$L:$L,MATCH(H2170,'Campos Growths'!$A:$A,0)),""))</f>
        <v/>
      </c>
      <c r="L2170" s="7" t="str">
        <f aca="false">IF(A2170="","",IF(G2170="não","Sem tabela no Growths",IF(I2170="","Sem campo no Growths",IF(J2170=K2170,"Importa direto","Ajustar tipo"))))</f>
        <v/>
      </c>
      <c r="M2170" s="9"/>
    </row>
    <row r="2171" customFormat="false" ht="15" hidden="false" customHeight="false" outlineLevel="0" collapsed="false">
      <c r="A2171" s="7" t="str">
        <f aca="false">IF('Outro banco'!A2171="","",IF(LEFT('Outro banco'!A2171,1)="(","",'Outro banco'!A2171))</f>
        <v/>
      </c>
      <c r="B2171" s="7" t="str">
        <f aca="false">IF(A2171="","",'Outro banco'!B2171)</f>
        <v/>
      </c>
      <c r="C2171" s="7" t="str">
        <f aca="false">IF(A2171="","",'Outro banco'!C2171)</f>
        <v/>
      </c>
      <c r="D2171" s="7" t="str">
        <f aca="false">IF(A2171="","",'Outro banco'!D2171)</f>
        <v/>
      </c>
      <c r="E2171" s="9"/>
      <c r="F2171" s="9"/>
      <c r="G2171" s="7" t="str">
        <f aca="false">IF(A2171="","",IF(COUNTIF(Tabelas!$A:$A,IF(E2171="",A2171,E2171))&gt;0,"sim","não"))</f>
        <v/>
      </c>
      <c r="H2171" s="7" t="str">
        <f aca="false">IF(A2171="","",IF(E2171="",A2171,E2171)&amp;"."&amp;IF(F2171="",B2171,F2171))</f>
        <v/>
      </c>
      <c r="I2171" s="7" t="str">
        <f aca="false">IF(A2171="","",IFERROR(INDEX('Campos Growths'!$F:$F,MATCH(H2171,'Campos Growths'!$A:$A,0)),""))</f>
        <v/>
      </c>
      <c r="J2171" s="7" t="str">
        <f aca="false">IF(A2171="","",IFERROR(VLOOKUP(IF(ISNUMBER(SEARCH("(",C2171)),LEFT(C2171,SEARCH("(",C2171)-1),C2171),Tipos!$A:$B,2,FALSE()),"outro"))</f>
        <v/>
      </c>
      <c r="K2171" s="7" t="str">
        <f aca="false">IF(I2171="","",IFERROR(INDEX('Campos Growths'!$L:$L,MATCH(H2171,'Campos Growths'!$A:$A,0)),""))</f>
        <v/>
      </c>
      <c r="L2171" s="7" t="str">
        <f aca="false">IF(A2171="","",IF(G2171="não","Sem tabela no Growths",IF(I2171="","Sem campo no Growths",IF(J2171=K2171,"Importa direto","Ajustar tipo"))))</f>
        <v/>
      </c>
      <c r="M2171" s="9"/>
    </row>
    <row r="2172" customFormat="false" ht="15" hidden="false" customHeight="false" outlineLevel="0" collapsed="false">
      <c r="A2172" s="7" t="str">
        <f aca="false">IF('Outro banco'!A2172="","",IF(LEFT('Outro banco'!A2172,1)="(","",'Outro banco'!A2172))</f>
        <v/>
      </c>
      <c r="B2172" s="7" t="str">
        <f aca="false">IF(A2172="","",'Outro banco'!B2172)</f>
        <v/>
      </c>
      <c r="C2172" s="7" t="str">
        <f aca="false">IF(A2172="","",'Outro banco'!C2172)</f>
        <v/>
      </c>
      <c r="D2172" s="7" t="str">
        <f aca="false">IF(A2172="","",'Outro banco'!D2172)</f>
        <v/>
      </c>
      <c r="E2172" s="9"/>
      <c r="F2172" s="9"/>
      <c r="G2172" s="7" t="str">
        <f aca="false">IF(A2172="","",IF(COUNTIF(Tabelas!$A:$A,IF(E2172="",A2172,E2172))&gt;0,"sim","não"))</f>
        <v/>
      </c>
      <c r="H2172" s="7" t="str">
        <f aca="false">IF(A2172="","",IF(E2172="",A2172,E2172)&amp;"."&amp;IF(F2172="",B2172,F2172))</f>
        <v/>
      </c>
      <c r="I2172" s="7" t="str">
        <f aca="false">IF(A2172="","",IFERROR(INDEX('Campos Growths'!$F:$F,MATCH(H2172,'Campos Growths'!$A:$A,0)),""))</f>
        <v/>
      </c>
      <c r="J2172" s="7" t="str">
        <f aca="false">IF(A2172="","",IFERROR(VLOOKUP(IF(ISNUMBER(SEARCH("(",C2172)),LEFT(C2172,SEARCH("(",C2172)-1),C2172),Tipos!$A:$B,2,FALSE()),"outro"))</f>
        <v/>
      </c>
      <c r="K2172" s="7" t="str">
        <f aca="false">IF(I2172="","",IFERROR(INDEX('Campos Growths'!$L:$L,MATCH(H2172,'Campos Growths'!$A:$A,0)),""))</f>
        <v/>
      </c>
      <c r="L2172" s="7" t="str">
        <f aca="false">IF(A2172="","",IF(G2172="não","Sem tabela no Growths",IF(I2172="","Sem campo no Growths",IF(J2172=K2172,"Importa direto","Ajustar tipo"))))</f>
        <v/>
      </c>
      <c r="M2172" s="9"/>
    </row>
    <row r="2173" customFormat="false" ht="15" hidden="false" customHeight="false" outlineLevel="0" collapsed="false">
      <c r="A2173" s="7" t="str">
        <f aca="false">IF('Outro banco'!A2173="","",IF(LEFT('Outro banco'!A2173,1)="(","",'Outro banco'!A2173))</f>
        <v/>
      </c>
      <c r="B2173" s="7" t="str">
        <f aca="false">IF(A2173="","",'Outro banco'!B2173)</f>
        <v/>
      </c>
      <c r="C2173" s="7" t="str">
        <f aca="false">IF(A2173="","",'Outro banco'!C2173)</f>
        <v/>
      </c>
      <c r="D2173" s="7" t="str">
        <f aca="false">IF(A2173="","",'Outro banco'!D2173)</f>
        <v/>
      </c>
      <c r="E2173" s="9"/>
      <c r="F2173" s="9"/>
      <c r="G2173" s="7" t="str">
        <f aca="false">IF(A2173="","",IF(COUNTIF(Tabelas!$A:$A,IF(E2173="",A2173,E2173))&gt;0,"sim","não"))</f>
        <v/>
      </c>
      <c r="H2173" s="7" t="str">
        <f aca="false">IF(A2173="","",IF(E2173="",A2173,E2173)&amp;"."&amp;IF(F2173="",B2173,F2173))</f>
        <v/>
      </c>
      <c r="I2173" s="7" t="str">
        <f aca="false">IF(A2173="","",IFERROR(INDEX('Campos Growths'!$F:$F,MATCH(H2173,'Campos Growths'!$A:$A,0)),""))</f>
        <v/>
      </c>
      <c r="J2173" s="7" t="str">
        <f aca="false">IF(A2173="","",IFERROR(VLOOKUP(IF(ISNUMBER(SEARCH("(",C2173)),LEFT(C2173,SEARCH("(",C2173)-1),C2173),Tipos!$A:$B,2,FALSE()),"outro"))</f>
        <v/>
      </c>
      <c r="K2173" s="7" t="str">
        <f aca="false">IF(I2173="","",IFERROR(INDEX('Campos Growths'!$L:$L,MATCH(H2173,'Campos Growths'!$A:$A,0)),""))</f>
        <v/>
      </c>
      <c r="L2173" s="7" t="str">
        <f aca="false">IF(A2173="","",IF(G2173="não","Sem tabela no Growths",IF(I2173="","Sem campo no Growths",IF(J2173=K2173,"Importa direto","Ajustar tipo"))))</f>
        <v/>
      </c>
      <c r="M2173" s="9"/>
    </row>
    <row r="2174" customFormat="false" ht="15" hidden="false" customHeight="false" outlineLevel="0" collapsed="false">
      <c r="A2174" s="7" t="str">
        <f aca="false">IF('Outro banco'!A2174="","",IF(LEFT('Outro banco'!A2174,1)="(","",'Outro banco'!A2174))</f>
        <v/>
      </c>
      <c r="B2174" s="7" t="str">
        <f aca="false">IF(A2174="","",'Outro banco'!B2174)</f>
        <v/>
      </c>
      <c r="C2174" s="7" t="str">
        <f aca="false">IF(A2174="","",'Outro banco'!C2174)</f>
        <v/>
      </c>
      <c r="D2174" s="7" t="str">
        <f aca="false">IF(A2174="","",'Outro banco'!D2174)</f>
        <v/>
      </c>
      <c r="E2174" s="9"/>
      <c r="F2174" s="9"/>
      <c r="G2174" s="7" t="str">
        <f aca="false">IF(A2174="","",IF(COUNTIF(Tabelas!$A:$A,IF(E2174="",A2174,E2174))&gt;0,"sim","não"))</f>
        <v/>
      </c>
      <c r="H2174" s="7" t="str">
        <f aca="false">IF(A2174="","",IF(E2174="",A2174,E2174)&amp;"."&amp;IF(F2174="",B2174,F2174))</f>
        <v/>
      </c>
      <c r="I2174" s="7" t="str">
        <f aca="false">IF(A2174="","",IFERROR(INDEX('Campos Growths'!$F:$F,MATCH(H2174,'Campos Growths'!$A:$A,0)),""))</f>
        <v/>
      </c>
      <c r="J2174" s="7" t="str">
        <f aca="false">IF(A2174="","",IFERROR(VLOOKUP(IF(ISNUMBER(SEARCH("(",C2174)),LEFT(C2174,SEARCH("(",C2174)-1),C2174),Tipos!$A:$B,2,FALSE()),"outro"))</f>
        <v/>
      </c>
      <c r="K2174" s="7" t="str">
        <f aca="false">IF(I2174="","",IFERROR(INDEX('Campos Growths'!$L:$L,MATCH(H2174,'Campos Growths'!$A:$A,0)),""))</f>
        <v/>
      </c>
      <c r="L2174" s="7" t="str">
        <f aca="false">IF(A2174="","",IF(G2174="não","Sem tabela no Growths",IF(I2174="","Sem campo no Growths",IF(J2174=K2174,"Importa direto","Ajustar tipo"))))</f>
        <v/>
      </c>
      <c r="M2174" s="9"/>
    </row>
    <row r="2175" customFormat="false" ht="15" hidden="false" customHeight="false" outlineLevel="0" collapsed="false">
      <c r="A2175" s="7" t="str">
        <f aca="false">IF('Outro banco'!A2175="","",IF(LEFT('Outro banco'!A2175,1)="(","",'Outro banco'!A2175))</f>
        <v/>
      </c>
      <c r="B2175" s="7" t="str">
        <f aca="false">IF(A2175="","",'Outro banco'!B2175)</f>
        <v/>
      </c>
      <c r="C2175" s="7" t="str">
        <f aca="false">IF(A2175="","",'Outro banco'!C2175)</f>
        <v/>
      </c>
      <c r="D2175" s="7" t="str">
        <f aca="false">IF(A2175="","",'Outro banco'!D2175)</f>
        <v/>
      </c>
      <c r="E2175" s="9"/>
      <c r="F2175" s="9"/>
      <c r="G2175" s="7" t="str">
        <f aca="false">IF(A2175="","",IF(COUNTIF(Tabelas!$A:$A,IF(E2175="",A2175,E2175))&gt;0,"sim","não"))</f>
        <v/>
      </c>
      <c r="H2175" s="7" t="str">
        <f aca="false">IF(A2175="","",IF(E2175="",A2175,E2175)&amp;"."&amp;IF(F2175="",B2175,F2175))</f>
        <v/>
      </c>
      <c r="I2175" s="7" t="str">
        <f aca="false">IF(A2175="","",IFERROR(INDEX('Campos Growths'!$F:$F,MATCH(H2175,'Campos Growths'!$A:$A,0)),""))</f>
        <v/>
      </c>
      <c r="J2175" s="7" t="str">
        <f aca="false">IF(A2175="","",IFERROR(VLOOKUP(IF(ISNUMBER(SEARCH("(",C2175)),LEFT(C2175,SEARCH("(",C2175)-1),C2175),Tipos!$A:$B,2,FALSE()),"outro"))</f>
        <v/>
      </c>
      <c r="K2175" s="7" t="str">
        <f aca="false">IF(I2175="","",IFERROR(INDEX('Campos Growths'!$L:$L,MATCH(H2175,'Campos Growths'!$A:$A,0)),""))</f>
        <v/>
      </c>
      <c r="L2175" s="7" t="str">
        <f aca="false">IF(A2175="","",IF(G2175="não","Sem tabela no Growths",IF(I2175="","Sem campo no Growths",IF(J2175=K2175,"Importa direto","Ajustar tipo"))))</f>
        <v/>
      </c>
      <c r="M2175" s="9"/>
    </row>
    <row r="2176" customFormat="false" ht="15" hidden="false" customHeight="false" outlineLevel="0" collapsed="false">
      <c r="A2176" s="7" t="str">
        <f aca="false">IF('Outro banco'!A2176="","",IF(LEFT('Outro banco'!A2176,1)="(","",'Outro banco'!A2176))</f>
        <v/>
      </c>
      <c r="B2176" s="7" t="str">
        <f aca="false">IF(A2176="","",'Outro banco'!B2176)</f>
        <v/>
      </c>
      <c r="C2176" s="7" t="str">
        <f aca="false">IF(A2176="","",'Outro banco'!C2176)</f>
        <v/>
      </c>
      <c r="D2176" s="7" t="str">
        <f aca="false">IF(A2176="","",'Outro banco'!D2176)</f>
        <v/>
      </c>
      <c r="E2176" s="9"/>
      <c r="F2176" s="9"/>
      <c r="G2176" s="7" t="str">
        <f aca="false">IF(A2176="","",IF(COUNTIF(Tabelas!$A:$A,IF(E2176="",A2176,E2176))&gt;0,"sim","não"))</f>
        <v/>
      </c>
      <c r="H2176" s="7" t="str">
        <f aca="false">IF(A2176="","",IF(E2176="",A2176,E2176)&amp;"."&amp;IF(F2176="",B2176,F2176))</f>
        <v/>
      </c>
      <c r="I2176" s="7" t="str">
        <f aca="false">IF(A2176="","",IFERROR(INDEX('Campos Growths'!$F:$F,MATCH(H2176,'Campos Growths'!$A:$A,0)),""))</f>
        <v/>
      </c>
      <c r="J2176" s="7" t="str">
        <f aca="false">IF(A2176="","",IFERROR(VLOOKUP(IF(ISNUMBER(SEARCH("(",C2176)),LEFT(C2176,SEARCH("(",C2176)-1),C2176),Tipos!$A:$B,2,FALSE()),"outro"))</f>
        <v/>
      </c>
      <c r="K2176" s="7" t="str">
        <f aca="false">IF(I2176="","",IFERROR(INDEX('Campos Growths'!$L:$L,MATCH(H2176,'Campos Growths'!$A:$A,0)),""))</f>
        <v/>
      </c>
      <c r="L2176" s="7" t="str">
        <f aca="false">IF(A2176="","",IF(G2176="não","Sem tabela no Growths",IF(I2176="","Sem campo no Growths",IF(J2176=K2176,"Importa direto","Ajustar tipo"))))</f>
        <v/>
      </c>
      <c r="M2176" s="9"/>
    </row>
    <row r="2177" customFormat="false" ht="15" hidden="false" customHeight="false" outlineLevel="0" collapsed="false">
      <c r="A2177" s="7" t="str">
        <f aca="false">IF('Outro banco'!A2177="","",IF(LEFT('Outro banco'!A2177,1)="(","",'Outro banco'!A2177))</f>
        <v/>
      </c>
      <c r="B2177" s="7" t="str">
        <f aca="false">IF(A2177="","",'Outro banco'!B2177)</f>
        <v/>
      </c>
      <c r="C2177" s="7" t="str">
        <f aca="false">IF(A2177="","",'Outro banco'!C2177)</f>
        <v/>
      </c>
      <c r="D2177" s="7" t="str">
        <f aca="false">IF(A2177="","",'Outro banco'!D2177)</f>
        <v/>
      </c>
      <c r="E2177" s="9"/>
      <c r="F2177" s="9"/>
      <c r="G2177" s="7" t="str">
        <f aca="false">IF(A2177="","",IF(COUNTIF(Tabelas!$A:$A,IF(E2177="",A2177,E2177))&gt;0,"sim","não"))</f>
        <v/>
      </c>
      <c r="H2177" s="7" t="str">
        <f aca="false">IF(A2177="","",IF(E2177="",A2177,E2177)&amp;"."&amp;IF(F2177="",B2177,F2177))</f>
        <v/>
      </c>
      <c r="I2177" s="7" t="str">
        <f aca="false">IF(A2177="","",IFERROR(INDEX('Campos Growths'!$F:$F,MATCH(H2177,'Campos Growths'!$A:$A,0)),""))</f>
        <v/>
      </c>
      <c r="J2177" s="7" t="str">
        <f aca="false">IF(A2177="","",IFERROR(VLOOKUP(IF(ISNUMBER(SEARCH("(",C2177)),LEFT(C2177,SEARCH("(",C2177)-1),C2177),Tipos!$A:$B,2,FALSE()),"outro"))</f>
        <v/>
      </c>
      <c r="K2177" s="7" t="str">
        <f aca="false">IF(I2177="","",IFERROR(INDEX('Campos Growths'!$L:$L,MATCH(H2177,'Campos Growths'!$A:$A,0)),""))</f>
        <v/>
      </c>
      <c r="L2177" s="7" t="str">
        <f aca="false">IF(A2177="","",IF(G2177="não","Sem tabela no Growths",IF(I2177="","Sem campo no Growths",IF(J2177=K2177,"Importa direto","Ajustar tipo"))))</f>
        <v/>
      </c>
      <c r="M2177" s="9"/>
    </row>
    <row r="2178" customFormat="false" ht="15" hidden="false" customHeight="false" outlineLevel="0" collapsed="false">
      <c r="A2178" s="7" t="str">
        <f aca="false">IF('Outro banco'!A2178="","",IF(LEFT('Outro banco'!A2178,1)="(","",'Outro banco'!A2178))</f>
        <v/>
      </c>
      <c r="B2178" s="7" t="str">
        <f aca="false">IF(A2178="","",'Outro banco'!B2178)</f>
        <v/>
      </c>
      <c r="C2178" s="7" t="str">
        <f aca="false">IF(A2178="","",'Outro banco'!C2178)</f>
        <v/>
      </c>
      <c r="D2178" s="7" t="str">
        <f aca="false">IF(A2178="","",'Outro banco'!D2178)</f>
        <v/>
      </c>
      <c r="E2178" s="9"/>
      <c r="F2178" s="9"/>
      <c r="G2178" s="7" t="str">
        <f aca="false">IF(A2178="","",IF(COUNTIF(Tabelas!$A:$A,IF(E2178="",A2178,E2178))&gt;0,"sim","não"))</f>
        <v/>
      </c>
      <c r="H2178" s="7" t="str">
        <f aca="false">IF(A2178="","",IF(E2178="",A2178,E2178)&amp;"."&amp;IF(F2178="",B2178,F2178))</f>
        <v/>
      </c>
      <c r="I2178" s="7" t="str">
        <f aca="false">IF(A2178="","",IFERROR(INDEX('Campos Growths'!$F:$F,MATCH(H2178,'Campos Growths'!$A:$A,0)),""))</f>
        <v/>
      </c>
      <c r="J2178" s="7" t="str">
        <f aca="false">IF(A2178="","",IFERROR(VLOOKUP(IF(ISNUMBER(SEARCH("(",C2178)),LEFT(C2178,SEARCH("(",C2178)-1),C2178),Tipos!$A:$B,2,FALSE()),"outro"))</f>
        <v/>
      </c>
      <c r="K2178" s="7" t="str">
        <f aca="false">IF(I2178="","",IFERROR(INDEX('Campos Growths'!$L:$L,MATCH(H2178,'Campos Growths'!$A:$A,0)),""))</f>
        <v/>
      </c>
      <c r="L2178" s="7" t="str">
        <f aca="false">IF(A2178="","",IF(G2178="não","Sem tabela no Growths",IF(I2178="","Sem campo no Growths",IF(J2178=K2178,"Importa direto","Ajustar tipo"))))</f>
        <v/>
      </c>
      <c r="M2178" s="9"/>
    </row>
    <row r="2179" customFormat="false" ht="15" hidden="false" customHeight="false" outlineLevel="0" collapsed="false">
      <c r="A2179" s="7" t="str">
        <f aca="false">IF('Outro banco'!A2179="","",IF(LEFT('Outro banco'!A2179,1)="(","",'Outro banco'!A2179))</f>
        <v/>
      </c>
      <c r="B2179" s="7" t="str">
        <f aca="false">IF(A2179="","",'Outro banco'!B2179)</f>
        <v/>
      </c>
      <c r="C2179" s="7" t="str">
        <f aca="false">IF(A2179="","",'Outro banco'!C2179)</f>
        <v/>
      </c>
      <c r="D2179" s="7" t="str">
        <f aca="false">IF(A2179="","",'Outro banco'!D2179)</f>
        <v/>
      </c>
      <c r="E2179" s="9"/>
      <c r="F2179" s="9"/>
      <c r="G2179" s="7" t="str">
        <f aca="false">IF(A2179="","",IF(COUNTIF(Tabelas!$A:$A,IF(E2179="",A2179,E2179))&gt;0,"sim","não"))</f>
        <v/>
      </c>
      <c r="H2179" s="7" t="str">
        <f aca="false">IF(A2179="","",IF(E2179="",A2179,E2179)&amp;"."&amp;IF(F2179="",B2179,F2179))</f>
        <v/>
      </c>
      <c r="I2179" s="7" t="str">
        <f aca="false">IF(A2179="","",IFERROR(INDEX('Campos Growths'!$F:$F,MATCH(H2179,'Campos Growths'!$A:$A,0)),""))</f>
        <v/>
      </c>
      <c r="J2179" s="7" t="str">
        <f aca="false">IF(A2179="","",IFERROR(VLOOKUP(IF(ISNUMBER(SEARCH("(",C2179)),LEFT(C2179,SEARCH("(",C2179)-1),C2179),Tipos!$A:$B,2,FALSE()),"outro"))</f>
        <v/>
      </c>
      <c r="K2179" s="7" t="str">
        <f aca="false">IF(I2179="","",IFERROR(INDEX('Campos Growths'!$L:$L,MATCH(H2179,'Campos Growths'!$A:$A,0)),""))</f>
        <v/>
      </c>
      <c r="L2179" s="7" t="str">
        <f aca="false">IF(A2179="","",IF(G2179="não","Sem tabela no Growths",IF(I2179="","Sem campo no Growths",IF(J2179=K2179,"Importa direto","Ajustar tipo"))))</f>
        <v/>
      </c>
      <c r="M2179" s="9"/>
    </row>
    <row r="2180" customFormat="false" ht="15" hidden="false" customHeight="false" outlineLevel="0" collapsed="false">
      <c r="A2180" s="7" t="str">
        <f aca="false">IF('Outro banco'!A2180="","",IF(LEFT('Outro banco'!A2180,1)="(","",'Outro banco'!A2180))</f>
        <v/>
      </c>
      <c r="B2180" s="7" t="str">
        <f aca="false">IF(A2180="","",'Outro banco'!B2180)</f>
        <v/>
      </c>
      <c r="C2180" s="7" t="str">
        <f aca="false">IF(A2180="","",'Outro banco'!C2180)</f>
        <v/>
      </c>
      <c r="D2180" s="7" t="str">
        <f aca="false">IF(A2180="","",'Outro banco'!D2180)</f>
        <v/>
      </c>
      <c r="E2180" s="9"/>
      <c r="F2180" s="9"/>
      <c r="G2180" s="7" t="str">
        <f aca="false">IF(A2180="","",IF(COUNTIF(Tabelas!$A:$A,IF(E2180="",A2180,E2180))&gt;0,"sim","não"))</f>
        <v/>
      </c>
      <c r="H2180" s="7" t="str">
        <f aca="false">IF(A2180="","",IF(E2180="",A2180,E2180)&amp;"."&amp;IF(F2180="",B2180,F2180))</f>
        <v/>
      </c>
      <c r="I2180" s="7" t="str">
        <f aca="false">IF(A2180="","",IFERROR(INDEX('Campos Growths'!$F:$F,MATCH(H2180,'Campos Growths'!$A:$A,0)),""))</f>
        <v/>
      </c>
      <c r="J2180" s="7" t="str">
        <f aca="false">IF(A2180="","",IFERROR(VLOOKUP(IF(ISNUMBER(SEARCH("(",C2180)),LEFT(C2180,SEARCH("(",C2180)-1),C2180),Tipos!$A:$B,2,FALSE()),"outro"))</f>
        <v/>
      </c>
      <c r="K2180" s="7" t="str">
        <f aca="false">IF(I2180="","",IFERROR(INDEX('Campos Growths'!$L:$L,MATCH(H2180,'Campos Growths'!$A:$A,0)),""))</f>
        <v/>
      </c>
      <c r="L2180" s="7" t="str">
        <f aca="false">IF(A2180="","",IF(G2180="não","Sem tabela no Growths",IF(I2180="","Sem campo no Growths",IF(J2180=K2180,"Importa direto","Ajustar tipo"))))</f>
        <v/>
      </c>
      <c r="M2180" s="9"/>
    </row>
    <row r="2181" customFormat="false" ht="15" hidden="false" customHeight="false" outlineLevel="0" collapsed="false">
      <c r="A2181" s="7" t="str">
        <f aca="false">IF('Outro banco'!A2181="","",IF(LEFT('Outro banco'!A2181,1)="(","",'Outro banco'!A2181))</f>
        <v/>
      </c>
      <c r="B2181" s="7" t="str">
        <f aca="false">IF(A2181="","",'Outro banco'!B2181)</f>
        <v/>
      </c>
      <c r="C2181" s="7" t="str">
        <f aca="false">IF(A2181="","",'Outro banco'!C2181)</f>
        <v/>
      </c>
      <c r="D2181" s="7" t="str">
        <f aca="false">IF(A2181="","",'Outro banco'!D2181)</f>
        <v/>
      </c>
      <c r="E2181" s="9"/>
      <c r="F2181" s="9"/>
      <c r="G2181" s="7" t="str">
        <f aca="false">IF(A2181="","",IF(COUNTIF(Tabelas!$A:$A,IF(E2181="",A2181,E2181))&gt;0,"sim","não"))</f>
        <v/>
      </c>
      <c r="H2181" s="7" t="str">
        <f aca="false">IF(A2181="","",IF(E2181="",A2181,E2181)&amp;"."&amp;IF(F2181="",B2181,F2181))</f>
        <v/>
      </c>
      <c r="I2181" s="7" t="str">
        <f aca="false">IF(A2181="","",IFERROR(INDEX('Campos Growths'!$F:$F,MATCH(H2181,'Campos Growths'!$A:$A,0)),""))</f>
        <v/>
      </c>
      <c r="J2181" s="7" t="str">
        <f aca="false">IF(A2181="","",IFERROR(VLOOKUP(IF(ISNUMBER(SEARCH("(",C2181)),LEFT(C2181,SEARCH("(",C2181)-1),C2181),Tipos!$A:$B,2,FALSE()),"outro"))</f>
        <v/>
      </c>
      <c r="K2181" s="7" t="str">
        <f aca="false">IF(I2181="","",IFERROR(INDEX('Campos Growths'!$L:$L,MATCH(H2181,'Campos Growths'!$A:$A,0)),""))</f>
        <v/>
      </c>
      <c r="L2181" s="7" t="str">
        <f aca="false">IF(A2181="","",IF(G2181="não","Sem tabela no Growths",IF(I2181="","Sem campo no Growths",IF(J2181=K2181,"Importa direto","Ajustar tipo"))))</f>
        <v/>
      </c>
      <c r="M2181" s="9"/>
    </row>
    <row r="2182" customFormat="false" ht="15" hidden="false" customHeight="false" outlineLevel="0" collapsed="false">
      <c r="A2182" s="7" t="str">
        <f aca="false">IF('Outro banco'!A2182="","",IF(LEFT('Outro banco'!A2182,1)="(","",'Outro banco'!A2182))</f>
        <v/>
      </c>
      <c r="B2182" s="7" t="str">
        <f aca="false">IF(A2182="","",'Outro banco'!B2182)</f>
        <v/>
      </c>
      <c r="C2182" s="7" t="str">
        <f aca="false">IF(A2182="","",'Outro banco'!C2182)</f>
        <v/>
      </c>
      <c r="D2182" s="7" t="str">
        <f aca="false">IF(A2182="","",'Outro banco'!D2182)</f>
        <v/>
      </c>
      <c r="E2182" s="9"/>
      <c r="F2182" s="9"/>
      <c r="G2182" s="7" t="str">
        <f aca="false">IF(A2182="","",IF(COUNTIF(Tabelas!$A:$A,IF(E2182="",A2182,E2182))&gt;0,"sim","não"))</f>
        <v/>
      </c>
      <c r="H2182" s="7" t="str">
        <f aca="false">IF(A2182="","",IF(E2182="",A2182,E2182)&amp;"."&amp;IF(F2182="",B2182,F2182))</f>
        <v/>
      </c>
      <c r="I2182" s="7" t="str">
        <f aca="false">IF(A2182="","",IFERROR(INDEX('Campos Growths'!$F:$F,MATCH(H2182,'Campos Growths'!$A:$A,0)),""))</f>
        <v/>
      </c>
      <c r="J2182" s="7" t="str">
        <f aca="false">IF(A2182="","",IFERROR(VLOOKUP(IF(ISNUMBER(SEARCH("(",C2182)),LEFT(C2182,SEARCH("(",C2182)-1),C2182),Tipos!$A:$B,2,FALSE()),"outro"))</f>
        <v/>
      </c>
      <c r="K2182" s="7" t="str">
        <f aca="false">IF(I2182="","",IFERROR(INDEX('Campos Growths'!$L:$L,MATCH(H2182,'Campos Growths'!$A:$A,0)),""))</f>
        <v/>
      </c>
      <c r="L2182" s="7" t="str">
        <f aca="false">IF(A2182="","",IF(G2182="não","Sem tabela no Growths",IF(I2182="","Sem campo no Growths",IF(J2182=K2182,"Importa direto","Ajustar tipo"))))</f>
        <v/>
      </c>
      <c r="M2182" s="9"/>
    </row>
    <row r="2183" customFormat="false" ht="15" hidden="false" customHeight="false" outlineLevel="0" collapsed="false">
      <c r="A2183" s="7" t="str">
        <f aca="false">IF('Outro banco'!A2183="","",IF(LEFT('Outro banco'!A2183,1)="(","",'Outro banco'!A2183))</f>
        <v/>
      </c>
      <c r="B2183" s="7" t="str">
        <f aca="false">IF(A2183="","",'Outro banco'!B2183)</f>
        <v/>
      </c>
      <c r="C2183" s="7" t="str">
        <f aca="false">IF(A2183="","",'Outro banco'!C2183)</f>
        <v/>
      </c>
      <c r="D2183" s="7" t="str">
        <f aca="false">IF(A2183="","",'Outro banco'!D2183)</f>
        <v/>
      </c>
      <c r="E2183" s="9"/>
      <c r="F2183" s="9"/>
      <c r="G2183" s="7" t="str">
        <f aca="false">IF(A2183="","",IF(COUNTIF(Tabelas!$A:$A,IF(E2183="",A2183,E2183))&gt;0,"sim","não"))</f>
        <v/>
      </c>
      <c r="H2183" s="7" t="str">
        <f aca="false">IF(A2183="","",IF(E2183="",A2183,E2183)&amp;"."&amp;IF(F2183="",B2183,F2183))</f>
        <v/>
      </c>
      <c r="I2183" s="7" t="str">
        <f aca="false">IF(A2183="","",IFERROR(INDEX('Campos Growths'!$F:$F,MATCH(H2183,'Campos Growths'!$A:$A,0)),""))</f>
        <v/>
      </c>
      <c r="J2183" s="7" t="str">
        <f aca="false">IF(A2183="","",IFERROR(VLOOKUP(IF(ISNUMBER(SEARCH("(",C2183)),LEFT(C2183,SEARCH("(",C2183)-1),C2183),Tipos!$A:$B,2,FALSE()),"outro"))</f>
        <v/>
      </c>
      <c r="K2183" s="7" t="str">
        <f aca="false">IF(I2183="","",IFERROR(INDEX('Campos Growths'!$L:$L,MATCH(H2183,'Campos Growths'!$A:$A,0)),""))</f>
        <v/>
      </c>
      <c r="L2183" s="7" t="str">
        <f aca="false">IF(A2183="","",IF(G2183="não","Sem tabela no Growths",IF(I2183="","Sem campo no Growths",IF(J2183=K2183,"Importa direto","Ajustar tipo"))))</f>
        <v/>
      </c>
      <c r="M2183" s="9"/>
    </row>
    <row r="2184" customFormat="false" ht="15" hidden="false" customHeight="false" outlineLevel="0" collapsed="false">
      <c r="A2184" s="7" t="str">
        <f aca="false">IF('Outro banco'!A2184="","",IF(LEFT('Outro banco'!A2184,1)="(","",'Outro banco'!A2184))</f>
        <v/>
      </c>
      <c r="B2184" s="7" t="str">
        <f aca="false">IF(A2184="","",'Outro banco'!B2184)</f>
        <v/>
      </c>
      <c r="C2184" s="7" t="str">
        <f aca="false">IF(A2184="","",'Outro banco'!C2184)</f>
        <v/>
      </c>
      <c r="D2184" s="7" t="str">
        <f aca="false">IF(A2184="","",'Outro banco'!D2184)</f>
        <v/>
      </c>
      <c r="E2184" s="9"/>
      <c r="F2184" s="9"/>
      <c r="G2184" s="7" t="str">
        <f aca="false">IF(A2184="","",IF(COUNTIF(Tabelas!$A:$A,IF(E2184="",A2184,E2184))&gt;0,"sim","não"))</f>
        <v/>
      </c>
      <c r="H2184" s="7" t="str">
        <f aca="false">IF(A2184="","",IF(E2184="",A2184,E2184)&amp;"."&amp;IF(F2184="",B2184,F2184))</f>
        <v/>
      </c>
      <c r="I2184" s="7" t="str">
        <f aca="false">IF(A2184="","",IFERROR(INDEX('Campos Growths'!$F:$F,MATCH(H2184,'Campos Growths'!$A:$A,0)),""))</f>
        <v/>
      </c>
      <c r="J2184" s="7" t="str">
        <f aca="false">IF(A2184="","",IFERROR(VLOOKUP(IF(ISNUMBER(SEARCH("(",C2184)),LEFT(C2184,SEARCH("(",C2184)-1),C2184),Tipos!$A:$B,2,FALSE()),"outro"))</f>
        <v/>
      </c>
      <c r="K2184" s="7" t="str">
        <f aca="false">IF(I2184="","",IFERROR(INDEX('Campos Growths'!$L:$L,MATCH(H2184,'Campos Growths'!$A:$A,0)),""))</f>
        <v/>
      </c>
      <c r="L2184" s="7" t="str">
        <f aca="false">IF(A2184="","",IF(G2184="não","Sem tabela no Growths",IF(I2184="","Sem campo no Growths",IF(J2184=K2184,"Importa direto","Ajustar tipo"))))</f>
        <v/>
      </c>
      <c r="M2184" s="9"/>
    </row>
    <row r="2185" customFormat="false" ht="15" hidden="false" customHeight="false" outlineLevel="0" collapsed="false">
      <c r="A2185" s="7" t="str">
        <f aca="false">IF('Outro banco'!A2185="","",IF(LEFT('Outro banco'!A2185,1)="(","",'Outro banco'!A2185))</f>
        <v/>
      </c>
      <c r="B2185" s="7" t="str">
        <f aca="false">IF(A2185="","",'Outro banco'!B2185)</f>
        <v/>
      </c>
      <c r="C2185" s="7" t="str">
        <f aca="false">IF(A2185="","",'Outro banco'!C2185)</f>
        <v/>
      </c>
      <c r="D2185" s="7" t="str">
        <f aca="false">IF(A2185="","",'Outro banco'!D2185)</f>
        <v/>
      </c>
      <c r="E2185" s="9"/>
      <c r="F2185" s="9"/>
      <c r="G2185" s="7" t="str">
        <f aca="false">IF(A2185="","",IF(COUNTIF(Tabelas!$A:$A,IF(E2185="",A2185,E2185))&gt;0,"sim","não"))</f>
        <v/>
      </c>
      <c r="H2185" s="7" t="str">
        <f aca="false">IF(A2185="","",IF(E2185="",A2185,E2185)&amp;"."&amp;IF(F2185="",B2185,F2185))</f>
        <v/>
      </c>
      <c r="I2185" s="7" t="str">
        <f aca="false">IF(A2185="","",IFERROR(INDEX('Campos Growths'!$F:$F,MATCH(H2185,'Campos Growths'!$A:$A,0)),""))</f>
        <v/>
      </c>
      <c r="J2185" s="7" t="str">
        <f aca="false">IF(A2185="","",IFERROR(VLOOKUP(IF(ISNUMBER(SEARCH("(",C2185)),LEFT(C2185,SEARCH("(",C2185)-1),C2185),Tipos!$A:$B,2,FALSE()),"outro"))</f>
        <v/>
      </c>
      <c r="K2185" s="7" t="str">
        <f aca="false">IF(I2185="","",IFERROR(INDEX('Campos Growths'!$L:$L,MATCH(H2185,'Campos Growths'!$A:$A,0)),""))</f>
        <v/>
      </c>
      <c r="L2185" s="7" t="str">
        <f aca="false">IF(A2185="","",IF(G2185="não","Sem tabela no Growths",IF(I2185="","Sem campo no Growths",IF(J2185=K2185,"Importa direto","Ajustar tipo"))))</f>
        <v/>
      </c>
      <c r="M2185" s="9"/>
    </row>
    <row r="2186" customFormat="false" ht="15" hidden="false" customHeight="false" outlineLevel="0" collapsed="false">
      <c r="A2186" s="7" t="str">
        <f aca="false">IF('Outro banco'!A2186="","",IF(LEFT('Outro banco'!A2186,1)="(","",'Outro banco'!A2186))</f>
        <v/>
      </c>
      <c r="B2186" s="7" t="str">
        <f aca="false">IF(A2186="","",'Outro banco'!B2186)</f>
        <v/>
      </c>
      <c r="C2186" s="7" t="str">
        <f aca="false">IF(A2186="","",'Outro banco'!C2186)</f>
        <v/>
      </c>
      <c r="D2186" s="7" t="str">
        <f aca="false">IF(A2186="","",'Outro banco'!D2186)</f>
        <v/>
      </c>
      <c r="E2186" s="9"/>
      <c r="F2186" s="9"/>
      <c r="G2186" s="7" t="str">
        <f aca="false">IF(A2186="","",IF(COUNTIF(Tabelas!$A:$A,IF(E2186="",A2186,E2186))&gt;0,"sim","não"))</f>
        <v/>
      </c>
      <c r="H2186" s="7" t="str">
        <f aca="false">IF(A2186="","",IF(E2186="",A2186,E2186)&amp;"."&amp;IF(F2186="",B2186,F2186))</f>
        <v/>
      </c>
      <c r="I2186" s="7" t="str">
        <f aca="false">IF(A2186="","",IFERROR(INDEX('Campos Growths'!$F:$F,MATCH(H2186,'Campos Growths'!$A:$A,0)),""))</f>
        <v/>
      </c>
      <c r="J2186" s="7" t="str">
        <f aca="false">IF(A2186="","",IFERROR(VLOOKUP(IF(ISNUMBER(SEARCH("(",C2186)),LEFT(C2186,SEARCH("(",C2186)-1),C2186),Tipos!$A:$B,2,FALSE()),"outro"))</f>
        <v/>
      </c>
      <c r="K2186" s="7" t="str">
        <f aca="false">IF(I2186="","",IFERROR(INDEX('Campos Growths'!$L:$L,MATCH(H2186,'Campos Growths'!$A:$A,0)),""))</f>
        <v/>
      </c>
      <c r="L2186" s="7" t="str">
        <f aca="false">IF(A2186="","",IF(G2186="não","Sem tabela no Growths",IF(I2186="","Sem campo no Growths",IF(J2186=K2186,"Importa direto","Ajustar tipo"))))</f>
        <v/>
      </c>
      <c r="M2186" s="9"/>
    </row>
    <row r="2187" customFormat="false" ht="15" hidden="false" customHeight="false" outlineLevel="0" collapsed="false">
      <c r="A2187" s="7" t="str">
        <f aca="false">IF('Outro banco'!A2187="","",IF(LEFT('Outro banco'!A2187,1)="(","",'Outro banco'!A2187))</f>
        <v/>
      </c>
      <c r="B2187" s="7" t="str">
        <f aca="false">IF(A2187="","",'Outro banco'!B2187)</f>
        <v/>
      </c>
      <c r="C2187" s="7" t="str">
        <f aca="false">IF(A2187="","",'Outro banco'!C2187)</f>
        <v/>
      </c>
      <c r="D2187" s="7" t="str">
        <f aca="false">IF(A2187="","",'Outro banco'!D2187)</f>
        <v/>
      </c>
      <c r="E2187" s="9"/>
      <c r="F2187" s="9"/>
      <c r="G2187" s="7" t="str">
        <f aca="false">IF(A2187="","",IF(COUNTIF(Tabelas!$A:$A,IF(E2187="",A2187,E2187))&gt;0,"sim","não"))</f>
        <v/>
      </c>
      <c r="H2187" s="7" t="str">
        <f aca="false">IF(A2187="","",IF(E2187="",A2187,E2187)&amp;"."&amp;IF(F2187="",B2187,F2187))</f>
        <v/>
      </c>
      <c r="I2187" s="7" t="str">
        <f aca="false">IF(A2187="","",IFERROR(INDEX('Campos Growths'!$F:$F,MATCH(H2187,'Campos Growths'!$A:$A,0)),""))</f>
        <v/>
      </c>
      <c r="J2187" s="7" t="str">
        <f aca="false">IF(A2187="","",IFERROR(VLOOKUP(IF(ISNUMBER(SEARCH("(",C2187)),LEFT(C2187,SEARCH("(",C2187)-1),C2187),Tipos!$A:$B,2,FALSE()),"outro"))</f>
        <v/>
      </c>
      <c r="K2187" s="7" t="str">
        <f aca="false">IF(I2187="","",IFERROR(INDEX('Campos Growths'!$L:$L,MATCH(H2187,'Campos Growths'!$A:$A,0)),""))</f>
        <v/>
      </c>
      <c r="L2187" s="7" t="str">
        <f aca="false">IF(A2187="","",IF(G2187="não","Sem tabela no Growths",IF(I2187="","Sem campo no Growths",IF(J2187=K2187,"Importa direto","Ajustar tipo"))))</f>
        <v/>
      </c>
      <c r="M2187" s="9"/>
    </row>
    <row r="2188" customFormat="false" ht="15" hidden="false" customHeight="false" outlineLevel="0" collapsed="false">
      <c r="A2188" s="7" t="str">
        <f aca="false">IF('Outro banco'!A2188="","",IF(LEFT('Outro banco'!A2188,1)="(","",'Outro banco'!A2188))</f>
        <v/>
      </c>
      <c r="B2188" s="7" t="str">
        <f aca="false">IF(A2188="","",'Outro banco'!B2188)</f>
        <v/>
      </c>
      <c r="C2188" s="7" t="str">
        <f aca="false">IF(A2188="","",'Outro banco'!C2188)</f>
        <v/>
      </c>
      <c r="D2188" s="7" t="str">
        <f aca="false">IF(A2188="","",'Outro banco'!D2188)</f>
        <v/>
      </c>
      <c r="E2188" s="9"/>
      <c r="F2188" s="9"/>
      <c r="G2188" s="7" t="str">
        <f aca="false">IF(A2188="","",IF(COUNTIF(Tabelas!$A:$A,IF(E2188="",A2188,E2188))&gt;0,"sim","não"))</f>
        <v/>
      </c>
      <c r="H2188" s="7" t="str">
        <f aca="false">IF(A2188="","",IF(E2188="",A2188,E2188)&amp;"."&amp;IF(F2188="",B2188,F2188))</f>
        <v/>
      </c>
      <c r="I2188" s="7" t="str">
        <f aca="false">IF(A2188="","",IFERROR(INDEX('Campos Growths'!$F:$F,MATCH(H2188,'Campos Growths'!$A:$A,0)),""))</f>
        <v/>
      </c>
      <c r="J2188" s="7" t="str">
        <f aca="false">IF(A2188="","",IFERROR(VLOOKUP(IF(ISNUMBER(SEARCH("(",C2188)),LEFT(C2188,SEARCH("(",C2188)-1),C2188),Tipos!$A:$B,2,FALSE()),"outro"))</f>
        <v/>
      </c>
      <c r="K2188" s="7" t="str">
        <f aca="false">IF(I2188="","",IFERROR(INDEX('Campos Growths'!$L:$L,MATCH(H2188,'Campos Growths'!$A:$A,0)),""))</f>
        <v/>
      </c>
      <c r="L2188" s="7" t="str">
        <f aca="false">IF(A2188="","",IF(G2188="não","Sem tabela no Growths",IF(I2188="","Sem campo no Growths",IF(J2188=K2188,"Importa direto","Ajustar tipo"))))</f>
        <v/>
      </c>
      <c r="M2188" s="9"/>
    </row>
    <row r="2189" customFormat="false" ht="15" hidden="false" customHeight="false" outlineLevel="0" collapsed="false">
      <c r="A2189" s="7" t="str">
        <f aca="false">IF('Outro banco'!A2189="","",IF(LEFT('Outro banco'!A2189,1)="(","",'Outro banco'!A2189))</f>
        <v/>
      </c>
      <c r="B2189" s="7" t="str">
        <f aca="false">IF(A2189="","",'Outro banco'!B2189)</f>
        <v/>
      </c>
      <c r="C2189" s="7" t="str">
        <f aca="false">IF(A2189="","",'Outro banco'!C2189)</f>
        <v/>
      </c>
      <c r="D2189" s="7" t="str">
        <f aca="false">IF(A2189="","",'Outro banco'!D2189)</f>
        <v/>
      </c>
      <c r="E2189" s="9"/>
      <c r="F2189" s="9"/>
      <c r="G2189" s="7" t="str">
        <f aca="false">IF(A2189="","",IF(COUNTIF(Tabelas!$A:$A,IF(E2189="",A2189,E2189))&gt;0,"sim","não"))</f>
        <v/>
      </c>
      <c r="H2189" s="7" t="str">
        <f aca="false">IF(A2189="","",IF(E2189="",A2189,E2189)&amp;"."&amp;IF(F2189="",B2189,F2189))</f>
        <v/>
      </c>
      <c r="I2189" s="7" t="str">
        <f aca="false">IF(A2189="","",IFERROR(INDEX('Campos Growths'!$F:$F,MATCH(H2189,'Campos Growths'!$A:$A,0)),""))</f>
        <v/>
      </c>
      <c r="J2189" s="7" t="str">
        <f aca="false">IF(A2189="","",IFERROR(VLOOKUP(IF(ISNUMBER(SEARCH("(",C2189)),LEFT(C2189,SEARCH("(",C2189)-1),C2189),Tipos!$A:$B,2,FALSE()),"outro"))</f>
        <v/>
      </c>
      <c r="K2189" s="7" t="str">
        <f aca="false">IF(I2189="","",IFERROR(INDEX('Campos Growths'!$L:$L,MATCH(H2189,'Campos Growths'!$A:$A,0)),""))</f>
        <v/>
      </c>
      <c r="L2189" s="7" t="str">
        <f aca="false">IF(A2189="","",IF(G2189="não","Sem tabela no Growths",IF(I2189="","Sem campo no Growths",IF(J2189=K2189,"Importa direto","Ajustar tipo"))))</f>
        <v/>
      </c>
      <c r="M2189" s="9"/>
    </row>
    <row r="2190" customFormat="false" ht="15" hidden="false" customHeight="false" outlineLevel="0" collapsed="false">
      <c r="A2190" s="7" t="str">
        <f aca="false">IF('Outro banco'!A2190="","",IF(LEFT('Outro banco'!A2190,1)="(","",'Outro banco'!A2190))</f>
        <v/>
      </c>
      <c r="B2190" s="7" t="str">
        <f aca="false">IF(A2190="","",'Outro banco'!B2190)</f>
        <v/>
      </c>
      <c r="C2190" s="7" t="str">
        <f aca="false">IF(A2190="","",'Outro banco'!C2190)</f>
        <v/>
      </c>
      <c r="D2190" s="7" t="str">
        <f aca="false">IF(A2190="","",'Outro banco'!D2190)</f>
        <v/>
      </c>
      <c r="E2190" s="9"/>
      <c r="F2190" s="9"/>
      <c r="G2190" s="7" t="str">
        <f aca="false">IF(A2190="","",IF(COUNTIF(Tabelas!$A:$A,IF(E2190="",A2190,E2190))&gt;0,"sim","não"))</f>
        <v/>
      </c>
      <c r="H2190" s="7" t="str">
        <f aca="false">IF(A2190="","",IF(E2190="",A2190,E2190)&amp;"."&amp;IF(F2190="",B2190,F2190))</f>
        <v/>
      </c>
      <c r="I2190" s="7" t="str">
        <f aca="false">IF(A2190="","",IFERROR(INDEX('Campos Growths'!$F:$F,MATCH(H2190,'Campos Growths'!$A:$A,0)),""))</f>
        <v/>
      </c>
      <c r="J2190" s="7" t="str">
        <f aca="false">IF(A2190="","",IFERROR(VLOOKUP(IF(ISNUMBER(SEARCH("(",C2190)),LEFT(C2190,SEARCH("(",C2190)-1),C2190),Tipos!$A:$B,2,FALSE()),"outro"))</f>
        <v/>
      </c>
      <c r="K2190" s="7" t="str">
        <f aca="false">IF(I2190="","",IFERROR(INDEX('Campos Growths'!$L:$L,MATCH(H2190,'Campos Growths'!$A:$A,0)),""))</f>
        <v/>
      </c>
      <c r="L2190" s="7" t="str">
        <f aca="false">IF(A2190="","",IF(G2190="não","Sem tabela no Growths",IF(I2190="","Sem campo no Growths",IF(J2190=K2190,"Importa direto","Ajustar tipo"))))</f>
        <v/>
      </c>
      <c r="M2190" s="9"/>
    </row>
    <row r="2191" customFormat="false" ht="15" hidden="false" customHeight="false" outlineLevel="0" collapsed="false">
      <c r="A2191" s="7" t="str">
        <f aca="false">IF('Outro banco'!A2191="","",IF(LEFT('Outro banco'!A2191,1)="(","",'Outro banco'!A2191))</f>
        <v/>
      </c>
      <c r="B2191" s="7" t="str">
        <f aca="false">IF(A2191="","",'Outro banco'!B2191)</f>
        <v/>
      </c>
      <c r="C2191" s="7" t="str">
        <f aca="false">IF(A2191="","",'Outro banco'!C2191)</f>
        <v/>
      </c>
      <c r="D2191" s="7" t="str">
        <f aca="false">IF(A2191="","",'Outro banco'!D2191)</f>
        <v/>
      </c>
      <c r="E2191" s="9"/>
      <c r="F2191" s="9"/>
      <c r="G2191" s="7" t="str">
        <f aca="false">IF(A2191="","",IF(COUNTIF(Tabelas!$A:$A,IF(E2191="",A2191,E2191))&gt;0,"sim","não"))</f>
        <v/>
      </c>
      <c r="H2191" s="7" t="str">
        <f aca="false">IF(A2191="","",IF(E2191="",A2191,E2191)&amp;"."&amp;IF(F2191="",B2191,F2191))</f>
        <v/>
      </c>
      <c r="I2191" s="7" t="str">
        <f aca="false">IF(A2191="","",IFERROR(INDEX('Campos Growths'!$F:$F,MATCH(H2191,'Campos Growths'!$A:$A,0)),""))</f>
        <v/>
      </c>
      <c r="J2191" s="7" t="str">
        <f aca="false">IF(A2191="","",IFERROR(VLOOKUP(IF(ISNUMBER(SEARCH("(",C2191)),LEFT(C2191,SEARCH("(",C2191)-1),C2191),Tipos!$A:$B,2,FALSE()),"outro"))</f>
        <v/>
      </c>
      <c r="K2191" s="7" t="str">
        <f aca="false">IF(I2191="","",IFERROR(INDEX('Campos Growths'!$L:$L,MATCH(H2191,'Campos Growths'!$A:$A,0)),""))</f>
        <v/>
      </c>
      <c r="L2191" s="7" t="str">
        <f aca="false">IF(A2191="","",IF(G2191="não","Sem tabela no Growths",IF(I2191="","Sem campo no Growths",IF(J2191=K2191,"Importa direto","Ajustar tipo"))))</f>
        <v/>
      </c>
      <c r="M2191" s="9"/>
    </row>
    <row r="2192" customFormat="false" ht="15" hidden="false" customHeight="false" outlineLevel="0" collapsed="false">
      <c r="A2192" s="7" t="str">
        <f aca="false">IF('Outro banco'!A2192="","",IF(LEFT('Outro banco'!A2192,1)="(","",'Outro banco'!A2192))</f>
        <v/>
      </c>
      <c r="B2192" s="7" t="str">
        <f aca="false">IF(A2192="","",'Outro banco'!B2192)</f>
        <v/>
      </c>
      <c r="C2192" s="7" t="str">
        <f aca="false">IF(A2192="","",'Outro banco'!C2192)</f>
        <v/>
      </c>
      <c r="D2192" s="7" t="str">
        <f aca="false">IF(A2192="","",'Outro banco'!D2192)</f>
        <v/>
      </c>
      <c r="E2192" s="9"/>
      <c r="F2192" s="9"/>
      <c r="G2192" s="7" t="str">
        <f aca="false">IF(A2192="","",IF(COUNTIF(Tabelas!$A:$A,IF(E2192="",A2192,E2192))&gt;0,"sim","não"))</f>
        <v/>
      </c>
      <c r="H2192" s="7" t="str">
        <f aca="false">IF(A2192="","",IF(E2192="",A2192,E2192)&amp;"."&amp;IF(F2192="",B2192,F2192))</f>
        <v/>
      </c>
      <c r="I2192" s="7" t="str">
        <f aca="false">IF(A2192="","",IFERROR(INDEX('Campos Growths'!$F:$F,MATCH(H2192,'Campos Growths'!$A:$A,0)),""))</f>
        <v/>
      </c>
      <c r="J2192" s="7" t="str">
        <f aca="false">IF(A2192="","",IFERROR(VLOOKUP(IF(ISNUMBER(SEARCH("(",C2192)),LEFT(C2192,SEARCH("(",C2192)-1),C2192),Tipos!$A:$B,2,FALSE()),"outro"))</f>
        <v/>
      </c>
      <c r="K2192" s="7" t="str">
        <f aca="false">IF(I2192="","",IFERROR(INDEX('Campos Growths'!$L:$L,MATCH(H2192,'Campos Growths'!$A:$A,0)),""))</f>
        <v/>
      </c>
      <c r="L2192" s="7" t="str">
        <f aca="false">IF(A2192="","",IF(G2192="não","Sem tabela no Growths",IF(I2192="","Sem campo no Growths",IF(J2192=K2192,"Importa direto","Ajustar tipo"))))</f>
        <v/>
      </c>
      <c r="M2192" s="9"/>
    </row>
    <row r="2193" customFormat="false" ht="15" hidden="false" customHeight="false" outlineLevel="0" collapsed="false">
      <c r="A2193" s="7" t="str">
        <f aca="false">IF('Outro banco'!A2193="","",IF(LEFT('Outro banco'!A2193,1)="(","",'Outro banco'!A2193))</f>
        <v/>
      </c>
      <c r="B2193" s="7" t="str">
        <f aca="false">IF(A2193="","",'Outro banco'!B2193)</f>
        <v/>
      </c>
      <c r="C2193" s="7" t="str">
        <f aca="false">IF(A2193="","",'Outro banco'!C2193)</f>
        <v/>
      </c>
      <c r="D2193" s="7" t="str">
        <f aca="false">IF(A2193="","",'Outro banco'!D2193)</f>
        <v/>
      </c>
      <c r="E2193" s="9"/>
      <c r="F2193" s="9"/>
      <c r="G2193" s="7" t="str">
        <f aca="false">IF(A2193="","",IF(COUNTIF(Tabelas!$A:$A,IF(E2193="",A2193,E2193))&gt;0,"sim","não"))</f>
        <v/>
      </c>
      <c r="H2193" s="7" t="str">
        <f aca="false">IF(A2193="","",IF(E2193="",A2193,E2193)&amp;"."&amp;IF(F2193="",B2193,F2193))</f>
        <v/>
      </c>
      <c r="I2193" s="7" t="str">
        <f aca="false">IF(A2193="","",IFERROR(INDEX('Campos Growths'!$F:$F,MATCH(H2193,'Campos Growths'!$A:$A,0)),""))</f>
        <v/>
      </c>
      <c r="J2193" s="7" t="str">
        <f aca="false">IF(A2193="","",IFERROR(VLOOKUP(IF(ISNUMBER(SEARCH("(",C2193)),LEFT(C2193,SEARCH("(",C2193)-1),C2193),Tipos!$A:$B,2,FALSE()),"outro"))</f>
        <v/>
      </c>
      <c r="K2193" s="7" t="str">
        <f aca="false">IF(I2193="","",IFERROR(INDEX('Campos Growths'!$L:$L,MATCH(H2193,'Campos Growths'!$A:$A,0)),""))</f>
        <v/>
      </c>
      <c r="L2193" s="7" t="str">
        <f aca="false">IF(A2193="","",IF(G2193="não","Sem tabela no Growths",IF(I2193="","Sem campo no Growths",IF(J2193=K2193,"Importa direto","Ajustar tipo"))))</f>
        <v/>
      </c>
      <c r="M2193" s="9"/>
    </row>
    <row r="2194" customFormat="false" ht="15" hidden="false" customHeight="false" outlineLevel="0" collapsed="false">
      <c r="A2194" s="7" t="str">
        <f aca="false">IF('Outro banco'!A2194="","",IF(LEFT('Outro banco'!A2194,1)="(","",'Outro banco'!A2194))</f>
        <v/>
      </c>
      <c r="B2194" s="7" t="str">
        <f aca="false">IF(A2194="","",'Outro banco'!B2194)</f>
        <v/>
      </c>
      <c r="C2194" s="7" t="str">
        <f aca="false">IF(A2194="","",'Outro banco'!C2194)</f>
        <v/>
      </c>
      <c r="D2194" s="7" t="str">
        <f aca="false">IF(A2194="","",'Outro banco'!D2194)</f>
        <v/>
      </c>
      <c r="E2194" s="9"/>
      <c r="F2194" s="9"/>
      <c r="G2194" s="7" t="str">
        <f aca="false">IF(A2194="","",IF(COUNTIF(Tabelas!$A:$A,IF(E2194="",A2194,E2194))&gt;0,"sim","não"))</f>
        <v/>
      </c>
      <c r="H2194" s="7" t="str">
        <f aca="false">IF(A2194="","",IF(E2194="",A2194,E2194)&amp;"."&amp;IF(F2194="",B2194,F2194))</f>
        <v/>
      </c>
      <c r="I2194" s="7" t="str">
        <f aca="false">IF(A2194="","",IFERROR(INDEX('Campos Growths'!$F:$F,MATCH(H2194,'Campos Growths'!$A:$A,0)),""))</f>
        <v/>
      </c>
      <c r="J2194" s="7" t="str">
        <f aca="false">IF(A2194="","",IFERROR(VLOOKUP(IF(ISNUMBER(SEARCH("(",C2194)),LEFT(C2194,SEARCH("(",C2194)-1),C2194),Tipos!$A:$B,2,FALSE()),"outro"))</f>
        <v/>
      </c>
      <c r="K2194" s="7" t="str">
        <f aca="false">IF(I2194="","",IFERROR(INDEX('Campos Growths'!$L:$L,MATCH(H2194,'Campos Growths'!$A:$A,0)),""))</f>
        <v/>
      </c>
      <c r="L2194" s="7" t="str">
        <f aca="false">IF(A2194="","",IF(G2194="não","Sem tabela no Growths",IF(I2194="","Sem campo no Growths",IF(J2194=K2194,"Importa direto","Ajustar tipo"))))</f>
        <v/>
      </c>
      <c r="M2194" s="9"/>
    </row>
    <row r="2195" customFormat="false" ht="15" hidden="false" customHeight="false" outlineLevel="0" collapsed="false">
      <c r="A2195" s="7" t="str">
        <f aca="false">IF('Outro banco'!A2195="","",IF(LEFT('Outro banco'!A2195,1)="(","",'Outro banco'!A2195))</f>
        <v/>
      </c>
      <c r="B2195" s="7" t="str">
        <f aca="false">IF(A2195="","",'Outro banco'!B2195)</f>
        <v/>
      </c>
      <c r="C2195" s="7" t="str">
        <f aca="false">IF(A2195="","",'Outro banco'!C2195)</f>
        <v/>
      </c>
      <c r="D2195" s="7" t="str">
        <f aca="false">IF(A2195="","",'Outro banco'!D2195)</f>
        <v/>
      </c>
      <c r="E2195" s="9"/>
      <c r="F2195" s="9"/>
      <c r="G2195" s="7" t="str">
        <f aca="false">IF(A2195="","",IF(COUNTIF(Tabelas!$A:$A,IF(E2195="",A2195,E2195))&gt;0,"sim","não"))</f>
        <v/>
      </c>
      <c r="H2195" s="7" t="str">
        <f aca="false">IF(A2195="","",IF(E2195="",A2195,E2195)&amp;"."&amp;IF(F2195="",B2195,F2195))</f>
        <v/>
      </c>
      <c r="I2195" s="7" t="str">
        <f aca="false">IF(A2195="","",IFERROR(INDEX('Campos Growths'!$F:$F,MATCH(H2195,'Campos Growths'!$A:$A,0)),""))</f>
        <v/>
      </c>
      <c r="J2195" s="7" t="str">
        <f aca="false">IF(A2195="","",IFERROR(VLOOKUP(IF(ISNUMBER(SEARCH("(",C2195)),LEFT(C2195,SEARCH("(",C2195)-1),C2195),Tipos!$A:$B,2,FALSE()),"outro"))</f>
        <v/>
      </c>
      <c r="K2195" s="7" t="str">
        <f aca="false">IF(I2195="","",IFERROR(INDEX('Campos Growths'!$L:$L,MATCH(H2195,'Campos Growths'!$A:$A,0)),""))</f>
        <v/>
      </c>
      <c r="L2195" s="7" t="str">
        <f aca="false">IF(A2195="","",IF(G2195="não","Sem tabela no Growths",IF(I2195="","Sem campo no Growths",IF(J2195=K2195,"Importa direto","Ajustar tipo"))))</f>
        <v/>
      </c>
      <c r="M2195" s="9"/>
    </row>
    <row r="2196" customFormat="false" ht="15" hidden="false" customHeight="false" outlineLevel="0" collapsed="false">
      <c r="A2196" s="7" t="str">
        <f aca="false">IF('Outro banco'!A2196="","",IF(LEFT('Outro banco'!A2196,1)="(","",'Outro banco'!A2196))</f>
        <v/>
      </c>
      <c r="B2196" s="7" t="str">
        <f aca="false">IF(A2196="","",'Outro banco'!B2196)</f>
        <v/>
      </c>
      <c r="C2196" s="7" t="str">
        <f aca="false">IF(A2196="","",'Outro banco'!C2196)</f>
        <v/>
      </c>
      <c r="D2196" s="7" t="str">
        <f aca="false">IF(A2196="","",'Outro banco'!D2196)</f>
        <v/>
      </c>
      <c r="E2196" s="9"/>
      <c r="F2196" s="9"/>
      <c r="G2196" s="7" t="str">
        <f aca="false">IF(A2196="","",IF(COUNTIF(Tabelas!$A:$A,IF(E2196="",A2196,E2196))&gt;0,"sim","não"))</f>
        <v/>
      </c>
      <c r="H2196" s="7" t="str">
        <f aca="false">IF(A2196="","",IF(E2196="",A2196,E2196)&amp;"."&amp;IF(F2196="",B2196,F2196))</f>
        <v/>
      </c>
      <c r="I2196" s="7" t="str">
        <f aca="false">IF(A2196="","",IFERROR(INDEX('Campos Growths'!$F:$F,MATCH(H2196,'Campos Growths'!$A:$A,0)),""))</f>
        <v/>
      </c>
      <c r="J2196" s="7" t="str">
        <f aca="false">IF(A2196="","",IFERROR(VLOOKUP(IF(ISNUMBER(SEARCH("(",C2196)),LEFT(C2196,SEARCH("(",C2196)-1),C2196),Tipos!$A:$B,2,FALSE()),"outro"))</f>
        <v/>
      </c>
      <c r="K2196" s="7" t="str">
        <f aca="false">IF(I2196="","",IFERROR(INDEX('Campos Growths'!$L:$L,MATCH(H2196,'Campos Growths'!$A:$A,0)),""))</f>
        <v/>
      </c>
      <c r="L2196" s="7" t="str">
        <f aca="false">IF(A2196="","",IF(G2196="não","Sem tabela no Growths",IF(I2196="","Sem campo no Growths",IF(J2196=K2196,"Importa direto","Ajustar tipo"))))</f>
        <v/>
      </c>
      <c r="M2196" s="9"/>
    </row>
    <row r="2197" customFormat="false" ht="15" hidden="false" customHeight="false" outlineLevel="0" collapsed="false">
      <c r="A2197" s="7" t="str">
        <f aca="false">IF('Outro banco'!A2197="","",IF(LEFT('Outro banco'!A2197,1)="(","",'Outro banco'!A2197))</f>
        <v/>
      </c>
      <c r="B2197" s="7" t="str">
        <f aca="false">IF(A2197="","",'Outro banco'!B2197)</f>
        <v/>
      </c>
      <c r="C2197" s="7" t="str">
        <f aca="false">IF(A2197="","",'Outro banco'!C2197)</f>
        <v/>
      </c>
      <c r="D2197" s="7" t="str">
        <f aca="false">IF(A2197="","",'Outro banco'!D2197)</f>
        <v/>
      </c>
      <c r="E2197" s="9"/>
      <c r="F2197" s="9"/>
      <c r="G2197" s="7" t="str">
        <f aca="false">IF(A2197="","",IF(COUNTIF(Tabelas!$A:$A,IF(E2197="",A2197,E2197))&gt;0,"sim","não"))</f>
        <v/>
      </c>
      <c r="H2197" s="7" t="str">
        <f aca="false">IF(A2197="","",IF(E2197="",A2197,E2197)&amp;"."&amp;IF(F2197="",B2197,F2197))</f>
        <v/>
      </c>
      <c r="I2197" s="7" t="str">
        <f aca="false">IF(A2197="","",IFERROR(INDEX('Campos Growths'!$F:$F,MATCH(H2197,'Campos Growths'!$A:$A,0)),""))</f>
        <v/>
      </c>
      <c r="J2197" s="7" t="str">
        <f aca="false">IF(A2197="","",IFERROR(VLOOKUP(IF(ISNUMBER(SEARCH("(",C2197)),LEFT(C2197,SEARCH("(",C2197)-1),C2197),Tipos!$A:$B,2,FALSE()),"outro"))</f>
        <v/>
      </c>
      <c r="K2197" s="7" t="str">
        <f aca="false">IF(I2197="","",IFERROR(INDEX('Campos Growths'!$L:$L,MATCH(H2197,'Campos Growths'!$A:$A,0)),""))</f>
        <v/>
      </c>
      <c r="L2197" s="7" t="str">
        <f aca="false">IF(A2197="","",IF(G2197="não","Sem tabela no Growths",IF(I2197="","Sem campo no Growths",IF(J2197=K2197,"Importa direto","Ajustar tipo"))))</f>
        <v/>
      </c>
      <c r="M2197" s="9"/>
    </row>
    <row r="2198" customFormat="false" ht="15" hidden="false" customHeight="false" outlineLevel="0" collapsed="false">
      <c r="A2198" s="7" t="str">
        <f aca="false">IF('Outro banco'!A2198="","",IF(LEFT('Outro banco'!A2198,1)="(","",'Outro banco'!A2198))</f>
        <v/>
      </c>
      <c r="B2198" s="7" t="str">
        <f aca="false">IF(A2198="","",'Outro banco'!B2198)</f>
        <v/>
      </c>
      <c r="C2198" s="7" t="str">
        <f aca="false">IF(A2198="","",'Outro banco'!C2198)</f>
        <v/>
      </c>
      <c r="D2198" s="7" t="str">
        <f aca="false">IF(A2198="","",'Outro banco'!D2198)</f>
        <v/>
      </c>
      <c r="E2198" s="9"/>
      <c r="F2198" s="9"/>
      <c r="G2198" s="7" t="str">
        <f aca="false">IF(A2198="","",IF(COUNTIF(Tabelas!$A:$A,IF(E2198="",A2198,E2198))&gt;0,"sim","não"))</f>
        <v/>
      </c>
      <c r="H2198" s="7" t="str">
        <f aca="false">IF(A2198="","",IF(E2198="",A2198,E2198)&amp;"."&amp;IF(F2198="",B2198,F2198))</f>
        <v/>
      </c>
      <c r="I2198" s="7" t="str">
        <f aca="false">IF(A2198="","",IFERROR(INDEX('Campos Growths'!$F:$F,MATCH(H2198,'Campos Growths'!$A:$A,0)),""))</f>
        <v/>
      </c>
      <c r="J2198" s="7" t="str">
        <f aca="false">IF(A2198="","",IFERROR(VLOOKUP(IF(ISNUMBER(SEARCH("(",C2198)),LEFT(C2198,SEARCH("(",C2198)-1),C2198),Tipos!$A:$B,2,FALSE()),"outro"))</f>
        <v/>
      </c>
      <c r="K2198" s="7" t="str">
        <f aca="false">IF(I2198="","",IFERROR(INDEX('Campos Growths'!$L:$L,MATCH(H2198,'Campos Growths'!$A:$A,0)),""))</f>
        <v/>
      </c>
      <c r="L2198" s="7" t="str">
        <f aca="false">IF(A2198="","",IF(G2198="não","Sem tabela no Growths",IF(I2198="","Sem campo no Growths",IF(J2198=K2198,"Importa direto","Ajustar tipo"))))</f>
        <v/>
      </c>
      <c r="M2198" s="9"/>
    </row>
    <row r="2199" customFormat="false" ht="15" hidden="false" customHeight="false" outlineLevel="0" collapsed="false">
      <c r="A2199" s="7" t="str">
        <f aca="false">IF('Outro banco'!A2199="","",IF(LEFT('Outro banco'!A2199,1)="(","",'Outro banco'!A2199))</f>
        <v/>
      </c>
      <c r="B2199" s="7" t="str">
        <f aca="false">IF(A2199="","",'Outro banco'!B2199)</f>
        <v/>
      </c>
      <c r="C2199" s="7" t="str">
        <f aca="false">IF(A2199="","",'Outro banco'!C2199)</f>
        <v/>
      </c>
      <c r="D2199" s="7" t="str">
        <f aca="false">IF(A2199="","",'Outro banco'!D2199)</f>
        <v/>
      </c>
      <c r="E2199" s="9"/>
      <c r="F2199" s="9"/>
      <c r="G2199" s="7" t="str">
        <f aca="false">IF(A2199="","",IF(COUNTIF(Tabelas!$A:$A,IF(E2199="",A2199,E2199))&gt;0,"sim","não"))</f>
        <v/>
      </c>
      <c r="H2199" s="7" t="str">
        <f aca="false">IF(A2199="","",IF(E2199="",A2199,E2199)&amp;"."&amp;IF(F2199="",B2199,F2199))</f>
        <v/>
      </c>
      <c r="I2199" s="7" t="str">
        <f aca="false">IF(A2199="","",IFERROR(INDEX('Campos Growths'!$F:$F,MATCH(H2199,'Campos Growths'!$A:$A,0)),""))</f>
        <v/>
      </c>
      <c r="J2199" s="7" t="str">
        <f aca="false">IF(A2199="","",IFERROR(VLOOKUP(IF(ISNUMBER(SEARCH("(",C2199)),LEFT(C2199,SEARCH("(",C2199)-1),C2199),Tipos!$A:$B,2,FALSE()),"outro"))</f>
        <v/>
      </c>
      <c r="K2199" s="7" t="str">
        <f aca="false">IF(I2199="","",IFERROR(INDEX('Campos Growths'!$L:$L,MATCH(H2199,'Campos Growths'!$A:$A,0)),""))</f>
        <v/>
      </c>
      <c r="L2199" s="7" t="str">
        <f aca="false">IF(A2199="","",IF(G2199="não","Sem tabela no Growths",IF(I2199="","Sem campo no Growths",IF(J2199=K2199,"Importa direto","Ajustar tipo"))))</f>
        <v/>
      </c>
      <c r="M2199" s="9"/>
    </row>
    <row r="2200" customFormat="false" ht="15" hidden="false" customHeight="false" outlineLevel="0" collapsed="false">
      <c r="A2200" s="7" t="str">
        <f aca="false">IF('Outro banco'!A2200="","",IF(LEFT('Outro banco'!A2200,1)="(","",'Outro banco'!A2200))</f>
        <v/>
      </c>
      <c r="B2200" s="7" t="str">
        <f aca="false">IF(A2200="","",'Outro banco'!B2200)</f>
        <v/>
      </c>
      <c r="C2200" s="7" t="str">
        <f aca="false">IF(A2200="","",'Outro banco'!C2200)</f>
        <v/>
      </c>
      <c r="D2200" s="7" t="str">
        <f aca="false">IF(A2200="","",'Outro banco'!D2200)</f>
        <v/>
      </c>
      <c r="E2200" s="9"/>
      <c r="F2200" s="9"/>
      <c r="G2200" s="7" t="str">
        <f aca="false">IF(A2200="","",IF(COUNTIF(Tabelas!$A:$A,IF(E2200="",A2200,E2200))&gt;0,"sim","não"))</f>
        <v/>
      </c>
      <c r="H2200" s="7" t="str">
        <f aca="false">IF(A2200="","",IF(E2200="",A2200,E2200)&amp;"."&amp;IF(F2200="",B2200,F2200))</f>
        <v/>
      </c>
      <c r="I2200" s="7" t="str">
        <f aca="false">IF(A2200="","",IFERROR(INDEX('Campos Growths'!$F:$F,MATCH(H2200,'Campos Growths'!$A:$A,0)),""))</f>
        <v/>
      </c>
      <c r="J2200" s="7" t="str">
        <f aca="false">IF(A2200="","",IFERROR(VLOOKUP(IF(ISNUMBER(SEARCH("(",C2200)),LEFT(C2200,SEARCH("(",C2200)-1),C2200),Tipos!$A:$B,2,FALSE()),"outro"))</f>
        <v/>
      </c>
      <c r="K2200" s="7" t="str">
        <f aca="false">IF(I2200="","",IFERROR(INDEX('Campos Growths'!$L:$L,MATCH(H2200,'Campos Growths'!$A:$A,0)),""))</f>
        <v/>
      </c>
      <c r="L2200" s="7" t="str">
        <f aca="false">IF(A2200="","",IF(G2200="não","Sem tabela no Growths",IF(I2200="","Sem campo no Growths",IF(J2200=K2200,"Importa direto","Ajustar tipo"))))</f>
        <v/>
      </c>
      <c r="M2200" s="9"/>
    </row>
    <row r="2201" customFormat="false" ht="15" hidden="false" customHeight="false" outlineLevel="0" collapsed="false">
      <c r="A2201" s="7" t="str">
        <f aca="false">IF('Outro banco'!A2201="","",IF(LEFT('Outro banco'!A2201,1)="(","",'Outro banco'!A2201))</f>
        <v/>
      </c>
      <c r="B2201" s="7" t="str">
        <f aca="false">IF(A2201="","",'Outro banco'!B2201)</f>
        <v/>
      </c>
      <c r="C2201" s="7" t="str">
        <f aca="false">IF(A2201="","",'Outro banco'!C2201)</f>
        <v/>
      </c>
      <c r="D2201" s="7" t="str">
        <f aca="false">IF(A2201="","",'Outro banco'!D2201)</f>
        <v/>
      </c>
      <c r="E2201" s="9"/>
      <c r="F2201" s="9"/>
      <c r="G2201" s="7" t="str">
        <f aca="false">IF(A2201="","",IF(COUNTIF(Tabelas!$A:$A,IF(E2201="",A2201,E2201))&gt;0,"sim","não"))</f>
        <v/>
      </c>
      <c r="H2201" s="7" t="str">
        <f aca="false">IF(A2201="","",IF(E2201="",A2201,E2201)&amp;"."&amp;IF(F2201="",B2201,F2201))</f>
        <v/>
      </c>
      <c r="I2201" s="7" t="str">
        <f aca="false">IF(A2201="","",IFERROR(INDEX('Campos Growths'!$F:$F,MATCH(H2201,'Campos Growths'!$A:$A,0)),""))</f>
        <v/>
      </c>
      <c r="J2201" s="7" t="str">
        <f aca="false">IF(A2201="","",IFERROR(VLOOKUP(IF(ISNUMBER(SEARCH("(",C2201)),LEFT(C2201,SEARCH("(",C2201)-1),C2201),Tipos!$A:$B,2,FALSE()),"outro"))</f>
        <v/>
      </c>
      <c r="K2201" s="7" t="str">
        <f aca="false">IF(I2201="","",IFERROR(INDEX('Campos Growths'!$L:$L,MATCH(H2201,'Campos Growths'!$A:$A,0)),""))</f>
        <v/>
      </c>
      <c r="L2201" s="7" t="str">
        <f aca="false">IF(A2201="","",IF(G2201="não","Sem tabela no Growths",IF(I2201="","Sem campo no Growths",IF(J2201=K2201,"Importa direto","Ajustar tipo"))))</f>
        <v/>
      </c>
      <c r="M2201" s="9"/>
    </row>
    <row r="2202" customFormat="false" ht="15" hidden="false" customHeight="false" outlineLevel="0" collapsed="false">
      <c r="A2202" s="7" t="str">
        <f aca="false">IF('Outro banco'!A2202="","",IF(LEFT('Outro banco'!A2202,1)="(","",'Outro banco'!A2202))</f>
        <v/>
      </c>
      <c r="B2202" s="7" t="str">
        <f aca="false">IF(A2202="","",'Outro banco'!B2202)</f>
        <v/>
      </c>
      <c r="C2202" s="7" t="str">
        <f aca="false">IF(A2202="","",'Outro banco'!C2202)</f>
        <v/>
      </c>
      <c r="D2202" s="7" t="str">
        <f aca="false">IF(A2202="","",'Outro banco'!D2202)</f>
        <v/>
      </c>
      <c r="E2202" s="9"/>
      <c r="F2202" s="9"/>
      <c r="G2202" s="7" t="str">
        <f aca="false">IF(A2202="","",IF(COUNTIF(Tabelas!$A:$A,IF(E2202="",A2202,E2202))&gt;0,"sim","não"))</f>
        <v/>
      </c>
      <c r="H2202" s="7" t="str">
        <f aca="false">IF(A2202="","",IF(E2202="",A2202,E2202)&amp;"."&amp;IF(F2202="",B2202,F2202))</f>
        <v/>
      </c>
      <c r="I2202" s="7" t="str">
        <f aca="false">IF(A2202="","",IFERROR(INDEX('Campos Growths'!$F:$F,MATCH(H2202,'Campos Growths'!$A:$A,0)),""))</f>
        <v/>
      </c>
      <c r="J2202" s="7" t="str">
        <f aca="false">IF(A2202="","",IFERROR(VLOOKUP(IF(ISNUMBER(SEARCH("(",C2202)),LEFT(C2202,SEARCH("(",C2202)-1),C2202),Tipos!$A:$B,2,FALSE()),"outro"))</f>
        <v/>
      </c>
      <c r="K2202" s="7" t="str">
        <f aca="false">IF(I2202="","",IFERROR(INDEX('Campos Growths'!$L:$L,MATCH(H2202,'Campos Growths'!$A:$A,0)),""))</f>
        <v/>
      </c>
      <c r="L2202" s="7" t="str">
        <f aca="false">IF(A2202="","",IF(G2202="não","Sem tabela no Growths",IF(I2202="","Sem campo no Growths",IF(J2202=K2202,"Importa direto","Ajustar tipo"))))</f>
        <v/>
      </c>
      <c r="M2202" s="9"/>
    </row>
    <row r="2203" customFormat="false" ht="15" hidden="false" customHeight="false" outlineLevel="0" collapsed="false">
      <c r="A2203" s="7" t="str">
        <f aca="false">IF('Outro banco'!A2203="","",IF(LEFT('Outro banco'!A2203,1)="(","",'Outro banco'!A2203))</f>
        <v/>
      </c>
      <c r="B2203" s="7" t="str">
        <f aca="false">IF(A2203="","",'Outro banco'!B2203)</f>
        <v/>
      </c>
      <c r="C2203" s="7" t="str">
        <f aca="false">IF(A2203="","",'Outro banco'!C2203)</f>
        <v/>
      </c>
      <c r="D2203" s="7" t="str">
        <f aca="false">IF(A2203="","",'Outro banco'!D2203)</f>
        <v/>
      </c>
      <c r="E2203" s="9"/>
      <c r="F2203" s="9"/>
      <c r="G2203" s="7" t="str">
        <f aca="false">IF(A2203="","",IF(COUNTIF(Tabelas!$A:$A,IF(E2203="",A2203,E2203))&gt;0,"sim","não"))</f>
        <v/>
      </c>
      <c r="H2203" s="7" t="str">
        <f aca="false">IF(A2203="","",IF(E2203="",A2203,E2203)&amp;"."&amp;IF(F2203="",B2203,F2203))</f>
        <v/>
      </c>
      <c r="I2203" s="7" t="str">
        <f aca="false">IF(A2203="","",IFERROR(INDEX('Campos Growths'!$F:$F,MATCH(H2203,'Campos Growths'!$A:$A,0)),""))</f>
        <v/>
      </c>
      <c r="J2203" s="7" t="str">
        <f aca="false">IF(A2203="","",IFERROR(VLOOKUP(IF(ISNUMBER(SEARCH("(",C2203)),LEFT(C2203,SEARCH("(",C2203)-1),C2203),Tipos!$A:$B,2,FALSE()),"outro"))</f>
        <v/>
      </c>
      <c r="K2203" s="7" t="str">
        <f aca="false">IF(I2203="","",IFERROR(INDEX('Campos Growths'!$L:$L,MATCH(H2203,'Campos Growths'!$A:$A,0)),""))</f>
        <v/>
      </c>
      <c r="L2203" s="7" t="str">
        <f aca="false">IF(A2203="","",IF(G2203="não","Sem tabela no Growths",IF(I2203="","Sem campo no Growths",IF(J2203=K2203,"Importa direto","Ajustar tipo"))))</f>
        <v/>
      </c>
      <c r="M2203" s="9"/>
    </row>
    <row r="2204" customFormat="false" ht="15" hidden="false" customHeight="false" outlineLevel="0" collapsed="false">
      <c r="A2204" s="7" t="str">
        <f aca="false">IF('Outro banco'!A2204="","",IF(LEFT('Outro banco'!A2204,1)="(","",'Outro banco'!A2204))</f>
        <v/>
      </c>
      <c r="B2204" s="7" t="str">
        <f aca="false">IF(A2204="","",'Outro banco'!B2204)</f>
        <v/>
      </c>
      <c r="C2204" s="7" t="str">
        <f aca="false">IF(A2204="","",'Outro banco'!C2204)</f>
        <v/>
      </c>
      <c r="D2204" s="7" t="str">
        <f aca="false">IF(A2204="","",'Outro banco'!D2204)</f>
        <v/>
      </c>
      <c r="E2204" s="9"/>
      <c r="F2204" s="9"/>
      <c r="G2204" s="7" t="str">
        <f aca="false">IF(A2204="","",IF(COUNTIF(Tabelas!$A:$A,IF(E2204="",A2204,E2204))&gt;0,"sim","não"))</f>
        <v/>
      </c>
      <c r="H2204" s="7" t="str">
        <f aca="false">IF(A2204="","",IF(E2204="",A2204,E2204)&amp;"."&amp;IF(F2204="",B2204,F2204))</f>
        <v/>
      </c>
      <c r="I2204" s="7" t="str">
        <f aca="false">IF(A2204="","",IFERROR(INDEX('Campos Growths'!$F:$F,MATCH(H2204,'Campos Growths'!$A:$A,0)),""))</f>
        <v/>
      </c>
      <c r="J2204" s="7" t="str">
        <f aca="false">IF(A2204="","",IFERROR(VLOOKUP(IF(ISNUMBER(SEARCH("(",C2204)),LEFT(C2204,SEARCH("(",C2204)-1),C2204),Tipos!$A:$B,2,FALSE()),"outro"))</f>
        <v/>
      </c>
      <c r="K2204" s="7" t="str">
        <f aca="false">IF(I2204="","",IFERROR(INDEX('Campos Growths'!$L:$L,MATCH(H2204,'Campos Growths'!$A:$A,0)),""))</f>
        <v/>
      </c>
      <c r="L2204" s="7" t="str">
        <f aca="false">IF(A2204="","",IF(G2204="não","Sem tabela no Growths",IF(I2204="","Sem campo no Growths",IF(J2204=K2204,"Importa direto","Ajustar tipo"))))</f>
        <v/>
      </c>
      <c r="M2204" s="9"/>
    </row>
    <row r="2205" customFormat="false" ht="15" hidden="false" customHeight="false" outlineLevel="0" collapsed="false">
      <c r="A2205" s="7" t="str">
        <f aca="false">IF('Outro banco'!A2205="","",IF(LEFT('Outro banco'!A2205,1)="(","",'Outro banco'!A2205))</f>
        <v/>
      </c>
      <c r="B2205" s="7" t="str">
        <f aca="false">IF(A2205="","",'Outro banco'!B2205)</f>
        <v/>
      </c>
      <c r="C2205" s="7" t="str">
        <f aca="false">IF(A2205="","",'Outro banco'!C2205)</f>
        <v/>
      </c>
      <c r="D2205" s="7" t="str">
        <f aca="false">IF(A2205="","",'Outro banco'!D2205)</f>
        <v/>
      </c>
      <c r="E2205" s="9"/>
      <c r="F2205" s="9"/>
      <c r="G2205" s="7" t="str">
        <f aca="false">IF(A2205="","",IF(COUNTIF(Tabelas!$A:$A,IF(E2205="",A2205,E2205))&gt;0,"sim","não"))</f>
        <v/>
      </c>
      <c r="H2205" s="7" t="str">
        <f aca="false">IF(A2205="","",IF(E2205="",A2205,E2205)&amp;"."&amp;IF(F2205="",B2205,F2205))</f>
        <v/>
      </c>
      <c r="I2205" s="7" t="str">
        <f aca="false">IF(A2205="","",IFERROR(INDEX('Campos Growths'!$F:$F,MATCH(H2205,'Campos Growths'!$A:$A,0)),""))</f>
        <v/>
      </c>
      <c r="J2205" s="7" t="str">
        <f aca="false">IF(A2205="","",IFERROR(VLOOKUP(IF(ISNUMBER(SEARCH("(",C2205)),LEFT(C2205,SEARCH("(",C2205)-1),C2205),Tipos!$A:$B,2,FALSE()),"outro"))</f>
        <v/>
      </c>
      <c r="K2205" s="7" t="str">
        <f aca="false">IF(I2205="","",IFERROR(INDEX('Campos Growths'!$L:$L,MATCH(H2205,'Campos Growths'!$A:$A,0)),""))</f>
        <v/>
      </c>
      <c r="L2205" s="7" t="str">
        <f aca="false">IF(A2205="","",IF(G2205="não","Sem tabela no Growths",IF(I2205="","Sem campo no Growths",IF(J2205=K2205,"Importa direto","Ajustar tipo"))))</f>
        <v/>
      </c>
      <c r="M2205" s="9"/>
    </row>
    <row r="2206" customFormat="false" ht="15" hidden="false" customHeight="false" outlineLevel="0" collapsed="false">
      <c r="A2206" s="7" t="str">
        <f aca="false">IF('Outro banco'!A2206="","",IF(LEFT('Outro banco'!A2206,1)="(","",'Outro banco'!A2206))</f>
        <v/>
      </c>
      <c r="B2206" s="7" t="str">
        <f aca="false">IF(A2206="","",'Outro banco'!B2206)</f>
        <v/>
      </c>
      <c r="C2206" s="7" t="str">
        <f aca="false">IF(A2206="","",'Outro banco'!C2206)</f>
        <v/>
      </c>
      <c r="D2206" s="7" t="str">
        <f aca="false">IF(A2206="","",'Outro banco'!D2206)</f>
        <v/>
      </c>
      <c r="E2206" s="9"/>
      <c r="F2206" s="9"/>
      <c r="G2206" s="7" t="str">
        <f aca="false">IF(A2206="","",IF(COUNTIF(Tabelas!$A:$A,IF(E2206="",A2206,E2206))&gt;0,"sim","não"))</f>
        <v/>
      </c>
      <c r="H2206" s="7" t="str">
        <f aca="false">IF(A2206="","",IF(E2206="",A2206,E2206)&amp;"."&amp;IF(F2206="",B2206,F2206))</f>
        <v/>
      </c>
      <c r="I2206" s="7" t="str">
        <f aca="false">IF(A2206="","",IFERROR(INDEX('Campos Growths'!$F:$F,MATCH(H2206,'Campos Growths'!$A:$A,0)),""))</f>
        <v/>
      </c>
      <c r="J2206" s="7" t="str">
        <f aca="false">IF(A2206="","",IFERROR(VLOOKUP(IF(ISNUMBER(SEARCH("(",C2206)),LEFT(C2206,SEARCH("(",C2206)-1),C2206),Tipos!$A:$B,2,FALSE()),"outro"))</f>
        <v/>
      </c>
      <c r="K2206" s="7" t="str">
        <f aca="false">IF(I2206="","",IFERROR(INDEX('Campos Growths'!$L:$L,MATCH(H2206,'Campos Growths'!$A:$A,0)),""))</f>
        <v/>
      </c>
      <c r="L2206" s="7" t="str">
        <f aca="false">IF(A2206="","",IF(G2206="não","Sem tabela no Growths",IF(I2206="","Sem campo no Growths",IF(J2206=K2206,"Importa direto","Ajustar tipo"))))</f>
        <v/>
      </c>
      <c r="M2206" s="9"/>
    </row>
    <row r="2207" customFormat="false" ht="15" hidden="false" customHeight="false" outlineLevel="0" collapsed="false">
      <c r="A2207" s="7" t="str">
        <f aca="false">IF('Outro banco'!A2207="","",IF(LEFT('Outro banco'!A2207,1)="(","",'Outro banco'!A2207))</f>
        <v/>
      </c>
      <c r="B2207" s="7" t="str">
        <f aca="false">IF(A2207="","",'Outro banco'!B2207)</f>
        <v/>
      </c>
      <c r="C2207" s="7" t="str">
        <f aca="false">IF(A2207="","",'Outro banco'!C2207)</f>
        <v/>
      </c>
      <c r="D2207" s="7" t="str">
        <f aca="false">IF(A2207="","",'Outro banco'!D2207)</f>
        <v/>
      </c>
      <c r="E2207" s="9"/>
      <c r="F2207" s="9"/>
      <c r="G2207" s="7" t="str">
        <f aca="false">IF(A2207="","",IF(COUNTIF(Tabelas!$A:$A,IF(E2207="",A2207,E2207))&gt;0,"sim","não"))</f>
        <v/>
      </c>
      <c r="H2207" s="7" t="str">
        <f aca="false">IF(A2207="","",IF(E2207="",A2207,E2207)&amp;"."&amp;IF(F2207="",B2207,F2207))</f>
        <v/>
      </c>
      <c r="I2207" s="7" t="str">
        <f aca="false">IF(A2207="","",IFERROR(INDEX('Campos Growths'!$F:$F,MATCH(H2207,'Campos Growths'!$A:$A,0)),""))</f>
        <v/>
      </c>
      <c r="J2207" s="7" t="str">
        <f aca="false">IF(A2207="","",IFERROR(VLOOKUP(IF(ISNUMBER(SEARCH("(",C2207)),LEFT(C2207,SEARCH("(",C2207)-1),C2207),Tipos!$A:$B,2,FALSE()),"outro"))</f>
        <v/>
      </c>
      <c r="K2207" s="7" t="str">
        <f aca="false">IF(I2207="","",IFERROR(INDEX('Campos Growths'!$L:$L,MATCH(H2207,'Campos Growths'!$A:$A,0)),""))</f>
        <v/>
      </c>
      <c r="L2207" s="7" t="str">
        <f aca="false">IF(A2207="","",IF(G2207="não","Sem tabela no Growths",IF(I2207="","Sem campo no Growths",IF(J2207=K2207,"Importa direto","Ajustar tipo"))))</f>
        <v/>
      </c>
      <c r="M2207" s="9"/>
    </row>
    <row r="2208" customFormat="false" ht="15" hidden="false" customHeight="false" outlineLevel="0" collapsed="false">
      <c r="A2208" s="7" t="str">
        <f aca="false">IF('Outro banco'!A2208="","",IF(LEFT('Outro banco'!A2208,1)="(","",'Outro banco'!A2208))</f>
        <v/>
      </c>
      <c r="B2208" s="7" t="str">
        <f aca="false">IF(A2208="","",'Outro banco'!B2208)</f>
        <v/>
      </c>
      <c r="C2208" s="7" t="str">
        <f aca="false">IF(A2208="","",'Outro banco'!C2208)</f>
        <v/>
      </c>
      <c r="D2208" s="7" t="str">
        <f aca="false">IF(A2208="","",'Outro banco'!D2208)</f>
        <v/>
      </c>
      <c r="E2208" s="9"/>
      <c r="F2208" s="9"/>
      <c r="G2208" s="7" t="str">
        <f aca="false">IF(A2208="","",IF(COUNTIF(Tabelas!$A:$A,IF(E2208="",A2208,E2208))&gt;0,"sim","não"))</f>
        <v/>
      </c>
      <c r="H2208" s="7" t="str">
        <f aca="false">IF(A2208="","",IF(E2208="",A2208,E2208)&amp;"."&amp;IF(F2208="",B2208,F2208))</f>
        <v/>
      </c>
      <c r="I2208" s="7" t="str">
        <f aca="false">IF(A2208="","",IFERROR(INDEX('Campos Growths'!$F:$F,MATCH(H2208,'Campos Growths'!$A:$A,0)),""))</f>
        <v/>
      </c>
      <c r="J2208" s="7" t="str">
        <f aca="false">IF(A2208="","",IFERROR(VLOOKUP(IF(ISNUMBER(SEARCH("(",C2208)),LEFT(C2208,SEARCH("(",C2208)-1),C2208),Tipos!$A:$B,2,FALSE()),"outro"))</f>
        <v/>
      </c>
      <c r="K2208" s="7" t="str">
        <f aca="false">IF(I2208="","",IFERROR(INDEX('Campos Growths'!$L:$L,MATCH(H2208,'Campos Growths'!$A:$A,0)),""))</f>
        <v/>
      </c>
      <c r="L2208" s="7" t="str">
        <f aca="false">IF(A2208="","",IF(G2208="não","Sem tabela no Growths",IF(I2208="","Sem campo no Growths",IF(J2208=K2208,"Importa direto","Ajustar tipo"))))</f>
        <v/>
      </c>
      <c r="M2208" s="9"/>
    </row>
    <row r="2209" customFormat="false" ht="15" hidden="false" customHeight="false" outlineLevel="0" collapsed="false">
      <c r="A2209" s="7" t="str">
        <f aca="false">IF('Outro banco'!A2209="","",IF(LEFT('Outro banco'!A2209,1)="(","",'Outro banco'!A2209))</f>
        <v/>
      </c>
      <c r="B2209" s="7" t="str">
        <f aca="false">IF(A2209="","",'Outro banco'!B2209)</f>
        <v/>
      </c>
      <c r="C2209" s="7" t="str">
        <f aca="false">IF(A2209="","",'Outro banco'!C2209)</f>
        <v/>
      </c>
      <c r="D2209" s="7" t="str">
        <f aca="false">IF(A2209="","",'Outro banco'!D2209)</f>
        <v/>
      </c>
      <c r="E2209" s="9"/>
      <c r="F2209" s="9"/>
      <c r="G2209" s="7" t="str">
        <f aca="false">IF(A2209="","",IF(COUNTIF(Tabelas!$A:$A,IF(E2209="",A2209,E2209))&gt;0,"sim","não"))</f>
        <v/>
      </c>
      <c r="H2209" s="7" t="str">
        <f aca="false">IF(A2209="","",IF(E2209="",A2209,E2209)&amp;"."&amp;IF(F2209="",B2209,F2209))</f>
        <v/>
      </c>
      <c r="I2209" s="7" t="str">
        <f aca="false">IF(A2209="","",IFERROR(INDEX('Campos Growths'!$F:$F,MATCH(H2209,'Campos Growths'!$A:$A,0)),""))</f>
        <v/>
      </c>
      <c r="J2209" s="7" t="str">
        <f aca="false">IF(A2209="","",IFERROR(VLOOKUP(IF(ISNUMBER(SEARCH("(",C2209)),LEFT(C2209,SEARCH("(",C2209)-1),C2209),Tipos!$A:$B,2,FALSE()),"outro"))</f>
        <v/>
      </c>
      <c r="K2209" s="7" t="str">
        <f aca="false">IF(I2209="","",IFERROR(INDEX('Campos Growths'!$L:$L,MATCH(H2209,'Campos Growths'!$A:$A,0)),""))</f>
        <v/>
      </c>
      <c r="L2209" s="7" t="str">
        <f aca="false">IF(A2209="","",IF(G2209="não","Sem tabela no Growths",IF(I2209="","Sem campo no Growths",IF(J2209=K2209,"Importa direto","Ajustar tipo"))))</f>
        <v/>
      </c>
      <c r="M2209" s="9"/>
    </row>
    <row r="2210" customFormat="false" ht="15" hidden="false" customHeight="false" outlineLevel="0" collapsed="false">
      <c r="A2210" s="7" t="str">
        <f aca="false">IF('Outro banco'!A2210="","",IF(LEFT('Outro banco'!A2210,1)="(","",'Outro banco'!A2210))</f>
        <v/>
      </c>
      <c r="B2210" s="7" t="str">
        <f aca="false">IF(A2210="","",'Outro banco'!B2210)</f>
        <v/>
      </c>
      <c r="C2210" s="7" t="str">
        <f aca="false">IF(A2210="","",'Outro banco'!C2210)</f>
        <v/>
      </c>
      <c r="D2210" s="7" t="str">
        <f aca="false">IF(A2210="","",'Outro banco'!D2210)</f>
        <v/>
      </c>
      <c r="E2210" s="9"/>
      <c r="F2210" s="9"/>
      <c r="G2210" s="7" t="str">
        <f aca="false">IF(A2210="","",IF(COUNTIF(Tabelas!$A:$A,IF(E2210="",A2210,E2210))&gt;0,"sim","não"))</f>
        <v/>
      </c>
      <c r="H2210" s="7" t="str">
        <f aca="false">IF(A2210="","",IF(E2210="",A2210,E2210)&amp;"."&amp;IF(F2210="",B2210,F2210))</f>
        <v/>
      </c>
      <c r="I2210" s="7" t="str">
        <f aca="false">IF(A2210="","",IFERROR(INDEX('Campos Growths'!$F:$F,MATCH(H2210,'Campos Growths'!$A:$A,0)),""))</f>
        <v/>
      </c>
      <c r="J2210" s="7" t="str">
        <f aca="false">IF(A2210="","",IFERROR(VLOOKUP(IF(ISNUMBER(SEARCH("(",C2210)),LEFT(C2210,SEARCH("(",C2210)-1),C2210),Tipos!$A:$B,2,FALSE()),"outro"))</f>
        <v/>
      </c>
      <c r="K2210" s="7" t="str">
        <f aca="false">IF(I2210="","",IFERROR(INDEX('Campos Growths'!$L:$L,MATCH(H2210,'Campos Growths'!$A:$A,0)),""))</f>
        <v/>
      </c>
      <c r="L2210" s="7" t="str">
        <f aca="false">IF(A2210="","",IF(G2210="não","Sem tabela no Growths",IF(I2210="","Sem campo no Growths",IF(J2210=K2210,"Importa direto","Ajustar tipo"))))</f>
        <v/>
      </c>
      <c r="M2210" s="9"/>
    </row>
    <row r="2211" customFormat="false" ht="15" hidden="false" customHeight="false" outlineLevel="0" collapsed="false">
      <c r="A2211" s="7" t="str">
        <f aca="false">IF('Outro banco'!A2211="","",IF(LEFT('Outro banco'!A2211,1)="(","",'Outro banco'!A2211))</f>
        <v/>
      </c>
      <c r="B2211" s="7" t="str">
        <f aca="false">IF(A2211="","",'Outro banco'!B2211)</f>
        <v/>
      </c>
      <c r="C2211" s="7" t="str">
        <f aca="false">IF(A2211="","",'Outro banco'!C2211)</f>
        <v/>
      </c>
      <c r="D2211" s="7" t="str">
        <f aca="false">IF(A2211="","",'Outro banco'!D2211)</f>
        <v/>
      </c>
      <c r="E2211" s="9"/>
      <c r="F2211" s="9"/>
      <c r="G2211" s="7" t="str">
        <f aca="false">IF(A2211="","",IF(COUNTIF(Tabelas!$A:$A,IF(E2211="",A2211,E2211))&gt;0,"sim","não"))</f>
        <v/>
      </c>
      <c r="H2211" s="7" t="str">
        <f aca="false">IF(A2211="","",IF(E2211="",A2211,E2211)&amp;"."&amp;IF(F2211="",B2211,F2211))</f>
        <v/>
      </c>
      <c r="I2211" s="7" t="str">
        <f aca="false">IF(A2211="","",IFERROR(INDEX('Campos Growths'!$F:$F,MATCH(H2211,'Campos Growths'!$A:$A,0)),""))</f>
        <v/>
      </c>
      <c r="J2211" s="7" t="str">
        <f aca="false">IF(A2211="","",IFERROR(VLOOKUP(IF(ISNUMBER(SEARCH("(",C2211)),LEFT(C2211,SEARCH("(",C2211)-1),C2211),Tipos!$A:$B,2,FALSE()),"outro"))</f>
        <v/>
      </c>
      <c r="K2211" s="7" t="str">
        <f aca="false">IF(I2211="","",IFERROR(INDEX('Campos Growths'!$L:$L,MATCH(H2211,'Campos Growths'!$A:$A,0)),""))</f>
        <v/>
      </c>
      <c r="L2211" s="7" t="str">
        <f aca="false">IF(A2211="","",IF(G2211="não","Sem tabela no Growths",IF(I2211="","Sem campo no Growths",IF(J2211=K2211,"Importa direto","Ajustar tipo"))))</f>
        <v/>
      </c>
      <c r="M2211" s="9"/>
    </row>
    <row r="2212" customFormat="false" ht="15" hidden="false" customHeight="false" outlineLevel="0" collapsed="false">
      <c r="A2212" s="7" t="str">
        <f aca="false">IF('Outro banco'!A2212="","",IF(LEFT('Outro banco'!A2212,1)="(","",'Outro banco'!A2212))</f>
        <v/>
      </c>
      <c r="B2212" s="7" t="str">
        <f aca="false">IF(A2212="","",'Outro banco'!B2212)</f>
        <v/>
      </c>
      <c r="C2212" s="7" t="str">
        <f aca="false">IF(A2212="","",'Outro banco'!C2212)</f>
        <v/>
      </c>
      <c r="D2212" s="7" t="str">
        <f aca="false">IF(A2212="","",'Outro banco'!D2212)</f>
        <v/>
      </c>
      <c r="E2212" s="9"/>
      <c r="F2212" s="9"/>
      <c r="G2212" s="7" t="str">
        <f aca="false">IF(A2212="","",IF(COUNTIF(Tabelas!$A:$A,IF(E2212="",A2212,E2212))&gt;0,"sim","não"))</f>
        <v/>
      </c>
      <c r="H2212" s="7" t="str">
        <f aca="false">IF(A2212="","",IF(E2212="",A2212,E2212)&amp;"."&amp;IF(F2212="",B2212,F2212))</f>
        <v/>
      </c>
      <c r="I2212" s="7" t="str">
        <f aca="false">IF(A2212="","",IFERROR(INDEX('Campos Growths'!$F:$F,MATCH(H2212,'Campos Growths'!$A:$A,0)),""))</f>
        <v/>
      </c>
      <c r="J2212" s="7" t="str">
        <f aca="false">IF(A2212="","",IFERROR(VLOOKUP(IF(ISNUMBER(SEARCH("(",C2212)),LEFT(C2212,SEARCH("(",C2212)-1),C2212),Tipos!$A:$B,2,FALSE()),"outro"))</f>
        <v/>
      </c>
      <c r="K2212" s="7" t="str">
        <f aca="false">IF(I2212="","",IFERROR(INDEX('Campos Growths'!$L:$L,MATCH(H2212,'Campos Growths'!$A:$A,0)),""))</f>
        <v/>
      </c>
      <c r="L2212" s="7" t="str">
        <f aca="false">IF(A2212="","",IF(G2212="não","Sem tabela no Growths",IF(I2212="","Sem campo no Growths",IF(J2212=K2212,"Importa direto","Ajustar tipo"))))</f>
        <v/>
      </c>
      <c r="M2212" s="9"/>
    </row>
    <row r="2213" customFormat="false" ht="15" hidden="false" customHeight="false" outlineLevel="0" collapsed="false">
      <c r="A2213" s="7" t="str">
        <f aca="false">IF('Outro banco'!A2213="","",IF(LEFT('Outro banco'!A2213,1)="(","",'Outro banco'!A2213))</f>
        <v/>
      </c>
      <c r="B2213" s="7" t="str">
        <f aca="false">IF(A2213="","",'Outro banco'!B2213)</f>
        <v/>
      </c>
      <c r="C2213" s="7" t="str">
        <f aca="false">IF(A2213="","",'Outro banco'!C2213)</f>
        <v/>
      </c>
      <c r="D2213" s="7" t="str">
        <f aca="false">IF(A2213="","",'Outro banco'!D2213)</f>
        <v/>
      </c>
      <c r="E2213" s="9"/>
      <c r="F2213" s="9"/>
      <c r="G2213" s="7" t="str">
        <f aca="false">IF(A2213="","",IF(COUNTIF(Tabelas!$A:$A,IF(E2213="",A2213,E2213))&gt;0,"sim","não"))</f>
        <v/>
      </c>
      <c r="H2213" s="7" t="str">
        <f aca="false">IF(A2213="","",IF(E2213="",A2213,E2213)&amp;"."&amp;IF(F2213="",B2213,F2213))</f>
        <v/>
      </c>
      <c r="I2213" s="7" t="str">
        <f aca="false">IF(A2213="","",IFERROR(INDEX('Campos Growths'!$F:$F,MATCH(H2213,'Campos Growths'!$A:$A,0)),""))</f>
        <v/>
      </c>
      <c r="J2213" s="7" t="str">
        <f aca="false">IF(A2213="","",IFERROR(VLOOKUP(IF(ISNUMBER(SEARCH("(",C2213)),LEFT(C2213,SEARCH("(",C2213)-1),C2213),Tipos!$A:$B,2,FALSE()),"outro"))</f>
        <v/>
      </c>
      <c r="K2213" s="7" t="str">
        <f aca="false">IF(I2213="","",IFERROR(INDEX('Campos Growths'!$L:$L,MATCH(H2213,'Campos Growths'!$A:$A,0)),""))</f>
        <v/>
      </c>
      <c r="L2213" s="7" t="str">
        <f aca="false">IF(A2213="","",IF(G2213="não","Sem tabela no Growths",IF(I2213="","Sem campo no Growths",IF(J2213=K2213,"Importa direto","Ajustar tipo"))))</f>
        <v/>
      </c>
      <c r="M2213" s="9"/>
    </row>
    <row r="2214" customFormat="false" ht="15" hidden="false" customHeight="false" outlineLevel="0" collapsed="false">
      <c r="A2214" s="7" t="str">
        <f aca="false">IF('Outro banco'!A2214="","",IF(LEFT('Outro banco'!A2214,1)="(","",'Outro banco'!A2214))</f>
        <v/>
      </c>
      <c r="B2214" s="7" t="str">
        <f aca="false">IF(A2214="","",'Outro banco'!B2214)</f>
        <v/>
      </c>
      <c r="C2214" s="7" t="str">
        <f aca="false">IF(A2214="","",'Outro banco'!C2214)</f>
        <v/>
      </c>
      <c r="D2214" s="7" t="str">
        <f aca="false">IF(A2214="","",'Outro banco'!D2214)</f>
        <v/>
      </c>
      <c r="E2214" s="9"/>
      <c r="F2214" s="9"/>
      <c r="G2214" s="7" t="str">
        <f aca="false">IF(A2214="","",IF(COUNTIF(Tabelas!$A:$A,IF(E2214="",A2214,E2214))&gt;0,"sim","não"))</f>
        <v/>
      </c>
      <c r="H2214" s="7" t="str">
        <f aca="false">IF(A2214="","",IF(E2214="",A2214,E2214)&amp;"."&amp;IF(F2214="",B2214,F2214))</f>
        <v/>
      </c>
      <c r="I2214" s="7" t="str">
        <f aca="false">IF(A2214="","",IFERROR(INDEX('Campos Growths'!$F:$F,MATCH(H2214,'Campos Growths'!$A:$A,0)),""))</f>
        <v/>
      </c>
      <c r="J2214" s="7" t="str">
        <f aca="false">IF(A2214="","",IFERROR(VLOOKUP(IF(ISNUMBER(SEARCH("(",C2214)),LEFT(C2214,SEARCH("(",C2214)-1),C2214),Tipos!$A:$B,2,FALSE()),"outro"))</f>
        <v/>
      </c>
      <c r="K2214" s="7" t="str">
        <f aca="false">IF(I2214="","",IFERROR(INDEX('Campos Growths'!$L:$L,MATCH(H2214,'Campos Growths'!$A:$A,0)),""))</f>
        <v/>
      </c>
      <c r="L2214" s="7" t="str">
        <f aca="false">IF(A2214="","",IF(G2214="não","Sem tabela no Growths",IF(I2214="","Sem campo no Growths",IF(J2214=K2214,"Importa direto","Ajustar tipo"))))</f>
        <v/>
      </c>
      <c r="M2214" s="9"/>
    </row>
    <row r="2215" customFormat="false" ht="15" hidden="false" customHeight="false" outlineLevel="0" collapsed="false">
      <c r="A2215" s="7" t="str">
        <f aca="false">IF('Outro banco'!A2215="","",IF(LEFT('Outro banco'!A2215,1)="(","",'Outro banco'!A2215))</f>
        <v/>
      </c>
      <c r="B2215" s="7" t="str">
        <f aca="false">IF(A2215="","",'Outro banco'!B2215)</f>
        <v/>
      </c>
      <c r="C2215" s="7" t="str">
        <f aca="false">IF(A2215="","",'Outro banco'!C2215)</f>
        <v/>
      </c>
      <c r="D2215" s="7" t="str">
        <f aca="false">IF(A2215="","",'Outro banco'!D2215)</f>
        <v/>
      </c>
      <c r="E2215" s="9"/>
      <c r="F2215" s="9"/>
      <c r="G2215" s="7" t="str">
        <f aca="false">IF(A2215="","",IF(COUNTIF(Tabelas!$A:$A,IF(E2215="",A2215,E2215))&gt;0,"sim","não"))</f>
        <v/>
      </c>
      <c r="H2215" s="7" t="str">
        <f aca="false">IF(A2215="","",IF(E2215="",A2215,E2215)&amp;"."&amp;IF(F2215="",B2215,F2215))</f>
        <v/>
      </c>
      <c r="I2215" s="7" t="str">
        <f aca="false">IF(A2215="","",IFERROR(INDEX('Campos Growths'!$F:$F,MATCH(H2215,'Campos Growths'!$A:$A,0)),""))</f>
        <v/>
      </c>
      <c r="J2215" s="7" t="str">
        <f aca="false">IF(A2215="","",IFERROR(VLOOKUP(IF(ISNUMBER(SEARCH("(",C2215)),LEFT(C2215,SEARCH("(",C2215)-1),C2215),Tipos!$A:$B,2,FALSE()),"outro"))</f>
        <v/>
      </c>
      <c r="K2215" s="7" t="str">
        <f aca="false">IF(I2215="","",IFERROR(INDEX('Campos Growths'!$L:$L,MATCH(H2215,'Campos Growths'!$A:$A,0)),""))</f>
        <v/>
      </c>
      <c r="L2215" s="7" t="str">
        <f aca="false">IF(A2215="","",IF(G2215="não","Sem tabela no Growths",IF(I2215="","Sem campo no Growths",IF(J2215=K2215,"Importa direto","Ajustar tipo"))))</f>
        <v/>
      </c>
      <c r="M2215" s="9"/>
    </row>
    <row r="2216" customFormat="false" ht="15" hidden="false" customHeight="false" outlineLevel="0" collapsed="false">
      <c r="A2216" s="7" t="str">
        <f aca="false">IF('Outro banco'!A2216="","",IF(LEFT('Outro banco'!A2216,1)="(","",'Outro banco'!A2216))</f>
        <v/>
      </c>
      <c r="B2216" s="7" t="str">
        <f aca="false">IF(A2216="","",'Outro banco'!B2216)</f>
        <v/>
      </c>
      <c r="C2216" s="7" t="str">
        <f aca="false">IF(A2216="","",'Outro banco'!C2216)</f>
        <v/>
      </c>
      <c r="D2216" s="7" t="str">
        <f aca="false">IF(A2216="","",'Outro banco'!D2216)</f>
        <v/>
      </c>
      <c r="E2216" s="9"/>
      <c r="F2216" s="9"/>
      <c r="G2216" s="7" t="str">
        <f aca="false">IF(A2216="","",IF(COUNTIF(Tabelas!$A:$A,IF(E2216="",A2216,E2216))&gt;0,"sim","não"))</f>
        <v/>
      </c>
      <c r="H2216" s="7" t="str">
        <f aca="false">IF(A2216="","",IF(E2216="",A2216,E2216)&amp;"."&amp;IF(F2216="",B2216,F2216))</f>
        <v/>
      </c>
      <c r="I2216" s="7" t="str">
        <f aca="false">IF(A2216="","",IFERROR(INDEX('Campos Growths'!$F:$F,MATCH(H2216,'Campos Growths'!$A:$A,0)),""))</f>
        <v/>
      </c>
      <c r="J2216" s="7" t="str">
        <f aca="false">IF(A2216="","",IFERROR(VLOOKUP(IF(ISNUMBER(SEARCH("(",C2216)),LEFT(C2216,SEARCH("(",C2216)-1),C2216),Tipos!$A:$B,2,FALSE()),"outro"))</f>
        <v/>
      </c>
      <c r="K2216" s="7" t="str">
        <f aca="false">IF(I2216="","",IFERROR(INDEX('Campos Growths'!$L:$L,MATCH(H2216,'Campos Growths'!$A:$A,0)),""))</f>
        <v/>
      </c>
      <c r="L2216" s="7" t="str">
        <f aca="false">IF(A2216="","",IF(G2216="não","Sem tabela no Growths",IF(I2216="","Sem campo no Growths",IF(J2216=K2216,"Importa direto","Ajustar tipo"))))</f>
        <v/>
      </c>
      <c r="M2216" s="9"/>
    </row>
    <row r="2217" customFormat="false" ht="15" hidden="false" customHeight="false" outlineLevel="0" collapsed="false">
      <c r="A2217" s="7" t="str">
        <f aca="false">IF('Outro banco'!A2217="","",IF(LEFT('Outro banco'!A2217,1)="(","",'Outro banco'!A2217))</f>
        <v/>
      </c>
      <c r="B2217" s="7" t="str">
        <f aca="false">IF(A2217="","",'Outro banco'!B2217)</f>
        <v/>
      </c>
      <c r="C2217" s="7" t="str">
        <f aca="false">IF(A2217="","",'Outro banco'!C2217)</f>
        <v/>
      </c>
      <c r="D2217" s="7" t="str">
        <f aca="false">IF(A2217="","",'Outro banco'!D2217)</f>
        <v/>
      </c>
      <c r="E2217" s="9"/>
      <c r="F2217" s="9"/>
      <c r="G2217" s="7" t="str">
        <f aca="false">IF(A2217="","",IF(COUNTIF(Tabelas!$A:$A,IF(E2217="",A2217,E2217))&gt;0,"sim","não"))</f>
        <v/>
      </c>
      <c r="H2217" s="7" t="str">
        <f aca="false">IF(A2217="","",IF(E2217="",A2217,E2217)&amp;"."&amp;IF(F2217="",B2217,F2217))</f>
        <v/>
      </c>
      <c r="I2217" s="7" t="str">
        <f aca="false">IF(A2217="","",IFERROR(INDEX('Campos Growths'!$F:$F,MATCH(H2217,'Campos Growths'!$A:$A,0)),""))</f>
        <v/>
      </c>
      <c r="J2217" s="7" t="str">
        <f aca="false">IF(A2217="","",IFERROR(VLOOKUP(IF(ISNUMBER(SEARCH("(",C2217)),LEFT(C2217,SEARCH("(",C2217)-1),C2217),Tipos!$A:$B,2,FALSE()),"outro"))</f>
        <v/>
      </c>
      <c r="K2217" s="7" t="str">
        <f aca="false">IF(I2217="","",IFERROR(INDEX('Campos Growths'!$L:$L,MATCH(H2217,'Campos Growths'!$A:$A,0)),""))</f>
        <v/>
      </c>
      <c r="L2217" s="7" t="str">
        <f aca="false">IF(A2217="","",IF(G2217="não","Sem tabela no Growths",IF(I2217="","Sem campo no Growths",IF(J2217=K2217,"Importa direto","Ajustar tipo"))))</f>
        <v/>
      </c>
      <c r="M2217" s="9"/>
    </row>
    <row r="2218" customFormat="false" ht="15" hidden="false" customHeight="false" outlineLevel="0" collapsed="false">
      <c r="A2218" s="7" t="str">
        <f aca="false">IF('Outro banco'!A2218="","",IF(LEFT('Outro banco'!A2218,1)="(","",'Outro banco'!A2218))</f>
        <v/>
      </c>
      <c r="B2218" s="7" t="str">
        <f aca="false">IF(A2218="","",'Outro banco'!B2218)</f>
        <v/>
      </c>
      <c r="C2218" s="7" t="str">
        <f aca="false">IF(A2218="","",'Outro banco'!C2218)</f>
        <v/>
      </c>
      <c r="D2218" s="7" t="str">
        <f aca="false">IF(A2218="","",'Outro banco'!D2218)</f>
        <v/>
      </c>
      <c r="E2218" s="9"/>
      <c r="F2218" s="9"/>
      <c r="G2218" s="7" t="str">
        <f aca="false">IF(A2218="","",IF(COUNTIF(Tabelas!$A:$A,IF(E2218="",A2218,E2218))&gt;0,"sim","não"))</f>
        <v/>
      </c>
      <c r="H2218" s="7" t="str">
        <f aca="false">IF(A2218="","",IF(E2218="",A2218,E2218)&amp;"."&amp;IF(F2218="",B2218,F2218))</f>
        <v/>
      </c>
      <c r="I2218" s="7" t="str">
        <f aca="false">IF(A2218="","",IFERROR(INDEX('Campos Growths'!$F:$F,MATCH(H2218,'Campos Growths'!$A:$A,0)),""))</f>
        <v/>
      </c>
      <c r="J2218" s="7" t="str">
        <f aca="false">IF(A2218="","",IFERROR(VLOOKUP(IF(ISNUMBER(SEARCH("(",C2218)),LEFT(C2218,SEARCH("(",C2218)-1),C2218),Tipos!$A:$B,2,FALSE()),"outro"))</f>
        <v/>
      </c>
      <c r="K2218" s="7" t="str">
        <f aca="false">IF(I2218="","",IFERROR(INDEX('Campos Growths'!$L:$L,MATCH(H2218,'Campos Growths'!$A:$A,0)),""))</f>
        <v/>
      </c>
      <c r="L2218" s="7" t="str">
        <f aca="false">IF(A2218="","",IF(G2218="não","Sem tabela no Growths",IF(I2218="","Sem campo no Growths",IF(J2218=K2218,"Importa direto","Ajustar tipo"))))</f>
        <v/>
      </c>
      <c r="M2218" s="9"/>
    </row>
    <row r="2219" customFormat="false" ht="15" hidden="false" customHeight="false" outlineLevel="0" collapsed="false">
      <c r="A2219" s="7" t="str">
        <f aca="false">IF('Outro banco'!A2219="","",IF(LEFT('Outro banco'!A2219,1)="(","",'Outro banco'!A2219))</f>
        <v/>
      </c>
      <c r="B2219" s="7" t="str">
        <f aca="false">IF(A2219="","",'Outro banco'!B2219)</f>
        <v/>
      </c>
      <c r="C2219" s="7" t="str">
        <f aca="false">IF(A2219="","",'Outro banco'!C2219)</f>
        <v/>
      </c>
      <c r="D2219" s="7" t="str">
        <f aca="false">IF(A2219="","",'Outro banco'!D2219)</f>
        <v/>
      </c>
      <c r="E2219" s="9"/>
      <c r="F2219" s="9"/>
      <c r="G2219" s="7" t="str">
        <f aca="false">IF(A2219="","",IF(COUNTIF(Tabelas!$A:$A,IF(E2219="",A2219,E2219))&gt;0,"sim","não"))</f>
        <v/>
      </c>
      <c r="H2219" s="7" t="str">
        <f aca="false">IF(A2219="","",IF(E2219="",A2219,E2219)&amp;"."&amp;IF(F2219="",B2219,F2219))</f>
        <v/>
      </c>
      <c r="I2219" s="7" t="str">
        <f aca="false">IF(A2219="","",IFERROR(INDEX('Campos Growths'!$F:$F,MATCH(H2219,'Campos Growths'!$A:$A,0)),""))</f>
        <v/>
      </c>
      <c r="J2219" s="7" t="str">
        <f aca="false">IF(A2219="","",IFERROR(VLOOKUP(IF(ISNUMBER(SEARCH("(",C2219)),LEFT(C2219,SEARCH("(",C2219)-1),C2219),Tipos!$A:$B,2,FALSE()),"outro"))</f>
        <v/>
      </c>
      <c r="K2219" s="7" t="str">
        <f aca="false">IF(I2219="","",IFERROR(INDEX('Campos Growths'!$L:$L,MATCH(H2219,'Campos Growths'!$A:$A,0)),""))</f>
        <v/>
      </c>
      <c r="L2219" s="7" t="str">
        <f aca="false">IF(A2219="","",IF(G2219="não","Sem tabela no Growths",IF(I2219="","Sem campo no Growths",IF(J2219=K2219,"Importa direto","Ajustar tipo"))))</f>
        <v/>
      </c>
      <c r="M2219" s="9"/>
    </row>
    <row r="2220" customFormat="false" ht="15" hidden="false" customHeight="false" outlineLevel="0" collapsed="false">
      <c r="A2220" s="7" t="str">
        <f aca="false">IF('Outro banco'!A2220="","",IF(LEFT('Outro banco'!A2220,1)="(","",'Outro banco'!A2220))</f>
        <v/>
      </c>
      <c r="B2220" s="7" t="str">
        <f aca="false">IF(A2220="","",'Outro banco'!B2220)</f>
        <v/>
      </c>
      <c r="C2220" s="7" t="str">
        <f aca="false">IF(A2220="","",'Outro banco'!C2220)</f>
        <v/>
      </c>
      <c r="D2220" s="7" t="str">
        <f aca="false">IF(A2220="","",'Outro banco'!D2220)</f>
        <v/>
      </c>
      <c r="E2220" s="9"/>
      <c r="F2220" s="9"/>
      <c r="G2220" s="7" t="str">
        <f aca="false">IF(A2220="","",IF(COUNTIF(Tabelas!$A:$A,IF(E2220="",A2220,E2220))&gt;0,"sim","não"))</f>
        <v/>
      </c>
      <c r="H2220" s="7" t="str">
        <f aca="false">IF(A2220="","",IF(E2220="",A2220,E2220)&amp;"."&amp;IF(F2220="",B2220,F2220))</f>
        <v/>
      </c>
      <c r="I2220" s="7" t="str">
        <f aca="false">IF(A2220="","",IFERROR(INDEX('Campos Growths'!$F:$F,MATCH(H2220,'Campos Growths'!$A:$A,0)),""))</f>
        <v/>
      </c>
      <c r="J2220" s="7" t="str">
        <f aca="false">IF(A2220="","",IFERROR(VLOOKUP(IF(ISNUMBER(SEARCH("(",C2220)),LEFT(C2220,SEARCH("(",C2220)-1),C2220),Tipos!$A:$B,2,FALSE()),"outro"))</f>
        <v/>
      </c>
      <c r="K2220" s="7" t="str">
        <f aca="false">IF(I2220="","",IFERROR(INDEX('Campos Growths'!$L:$L,MATCH(H2220,'Campos Growths'!$A:$A,0)),""))</f>
        <v/>
      </c>
      <c r="L2220" s="7" t="str">
        <f aca="false">IF(A2220="","",IF(G2220="não","Sem tabela no Growths",IF(I2220="","Sem campo no Growths",IF(J2220=K2220,"Importa direto","Ajustar tipo"))))</f>
        <v/>
      </c>
      <c r="M2220" s="9"/>
    </row>
    <row r="2221" customFormat="false" ht="15" hidden="false" customHeight="false" outlineLevel="0" collapsed="false">
      <c r="A2221" s="7" t="str">
        <f aca="false">IF('Outro banco'!A2221="","",IF(LEFT('Outro banco'!A2221,1)="(","",'Outro banco'!A2221))</f>
        <v/>
      </c>
      <c r="B2221" s="7" t="str">
        <f aca="false">IF(A2221="","",'Outro banco'!B2221)</f>
        <v/>
      </c>
      <c r="C2221" s="7" t="str">
        <f aca="false">IF(A2221="","",'Outro banco'!C2221)</f>
        <v/>
      </c>
      <c r="D2221" s="7" t="str">
        <f aca="false">IF(A2221="","",'Outro banco'!D2221)</f>
        <v/>
      </c>
      <c r="E2221" s="9"/>
      <c r="F2221" s="9"/>
      <c r="G2221" s="7" t="str">
        <f aca="false">IF(A2221="","",IF(COUNTIF(Tabelas!$A:$A,IF(E2221="",A2221,E2221))&gt;0,"sim","não"))</f>
        <v/>
      </c>
      <c r="H2221" s="7" t="str">
        <f aca="false">IF(A2221="","",IF(E2221="",A2221,E2221)&amp;"."&amp;IF(F2221="",B2221,F2221))</f>
        <v/>
      </c>
      <c r="I2221" s="7" t="str">
        <f aca="false">IF(A2221="","",IFERROR(INDEX('Campos Growths'!$F:$F,MATCH(H2221,'Campos Growths'!$A:$A,0)),""))</f>
        <v/>
      </c>
      <c r="J2221" s="7" t="str">
        <f aca="false">IF(A2221="","",IFERROR(VLOOKUP(IF(ISNUMBER(SEARCH("(",C2221)),LEFT(C2221,SEARCH("(",C2221)-1),C2221),Tipos!$A:$B,2,FALSE()),"outro"))</f>
        <v/>
      </c>
      <c r="K2221" s="7" t="str">
        <f aca="false">IF(I2221="","",IFERROR(INDEX('Campos Growths'!$L:$L,MATCH(H2221,'Campos Growths'!$A:$A,0)),""))</f>
        <v/>
      </c>
      <c r="L2221" s="7" t="str">
        <f aca="false">IF(A2221="","",IF(G2221="não","Sem tabela no Growths",IF(I2221="","Sem campo no Growths",IF(J2221=K2221,"Importa direto","Ajustar tipo"))))</f>
        <v/>
      </c>
      <c r="M2221" s="9"/>
    </row>
    <row r="2222" customFormat="false" ht="15" hidden="false" customHeight="false" outlineLevel="0" collapsed="false">
      <c r="A2222" s="7" t="str">
        <f aca="false">IF('Outro banco'!A2222="","",IF(LEFT('Outro banco'!A2222,1)="(","",'Outro banco'!A2222))</f>
        <v/>
      </c>
      <c r="B2222" s="7" t="str">
        <f aca="false">IF(A2222="","",'Outro banco'!B2222)</f>
        <v/>
      </c>
      <c r="C2222" s="7" t="str">
        <f aca="false">IF(A2222="","",'Outro banco'!C2222)</f>
        <v/>
      </c>
      <c r="D2222" s="7" t="str">
        <f aca="false">IF(A2222="","",'Outro banco'!D2222)</f>
        <v/>
      </c>
      <c r="E2222" s="9"/>
      <c r="F2222" s="9"/>
      <c r="G2222" s="7" t="str">
        <f aca="false">IF(A2222="","",IF(COUNTIF(Tabelas!$A:$A,IF(E2222="",A2222,E2222))&gt;0,"sim","não"))</f>
        <v/>
      </c>
      <c r="H2222" s="7" t="str">
        <f aca="false">IF(A2222="","",IF(E2222="",A2222,E2222)&amp;"."&amp;IF(F2222="",B2222,F2222))</f>
        <v/>
      </c>
      <c r="I2222" s="7" t="str">
        <f aca="false">IF(A2222="","",IFERROR(INDEX('Campos Growths'!$F:$F,MATCH(H2222,'Campos Growths'!$A:$A,0)),""))</f>
        <v/>
      </c>
      <c r="J2222" s="7" t="str">
        <f aca="false">IF(A2222="","",IFERROR(VLOOKUP(IF(ISNUMBER(SEARCH("(",C2222)),LEFT(C2222,SEARCH("(",C2222)-1),C2222),Tipos!$A:$B,2,FALSE()),"outro"))</f>
        <v/>
      </c>
      <c r="K2222" s="7" t="str">
        <f aca="false">IF(I2222="","",IFERROR(INDEX('Campos Growths'!$L:$L,MATCH(H2222,'Campos Growths'!$A:$A,0)),""))</f>
        <v/>
      </c>
      <c r="L2222" s="7" t="str">
        <f aca="false">IF(A2222="","",IF(G2222="não","Sem tabela no Growths",IF(I2222="","Sem campo no Growths",IF(J2222=K2222,"Importa direto","Ajustar tipo"))))</f>
        <v/>
      </c>
      <c r="M2222" s="9"/>
    </row>
    <row r="2223" customFormat="false" ht="15" hidden="false" customHeight="false" outlineLevel="0" collapsed="false">
      <c r="A2223" s="7" t="str">
        <f aca="false">IF('Outro banco'!A2223="","",IF(LEFT('Outro banco'!A2223,1)="(","",'Outro banco'!A2223))</f>
        <v/>
      </c>
      <c r="B2223" s="7" t="str">
        <f aca="false">IF(A2223="","",'Outro banco'!B2223)</f>
        <v/>
      </c>
      <c r="C2223" s="7" t="str">
        <f aca="false">IF(A2223="","",'Outro banco'!C2223)</f>
        <v/>
      </c>
      <c r="D2223" s="7" t="str">
        <f aca="false">IF(A2223="","",'Outro banco'!D2223)</f>
        <v/>
      </c>
      <c r="E2223" s="9"/>
      <c r="F2223" s="9"/>
      <c r="G2223" s="7" t="str">
        <f aca="false">IF(A2223="","",IF(COUNTIF(Tabelas!$A:$A,IF(E2223="",A2223,E2223))&gt;0,"sim","não"))</f>
        <v/>
      </c>
      <c r="H2223" s="7" t="str">
        <f aca="false">IF(A2223="","",IF(E2223="",A2223,E2223)&amp;"."&amp;IF(F2223="",B2223,F2223))</f>
        <v/>
      </c>
      <c r="I2223" s="7" t="str">
        <f aca="false">IF(A2223="","",IFERROR(INDEX('Campos Growths'!$F:$F,MATCH(H2223,'Campos Growths'!$A:$A,0)),""))</f>
        <v/>
      </c>
      <c r="J2223" s="7" t="str">
        <f aca="false">IF(A2223="","",IFERROR(VLOOKUP(IF(ISNUMBER(SEARCH("(",C2223)),LEFT(C2223,SEARCH("(",C2223)-1),C2223),Tipos!$A:$B,2,FALSE()),"outro"))</f>
        <v/>
      </c>
      <c r="K2223" s="7" t="str">
        <f aca="false">IF(I2223="","",IFERROR(INDEX('Campos Growths'!$L:$L,MATCH(H2223,'Campos Growths'!$A:$A,0)),""))</f>
        <v/>
      </c>
      <c r="L2223" s="7" t="str">
        <f aca="false">IF(A2223="","",IF(G2223="não","Sem tabela no Growths",IF(I2223="","Sem campo no Growths",IF(J2223=K2223,"Importa direto","Ajustar tipo"))))</f>
        <v/>
      </c>
      <c r="M2223" s="9"/>
    </row>
    <row r="2224" customFormat="false" ht="15" hidden="false" customHeight="false" outlineLevel="0" collapsed="false">
      <c r="A2224" s="7" t="str">
        <f aca="false">IF('Outro banco'!A2224="","",IF(LEFT('Outro banco'!A2224,1)="(","",'Outro banco'!A2224))</f>
        <v/>
      </c>
      <c r="B2224" s="7" t="str">
        <f aca="false">IF(A2224="","",'Outro banco'!B2224)</f>
        <v/>
      </c>
      <c r="C2224" s="7" t="str">
        <f aca="false">IF(A2224="","",'Outro banco'!C2224)</f>
        <v/>
      </c>
      <c r="D2224" s="7" t="str">
        <f aca="false">IF(A2224="","",'Outro banco'!D2224)</f>
        <v/>
      </c>
      <c r="E2224" s="9"/>
      <c r="F2224" s="9"/>
      <c r="G2224" s="7" t="str">
        <f aca="false">IF(A2224="","",IF(COUNTIF(Tabelas!$A:$A,IF(E2224="",A2224,E2224))&gt;0,"sim","não"))</f>
        <v/>
      </c>
      <c r="H2224" s="7" t="str">
        <f aca="false">IF(A2224="","",IF(E2224="",A2224,E2224)&amp;"."&amp;IF(F2224="",B2224,F2224))</f>
        <v/>
      </c>
      <c r="I2224" s="7" t="str">
        <f aca="false">IF(A2224="","",IFERROR(INDEX('Campos Growths'!$F:$F,MATCH(H2224,'Campos Growths'!$A:$A,0)),""))</f>
        <v/>
      </c>
      <c r="J2224" s="7" t="str">
        <f aca="false">IF(A2224="","",IFERROR(VLOOKUP(IF(ISNUMBER(SEARCH("(",C2224)),LEFT(C2224,SEARCH("(",C2224)-1),C2224),Tipos!$A:$B,2,FALSE()),"outro"))</f>
        <v/>
      </c>
      <c r="K2224" s="7" t="str">
        <f aca="false">IF(I2224="","",IFERROR(INDEX('Campos Growths'!$L:$L,MATCH(H2224,'Campos Growths'!$A:$A,0)),""))</f>
        <v/>
      </c>
      <c r="L2224" s="7" t="str">
        <f aca="false">IF(A2224="","",IF(G2224="não","Sem tabela no Growths",IF(I2224="","Sem campo no Growths",IF(J2224=K2224,"Importa direto","Ajustar tipo"))))</f>
        <v/>
      </c>
      <c r="M2224" s="9"/>
    </row>
    <row r="2225" customFormat="false" ht="15" hidden="false" customHeight="false" outlineLevel="0" collapsed="false">
      <c r="A2225" s="7" t="str">
        <f aca="false">IF('Outro banco'!A2225="","",IF(LEFT('Outro banco'!A2225,1)="(","",'Outro banco'!A2225))</f>
        <v/>
      </c>
      <c r="B2225" s="7" t="str">
        <f aca="false">IF(A2225="","",'Outro banco'!B2225)</f>
        <v/>
      </c>
      <c r="C2225" s="7" t="str">
        <f aca="false">IF(A2225="","",'Outro banco'!C2225)</f>
        <v/>
      </c>
      <c r="D2225" s="7" t="str">
        <f aca="false">IF(A2225="","",'Outro banco'!D2225)</f>
        <v/>
      </c>
      <c r="E2225" s="9"/>
      <c r="F2225" s="9"/>
      <c r="G2225" s="7" t="str">
        <f aca="false">IF(A2225="","",IF(COUNTIF(Tabelas!$A:$A,IF(E2225="",A2225,E2225))&gt;0,"sim","não"))</f>
        <v/>
      </c>
      <c r="H2225" s="7" t="str">
        <f aca="false">IF(A2225="","",IF(E2225="",A2225,E2225)&amp;"."&amp;IF(F2225="",B2225,F2225))</f>
        <v/>
      </c>
      <c r="I2225" s="7" t="str">
        <f aca="false">IF(A2225="","",IFERROR(INDEX('Campos Growths'!$F:$F,MATCH(H2225,'Campos Growths'!$A:$A,0)),""))</f>
        <v/>
      </c>
      <c r="J2225" s="7" t="str">
        <f aca="false">IF(A2225="","",IFERROR(VLOOKUP(IF(ISNUMBER(SEARCH("(",C2225)),LEFT(C2225,SEARCH("(",C2225)-1),C2225),Tipos!$A:$B,2,FALSE()),"outro"))</f>
        <v/>
      </c>
      <c r="K2225" s="7" t="str">
        <f aca="false">IF(I2225="","",IFERROR(INDEX('Campos Growths'!$L:$L,MATCH(H2225,'Campos Growths'!$A:$A,0)),""))</f>
        <v/>
      </c>
      <c r="L2225" s="7" t="str">
        <f aca="false">IF(A2225="","",IF(G2225="não","Sem tabela no Growths",IF(I2225="","Sem campo no Growths",IF(J2225=K2225,"Importa direto","Ajustar tipo"))))</f>
        <v/>
      </c>
      <c r="M2225" s="9"/>
    </row>
    <row r="2226" customFormat="false" ht="15" hidden="false" customHeight="false" outlineLevel="0" collapsed="false">
      <c r="A2226" s="7" t="str">
        <f aca="false">IF('Outro banco'!A2226="","",IF(LEFT('Outro banco'!A2226,1)="(","",'Outro banco'!A2226))</f>
        <v/>
      </c>
      <c r="B2226" s="7" t="str">
        <f aca="false">IF(A2226="","",'Outro banco'!B2226)</f>
        <v/>
      </c>
      <c r="C2226" s="7" t="str">
        <f aca="false">IF(A2226="","",'Outro banco'!C2226)</f>
        <v/>
      </c>
      <c r="D2226" s="7" t="str">
        <f aca="false">IF(A2226="","",'Outro banco'!D2226)</f>
        <v/>
      </c>
      <c r="E2226" s="9"/>
      <c r="F2226" s="9"/>
      <c r="G2226" s="7" t="str">
        <f aca="false">IF(A2226="","",IF(COUNTIF(Tabelas!$A:$A,IF(E2226="",A2226,E2226))&gt;0,"sim","não"))</f>
        <v/>
      </c>
      <c r="H2226" s="7" t="str">
        <f aca="false">IF(A2226="","",IF(E2226="",A2226,E2226)&amp;"."&amp;IF(F2226="",B2226,F2226))</f>
        <v/>
      </c>
      <c r="I2226" s="7" t="str">
        <f aca="false">IF(A2226="","",IFERROR(INDEX('Campos Growths'!$F:$F,MATCH(H2226,'Campos Growths'!$A:$A,0)),""))</f>
        <v/>
      </c>
      <c r="J2226" s="7" t="str">
        <f aca="false">IF(A2226="","",IFERROR(VLOOKUP(IF(ISNUMBER(SEARCH("(",C2226)),LEFT(C2226,SEARCH("(",C2226)-1),C2226),Tipos!$A:$B,2,FALSE()),"outro"))</f>
        <v/>
      </c>
      <c r="K2226" s="7" t="str">
        <f aca="false">IF(I2226="","",IFERROR(INDEX('Campos Growths'!$L:$L,MATCH(H2226,'Campos Growths'!$A:$A,0)),""))</f>
        <v/>
      </c>
      <c r="L2226" s="7" t="str">
        <f aca="false">IF(A2226="","",IF(G2226="não","Sem tabela no Growths",IF(I2226="","Sem campo no Growths",IF(J2226=K2226,"Importa direto","Ajustar tipo"))))</f>
        <v/>
      </c>
      <c r="M2226" s="9"/>
    </row>
    <row r="2227" customFormat="false" ht="15" hidden="false" customHeight="false" outlineLevel="0" collapsed="false">
      <c r="A2227" s="7" t="str">
        <f aca="false">IF('Outro banco'!A2227="","",IF(LEFT('Outro banco'!A2227,1)="(","",'Outro banco'!A2227))</f>
        <v/>
      </c>
      <c r="B2227" s="7" t="str">
        <f aca="false">IF(A2227="","",'Outro banco'!B2227)</f>
        <v/>
      </c>
      <c r="C2227" s="7" t="str">
        <f aca="false">IF(A2227="","",'Outro banco'!C2227)</f>
        <v/>
      </c>
      <c r="D2227" s="7" t="str">
        <f aca="false">IF(A2227="","",'Outro banco'!D2227)</f>
        <v/>
      </c>
      <c r="E2227" s="9"/>
      <c r="F2227" s="9"/>
      <c r="G2227" s="7" t="str">
        <f aca="false">IF(A2227="","",IF(COUNTIF(Tabelas!$A:$A,IF(E2227="",A2227,E2227))&gt;0,"sim","não"))</f>
        <v/>
      </c>
      <c r="H2227" s="7" t="str">
        <f aca="false">IF(A2227="","",IF(E2227="",A2227,E2227)&amp;"."&amp;IF(F2227="",B2227,F2227))</f>
        <v/>
      </c>
      <c r="I2227" s="7" t="str">
        <f aca="false">IF(A2227="","",IFERROR(INDEX('Campos Growths'!$F:$F,MATCH(H2227,'Campos Growths'!$A:$A,0)),""))</f>
        <v/>
      </c>
      <c r="J2227" s="7" t="str">
        <f aca="false">IF(A2227="","",IFERROR(VLOOKUP(IF(ISNUMBER(SEARCH("(",C2227)),LEFT(C2227,SEARCH("(",C2227)-1),C2227),Tipos!$A:$B,2,FALSE()),"outro"))</f>
        <v/>
      </c>
      <c r="K2227" s="7" t="str">
        <f aca="false">IF(I2227="","",IFERROR(INDEX('Campos Growths'!$L:$L,MATCH(H2227,'Campos Growths'!$A:$A,0)),""))</f>
        <v/>
      </c>
      <c r="L2227" s="7" t="str">
        <f aca="false">IF(A2227="","",IF(G2227="não","Sem tabela no Growths",IF(I2227="","Sem campo no Growths",IF(J2227=K2227,"Importa direto","Ajustar tipo"))))</f>
        <v/>
      </c>
      <c r="M2227" s="9"/>
    </row>
    <row r="2228" customFormat="false" ht="15" hidden="false" customHeight="false" outlineLevel="0" collapsed="false">
      <c r="A2228" s="7" t="str">
        <f aca="false">IF('Outro banco'!A2228="","",IF(LEFT('Outro banco'!A2228,1)="(","",'Outro banco'!A2228))</f>
        <v/>
      </c>
      <c r="B2228" s="7" t="str">
        <f aca="false">IF(A2228="","",'Outro banco'!B2228)</f>
        <v/>
      </c>
      <c r="C2228" s="7" t="str">
        <f aca="false">IF(A2228="","",'Outro banco'!C2228)</f>
        <v/>
      </c>
      <c r="D2228" s="7" t="str">
        <f aca="false">IF(A2228="","",'Outro banco'!D2228)</f>
        <v/>
      </c>
      <c r="E2228" s="9"/>
      <c r="F2228" s="9"/>
      <c r="G2228" s="7" t="str">
        <f aca="false">IF(A2228="","",IF(COUNTIF(Tabelas!$A:$A,IF(E2228="",A2228,E2228))&gt;0,"sim","não"))</f>
        <v/>
      </c>
      <c r="H2228" s="7" t="str">
        <f aca="false">IF(A2228="","",IF(E2228="",A2228,E2228)&amp;"."&amp;IF(F2228="",B2228,F2228))</f>
        <v/>
      </c>
      <c r="I2228" s="7" t="str">
        <f aca="false">IF(A2228="","",IFERROR(INDEX('Campos Growths'!$F:$F,MATCH(H2228,'Campos Growths'!$A:$A,0)),""))</f>
        <v/>
      </c>
      <c r="J2228" s="7" t="str">
        <f aca="false">IF(A2228="","",IFERROR(VLOOKUP(IF(ISNUMBER(SEARCH("(",C2228)),LEFT(C2228,SEARCH("(",C2228)-1),C2228),Tipos!$A:$B,2,FALSE()),"outro"))</f>
        <v/>
      </c>
      <c r="K2228" s="7" t="str">
        <f aca="false">IF(I2228="","",IFERROR(INDEX('Campos Growths'!$L:$L,MATCH(H2228,'Campos Growths'!$A:$A,0)),""))</f>
        <v/>
      </c>
      <c r="L2228" s="7" t="str">
        <f aca="false">IF(A2228="","",IF(G2228="não","Sem tabela no Growths",IF(I2228="","Sem campo no Growths",IF(J2228=K2228,"Importa direto","Ajustar tipo"))))</f>
        <v/>
      </c>
      <c r="M2228" s="9"/>
    </row>
    <row r="2229" customFormat="false" ht="15" hidden="false" customHeight="false" outlineLevel="0" collapsed="false">
      <c r="A2229" s="7" t="str">
        <f aca="false">IF('Outro banco'!A2229="","",IF(LEFT('Outro banco'!A2229,1)="(","",'Outro banco'!A2229))</f>
        <v/>
      </c>
      <c r="B2229" s="7" t="str">
        <f aca="false">IF(A2229="","",'Outro banco'!B2229)</f>
        <v/>
      </c>
      <c r="C2229" s="7" t="str">
        <f aca="false">IF(A2229="","",'Outro banco'!C2229)</f>
        <v/>
      </c>
      <c r="D2229" s="7" t="str">
        <f aca="false">IF(A2229="","",'Outro banco'!D2229)</f>
        <v/>
      </c>
      <c r="E2229" s="9"/>
      <c r="F2229" s="9"/>
      <c r="G2229" s="7" t="str">
        <f aca="false">IF(A2229="","",IF(COUNTIF(Tabelas!$A:$A,IF(E2229="",A2229,E2229))&gt;0,"sim","não"))</f>
        <v/>
      </c>
      <c r="H2229" s="7" t="str">
        <f aca="false">IF(A2229="","",IF(E2229="",A2229,E2229)&amp;"."&amp;IF(F2229="",B2229,F2229))</f>
        <v/>
      </c>
      <c r="I2229" s="7" t="str">
        <f aca="false">IF(A2229="","",IFERROR(INDEX('Campos Growths'!$F:$F,MATCH(H2229,'Campos Growths'!$A:$A,0)),""))</f>
        <v/>
      </c>
      <c r="J2229" s="7" t="str">
        <f aca="false">IF(A2229="","",IFERROR(VLOOKUP(IF(ISNUMBER(SEARCH("(",C2229)),LEFT(C2229,SEARCH("(",C2229)-1),C2229),Tipos!$A:$B,2,FALSE()),"outro"))</f>
        <v/>
      </c>
      <c r="K2229" s="7" t="str">
        <f aca="false">IF(I2229="","",IFERROR(INDEX('Campos Growths'!$L:$L,MATCH(H2229,'Campos Growths'!$A:$A,0)),""))</f>
        <v/>
      </c>
      <c r="L2229" s="7" t="str">
        <f aca="false">IF(A2229="","",IF(G2229="não","Sem tabela no Growths",IF(I2229="","Sem campo no Growths",IF(J2229=K2229,"Importa direto","Ajustar tipo"))))</f>
        <v/>
      </c>
      <c r="M2229" s="9"/>
    </row>
    <row r="2230" customFormat="false" ht="15" hidden="false" customHeight="false" outlineLevel="0" collapsed="false">
      <c r="A2230" s="7" t="str">
        <f aca="false">IF('Outro banco'!A2230="","",IF(LEFT('Outro banco'!A2230,1)="(","",'Outro banco'!A2230))</f>
        <v/>
      </c>
      <c r="B2230" s="7" t="str">
        <f aca="false">IF(A2230="","",'Outro banco'!B2230)</f>
        <v/>
      </c>
      <c r="C2230" s="7" t="str">
        <f aca="false">IF(A2230="","",'Outro banco'!C2230)</f>
        <v/>
      </c>
      <c r="D2230" s="7" t="str">
        <f aca="false">IF(A2230="","",'Outro banco'!D2230)</f>
        <v/>
      </c>
      <c r="E2230" s="9"/>
      <c r="F2230" s="9"/>
      <c r="G2230" s="7" t="str">
        <f aca="false">IF(A2230="","",IF(COUNTIF(Tabelas!$A:$A,IF(E2230="",A2230,E2230))&gt;0,"sim","não"))</f>
        <v/>
      </c>
      <c r="H2230" s="7" t="str">
        <f aca="false">IF(A2230="","",IF(E2230="",A2230,E2230)&amp;"."&amp;IF(F2230="",B2230,F2230))</f>
        <v/>
      </c>
      <c r="I2230" s="7" t="str">
        <f aca="false">IF(A2230="","",IFERROR(INDEX('Campos Growths'!$F:$F,MATCH(H2230,'Campos Growths'!$A:$A,0)),""))</f>
        <v/>
      </c>
      <c r="J2230" s="7" t="str">
        <f aca="false">IF(A2230="","",IFERROR(VLOOKUP(IF(ISNUMBER(SEARCH("(",C2230)),LEFT(C2230,SEARCH("(",C2230)-1),C2230),Tipos!$A:$B,2,FALSE()),"outro"))</f>
        <v/>
      </c>
      <c r="K2230" s="7" t="str">
        <f aca="false">IF(I2230="","",IFERROR(INDEX('Campos Growths'!$L:$L,MATCH(H2230,'Campos Growths'!$A:$A,0)),""))</f>
        <v/>
      </c>
      <c r="L2230" s="7" t="str">
        <f aca="false">IF(A2230="","",IF(G2230="não","Sem tabela no Growths",IF(I2230="","Sem campo no Growths",IF(J2230=K2230,"Importa direto","Ajustar tipo"))))</f>
        <v/>
      </c>
      <c r="M2230" s="9"/>
    </row>
    <row r="2231" customFormat="false" ht="15" hidden="false" customHeight="false" outlineLevel="0" collapsed="false">
      <c r="A2231" s="7" t="str">
        <f aca="false">IF('Outro banco'!A2231="","",IF(LEFT('Outro banco'!A2231,1)="(","",'Outro banco'!A2231))</f>
        <v/>
      </c>
      <c r="B2231" s="7" t="str">
        <f aca="false">IF(A2231="","",'Outro banco'!B2231)</f>
        <v/>
      </c>
      <c r="C2231" s="7" t="str">
        <f aca="false">IF(A2231="","",'Outro banco'!C2231)</f>
        <v/>
      </c>
      <c r="D2231" s="7" t="str">
        <f aca="false">IF(A2231="","",'Outro banco'!D2231)</f>
        <v/>
      </c>
      <c r="E2231" s="9"/>
      <c r="F2231" s="9"/>
      <c r="G2231" s="7" t="str">
        <f aca="false">IF(A2231="","",IF(COUNTIF(Tabelas!$A:$A,IF(E2231="",A2231,E2231))&gt;0,"sim","não"))</f>
        <v/>
      </c>
      <c r="H2231" s="7" t="str">
        <f aca="false">IF(A2231="","",IF(E2231="",A2231,E2231)&amp;"."&amp;IF(F2231="",B2231,F2231))</f>
        <v/>
      </c>
      <c r="I2231" s="7" t="str">
        <f aca="false">IF(A2231="","",IFERROR(INDEX('Campos Growths'!$F:$F,MATCH(H2231,'Campos Growths'!$A:$A,0)),""))</f>
        <v/>
      </c>
      <c r="J2231" s="7" t="str">
        <f aca="false">IF(A2231="","",IFERROR(VLOOKUP(IF(ISNUMBER(SEARCH("(",C2231)),LEFT(C2231,SEARCH("(",C2231)-1),C2231),Tipos!$A:$B,2,FALSE()),"outro"))</f>
        <v/>
      </c>
      <c r="K2231" s="7" t="str">
        <f aca="false">IF(I2231="","",IFERROR(INDEX('Campos Growths'!$L:$L,MATCH(H2231,'Campos Growths'!$A:$A,0)),""))</f>
        <v/>
      </c>
      <c r="L2231" s="7" t="str">
        <f aca="false">IF(A2231="","",IF(G2231="não","Sem tabela no Growths",IF(I2231="","Sem campo no Growths",IF(J2231=K2231,"Importa direto","Ajustar tipo"))))</f>
        <v/>
      </c>
      <c r="M2231" s="9"/>
    </row>
    <row r="2232" customFormat="false" ht="15" hidden="false" customHeight="false" outlineLevel="0" collapsed="false">
      <c r="A2232" s="7" t="str">
        <f aca="false">IF('Outro banco'!A2232="","",IF(LEFT('Outro banco'!A2232,1)="(","",'Outro banco'!A2232))</f>
        <v/>
      </c>
      <c r="B2232" s="7" t="str">
        <f aca="false">IF(A2232="","",'Outro banco'!B2232)</f>
        <v/>
      </c>
      <c r="C2232" s="7" t="str">
        <f aca="false">IF(A2232="","",'Outro banco'!C2232)</f>
        <v/>
      </c>
      <c r="D2232" s="7" t="str">
        <f aca="false">IF(A2232="","",'Outro banco'!D2232)</f>
        <v/>
      </c>
      <c r="E2232" s="9"/>
      <c r="F2232" s="9"/>
      <c r="G2232" s="7" t="str">
        <f aca="false">IF(A2232="","",IF(COUNTIF(Tabelas!$A:$A,IF(E2232="",A2232,E2232))&gt;0,"sim","não"))</f>
        <v/>
      </c>
      <c r="H2232" s="7" t="str">
        <f aca="false">IF(A2232="","",IF(E2232="",A2232,E2232)&amp;"."&amp;IF(F2232="",B2232,F2232))</f>
        <v/>
      </c>
      <c r="I2232" s="7" t="str">
        <f aca="false">IF(A2232="","",IFERROR(INDEX('Campos Growths'!$F:$F,MATCH(H2232,'Campos Growths'!$A:$A,0)),""))</f>
        <v/>
      </c>
      <c r="J2232" s="7" t="str">
        <f aca="false">IF(A2232="","",IFERROR(VLOOKUP(IF(ISNUMBER(SEARCH("(",C2232)),LEFT(C2232,SEARCH("(",C2232)-1),C2232),Tipos!$A:$B,2,FALSE()),"outro"))</f>
        <v/>
      </c>
      <c r="K2232" s="7" t="str">
        <f aca="false">IF(I2232="","",IFERROR(INDEX('Campos Growths'!$L:$L,MATCH(H2232,'Campos Growths'!$A:$A,0)),""))</f>
        <v/>
      </c>
      <c r="L2232" s="7" t="str">
        <f aca="false">IF(A2232="","",IF(G2232="não","Sem tabela no Growths",IF(I2232="","Sem campo no Growths",IF(J2232=K2232,"Importa direto","Ajustar tipo"))))</f>
        <v/>
      </c>
      <c r="M2232" s="9"/>
    </row>
    <row r="2233" customFormat="false" ht="15" hidden="false" customHeight="false" outlineLevel="0" collapsed="false">
      <c r="A2233" s="7" t="str">
        <f aca="false">IF('Outro banco'!A2233="","",IF(LEFT('Outro banco'!A2233,1)="(","",'Outro banco'!A2233))</f>
        <v/>
      </c>
      <c r="B2233" s="7" t="str">
        <f aca="false">IF(A2233="","",'Outro banco'!B2233)</f>
        <v/>
      </c>
      <c r="C2233" s="7" t="str">
        <f aca="false">IF(A2233="","",'Outro banco'!C2233)</f>
        <v/>
      </c>
      <c r="D2233" s="7" t="str">
        <f aca="false">IF(A2233="","",'Outro banco'!D2233)</f>
        <v/>
      </c>
      <c r="E2233" s="9"/>
      <c r="F2233" s="9"/>
      <c r="G2233" s="7" t="str">
        <f aca="false">IF(A2233="","",IF(COUNTIF(Tabelas!$A:$A,IF(E2233="",A2233,E2233))&gt;0,"sim","não"))</f>
        <v/>
      </c>
      <c r="H2233" s="7" t="str">
        <f aca="false">IF(A2233="","",IF(E2233="",A2233,E2233)&amp;"."&amp;IF(F2233="",B2233,F2233))</f>
        <v/>
      </c>
      <c r="I2233" s="7" t="str">
        <f aca="false">IF(A2233="","",IFERROR(INDEX('Campos Growths'!$F:$F,MATCH(H2233,'Campos Growths'!$A:$A,0)),""))</f>
        <v/>
      </c>
      <c r="J2233" s="7" t="str">
        <f aca="false">IF(A2233="","",IFERROR(VLOOKUP(IF(ISNUMBER(SEARCH("(",C2233)),LEFT(C2233,SEARCH("(",C2233)-1),C2233),Tipos!$A:$B,2,FALSE()),"outro"))</f>
        <v/>
      </c>
      <c r="K2233" s="7" t="str">
        <f aca="false">IF(I2233="","",IFERROR(INDEX('Campos Growths'!$L:$L,MATCH(H2233,'Campos Growths'!$A:$A,0)),""))</f>
        <v/>
      </c>
      <c r="L2233" s="7" t="str">
        <f aca="false">IF(A2233="","",IF(G2233="não","Sem tabela no Growths",IF(I2233="","Sem campo no Growths",IF(J2233=K2233,"Importa direto","Ajustar tipo"))))</f>
        <v/>
      </c>
      <c r="M2233" s="9"/>
    </row>
    <row r="2234" customFormat="false" ht="15" hidden="false" customHeight="false" outlineLevel="0" collapsed="false">
      <c r="A2234" s="7" t="str">
        <f aca="false">IF('Outro banco'!A2234="","",IF(LEFT('Outro banco'!A2234,1)="(","",'Outro banco'!A2234))</f>
        <v/>
      </c>
      <c r="B2234" s="7" t="str">
        <f aca="false">IF(A2234="","",'Outro banco'!B2234)</f>
        <v/>
      </c>
      <c r="C2234" s="7" t="str">
        <f aca="false">IF(A2234="","",'Outro banco'!C2234)</f>
        <v/>
      </c>
      <c r="D2234" s="7" t="str">
        <f aca="false">IF(A2234="","",'Outro banco'!D2234)</f>
        <v/>
      </c>
      <c r="E2234" s="9"/>
      <c r="F2234" s="9"/>
      <c r="G2234" s="7" t="str">
        <f aca="false">IF(A2234="","",IF(COUNTIF(Tabelas!$A:$A,IF(E2234="",A2234,E2234))&gt;0,"sim","não"))</f>
        <v/>
      </c>
      <c r="H2234" s="7" t="str">
        <f aca="false">IF(A2234="","",IF(E2234="",A2234,E2234)&amp;"."&amp;IF(F2234="",B2234,F2234))</f>
        <v/>
      </c>
      <c r="I2234" s="7" t="str">
        <f aca="false">IF(A2234="","",IFERROR(INDEX('Campos Growths'!$F:$F,MATCH(H2234,'Campos Growths'!$A:$A,0)),""))</f>
        <v/>
      </c>
      <c r="J2234" s="7" t="str">
        <f aca="false">IF(A2234="","",IFERROR(VLOOKUP(IF(ISNUMBER(SEARCH("(",C2234)),LEFT(C2234,SEARCH("(",C2234)-1),C2234),Tipos!$A:$B,2,FALSE()),"outro"))</f>
        <v/>
      </c>
      <c r="K2234" s="7" t="str">
        <f aca="false">IF(I2234="","",IFERROR(INDEX('Campos Growths'!$L:$L,MATCH(H2234,'Campos Growths'!$A:$A,0)),""))</f>
        <v/>
      </c>
      <c r="L2234" s="7" t="str">
        <f aca="false">IF(A2234="","",IF(G2234="não","Sem tabela no Growths",IF(I2234="","Sem campo no Growths",IF(J2234=K2234,"Importa direto","Ajustar tipo"))))</f>
        <v/>
      </c>
      <c r="M2234" s="9"/>
    </row>
    <row r="2235" customFormat="false" ht="15" hidden="false" customHeight="false" outlineLevel="0" collapsed="false">
      <c r="A2235" s="7" t="str">
        <f aca="false">IF('Outro banco'!A2235="","",IF(LEFT('Outro banco'!A2235,1)="(","",'Outro banco'!A2235))</f>
        <v/>
      </c>
      <c r="B2235" s="7" t="str">
        <f aca="false">IF(A2235="","",'Outro banco'!B2235)</f>
        <v/>
      </c>
      <c r="C2235" s="7" t="str">
        <f aca="false">IF(A2235="","",'Outro banco'!C2235)</f>
        <v/>
      </c>
      <c r="D2235" s="7" t="str">
        <f aca="false">IF(A2235="","",'Outro banco'!D2235)</f>
        <v/>
      </c>
      <c r="E2235" s="9"/>
      <c r="F2235" s="9"/>
      <c r="G2235" s="7" t="str">
        <f aca="false">IF(A2235="","",IF(COUNTIF(Tabelas!$A:$A,IF(E2235="",A2235,E2235))&gt;0,"sim","não"))</f>
        <v/>
      </c>
      <c r="H2235" s="7" t="str">
        <f aca="false">IF(A2235="","",IF(E2235="",A2235,E2235)&amp;"."&amp;IF(F2235="",B2235,F2235))</f>
        <v/>
      </c>
      <c r="I2235" s="7" t="str">
        <f aca="false">IF(A2235="","",IFERROR(INDEX('Campos Growths'!$F:$F,MATCH(H2235,'Campos Growths'!$A:$A,0)),""))</f>
        <v/>
      </c>
      <c r="J2235" s="7" t="str">
        <f aca="false">IF(A2235="","",IFERROR(VLOOKUP(IF(ISNUMBER(SEARCH("(",C2235)),LEFT(C2235,SEARCH("(",C2235)-1),C2235),Tipos!$A:$B,2,FALSE()),"outro"))</f>
        <v/>
      </c>
      <c r="K2235" s="7" t="str">
        <f aca="false">IF(I2235="","",IFERROR(INDEX('Campos Growths'!$L:$L,MATCH(H2235,'Campos Growths'!$A:$A,0)),""))</f>
        <v/>
      </c>
      <c r="L2235" s="7" t="str">
        <f aca="false">IF(A2235="","",IF(G2235="não","Sem tabela no Growths",IF(I2235="","Sem campo no Growths",IF(J2235=K2235,"Importa direto","Ajustar tipo"))))</f>
        <v/>
      </c>
      <c r="M2235" s="9"/>
    </row>
    <row r="2236" customFormat="false" ht="15" hidden="false" customHeight="false" outlineLevel="0" collapsed="false">
      <c r="A2236" s="7" t="str">
        <f aca="false">IF('Outro banco'!A2236="","",IF(LEFT('Outro banco'!A2236,1)="(","",'Outro banco'!A2236))</f>
        <v/>
      </c>
      <c r="B2236" s="7" t="str">
        <f aca="false">IF(A2236="","",'Outro banco'!B2236)</f>
        <v/>
      </c>
      <c r="C2236" s="7" t="str">
        <f aca="false">IF(A2236="","",'Outro banco'!C2236)</f>
        <v/>
      </c>
      <c r="D2236" s="7" t="str">
        <f aca="false">IF(A2236="","",'Outro banco'!D2236)</f>
        <v/>
      </c>
      <c r="E2236" s="9"/>
      <c r="F2236" s="9"/>
      <c r="G2236" s="7" t="str">
        <f aca="false">IF(A2236="","",IF(COUNTIF(Tabelas!$A:$A,IF(E2236="",A2236,E2236))&gt;0,"sim","não"))</f>
        <v/>
      </c>
      <c r="H2236" s="7" t="str">
        <f aca="false">IF(A2236="","",IF(E2236="",A2236,E2236)&amp;"."&amp;IF(F2236="",B2236,F2236))</f>
        <v/>
      </c>
      <c r="I2236" s="7" t="str">
        <f aca="false">IF(A2236="","",IFERROR(INDEX('Campos Growths'!$F:$F,MATCH(H2236,'Campos Growths'!$A:$A,0)),""))</f>
        <v/>
      </c>
      <c r="J2236" s="7" t="str">
        <f aca="false">IF(A2236="","",IFERROR(VLOOKUP(IF(ISNUMBER(SEARCH("(",C2236)),LEFT(C2236,SEARCH("(",C2236)-1),C2236),Tipos!$A:$B,2,FALSE()),"outro"))</f>
        <v/>
      </c>
      <c r="K2236" s="7" t="str">
        <f aca="false">IF(I2236="","",IFERROR(INDEX('Campos Growths'!$L:$L,MATCH(H2236,'Campos Growths'!$A:$A,0)),""))</f>
        <v/>
      </c>
      <c r="L2236" s="7" t="str">
        <f aca="false">IF(A2236="","",IF(G2236="não","Sem tabela no Growths",IF(I2236="","Sem campo no Growths",IF(J2236=K2236,"Importa direto","Ajustar tipo"))))</f>
        <v/>
      </c>
      <c r="M2236" s="9"/>
    </row>
    <row r="2237" customFormat="false" ht="15" hidden="false" customHeight="false" outlineLevel="0" collapsed="false">
      <c r="A2237" s="7" t="str">
        <f aca="false">IF('Outro banco'!A2237="","",IF(LEFT('Outro banco'!A2237,1)="(","",'Outro banco'!A2237))</f>
        <v/>
      </c>
      <c r="B2237" s="7" t="str">
        <f aca="false">IF(A2237="","",'Outro banco'!B2237)</f>
        <v/>
      </c>
      <c r="C2237" s="7" t="str">
        <f aca="false">IF(A2237="","",'Outro banco'!C2237)</f>
        <v/>
      </c>
      <c r="D2237" s="7" t="str">
        <f aca="false">IF(A2237="","",'Outro banco'!D2237)</f>
        <v/>
      </c>
      <c r="E2237" s="9"/>
      <c r="F2237" s="9"/>
      <c r="G2237" s="7" t="str">
        <f aca="false">IF(A2237="","",IF(COUNTIF(Tabelas!$A:$A,IF(E2237="",A2237,E2237))&gt;0,"sim","não"))</f>
        <v/>
      </c>
      <c r="H2237" s="7" t="str">
        <f aca="false">IF(A2237="","",IF(E2237="",A2237,E2237)&amp;"."&amp;IF(F2237="",B2237,F2237))</f>
        <v/>
      </c>
      <c r="I2237" s="7" t="str">
        <f aca="false">IF(A2237="","",IFERROR(INDEX('Campos Growths'!$F:$F,MATCH(H2237,'Campos Growths'!$A:$A,0)),""))</f>
        <v/>
      </c>
      <c r="J2237" s="7" t="str">
        <f aca="false">IF(A2237="","",IFERROR(VLOOKUP(IF(ISNUMBER(SEARCH("(",C2237)),LEFT(C2237,SEARCH("(",C2237)-1),C2237),Tipos!$A:$B,2,FALSE()),"outro"))</f>
        <v/>
      </c>
      <c r="K2237" s="7" t="str">
        <f aca="false">IF(I2237="","",IFERROR(INDEX('Campos Growths'!$L:$L,MATCH(H2237,'Campos Growths'!$A:$A,0)),""))</f>
        <v/>
      </c>
      <c r="L2237" s="7" t="str">
        <f aca="false">IF(A2237="","",IF(G2237="não","Sem tabela no Growths",IF(I2237="","Sem campo no Growths",IF(J2237=K2237,"Importa direto","Ajustar tipo"))))</f>
        <v/>
      </c>
      <c r="M2237" s="9"/>
    </row>
    <row r="2238" customFormat="false" ht="15" hidden="false" customHeight="false" outlineLevel="0" collapsed="false">
      <c r="A2238" s="7" t="str">
        <f aca="false">IF('Outro banco'!A2238="","",IF(LEFT('Outro banco'!A2238,1)="(","",'Outro banco'!A2238))</f>
        <v/>
      </c>
      <c r="B2238" s="7" t="str">
        <f aca="false">IF(A2238="","",'Outro banco'!B2238)</f>
        <v/>
      </c>
      <c r="C2238" s="7" t="str">
        <f aca="false">IF(A2238="","",'Outro banco'!C2238)</f>
        <v/>
      </c>
      <c r="D2238" s="7" t="str">
        <f aca="false">IF(A2238="","",'Outro banco'!D2238)</f>
        <v/>
      </c>
      <c r="E2238" s="9"/>
      <c r="F2238" s="9"/>
      <c r="G2238" s="7" t="str">
        <f aca="false">IF(A2238="","",IF(COUNTIF(Tabelas!$A:$A,IF(E2238="",A2238,E2238))&gt;0,"sim","não"))</f>
        <v/>
      </c>
      <c r="H2238" s="7" t="str">
        <f aca="false">IF(A2238="","",IF(E2238="",A2238,E2238)&amp;"."&amp;IF(F2238="",B2238,F2238))</f>
        <v/>
      </c>
      <c r="I2238" s="7" t="str">
        <f aca="false">IF(A2238="","",IFERROR(INDEX('Campos Growths'!$F:$F,MATCH(H2238,'Campos Growths'!$A:$A,0)),""))</f>
        <v/>
      </c>
      <c r="J2238" s="7" t="str">
        <f aca="false">IF(A2238="","",IFERROR(VLOOKUP(IF(ISNUMBER(SEARCH("(",C2238)),LEFT(C2238,SEARCH("(",C2238)-1),C2238),Tipos!$A:$B,2,FALSE()),"outro"))</f>
        <v/>
      </c>
      <c r="K2238" s="7" t="str">
        <f aca="false">IF(I2238="","",IFERROR(INDEX('Campos Growths'!$L:$L,MATCH(H2238,'Campos Growths'!$A:$A,0)),""))</f>
        <v/>
      </c>
      <c r="L2238" s="7" t="str">
        <f aca="false">IF(A2238="","",IF(G2238="não","Sem tabela no Growths",IF(I2238="","Sem campo no Growths",IF(J2238=K2238,"Importa direto","Ajustar tipo"))))</f>
        <v/>
      </c>
      <c r="M2238" s="9"/>
    </row>
    <row r="2239" customFormat="false" ht="15" hidden="false" customHeight="false" outlineLevel="0" collapsed="false">
      <c r="A2239" s="7" t="str">
        <f aca="false">IF('Outro banco'!A2239="","",IF(LEFT('Outro banco'!A2239,1)="(","",'Outro banco'!A2239))</f>
        <v/>
      </c>
      <c r="B2239" s="7" t="str">
        <f aca="false">IF(A2239="","",'Outro banco'!B2239)</f>
        <v/>
      </c>
      <c r="C2239" s="7" t="str">
        <f aca="false">IF(A2239="","",'Outro banco'!C2239)</f>
        <v/>
      </c>
      <c r="D2239" s="7" t="str">
        <f aca="false">IF(A2239="","",'Outro banco'!D2239)</f>
        <v/>
      </c>
      <c r="E2239" s="9"/>
      <c r="F2239" s="9"/>
      <c r="G2239" s="7" t="str">
        <f aca="false">IF(A2239="","",IF(COUNTIF(Tabelas!$A:$A,IF(E2239="",A2239,E2239))&gt;0,"sim","não"))</f>
        <v/>
      </c>
      <c r="H2239" s="7" t="str">
        <f aca="false">IF(A2239="","",IF(E2239="",A2239,E2239)&amp;"."&amp;IF(F2239="",B2239,F2239))</f>
        <v/>
      </c>
      <c r="I2239" s="7" t="str">
        <f aca="false">IF(A2239="","",IFERROR(INDEX('Campos Growths'!$F:$F,MATCH(H2239,'Campos Growths'!$A:$A,0)),""))</f>
        <v/>
      </c>
      <c r="J2239" s="7" t="str">
        <f aca="false">IF(A2239="","",IFERROR(VLOOKUP(IF(ISNUMBER(SEARCH("(",C2239)),LEFT(C2239,SEARCH("(",C2239)-1),C2239),Tipos!$A:$B,2,FALSE()),"outro"))</f>
        <v/>
      </c>
      <c r="K2239" s="7" t="str">
        <f aca="false">IF(I2239="","",IFERROR(INDEX('Campos Growths'!$L:$L,MATCH(H2239,'Campos Growths'!$A:$A,0)),""))</f>
        <v/>
      </c>
      <c r="L2239" s="7" t="str">
        <f aca="false">IF(A2239="","",IF(G2239="não","Sem tabela no Growths",IF(I2239="","Sem campo no Growths",IF(J2239=K2239,"Importa direto","Ajustar tipo"))))</f>
        <v/>
      </c>
      <c r="M2239" s="9"/>
    </row>
    <row r="2240" customFormat="false" ht="15" hidden="false" customHeight="false" outlineLevel="0" collapsed="false">
      <c r="A2240" s="7" t="str">
        <f aca="false">IF('Outro banco'!A2240="","",IF(LEFT('Outro banco'!A2240,1)="(","",'Outro banco'!A2240))</f>
        <v/>
      </c>
      <c r="B2240" s="7" t="str">
        <f aca="false">IF(A2240="","",'Outro banco'!B2240)</f>
        <v/>
      </c>
      <c r="C2240" s="7" t="str">
        <f aca="false">IF(A2240="","",'Outro banco'!C2240)</f>
        <v/>
      </c>
      <c r="D2240" s="7" t="str">
        <f aca="false">IF(A2240="","",'Outro banco'!D2240)</f>
        <v/>
      </c>
      <c r="E2240" s="9"/>
      <c r="F2240" s="9"/>
      <c r="G2240" s="7" t="str">
        <f aca="false">IF(A2240="","",IF(COUNTIF(Tabelas!$A:$A,IF(E2240="",A2240,E2240))&gt;0,"sim","não"))</f>
        <v/>
      </c>
      <c r="H2240" s="7" t="str">
        <f aca="false">IF(A2240="","",IF(E2240="",A2240,E2240)&amp;"."&amp;IF(F2240="",B2240,F2240))</f>
        <v/>
      </c>
      <c r="I2240" s="7" t="str">
        <f aca="false">IF(A2240="","",IFERROR(INDEX('Campos Growths'!$F:$F,MATCH(H2240,'Campos Growths'!$A:$A,0)),""))</f>
        <v/>
      </c>
      <c r="J2240" s="7" t="str">
        <f aca="false">IF(A2240="","",IFERROR(VLOOKUP(IF(ISNUMBER(SEARCH("(",C2240)),LEFT(C2240,SEARCH("(",C2240)-1),C2240),Tipos!$A:$B,2,FALSE()),"outro"))</f>
        <v/>
      </c>
      <c r="K2240" s="7" t="str">
        <f aca="false">IF(I2240="","",IFERROR(INDEX('Campos Growths'!$L:$L,MATCH(H2240,'Campos Growths'!$A:$A,0)),""))</f>
        <v/>
      </c>
      <c r="L2240" s="7" t="str">
        <f aca="false">IF(A2240="","",IF(G2240="não","Sem tabela no Growths",IF(I2240="","Sem campo no Growths",IF(J2240=K2240,"Importa direto","Ajustar tipo"))))</f>
        <v/>
      </c>
      <c r="M2240" s="9"/>
    </row>
    <row r="2241" customFormat="false" ht="15" hidden="false" customHeight="false" outlineLevel="0" collapsed="false">
      <c r="A2241" s="7" t="str">
        <f aca="false">IF('Outro banco'!A2241="","",IF(LEFT('Outro banco'!A2241,1)="(","",'Outro banco'!A2241))</f>
        <v/>
      </c>
      <c r="B2241" s="7" t="str">
        <f aca="false">IF(A2241="","",'Outro banco'!B2241)</f>
        <v/>
      </c>
      <c r="C2241" s="7" t="str">
        <f aca="false">IF(A2241="","",'Outro banco'!C2241)</f>
        <v/>
      </c>
      <c r="D2241" s="7" t="str">
        <f aca="false">IF(A2241="","",'Outro banco'!D2241)</f>
        <v/>
      </c>
      <c r="E2241" s="9"/>
      <c r="F2241" s="9"/>
      <c r="G2241" s="7" t="str">
        <f aca="false">IF(A2241="","",IF(COUNTIF(Tabelas!$A:$A,IF(E2241="",A2241,E2241))&gt;0,"sim","não"))</f>
        <v/>
      </c>
      <c r="H2241" s="7" t="str">
        <f aca="false">IF(A2241="","",IF(E2241="",A2241,E2241)&amp;"."&amp;IF(F2241="",B2241,F2241))</f>
        <v/>
      </c>
      <c r="I2241" s="7" t="str">
        <f aca="false">IF(A2241="","",IFERROR(INDEX('Campos Growths'!$F:$F,MATCH(H2241,'Campos Growths'!$A:$A,0)),""))</f>
        <v/>
      </c>
      <c r="J2241" s="7" t="str">
        <f aca="false">IF(A2241="","",IFERROR(VLOOKUP(IF(ISNUMBER(SEARCH("(",C2241)),LEFT(C2241,SEARCH("(",C2241)-1),C2241),Tipos!$A:$B,2,FALSE()),"outro"))</f>
        <v/>
      </c>
      <c r="K2241" s="7" t="str">
        <f aca="false">IF(I2241="","",IFERROR(INDEX('Campos Growths'!$L:$L,MATCH(H2241,'Campos Growths'!$A:$A,0)),""))</f>
        <v/>
      </c>
      <c r="L2241" s="7" t="str">
        <f aca="false">IF(A2241="","",IF(G2241="não","Sem tabela no Growths",IF(I2241="","Sem campo no Growths",IF(J2241=K2241,"Importa direto","Ajustar tipo"))))</f>
        <v/>
      </c>
      <c r="M2241" s="9"/>
    </row>
    <row r="2242" customFormat="false" ht="15" hidden="false" customHeight="false" outlineLevel="0" collapsed="false">
      <c r="A2242" s="7" t="str">
        <f aca="false">IF('Outro banco'!A2242="","",IF(LEFT('Outro banco'!A2242,1)="(","",'Outro banco'!A2242))</f>
        <v/>
      </c>
      <c r="B2242" s="7" t="str">
        <f aca="false">IF(A2242="","",'Outro banco'!B2242)</f>
        <v/>
      </c>
      <c r="C2242" s="7" t="str">
        <f aca="false">IF(A2242="","",'Outro banco'!C2242)</f>
        <v/>
      </c>
      <c r="D2242" s="7" t="str">
        <f aca="false">IF(A2242="","",'Outro banco'!D2242)</f>
        <v/>
      </c>
      <c r="E2242" s="9"/>
      <c r="F2242" s="9"/>
      <c r="G2242" s="7" t="str">
        <f aca="false">IF(A2242="","",IF(COUNTIF(Tabelas!$A:$A,IF(E2242="",A2242,E2242))&gt;0,"sim","não"))</f>
        <v/>
      </c>
      <c r="H2242" s="7" t="str">
        <f aca="false">IF(A2242="","",IF(E2242="",A2242,E2242)&amp;"."&amp;IF(F2242="",B2242,F2242))</f>
        <v/>
      </c>
      <c r="I2242" s="7" t="str">
        <f aca="false">IF(A2242="","",IFERROR(INDEX('Campos Growths'!$F:$F,MATCH(H2242,'Campos Growths'!$A:$A,0)),""))</f>
        <v/>
      </c>
      <c r="J2242" s="7" t="str">
        <f aca="false">IF(A2242="","",IFERROR(VLOOKUP(IF(ISNUMBER(SEARCH("(",C2242)),LEFT(C2242,SEARCH("(",C2242)-1),C2242),Tipos!$A:$B,2,FALSE()),"outro"))</f>
        <v/>
      </c>
      <c r="K2242" s="7" t="str">
        <f aca="false">IF(I2242="","",IFERROR(INDEX('Campos Growths'!$L:$L,MATCH(H2242,'Campos Growths'!$A:$A,0)),""))</f>
        <v/>
      </c>
      <c r="L2242" s="7" t="str">
        <f aca="false">IF(A2242="","",IF(G2242="não","Sem tabela no Growths",IF(I2242="","Sem campo no Growths",IF(J2242=K2242,"Importa direto","Ajustar tipo"))))</f>
        <v/>
      </c>
      <c r="M2242" s="9"/>
    </row>
    <row r="2243" customFormat="false" ht="15" hidden="false" customHeight="false" outlineLevel="0" collapsed="false">
      <c r="A2243" s="7" t="str">
        <f aca="false">IF('Outro banco'!A2243="","",IF(LEFT('Outro banco'!A2243,1)="(","",'Outro banco'!A2243))</f>
        <v/>
      </c>
      <c r="B2243" s="7" t="str">
        <f aca="false">IF(A2243="","",'Outro banco'!B2243)</f>
        <v/>
      </c>
      <c r="C2243" s="7" t="str">
        <f aca="false">IF(A2243="","",'Outro banco'!C2243)</f>
        <v/>
      </c>
      <c r="D2243" s="7" t="str">
        <f aca="false">IF(A2243="","",'Outro banco'!D2243)</f>
        <v/>
      </c>
      <c r="E2243" s="9"/>
      <c r="F2243" s="9"/>
      <c r="G2243" s="7" t="str">
        <f aca="false">IF(A2243="","",IF(COUNTIF(Tabelas!$A:$A,IF(E2243="",A2243,E2243))&gt;0,"sim","não"))</f>
        <v/>
      </c>
      <c r="H2243" s="7" t="str">
        <f aca="false">IF(A2243="","",IF(E2243="",A2243,E2243)&amp;"."&amp;IF(F2243="",B2243,F2243))</f>
        <v/>
      </c>
      <c r="I2243" s="7" t="str">
        <f aca="false">IF(A2243="","",IFERROR(INDEX('Campos Growths'!$F:$F,MATCH(H2243,'Campos Growths'!$A:$A,0)),""))</f>
        <v/>
      </c>
      <c r="J2243" s="7" t="str">
        <f aca="false">IF(A2243="","",IFERROR(VLOOKUP(IF(ISNUMBER(SEARCH("(",C2243)),LEFT(C2243,SEARCH("(",C2243)-1),C2243),Tipos!$A:$B,2,FALSE()),"outro"))</f>
        <v/>
      </c>
      <c r="K2243" s="7" t="str">
        <f aca="false">IF(I2243="","",IFERROR(INDEX('Campos Growths'!$L:$L,MATCH(H2243,'Campos Growths'!$A:$A,0)),""))</f>
        <v/>
      </c>
      <c r="L2243" s="7" t="str">
        <f aca="false">IF(A2243="","",IF(G2243="não","Sem tabela no Growths",IF(I2243="","Sem campo no Growths",IF(J2243=K2243,"Importa direto","Ajustar tipo"))))</f>
        <v/>
      </c>
      <c r="M2243" s="9"/>
    </row>
    <row r="2244" customFormat="false" ht="15" hidden="false" customHeight="false" outlineLevel="0" collapsed="false">
      <c r="A2244" s="7" t="str">
        <f aca="false">IF('Outro banco'!A2244="","",IF(LEFT('Outro banco'!A2244,1)="(","",'Outro banco'!A2244))</f>
        <v/>
      </c>
      <c r="B2244" s="7" t="str">
        <f aca="false">IF(A2244="","",'Outro banco'!B2244)</f>
        <v/>
      </c>
      <c r="C2244" s="7" t="str">
        <f aca="false">IF(A2244="","",'Outro banco'!C2244)</f>
        <v/>
      </c>
      <c r="D2244" s="7" t="str">
        <f aca="false">IF(A2244="","",'Outro banco'!D2244)</f>
        <v/>
      </c>
      <c r="E2244" s="9"/>
      <c r="F2244" s="9"/>
      <c r="G2244" s="7" t="str">
        <f aca="false">IF(A2244="","",IF(COUNTIF(Tabelas!$A:$A,IF(E2244="",A2244,E2244))&gt;0,"sim","não"))</f>
        <v/>
      </c>
      <c r="H2244" s="7" t="str">
        <f aca="false">IF(A2244="","",IF(E2244="",A2244,E2244)&amp;"."&amp;IF(F2244="",B2244,F2244))</f>
        <v/>
      </c>
      <c r="I2244" s="7" t="str">
        <f aca="false">IF(A2244="","",IFERROR(INDEX('Campos Growths'!$F:$F,MATCH(H2244,'Campos Growths'!$A:$A,0)),""))</f>
        <v/>
      </c>
      <c r="J2244" s="7" t="str">
        <f aca="false">IF(A2244="","",IFERROR(VLOOKUP(IF(ISNUMBER(SEARCH("(",C2244)),LEFT(C2244,SEARCH("(",C2244)-1),C2244),Tipos!$A:$B,2,FALSE()),"outro"))</f>
        <v/>
      </c>
      <c r="K2244" s="7" t="str">
        <f aca="false">IF(I2244="","",IFERROR(INDEX('Campos Growths'!$L:$L,MATCH(H2244,'Campos Growths'!$A:$A,0)),""))</f>
        <v/>
      </c>
      <c r="L2244" s="7" t="str">
        <f aca="false">IF(A2244="","",IF(G2244="não","Sem tabela no Growths",IF(I2244="","Sem campo no Growths",IF(J2244=K2244,"Importa direto","Ajustar tipo"))))</f>
        <v/>
      </c>
      <c r="M2244" s="9"/>
    </row>
    <row r="2245" customFormat="false" ht="15" hidden="false" customHeight="false" outlineLevel="0" collapsed="false">
      <c r="A2245" s="7" t="str">
        <f aca="false">IF('Outro banco'!A2245="","",IF(LEFT('Outro banco'!A2245,1)="(","",'Outro banco'!A2245))</f>
        <v/>
      </c>
      <c r="B2245" s="7" t="str">
        <f aca="false">IF(A2245="","",'Outro banco'!B2245)</f>
        <v/>
      </c>
      <c r="C2245" s="7" t="str">
        <f aca="false">IF(A2245="","",'Outro banco'!C2245)</f>
        <v/>
      </c>
      <c r="D2245" s="7" t="str">
        <f aca="false">IF(A2245="","",'Outro banco'!D2245)</f>
        <v/>
      </c>
      <c r="E2245" s="9"/>
      <c r="F2245" s="9"/>
      <c r="G2245" s="7" t="str">
        <f aca="false">IF(A2245="","",IF(COUNTIF(Tabelas!$A:$A,IF(E2245="",A2245,E2245))&gt;0,"sim","não"))</f>
        <v/>
      </c>
      <c r="H2245" s="7" t="str">
        <f aca="false">IF(A2245="","",IF(E2245="",A2245,E2245)&amp;"."&amp;IF(F2245="",B2245,F2245))</f>
        <v/>
      </c>
      <c r="I2245" s="7" t="str">
        <f aca="false">IF(A2245="","",IFERROR(INDEX('Campos Growths'!$F:$F,MATCH(H2245,'Campos Growths'!$A:$A,0)),""))</f>
        <v/>
      </c>
      <c r="J2245" s="7" t="str">
        <f aca="false">IF(A2245="","",IFERROR(VLOOKUP(IF(ISNUMBER(SEARCH("(",C2245)),LEFT(C2245,SEARCH("(",C2245)-1),C2245),Tipos!$A:$B,2,FALSE()),"outro"))</f>
        <v/>
      </c>
      <c r="K2245" s="7" t="str">
        <f aca="false">IF(I2245="","",IFERROR(INDEX('Campos Growths'!$L:$L,MATCH(H2245,'Campos Growths'!$A:$A,0)),""))</f>
        <v/>
      </c>
      <c r="L2245" s="7" t="str">
        <f aca="false">IF(A2245="","",IF(G2245="não","Sem tabela no Growths",IF(I2245="","Sem campo no Growths",IF(J2245=K2245,"Importa direto","Ajustar tipo"))))</f>
        <v/>
      </c>
      <c r="M2245" s="9"/>
    </row>
    <row r="2246" customFormat="false" ht="15" hidden="false" customHeight="false" outlineLevel="0" collapsed="false">
      <c r="A2246" s="7" t="str">
        <f aca="false">IF('Outro banco'!A2246="","",IF(LEFT('Outro banco'!A2246,1)="(","",'Outro banco'!A2246))</f>
        <v/>
      </c>
      <c r="B2246" s="7" t="str">
        <f aca="false">IF(A2246="","",'Outro banco'!B2246)</f>
        <v/>
      </c>
      <c r="C2246" s="7" t="str">
        <f aca="false">IF(A2246="","",'Outro banco'!C2246)</f>
        <v/>
      </c>
      <c r="D2246" s="7" t="str">
        <f aca="false">IF(A2246="","",'Outro banco'!D2246)</f>
        <v/>
      </c>
      <c r="E2246" s="9"/>
      <c r="F2246" s="9"/>
      <c r="G2246" s="7" t="str">
        <f aca="false">IF(A2246="","",IF(COUNTIF(Tabelas!$A:$A,IF(E2246="",A2246,E2246))&gt;0,"sim","não"))</f>
        <v/>
      </c>
      <c r="H2246" s="7" t="str">
        <f aca="false">IF(A2246="","",IF(E2246="",A2246,E2246)&amp;"."&amp;IF(F2246="",B2246,F2246))</f>
        <v/>
      </c>
      <c r="I2246" s="7" t="str">
        <f aca="false">IF(A2246="","",IFERROR(INDEX('Campos Growths'!$F:$F,MATCH(H2246,'Campos Growths'!$A:$A,0)),""))</f>
        <v/>
      </c>
      <c r="J2246" s="7" t="str">
        <f aca="false">IF(A2246="","",IFERROR(VLOOKUP(IF(ISNUMBER(SEARCH("(",C2246)),LEFT(C2246,SEARCH("(",C2246)-1),C2246),Tipos!$A:$B,2,FALSE()),"outro"))</f>
        <v/>
      </c>
      <c r="K2246" s="7" t="str">
        <f aca="false">IF(I2246="","",IFERROR(INDEX('Campos Growths'!$L:$L,MATCH(H2246,'Campos Growths'!$A:$A,0)),""))</f>
        <v/>
      </c>
      <c r="L2246" s="7" t="str">
        <f aca="false">IF(A2246="","",IF(G2246="não","Sem tabela no Growths",IF(I2246="","Sem campo no Growths",IF(J2246=K2246,"Importa direto","Ajustar tipo"))))</f>
        <v/>
      </c>
      <c r="M2246" s="9"/>
    </row>
    <row r="2247" customFormat="false" ht="15" hidden="false" customHeight="false" outlineLevel="0" collapsed="false">
      <c r="A2247" s="7" t="str">
        <f aca="false">IF('Outro banco'!A2247="","",IF(LEFT('Outro banco'!A2247,1)="(","",'Outro banco'!A2247))</f>
        <v/>
      </c>
      <c r="B2247" s="7" t="str">
        <f aca="false">IF(A2247="","",'Outro banco'!B2247)</f>
        <v/>
      </c>
      <c r="C2247" s="7" t="str">
        <f aca="false">IF(A2247="","",'Outro banco'!C2247)</f>
        <v/>
      </c>
      <c r="D2247" s="7" t="str">
        <f aca="false">IF(A2247="","",'Outro banco'!D2247)</f>
        <v/>
      </c>
      <c r="E2247" s="9"/>
      <c r="F2247" s="9"/>
      <c r="G2247" s="7" t="str">
        <f aca="false">IF(A2247="","",IF(COUNTIF(Tabelas!$A:$A,IF(E2247="",A2247,E2247))&gt;0,"sim","não"))</f>
        <v/>
      </c>
      <c r="H2247" s="7" t="str">
        <f aca="false">IF(A2247="","",IF(E2247="",A2247,E2247)&amp;"."&amp;IF(F2247="",B2247,F2247))</f>
        <v/>
      </c>
      <c r="I2247" s="7" t="str">
        <f aca="false">IF(A2247="","",IFERROR(INDEX('Campos Growths'!$F:$F,MATCH(H2247,'Campos Growths'!$A:$A,0)),""))</f>
        <v/>
      </c>
      <c r="J2247" s="7" t="str">
        <f aca="false">IF(A2247="","",IFERROR(VLOOKUP(IF(ISNUMBER(SEARCH("(",C2247)),LEFT(C2247,SEARCH("(",C2247)-1),C2247),Tipos!$A:$B,2,FALSE()),"outro"))</f>
        <v/>
      </c>
      <c r="K2247" s="7" t="str">
        <f aca="false">IF(I2247="","",IFERROR(INDEX('Campos Growths'!$L:$L,MATCH(H2247,'Campos Growths'!$A:$A,0)),""))</f>
        <v/>
      </c>
      <c r="L2247" s="7" t="str">
        <f aca="false">IF(A2247="","",IF(G2247="não","Sem tabela no Growths",IF(I2247="","Sem campo no Growths",IF(J2247=K2247,"Importa direto","Ajustar tipo"))))</f>
        <v/>
      </c>
      <c r="M2247" s="9"/>
    </row>
    <row r="2248" customFormat="false" ht="15" hidden="false" customHeight="false" outlineLevel="0" collapsed="false">
      <c r="A2248" s="7" t="str">
        <f aca="false">IF('Outro banco'!A2248="","",IF(LEFT('Outro banco'!A2248,1)="(","",'Outro banco'!A2248))</f>
        <v/>
      </c>
      <c r="B2248" s="7" t="str">
        <f aca="false">IF(A2248="","",'Outro banco'!B2248)</f>
        <v/>
      </c>
      <c r="C2248" s="7" t="str">
        <f aca="false">IF(A2248="","",'Outro banco'!C2248)</f>
        <v/>
      </c>
      <c r="D2248" s="7" t="str">
        <f aca="false">IF(A2248="","",'Outro banco'!D2248)</f>
        <v/>
      </c>
      <c r="E2248" s="9"/>
      <c r="F2248" s="9"/>
      <c r="G2248" s="7" t="str">
        <f aca="false">IF(A2248="","",IF(COUNTIF(Tabelas!$A:$A,IF(E2248="",A2248,E2248))&gt;0,"sim","não"))</f>
        <v/>
      </c>
      <c r="H2248" s="7" t="str">
        <f aca="false">IF(A2248="","",IF(E2248="",A2248,E2248)&amp;"."&amp;IF(F2248="",B2248,F2248))</f>
        <v/>
      </c>
      <c r="I2248" s="7" t="str">
        <f aca="false">IF(A2248="","",IFERROR(INDEX('Campos Growths'!$F:$F,MATCH(H2248,'Campos Growths'!$A:$A,0)),""))</f>
        <v/>
      </c>
      <c r="J2248" s="7" t="str">
        <f aca="false">IF(A2248="","",IFERROR(VLOOKUP(IF(ISNUMBER(SEARCH("(",C2248)),LEFT(C2248,SEARCH("(",C2248)-1),C2248),Tipos!$A:$B,2,FALSE()),"outro"))</f>
        <v/>
      </c>
      <c r="K2248" s="7" t="str">
        <f aca="false">IF(I2248="","",IFERROR(INDEX('Campos Growths'!$L:$L,MATCH(H2248,'Campos Growths'!$A:$A,0)),""))</f>
        <v/>
      </c>
      <c r="L2248" s="7" t="str">
        <f aca="false">IF(A2248="","",IF(G2248="não","Sem tabela no Growths",IF(I2248="","Sem campo no Growths",IF(J2248=K2248,"Importa direto","Ajustar tipo"))))</f>
        <v/>
      </c>
      <c r="M2248" s="9"/>
    </row>
    <row r="2249" customFormat="false" ht="15" hidden="false" customHeight="false" outlineLevel="0" collapsed="false">
      <c r="A2249" s="7" t="str">
        <f aca="false">IF('Outro banco'!A2249="","",IF(LEFT('Outro banco'!A2249,1)="(","",'Outro banco'!A2249))</f>
        <v/>
      </c>
      <c r="B2249" s="7" t="str">
        <f aca="false">IF(A2249="","",'Outro banco'!B2249)</f>
        <v/>
      </c>
      <c r="C2249" s="7" t="str">
        <f aca="false">IF(A2249="","",'Outro banco'!C2249)</f>
        <v/>
      </c>
      <c r="D2249" s="7" t="str">
        <f aca="false">IF(A2249="","",'Outro banco'!D2249)</f>
        <v/>
      </c>
      <c r="E2249" s="9"/>
      <c r="F2249" s="9"/>
      <c r="G2249" s="7" t="str">
        <f aca="false">IF(A2249="","",IF(COUNTIF(Tabelas!$A:$A,IF(E2249="",A2249,E2249))&gt;0,"sim","não"))</f>
        <v/>
      </c>
      <c r="H2249" s="7" t="str">
        <f aca="false">IF(A2249="","",IF(E2249="",A2249,E2249)&amp;"."&amp;IF(F2249="",B2249,F2249))</f>
        <v/>
      </c>
      <c r="I2249" s="7" t="str">
        <f aca="false">IF(A2249="","",IFERROR(INDEX('Campos Growths'!$F:$F,MATCH(H2249,'Campos Growths'!$A:$A,0)),""))</f>
        <v/>
      </c>
      <c r="J2249" s="7" t="str">
        <f aca="false">IF(A2249="","",IFERROR(VLOOKUP(IF(ISNUMBER(SEARCH("(",C2249)),LEFT(C2249,SEARCH("(",C2249)-1),C2249),Tipos!$A:$B,2,FALSE()),"outro"))</f>
        <v/>
      </c>
      <c r="K2249" s="7" t="str">
        <f aca="false">IF(I2249="","",IFERROR(INDEX('Campos Growths'!$L:$L,MATCH(H2249,'Campos Growths'!$A:$A,0)),""))</f>
        <v/>
      </c>
      <c r="L2249" s="7" t="str">
        <f aca="false">IF(A2249="","",IF(G2249="não","Sem tabela no Growths",IF(I2249="","Sem campo no Growths",IF(J2249=K2249,"Importa direto","Ajustar tipo"))))</f>
        <v/>
      </c>
      <c r="M2249" s="9"/>
    </row>
    <row r="2250" customFormat="false" ht="15" hidden="false" customHeight="false" outlineLevel="0" collapsed="false">
      <c r="A2250" s="7" t="str">
        <f aca="false">IF('Outro banco'!A2250="","",IF(LEFT('Outro banco'!A2250,1)="(","",'Outro banco'!A2250))</f>
        <v/>
      </c>
      <c r="B2250" s="7" t="str">
        <f aca="false">IF(A2250="","",'Outro banco'!B2250)</f>
        <v/>
      </c>
      <c r="C2250" s="7" t="str">
        <f aca="false">IF(A2250="","",'Outro banco'!C2250)</f>
        <v/>
      </c>
      <c r="D2250" s="7" t="str">
        <f aca="false">IF(A2250="","",'Outro banco'!D2250)</f>
        <v/>
      </c>
      <c r="E2250" s="9"/>
      <c r="F2250" s="9"/>
      <c r="G2250" s="7" t="str">
        <f aca="false">IF(A2250="","",IF(COUNTIF(Tabelas!$A:$A,IF(E2250="",A2250,E2250))&gt;0,"sim","não"))</f>
        <v/>
      </c>
      <c r="H2250" s="7" t="str">
        <f aca="false">IF(A2250="","",IF(E2250="",A2250,E2250)&amp;"."&amp;IF(F2250="",B2250,F2250))</f>
        <v/>
      </c>
      <c r="I2250" s="7" t="str">
        <f aca="false">IF(A2250="","",IFERROR(INDEX('Campos Growths'!$F:$F,MATCH(H2250,'Campos Growths'!$A:$A,0)),""))</f>
        <v/>
      </c>
      <c r="J2250" s="7" t="str">
        <f aca="false">IF(A2250="","",IFERROR(VLOOKUP(IF(ISNUMBER(SEARCH("(",C2250)),LEFT(C2250,SEARCH("(",C2250)-1),C2250),Tipos!$A:$B,2,FALSE()),"outro"))</f>
        <v/>
      </c>
      <c r="K2250" s="7" t="str">
        <f aca="false">IF(I2250="","",IFERROR(INDEX('Campos Growths'!$L:$L,MATCH(H2250,'Campos Growths'!$A:$A,0)),""))</f>
        <v/>
      </c>
      <c r="L2250" s="7" t="str">
        <f aca="false">IF(A2250="","",IF(G2250="não","Sem tabela no Growths",IF(I2250="","Sem campo no Growths",IF(J2250=K2250,"Importa direto","Ajustar tipo"))))</f>
        <v/>
      </c>
      <c r="M2250" s="9"/>
    </row>
    <row r="2251" customFormat="false" ht="15" hidden="false" customHeight="false" outlineLevel="0" collapsed="false">
      <c r="A2251" s="7" t="str">
        <f aca="false">IF('Outro banco'!A2251="","",IF(LEFT('Outro banco'!A2251,1)="(","",'Outro banco'!A2251))</f>
        <v/>
      </c>
      <c r="B2251" s="7" t="str">
        <f aca="false">IF(A2251="","",'Outro banco'!B2251)</f>
        <v/>
      </c>
      <c r="C2251" s="7" t="str">
        <f aca="false">IF(A2251="","",'Outro banco'!C2251)</f>
        <v/>
      </c>
      <c r="D2251" s="7" t="str">
        <f aca="false">IF(A2251="","",'Outro banco'!D2251)</f>
        <v/>
      </c>
      <c r="E2251" s="9"/>
      <c r="F2251" s="9"/>
      <c r="G2251" s="7" t="str">
        <f aca="false">IF(A2251="","",IF(COUNTIF(Tabelas!$A:$A,IF(E2251="",A2251,E2251))&gt;0,"sim","não"))</f>
        <v/>
      </c>
      <c r="H2251" s="7" t="str">
        <f aca="false">IF(A2251="","",IF(E2251="",A2251,E2251)&amp;"."&amp;IF(F2251="",B2251,F2251))</f>
        <v/>
      </c>
      <c r="I2251" s="7" t="str">
        <f aca="false">IF(A2251="","",IFERROR(INDEX('Campos Growths'!$F:$F,MATCH(H2251,'Campos Growths'!$A:$A,0)),""))</f>
        <v/>
      </c>
      <c r="J2251" s="7" t="str">
        <f aca="false">IF(A2251="","",IFERROR(VLOOKUP(IF(ISNUMBER(SEARCH("(",C2251)),LEFT(C2251,SEARCH("(",C2251)-1),C2251),Tipos!$A:$B,2,FALSE()),"outro"))</f>
        <v/>
      </c>
      <c r="K2251" s="7" t="str">
        <f aca="false">IF(I2251="","",IFERROR(INDEX('Campos Growths'!$L:$L,MATCH(H2251,'Campos Growths'!$A:$A,0)),""))</f>
        <v/>
      </c>
      <c r="L2251" s="7" t="str">
        <f aca="false">IF(A2251="","",IF(G2251="não","Sem tabela no Growths",IF(I2251="","Sem campo no Growths",IF(J2251=K2251,"Importa direto","Ajustar tipo"))))</f>
        <v/>
      </c>
      <c r="M2251" s="9"/>
    </row>
    <row r="2252" customFormat="false" ht="15" hidden="false" customHeight="false" outlineLevel="0" collapsed="false">
      <c r="A2252" s="7" t="str">
        <f aca="false">IF('Outro banco'!A2252="","",IF(LEFT('Outro banco'!A2252,1)="(","",'Outro banco'!A2252))</f>
        <v/>
      </c>
      <c r="B2252" s="7" t="str">
        <f aca="false">IF(A2252="","",'Outro banco'!B2252)</f>
        <v/>
      </c>
      <c r="C2252" s="7" t="str">
        <f aca="false">IF(A2252="","",'Outro banco'!C2252)</f>
        <v/>
      </c>
      <c r="D2252" s="7" t="str">
        <f aca="false">IF(A2252="","",'Outro banco'!D2252)</f>
        <v/>
      </c>
      <c r="E2252" s="9"/>
      <c r="F2252" s="9"/>
      <c r="G2252" s="7" t="str">
        <f aca="false">IF(A2252="","",IF(COUNTIF(Tabelas!$A:$A,IF(E2252="",A2252,E2252))&gt;0,"sim","não"))</f>
        <v/>
      </c>
      <c r="H2252" s="7" t="str">
        <f aca="false">IF(A2252="","",IF(E2252="",A2252,E2252)&amp;"."&amp;IF(F2252="",B2252,F2252))</f>
        <v/>
      </c>
      <c r="I2252" s="7" t="str">
        <f aca="false">IF(A2252="","",IFERROR(INDEX('Campos Growths'!$F:$F,MATCH(H2252,'Campos Growths'!$A:$A,0)),""))</f>
        <v/>
      </c>
      <c r="J2252" s="7" t="str">
        <f aca="false">IF(A2252="","",IFERROR(VLOOKUP(IF(ISNUMBER(SEARCH("(",C2252)),LEFT(C2252,SEARCH("(",C2252)-1),C2252),Tipos!$A:$B,2,FALSE()),"outro"))</f>
        <v/>
      </c>
      <c r="K2252" s="7" t="str">
        <f aca="false">IF(I2252="","",IFERROR(INDEX('Campos Growths'!$L:$L,MATCH(H2252,'Campos Growths'!$A:$A,0)),""))</f>
        <v/>
      </c>
      <c r="L2252" s="7" t="str">
        <f aca="false">IF(A2252="","",IF(G2252="não","Sem tabela no Growths",IF(I2252="","Sem campo no Growths",IF(J2252=K2252,"Importa direto","Ajustar tipo"))))</f>
        <v/>
      </c>
      <c r="M2252" s="9"/>
    </row>
    <row r="2253" customFormat="false" ht="15" hidden="false" customHeight="false" outlineLevel="0" collapsed="false">
      <c r="A2253" s="7" t="str">
        <f aca="false">IF('Outro banco'!A2253="","",IF(LEFT('Outro banco'!A2253,1)="(","",'Outro banco'!A2253))</f>
        <v/>
      </c>
      <c r="B2253" s="7" t="str">
        <f aca="false">IF(A2253="","",'Outro banco'!B2253)</f>
        <v/>
      </c>
      <c r="C2253" s="7" t="str">
        <f aca="false">IF(A2253="","",'Outro banco'!C2253)</f>
        <v/>
      </c>
      <c r="D2253" s="7" t="str">
        <f aca="false">IF(A2253="","",'Outro banco'!D2253)</f>
        <v/>
      </c>
      <c r="E2253" s="9"/>
      <c r="F2253" s="9"/>
      <c r="G2253" s="7" t="str">
        <f aca="false">IF(A2253="","",IF(COUNTIF(Tabelas!$A:$A,IF(E2253="",A2253,E2253))&gt;0,"sim","não"))</f>
        <v/>
      </c>
      <c r="H2253" s="7" t="str">
        <f aca="false">IF(A2253="","",IF(E2253="",A2253,E2253)&amp;"."&amp;IF(F2253="",B2253,F2253))</f>
        <v/>
      </c>
      <c r="I2253" s="7" t="str">
        <f aca="false">IF(A2253="","",IFERROR(INDEX('Campos Growths'!$F:$F,MATCH(H2253,'Campos Growths'!$A:$A,0)),""))</f>
        <v/>
      </c>
      <c r="J2253" s="7" t="str">
        <f aca="false">IF(A2253="","",IFERROR(VLOOKUP(IF(ISNUMBER(SEARCH("(",C2253)),LEFT(C2253,SEARCH("(",C2253)-1),C2253),Tipos!$A:$B,2,FALSE()),"outro"))</f>
        <v/>
      </c>
      <c r="K2253" s="7" t="str">
        <f aca="false">IF(I2253="","",IFERROR(INDEX('Campos Growths'!$L:$L,MATCH(H2253,'Campos Growths'!$A:$A,0)),""))</f>
        <v/>
      </c>
      <c r="L2253" s="7" t="str">
        <f aca="false">IF(A2253="","",IF(G2253="não","Sem tabela no Growths",IF(I2253="","Sem campo no Growths",IF(J2253=K2253,"Importa direto","Ajustar tipo"))))</f>
        <v/>
      </c>
      <c r="M2253" s="9"/>
    </row>
    <row r="2254" customFormat="false" ht="15" hidden="false" customHeight="false" outlineLevel="0" collapsed="false">
      <c r="A2254" s="7" t="str">
        <f aca="false">IF('Outro banco'!A2254="","",IF(LEFT('Outro banco'!A2254,1)="(","",'Outro banco'!A2254))</f>
        <v/>
      </c>
      <c r="B2254" s="7" t="str">
        <f aca="false">IF(A2254="","",'Outro banco'!B2254)</f>
        <v/>
      </c>
      <c r="C2254" s="7" t="str">
        <f aca="false">IF(A2254="","",'Outro banco'!C2254)</f>
        <v/>
      </c>
      <c r="D2254" s="7" t="str">
        <f aca="false">IF(A2254="","",'Outro banco'!D2254)</f>
        <v/>
      </c>
      <c r="E2254" s="9"/>
      <c r="F2254" s="9"/>
      <c r="G2254" s="7" t="str">
        <f aca="false">IF(A2254="","",IF(COUNTIF(Tabelas!$A:$A,IF(E2254="",A2254,E2254))&gt;0,"sim","não"))</f>
        <v/>
      </c>
      <c r="H2254" s="7" t="str">
        <f aca="false">IF(A2254="","",IF(E2254="",A2254,E2254)&amp;"."&amp;IF(F2254="",B2254,F2254))</f>
        <v/>
      </c>
      <c r="I2254" s="7" t="str">
        <f aca="false">IF(A2254="","",IFERROR(INDEX('Campos Growths'!$F:$F,MATCH(H2254,'Campos Growths'!$A:$A,0)),""))</f>
        <v/>
      </c>
      <c r="J2254" s="7" t="str">
        <f aca="false">IF(A2254="","",IFERROR(VLOOKUP(IF(ISNUMBER(SEARCH("(",C2254)),LEFT(C2254,SEARCH("(",C2254)-1),C2254),Tipos!$A:$B,2,FALSE()),"outro"))</f>
        <v/>
      </c>
      <c r="K2254" s="7" t="str">
        <f aca="false">IF(I2254="","",IFERROR(INDEX('Campos Growths'!$L:$L,MATCH(H2254,'Campos Growths'!$A:$A,0)),""))</f>
        <v/>
      </c>
      <c r="L2254" s="7" t="str">
        <f aca="false">IF(A2254="","",IF(G2254="não","Sem tabela no Growths",IF(I2254="","Sem campo no Growths",IF(J2254=K2254,"Importa direto","Ajustar tipo"))))</f>
        <v/>
      </c>
      <c r="M2254" s="9"/>
    </row>
    <row r="2255" customFormat="false" ht="15" hidden="false" customHeight="false" outlineLevel="0" collapsed="false">
      <c r="A2255" s="7" t="str">
        <f aca="false">IF('Outro banco'!A2255="","",IF(LEFT('Outro banco'!A2255,1)="(","",'Outro banco'!A2255))</f>
        <v/>
      </c>
      <c r="B2255" s="7" t="str">
        <f aca="false">IF(A2255="","",'Outro banco'!B2255)</f>
        <v/>
      </c>
      <c r="C2255" s="7" t="str">
        <f aca="false">IF(A2255="","",'Outro banco'!C2255)</f>
        <v/>
      </c>
      <c r="D2255" s="7" t="str">
        <f aca="false">IF(A2255="","",'Outro banco'!D2255)</f>
        <v/>
      </c>
      <c r="E2255" s="9"/>
      <c r="F2255" s="9"/>
      <c r="G2255" s="7" t="str">
        <f aca="false">IF(A2255="","",IF(COUNTIF(Tabelas!$A:$A,IF(E2255="",A2255,E2255))&gt;0,"sim","não"))</f>
        <v/>
      </c>
      <c r="H2255" s="7" t="str">
        <f aca="false">IF(A2255="","",IF(E2255="",A2255,E2255)&amp;"."&amp;IF(F2255="",B2255,F2255))</f>
        <v/>
      </c>
      <c r="I2255" s="7" t="str">
        <f aca="false">IF(A2255="","",IFERROR(INDEX('Campos Growths'!$F:$F,MATCH(H2255,'Campos Growths'!$A:$A,0)),""))</f>
        <v/>
      </c>
      <c r="J2255" s="7" t="str">
        <f aca="false">IF(A2255="","",IFERROR(VLOOKUP(IF(ISNUMBER(SEARCH("(",C2255)),LEFT(C2255,SEARCH("(",C2255)-1),C2255),Tipos!$A:$B,2,FALSE()),"outro"))</f>
        <v/>
      </c>
      <c r="K2255" s="7" t="str">
        <f aca="false">IF(I2255="","",IFERROR(INDEX('Campos Growths'!$L:$L,MATCH(H2255,'Campos Growths'!$A:$A,0)),""))</f>
        <v/>
      </c>
      <c r="L2255" s="7" t="str">
        <f aca="false">IF(A2255="","",IF(G2255="não","Sem tabela no Growths",IF(I2255="","Sem campo no Growths",IF(J2255=K2255,"Importa direto","Ajustar tipo"))))</f>
        <v/>
      </c>
      <c r="M2255" s="9"/>
    </row>
    <row r="2256" customFormat="false" ht="15" hidden="false" customHeight="false" outlineLevel="0" collapsed="false">
      <c r="A2256" s="7" t="str">
        <f aca="false">IF('Outro banco'!A2256="","",IF(LEFT('Outro banco'!A2256,1)="(","",'Outro banco'!A2256))</f>
        <v/>
      </c>
      <c r="B2256" s="7" t="str">
        <f aca="false">IF(A2256="","",'Outro banco'!B2256)</f>
        <v/>
      </c>
      <c r="C2256" s="7" t="str">
        <f aca="false">IF(A2256="","",'Outro banco'!C2256)</f>
        <v/>
      </c>
      <c r="D2256" s="7" t="str">
        <f aca="false">IF(A2256="","",'Outro banco'!D2256)</f>
        <v/>
      </c>
      <c r="E2256" s="9"/>
      <c r="F2256" s="9"/>
      <c r="G2256" s="7" t="str">
        <f aca="false">IF(A2256="","",IF(COUNTIF(Tabelas!$A:$A,IF(E2256="",A2256,E2256))&gt;0,"sim","não"))</f>
        <v/>
      </c>
      <c r="H2256" s="7" t="str">
        <f aca="false">IF(A2256="","",IF(E2256="",A2256,E2256)&amp;"."&amp;IF(F2256="",B2256,F2256))</f>
        <v/>
      </c>
      <c r="I2256" s="7" t="str">
        <f aca="false">IF(A2256="","",IFERROR(INDEX('Campos Growths'!$F:$F,MATCH(H2256,'Campos Growths'!$A:$A,0)),""))</f>
        <v/>
      </c>
      <c r="J2256" s="7" t="str">
        <f aca="false">IF(A2256="","",IFERROR(VLOOKUP(IF(ISNUMBER(SEARCH("(",C2256)),LEFT(C2256,SEARCH("(",C2256)-1),C2256),Tipos!$A:$B,2,FALSE()),"outro"))</f>
        <v/>
      </c>
      <c r="K2256" s="7" t="str">
        <f aca="false">IF(I2256="","",IFERROR(INDEX('Campos Growths'!$L:$L,MATCH(H2256,'Campos Growths'!$A:$A,0)),""))</f>
        <v/>
      </c>
      <c r="L2256" s="7" t="str">
        <f aca="false">IF(A2256="","",IF(G2256="não","Sem tabela no Growths",IF(I2256="","Sem campo no Growths",IF(J2256=K2256,"Importa direto","Ajustar tipo"))))</f>
        <v/>
      </c>
      <c r="M2256" s="9"/>
    </row>
    <row r="2257" customFormat="false" ht="15" hidden="false" customHeight="false" outlineLevel="0" collapsed="false">
      <c r="A2257" s="7" t="str">
        <f aca="false">IF('Outro banco'!A2257="","",IF(LEFT('Outro banco'!A2257,1)="(","",'Outro banco'!A2257))</f>
        <v/>
      </c>
      <c r="B2257" s="7" t="str">
        <f aca="false">IF(A2257="","",'Outro banco'!B2257)</f>
        <v/>
      </c>
      <c r="C2257" s="7" t="str">
        <f aca="false">IF(A2257="","",'Outro banco'!C2257)</f>
        <v/>
      </c>
      <c r="D2257" s="7" t="str">
        <f aca="false">IF(A2257="","",'Outro banco'!D2257)</f>
        <v/>
      </c>
      <c r="E2257" s="9"/>
      <c r="F2257" s="9"/>
      <c r="G2257" s="7" t="str">
        <f aca="false">IF(A2257="","",IF(COUNTIF(Tabelas!$A:$A,IF(E2257="",A2257,E2257))&gt;0,"sim","não"))</f>
        <v/>
      </c>
      <c r="H2257" s="7" t="str">
        <f aca="false">IF(A2257="","",IF(E2257="",A2257,E2257)&amp;"."&amp;IF(F2257="",B2257,F2257))</f>
        <v/>
      </c>
      <c r="I2257" s="7" t="str">
        <f aca="false">IF(A2257="","",IFERROR(INDEX('Campos Growths'!$F:$F,MATCH(H2257,'Campos Growths'!$A:$A,0)),""))</f>
        <v/>
      </c>
      <c r="J2257" s="7" t="str">
        <f aca="false">IF(A2257="","",IFERROR(VLOOKUP(IF(ISNUMBER(SEARCH("(",C2257)),LEFT(C2257,SEARCH("(",C2257)-1),C2257),Tipos!$A:$B,2,FALSE()),"outro"))</f>
        <v/>
      </c>
      <c r="K2257" s="7" t="str">
        <f aca="false">IF(I2257="","",IFERROR(INDEX('Campos Growths'!$L:$L,MATCH(H2257,'Campos Growths'!$A:$A,0)),""))</f>
        <v/>
      </c>
      <c r="L2257" s="7" t="str">
        <f aca="false">IF(A2257="","",IF(G2257="não","Sem tabela no Growths",IF(I2257="","Sem campo no Growths",IF(J2257=K2257,"Importa direto","Ajustar tipo"))))</f>
        <v/>
      </c>
      <c r="M2257" s="9"/>
    </row>
    <row r="2258" customFormat="false" ht="15" hidden="false" customHeight="false" outlineLevel="0" collapsed="false">
      <c r="A2258" s="7" t="str">
        <f aca="false">IF('Outro banco'!A2258="","",IF(LEFT('Outro banco'!A2258,1)="(","",'Outro banco'!A2258))</f>
        <v/>
      </c>
      <c r="B2258" s="7" t="str">
        <f aca="false">IF(A2258="","",'Outro banco'!B2258)</f>
        <v/>
      </c>
      <c r="C2258" s="7" t="str">
        <f aca="false">IF(A2258="","",'Outro banco'!C2258)</f>
        <v/>
      </c>
      <c r="D2258" s="7" t="str">
        <f aca="false">IF(A2258="","",'Outro banco'!D2258)</f>
        <v/>
      </c>
      <c r="E2258" s="9"/>
      <c r="F2258" s="9"/>
      <c r="G2258" s="7" t="str">
        <f aca="false">IF(A2258="","",IF(COUNTIF(Tabelas!$A:$A,IF(E2258="",A2258,E2258))&gt;0,"sim","não"))</f>
        <v/>
      </c>
      <c r="H2258" s="7" t="str">
        <f aca="false">IF(A2258="","",IF(E2258="",A2258,E2258)&amp;"."&amp;IF(F2258="",B2258,F2258))</f>
        <v/>
      </c>
      <c r="I2258" s="7" t="str">
        <f aca="false">IF(A2258="","",IFERROR(INDEX('Campos Growths'!$F:$F,MATCH(H2258,'Campos Growths'!$A:$A,0)),""))</f>
        <v/>
      </c>
      <c r="J2258" s="7" t="str">
        <f aca="false">IF(A2258="","",IFERROR(VLOOKUP(IF(ISNUMBER(SEARCH("(",C2258)),LEFT(C2258,SEARCH("(",C2258)-1),C2258),Tipos!$A:$B,2,FALSE()),"outro"))</f>
        <v/>
      </c>
      <c r="K2258" s="7" t="str">
        <f aca="false">IF(I2258="","",IFERROR(INDEX('Campos Growths'!$L:$L,MATCH(H2258,'Campos Growths'!$A:$A,0)),""))</f>
        <v/>
      </c>
      <c r="L2258" s="7" t="str">
        <f aca="false">IF(A2258="","",IF(G2258="não","Sem tabela no Growths",IF(I2258="","Sem campo no Growths",IF(J2258=K2258,"Importa direto","Ajustar tipo"))))</f>
        <v/>
      </c>
      <c r="M2258" s="9"/>
    </row>
    <row r="2259" customFormat="false" ht="15" hidden="false" customHeight="false" outlineLevel="0" collapsed="false">
      <c r="A2259" s="7" t="str">
        <f aca="false">IF('Outro banco'!A2259="","",IF(LEFT('Outro banco'!A2259,1)="(","",'Outro banco'!A2259))</f>
        <v/>
      </c>
      <c r="B2259" s="7" t="str">
        <f aca="false">IF(A2259="","",'Outro banco'!B2259)</f>
        <v/>
      </c>
      <c r="C2259" s="7" t="str">
        <f aca="false">IF(A2259="","",'Outro banco'!C2259)</f>
        <v/>
      </c>
      <c r="D2259" s="7" t="str">
        <f aca="false">IF(A2259="","",'Outro banco'!D2259)</f>
        <v/>
      </c>
      <c r="E2259" s="9"/>
      <c r="F2259" s="9"/>
      <c r="G2259" s="7" t="str">
        <f aca="false">IF(A2259="","",IF(COUNTIF(Tabelas!$A:$A,IF(E2259="",A2259,E2259))&gt;0,"sim","não"))</f>
        <v/>
      </c>
      <c r="H2259" s="7" t="str">
        <f aca="false">IF(A2259="","",IF(E2259="",A2259,E2259)&amp;"."&amp;IF(F2259="",B2259,F2259))</f>
        <v/>
      </c>
      <c r="I2259" s="7" t="str">
        <f aca="false">IF(A2259="","",IFERROR(INDEX('Campos Growths'!$F:$F,MATCH(H2259,'Campos Growths'!$A:$A,0)),""))</f>
        <v/>
      </c>
      <c r="J2259" s="7" t="str">
        <f aca="false">IF(A2259="","",IFERROR(VLOOKUP(IF(ISNUMBER(SEARCH("(",C2259)),LEFT(C2259,SEARCH("(",C2259)-1),C2259),Tipos!$A:$B,2,FALSE()),"outro"))</f>
        <v/>
      </c>
      <c r="K2259" s="7" t="str">
        <f aca="false">IF(I2259="","",IFERROR(INDEX('Campos Growths'!$L:$L,MATCH(H2259,'Campos Growths'!$A:$A,0)),""))</f>
        <v/>
      </c>
      <c r="L2259" s="7" t="str">
        <f aca="false">IF(A2259="","",IF(G2259="não","Sem tabela no Growths",IF(I2259="","Sem campo no Growths",IF(J2259=K2259,"Importa direto","Ajustar tipo"))))</f>
        <v/>
      </c>
      <c r="M2259" s="9"/>
    </row>
    <row r="2260" customFormat="false" ht="15" hidden="false" customHeight="false" outlineLevel="0" collapsed="false">
      <c r="A2260" s="7" t="str">
        <f aca="false">IF('Outro banco'!A2260="","",IF(LEFT('Outro banco'!A2260,1)="(","",'Outro banco'!A2260))</f>
        <v/>
      </c>
      <c r="B2260" s="7" t="str">
        <f aca="false">IF(A2260="","",'Outro banco'!B2260)</f>
        <v/>
      </c>
      <c r="C2260" s="7" t="str">
        <f aca="false">IF(A2260="","",'Outro banco'!C2260)</f>
        <v/>
      </c>
      <c r="D2260" s="7" t="str">
        <f aca="false">IF(A2260="","",'Outro banco'!D2260)</f>
        <v/>
      </c>
      <c r="E2260" s="9"/>
      <c r="F2260" s="9"/>
      <c r="G2260" s="7" t="str">
        <f aca="false">IF(A2260="","",IF(COUNTIF(Tabelas!$A:$A,IF(E2260="",A2260,E2260))&gt;0,"sim","não"))</f>
        <v/>
      </c>
      <c r="H2260" s="7" t="str">
        <f aca="false">IF(A2260="","",IF(E2260="",A2260,E2260)&amp;"."&amp;IF(F2260="",B2260,F2260))</f>
        <v/>
      </c>
      <c r="I2260" s="7" t="str">
        <f aca="false">IF(A2260="","",IFERROR(INDEX('Campos Growths'!$F:$F,MATCH(H2260,'Campos Growths'!$A:$A,0)),""))</f>
        <v/>
      </c>
      <c r="J2260" s="7" t="str">
        <f aca="false">IF(A2260="","",IFERROR(VLOOKUP(IF(ISNUMBER(SEARCH("(",C2260)),LEFT(C2260,SEARCH("(",C2260)-1),C2260),Tipos!$A:$B,2,FALSE()),"outro"))</f>
        <v/>
      </c>
      <c r="K2260" s="7" t="str">
        <f aca="false">IF(I2260="","",IFERROR(INDEX('Campos Growths'!$L:$L,MATCH(H2260,'Campos Growths'!$A:$A,0)),""))</f>
        <v/>
      </c>
      <c r="L2260" s="7" t="str">
        <f aca="false">IF(A2260="","",IF(G2260="não","Sem tabela no Growths",IF(I2260="","Sem campo no Growths",IF(J2260=K2260,"Importa direto","Ajustar tipo"))))</f>
        <v/>
      </c>
      <c r="M2260" s="9"/>
    </row>
    <row r="2261" customFormat="false" ht="15" hidden="false" customHeight="false" outlineLevel="0" collapsed="false">
      <c r="A2261" s="7" t="str">
        <f aca="false">IF('Outro banco'!A2261="","",IF(LEFT('Outro banco'!A2261,1)="(","",'Outro banco'!A2261))</f>
        <v/>
      </c>
      <c r="B2261" s="7" t="str">
        <f aca="false">IF(A2261="","",'Outro banco'!B2261)</f>
        <v/>
      </c>
      <c r="C2261" s="7" t="str">
        <f aca="false">IF(A2261="","",'Outro banco'!C2261)</f>
        <v/>
      </c>
      <c r="D2261" s="7" t="str">
        <f aca="false">IF(A2261="","",'Outro banco'!D2261)</f>
        <v/>
      </c>
      <c r="E2261" s="9"/>
      <c r="F2261" s="9"/>
      <c r="G2261" s="7" t="str">
        <f aca="false">IF(A2261="","",IF(COUNTIF(Tabelas!$A:$A,IF(E2261="",A2261,E2261))&gt;0,"sim","não"))</f>
        <v/>
      </c>
      <c r="H2261" s="7" t="str">
        <f aca="false">IF(A2261="","",IF(E2261="",A2261,E2261)&amp;"."&amp;IF(F2261="",B2261,F2261))</f>
        <v/>
      </c>
      <c r="I2261" s="7" t="str">
        <f aca="false">IF(A2261="","",IFERROR(INDEX('Campos Growths'!$F:$F,MATCH(H2261,'Campos Growths'!$A:$A,0)),""))</f>
        <v/>
      </c>
      <c r="J2261" s="7" t="str">
        <f aca="false">IF(A2261="","",IFERROR(VLOOKUP(IF(ISNUMBER(SEARCH("(",C2261)),LEFT(C2261,SEARCH("(",C2261)-1),C2261),Tipos!$A:$B,2,FALSE()),"outro"))</f>
        <v/>
      </c>
      <c r="K2261" s="7" t="str">
        <f aca="false">IF(I2261="","",IFERROR(INDEX('Campos Growths'!$L:$L,MATCH(H2261,'Campos Growths'!$A:$A,0)),""))</f>
        <v/>
      </c>
      <c r="L2261" s="7" t="str">
        <f aca="false">IF(A2261="","",IF(G2261="não","Sem tabela no Growths",IF(I2261="","Sem campo no Growths",IF(J2261=K2261,"Importa direto","Ajustar tipo"))))</f>
        <v/>
      </c>
      <c r="M2261" s="9"/>
    </row>
    <row r="2262" customFormat="false" ht="15" hidden="false" customHeight="false" outlineLevel="0" collapsed="false">
      <c r="A2262" s="7" t="str">
        <f aca="false">IF('Outro banco'!A2262="","",IF(LEFT('Outro banco'!A2262,1)="(","",'Outro banco'!A2262))</f>
        <v/>
      </c>
      <c r="B2262" s="7" t="str">
        <f aca="false">IF(A2262="","",'Outro banco'!B2262)</f>
        <v/>
      </c>
      <c r="C2262" s="7" t="str">
        <f aca="false">IF(A2262="","",'Outro banco'!C2262)</f>
        <v/>
      </c>
      <c r="D2262" s="7" t="str">
        <f aca="false">IF(A2262="","",'Outro banco'!D2262)</f>
        <v/>
      </c>
      <c r="E2262" s="9"/>
      <c r="F2262" s="9"/>
      <c r="G2262" s="7" t="str">
        <f aca="false">IF(A2262="","",IF(COUNTIF(Tabelas!$A:$A,IF(E2262="",A2262,E2262))&gt;0,"sim","não"))</f>
        <v/>
      </c>
      <c r="H2262" s="7" t="str">
        <f aca="false">IF(A2262="","",IF(E2262="",A2262,E2262)&amp;"."&amp;IF(F2262="",B2262,F2262))</f>
        <v/>
      </c>
      <c r="I2262" s="7" t="str">
        <f aca="false">IF(A2262="","",IFERROR(INDEX('Campos Growths'!$F:$F,MATCH(H2262,'Campos Growths'!$A:$A,0)),""))</f>
        <v/>
      </c>
      <c r="J2262" s="7" t="str">
        <f aca="false">IF(A2262="","",IFERROR(VLOOKUP(IF(ISNUMBER(SEARCH("(",C2262)),LEFT(C2262,SEARCH("(",C2262)-1),C2262),Tipos!$A:$B,2,FALSE()),"outro"))</f>
        <v/>
      </c>
      <c r="K2262" s="7" t="str">
        <f aca="false">IF(I2262="","",IFERROR(INDEX('Campos Growths'!$L:$L,MATCH(H2262,'Campos Growths'!$A:$A,0)),""))</f>
        <v/>
      </c>
      <c r="L2262" s="7" t="str">
        <f aca="false">IF(A2262="","",IF(G2262="não","Sem tabela no Growths",IF(I2262="","Sem campo no Growths",IF(J2262=K2262,"Importa direto","Ajustar tipo"))))</f>
        <v/>
      </c>
      <c r="M2262" s="9"/>
    </row>
    <row r="2263" customFormat="false" ht="15" hidden="false" customHeight="false" outlineLevel="0" collapsed="false">
      <c r="A2263" s="7" t="str">
        <f aca="false">IF('Outro banco'!A2263="","",IF(LEFT('Outro banco'!A2263,1)="(","",'Outro banco'!A2263))</f>
        <v/>
      </c>
      <c r="B2263" s="7" t="str">
        <f aca="false">IF(A2263="","",'Outro banco'!B2263)</f>
        <v/>
      </c>
      <c r="C2263" s="7" t="str">
        <f aca="false">IF(A2263="","",'Outro banco'!C2263)</f>
        <v/>
      </c>
      <c r="D2263" s="7" t="str">
        <f aca="false">IF(A2263="","",'Outro banco'!D2263)</f>
        <v/>
      </c>
      <c r="E2263" s="9"/>
      <c r="F2263" s="9"/>
      <c r="G2263" s="7" t="str">
        <f aca="false">IF(A2263="","",IF(COUNTIF(Tabelas!$A:$A,IF(E2263="",A2263,E2263))&gt;0,"sim","não"))</f>
        <v/>
      </c>
      <c r="H2263" s="7" t="str">
        <f aca="false">IF(A2263="","",IF(E2263="",A2263,E2263)&amp;"."&amp;IF(F2263="",B2263,F2263))</f>
        <v/>
      </c>
      <c r="I2263" s="7" t="str">
        <f aca="false">IF(A2263="","",IFERROR(INDEX('Campos Growths'!$F:$F,MATCH(H2263,'Campos Growths'!$A:$A,0)),""))</f>
        <v/>
      </c>
      <c r="J2263" s="7" t="str">
        <f aca="false">IF(A2263="","",IFERROR(VLOOKUP(IF(ISNUMBER(SEARCH("(",C2263)),LEFT(C2263,SEARCH("(",C2263)-1),C2263),Tipos!$A:$B,2,FALSE()),"outro"))</f>
        <v/>
      </c>
      <c r="K2263" s="7" t="str">
        <f aca="false">IF(I2263="","",IFERROR(INDEX('Campos Growths'!$L:$L,MATCH(H2263,'Campos Growths'!$A:$A,0)),""))</f>
        <v/>
      </c>
      <c r="L2263" s="7" t="str">
        <f aca="false">IF(A2263="","",IF(G2263="não","Sem tabela no Growths",IF(I2263="","Sem campo no Growths",IF(J2263=K2263,"Importa direto","Ajustar tipo"))))</f>
        <v/>
      </c>
      <c r="M2263" s="9"/>
    </row>
    <row r="2264" customFormat="false" ht="15" hidden="false" customHeight="false" outlineLevel="0" collapsed="false">
      <c r="A2264" s="7" t="str">
        <f aca="false">IF('Outro banco'!A2264="","",IF(LEFT('Outro banco'!A2264,1)="(","",'Outro banco'!A2264))</f>
        <v/>
      </c>
      <c r="B2264" s="7" t="str">
        <f aca="false">IF(A2264="","",'Outro banco'!B2264)</f>
        <v/>
      </c>
      <c r="C2264" s="7" t="str">
        <f aca="false">IF(A2264="","",'Outro banco'!C2264)</f>
        <v/>
      </c>
      <c r="D2264" s="7" t="str">
        <f aca="false">IF(A2264="","",'Outro banco'!D2264)</f>
        <v/>
      </c>
      <c r="E2264" s="9"/>
      <c r="F2264" s="9"/>
      <c r="G2264" s="7" t="str">
        <f aca="false">IF(A2264="","",IF(COUNTIF(Tabelas!$A:$A,IF(E2264="",A2264,E2264))&gt;0,"sim","não"))</f>
        <v/>
      </c>
      <c r="H2264" s="7" t="str">
        <f aca="false">IF(A2264="","",IF(E2264="",A2264,E2264)&amp;"."&amp;IF(F2264="",B2264,F2264))</f>
        <v/>
      </c>
      <c r="I2264" s="7" t="str">
        <f aca="false">IF(A2264="","",IFERROR(INDEX('Campos Growths'!$F:$F,MATCH(H2264,'Campos Growths'!$A:$A,0)),""))</f>
        <v/>
      </c>
      <c r="J2264" s="7" t="str">
        <f aca="false">IF(A2264="","",IFERROR(VLOOKUP(IF(ISNUMBER(SEARCH("(",C2264)),LEFT(C2264,SEARCH("(",C2264)-1),C2264),Tipos!$A:$B,2,FALSE()),"outro"))</f>
        <v/>
      </c>
      <c r="K2264" s="7" t="str">
        <f aca="false">IF(I2264="","",IFERROR(INDEX('Campos Growths'!$L:$L,MATCH(H2264,'Campos Growths'!$A:$A,0)),""))</f>
        <v/>
      </c>
      <c r="L2264" s="7" t="str">
        <f aca="false">IF(A2264="","",IF(G2264="não","Sem tabela no Growths",IF(I2264="","Sem campo no Growths",IF(J2264=K2264,"Importa direto","Ajustar tipo"))))</f>
        <v/>
      </c>
      <c r="M2264" s="9"/>
    </row>
    <row r="2265" customFormat="false" ht="15" hidden="false" customHeight="false" outlineLevel="0" collapsed="false">
      <c r="A2265" s="7" t="str">
        <f aca="false">IF('Outro banco'!A2265="","",IF(LEFT('Outro banco'!A2265,1)="(","",'Outro banco'!A2265))</f>
        <v/>
      </c>
      <c r="B2265" s="7" t="str">
        <f aca="false">IF(A2265="","",'Outro banco'!B2265)</f>
        <v/>
      </c>
      <c r="C2265" s="7" t="str">
        <f aca="false">IF(A2265="","",'Outro banco'!C2265)</f>
        <v/>
      </c>
      <c r="D2265" s="7" t="str">
        <f aca="false">IF(A2265="","",'Outro banco'!D2265)</f>
        <v/>
      </c>
      <c r="E2265" s="9"/>
      <c r="F2265" s="9"/>
      <c r="G2265" s="7" t="str">
        <f aca="false">IF(A2265="","",IF(COUNTIF(Tabelas!$A:$A,IF(E2265="",A2265,E2265))&gt;0,"sim","não"))</f>
        <v/>
      </c>
      <c r="H2265" s="7" t="str">
        <f aca="false">IF(A2265="","",IF(E2265="",A2265,E2265)&amp;"."&amp;IF(F2265="",B2265,F2265))</f>
        <v/>
      </c>
      <c r="I2265" s="7" t="str">
        <f aca="false">IF(A2265="","",IFERROR(INDEX('Campos Growths'!$F:$F,MATCH(H2265,'Campos Growths'!$A:$A,0)),""))</f>
        <v/>
      </c>
      <c r="J2265" s="7" t="str">
        <f aca="false">IF(A2265="","",IFERROR(VLOOKUP(IF(ISNUMBER(SEARCH("(",C2265)),LEFT(C2265,SEARCH("(",C2265)-1),C2265),Tipos!$A:$B,2,FALSE()),"outro"))</f>
        <v/>
      </c>
      <c r="K2265" s="7" t="str">
        <f aca="false">IF(I2265="","",IFERROR(INDEX('Campos Growths'!$L:$L,MATCH(H2265,'Campos Growths'!$A:$A,0)),""))</f>
        <v/>
      </c>
      <c r="L2265" s="7" t="str">
        <f aca="false">IF(A2265="","",IF(G2265="não","Sem tabela no Growths",IF(I2265="","Sem campo no Growths",IF(J2265=K2265,"Importa direto","Ajustar tipo"))))</f>
        <v/>
      </c>
      <c r="M2265" s="9"/>
    </row>
    <row r="2266" customFormat="false" ht="15" hidden="false" customHeight="false" outlineLevel="0" collapsed="false">
      <c r="A2266" s="7" t="str">
        <f aca="false">IF('Outro banco'!A2266="","",IF(LEFT('Outro banco'!A2266,1)="(","",'Outro banco'!A2266))</f>
        <v/>
      </c>
      <c r="B2266" s="7" t="str">
        <f aca="false">IF(A2266="","",'Outro banco'!B2266)</f>
        <v/>
      </c>
      <c r="C2266" s="7" t="str">
        <f aca="false">IF(A2266="","",'Outro banco'!C2266)</f>
        <v/>
      </c>
      <c r="D2266" s="7" t="str">
        <f aca="false">IF(A2266="","",'Outro banco'!D2266)</f>
        <v/>
      </c>
      <c r="E2266" s="9"/>
      <c r="F2266" s="9"/>
      <c r="G2266" s="7" t="str">
        <f aca="false">IF(A2266="","",IF(COUNTIF(Tabelas!$A:$A,IF(E2266="",A2266,E2266))&gt;0,"sim","não"))</f>
        <v/>
      </c>
      <c r="H2266" s="7" t="str">
        <f aca="false">IF(A2266="","",IF(E2266="",A2266,E2266)&amp;"."&amp;IF(F2266="",B2266,F2266))</f>
        <v/>
      </c>
      <c r="I2266" s="7" t="str">
        <f aca="false">IF(A2266="","",IFERROR(INDEX('Campos Growths'!$F:$F,MATCH(H2266,'Campos Growths'!$A:$A,0)),""))</f>
        <v/>
      </c>
      <c r="J2266" s="7" t="str">
        <f aca="false">IF(A2266="","",IFERROR(VLOOKUP(IF(ISNUMBER(SEARCH("(",C2266)),LEFT(C2266,SEARCH("(",C2266)-1),C2266),Tipos!$A:$B,2,FALSE()),"outro"))</f>
        <v/>
      </c>
      <c r="K2266" s="7" t="str">
        <f aca="false">IF(I2266="","",IFERROR(INDEX('Campos Growths'!$L:$L,MATCH(H2266,'Campos Growths'!$A:$A,0)),""))</f>
        <v/>
      </c>
      <c r="L2266" s="7" t="str">
        <f aca="false">IF(A2266="","",IF(G2266="não","Sem tabela no Growths",IF(I2266="","Sem campo no Growths",IF(J2266=K2266,"Importa direto","Ajustar tipo"))))</f>
        <v/>
      </c>
      <c r="M2266" s="9"/>
    </row>
    <row r="2267" customFormat="false" ht="15" hidden="false" customHeight="false" outlineLevel="0" collapsed="false">
      <c r="A2267" s="7" t="str">
        <f aca="false">IF('Outro banco'!A2267="","",IF(LEFT('Outro banco'!A2267,1)="(","",'Outro banco'!A2267))</f>
        <v/>
      </c>
      <c r="B2267" s="7" t="str">
        <f aca="false">IF(A2267="","",'Outro banco'!B2267)</f>
        <v/>
      </c>
      <c r="C2267" s="7" t="str">
        <f aca="false">IF(A2267="","",'Outro banco'!C2267)</f>
        <v/>
      </c>
      <c r="D2267" s="7" t="str">
        <f aca="false">IF(A2267="","",'Outro banco'!D2267)</f>
        <v/>
      </c>
      <c r="E2267" s="9"/>
      <c r="F2267" s="9"/>
      <c r="G2267" s="7" t="str">
        <f aca="false">IF(A2267="","",IF(COUNTIF(Tabelas!$A:$A,IF(E2267="",A2267,E2267))&gt;0,"sim","não"))</f>
        <v/>
      </c>
      <c r="H2267" s="7" t="str">
        <f aca="false">IF(A2267="","",IF(E2267="",A2267,E2267)&amp;"."&amp;IF(F2267="",B2267,F2267))</f>
        <v/>
      </c>
      <c r="I2267" s="7" t="str">
        <f aca="false">IF(A2267="","",IFERROR(INDEX('Campos Growths'!$F:$F,MATCH(H2267,'Campos Growths'!$A:$A,0)),""))</f>
        <v/>
      </c>
      <c r="J2267" s="7" t="str">
        <f aca="false">IF(A2267="","",IFERROR(VLOOKUP(IF(ISNUMBER(SEARCH("(",C2267)),LEFT(C2267,SEARCH("(",C2267)-1),C2267),Tipos!$A:$B,2,FALSE()),"outro"))</f>
        <v/>
      </c>
      <c r="K2267" s="7" t="str">
        <f aca="false">IF(I2267="","",IFERROR(INDEX('Campos Growths'!$L:$L,MATCH(H2267,'Campos Growths'!$A:$A,0)),""))</f>
        <v/>
      </c>
      <c r="L2267" s="7" t="str">
        <f aca="false">IF(A2267="","",IF(G2267="não","Sem tabela no Growths",IF(I2267="","Sem campo no Growths",IF(J2267=K2267,"Importa direto","Ajustar tipo"))))</f>
        <v/>
      </c>
      <c r="M2267" s="9"/>
    </row>
    <row r="2268" customFormat="false" ht="15" hidden="false" customHeight="false" outlineLevel="0" collapsed="false">
      <c r="A2268" s="7" t="str">
        <f aca="false">IF('Outro banco'!A2268="","",IF(LEFT('Outro banco'!A2268,1)="(","",'Outro banco'!A2268))</f>
        <v/>
      </c>
      <c r="B2268" s="7" t="str">
        <f aca="false">IF(A2268="","",'Outro banco'!B2268)</f>
        <v/>
      </c>
      <c r="C2268" s="7" t="str">
        <f aca="false">IF(A2268="","",'Outro banco'!C2268)</f>
        <v/>
      </c>
      <c r="D2268" s="7" t="str">
        <f aca="false">IF(A2268="","",'Outro banco'!D2268)</f>
        <v/>
      </c>
      <c r="E2268" s="9"/>
      <c r="F2268" s="9"/>
      <c r="G2268" s="7" t="str">
        <f aca="false">IF(A2268="","",IF(COUNTIF(Tabelas!$A:$A,IF(E2268="",A2268,E2268))&gt;0,"sim","não"))</f>
        <v/>
      </c>
      <c r="H2268" s="7" t="str">
        <f aca="false">IF(A2268="","",IF(E2268="",A2268,E2268)&amp;"."&amp;IF(F2268="",B2268,F2268))</f>
        <v/>
      </c>
      <c r="I2268" s="7" t="str">
        <f aca="false">IF(A2268="","",IFERROR(INDEX('Campos Growths'!$F:$F,MATCH(H2268,'Campos Growths'!$A:$A,0)),""))</f>
        <v/>
      </c>
      <c r="J2268" s="7" t="str">
        <f aca="false">IF(A2268="","",IFERROR(VLOOKUP(IF(ISNUMBER(SEARCH("(",C2268)),LEFT(C2268,SEARCH("(",C2268)-1),C2268),Tipos!$A:$B,2,FALSE()),"outro"))</f>
        <v/>
      </c>
      <c r="K2268" s="7" t="str">
        <f aca="false">IF(I2268="","",IFERROR(INDEX('Campos Growths'!$L:$L,MATCH(H2268,'Campos Growths'!$A:$A,0)),""))</f>
        <v/>
      </c>
      <c r="L2268" s="7" t="str">
        <f aca="false">IF(A2268="","",IF(G2268="não","Sem tabela no Growths",IF(I2268="","Sem campo no Growths",IF(J2268=K2268,"Importa direto","Ajustar tipo"))))</f>
        <v/>
      </c>
      <c r="M2268" s="9"/>
    </row>
    <row r="2269" customFormat="false" ht="15" hidden="false" customHeight="false" outlineLevel="0" collapsed="false">
      <c r="A2269" s="7" t="str">
        <f aca="false">IF('Outro banco'!A2269="","",IF(LEFT('Outro banco'!A2269,1)="(","",'Outro banco'!A2269))</f>
        <v/>
      </c>
      <c r="B2269" s="7" t="str">
        <f aca="false">IF(A2269="","",'Outro banco'!B2269)</f>
        <v/>
      </c>
      <c r="C2269" s="7" t="str">
        <f aca="false">IF(A2269="","",'Outro banco'!C2269)</f>
        <v/>
      </c>
      <c r="D2269" s="7" t="str">
        <f aca="false">IF(A2269="","",'Outro banco'!D2269)</f>
        <v/>
      </c>
      <c r="E2269" s="9"/>
      <c r="F2269" s="9"/>
      <c r="G2269" s="7" t="str">
        <f aca="false">IF(A2269="","",IF(COUNTIF(Tabelas!$A:$A,IF(E2269="",A2269,E2269))&gt;0,"sim","não"))</f>
        <v/>
      </c>
      <c r="H2269" s="7" t="str">
        <f aca="false">IF(A2269="","",IF(E2269="",A2269,E2269)&amp;"."&amp;IF(F2269="",B2269,F2269))</f>
        <v/>
      </c>
      <c r="I2269" s="7" t="str">
        <f aca="false">IF(A2269="","",IFERROR(INDEX('Campos Growths'!$F:$F,MATCH(H2269,'Campos Growths'!$A:$A,0)),""))</f>
        <v/>
      </c>
      <c r="J2269" s="7" t="str">
        <f aca="false">IF(A2269="","",IFERROR(VLOOKUP(IF(ISNUMBER(SEARCH("(",C2269)),LEFT(C2269,SEARCH("(",C2269)-1),C2269),Tipos!$A:$B,2,FALSE()),"outro"))</f>
        <v/>
      </c>
      <c r="K2269" s="7" t="str">
        <f aca="false">IF(I2269="","",IFERROR(INDEX('Campos Growths'!$L:$L,MATCH(H2269,'Campos Growths'!$A:$A,0)),""))</f>
        <v/>
      </c>
      <c r="L2269" s="7" t="str">
        <f aca="false">IF(A2269="","",IF(G2269="não","Sem tabela no Growths",IF(I2269="","Sem campo no Growths",IF(J2269=K2269,"Importa direto","Ajustar tipo"))))</f>
        <v/>
      </c>
      <c r="M2269" s="9"/>
    </row>
    <row r="2270" customFormat="false" ht="15" hidden="false" customHeight="false" outlineLevel="0" collapsed="false">
      <c r="A2270" s="7" t="str">
        <f aca="false">IF('Outro banco'!A2270="","",IF(LEFT('Outro banco'!A2270,1)="(","",'Outro banco'!A2270))</f>
        <v/>
      </c>
      <c r="B2270" s="7" t="str">
        <f aca="false">IF(A2270="","",'Outro banco'!B2270)</f>
        <v/>
      </c>
      <c r="C2270" s="7" t="str">
        <f aca="false">IF(A2270="","",'Outro banco'!C2270)</f>
        <v/>
      </c>
      <c r="D2270" s="7" t="str">
        <f aca="false">IF(A2270="","",'Outro banco'!D2270)</f>
        <v/>
      </c>
      <c r="E2270" s="9"/>
      <c r="F2270" s="9"/>
      <c r="G2270" s="7" t="str">
        <f aca="false">IF(A2270="","",IF(COUNTIF(Tabelas!$A:$A,IF(E2270="",A2270,E2270))&gt;0,"sim","não"))</f>
        <v/>
      </c>
      <c r="H2270" s="7" t="str">
        <f aca="false">IF(A2270="","",IF(E2270="",A2270,E2270)&amp;"."&amp;IF(F2270="",B2270,F2270))</f>
        <v/>
      </c>
      <c r="I2270" s="7" t="str">
        <f aca="false">IF(A2270="","",IFERROR(INDEX('Campos Growths'!$F:$F,MATCH(H2270,'Campos Growths'!$A:$A,0)),""))</f>
        <v/>
      </c>
      <c r="J2270" s="7" t="str">
        <f aca="false">IF(A2270="","",IFERROR(VLOOKUP(IF(ISNUMBER(SEARCH("(",C2270)),LEFT(C2270,SEARCH("(",C2270)-1),C2270),Tipos!$A:$B,2,FALSE()),"outro"))</f>
        <v/>
      </c>
      <c r="K2270" s="7" t="str">
        <f aca="false">IF(I2270="","",IFERROR(INDEX('Campos Growths'!$L:$L,MATCH(H2270,'Campos Growths'!$A:$A,0)),""))</f>
        <v/>
      </c>
      <c r="L2270" s="7" t="str">
        <f aca="false">IF(A2270="","",IF(G2270="não","Sem tabela no Growths",IF(I2270="","Sem campo no Growths",IF(J2270=K2270,"Importa direto","Ajustar tipo"))))</f>
        <v/>
      </c>
      <c r="M2270" s="9"/>
    </row>
    <row r="2271" customFormat="false" ht="15" hidden="false" customHeight="false" outlineLevel="0" collapsed="false">
      <c r="A2271" s="7" t="str">
        <f aca="false">IF('Outro banco'!A2271="","",IF(LEFT('Outro banco'!A2271,1)="(","",'Outro banco'!A2271))</f>
        <v/>
      </c>
      <c r="B2271" s="7" t="str">
        <f aca="false">IF(A2271="","",'Outro banco'!B2271)</f>
        <v/>
      </c>
      <c r="C2271" s="7" t="str">
        <f aca="false">IF(A2271="","",'Outro banco'!C2271)</f>
        <v/>
      </c>
      <c r="D2271" s="7" t="str">
        <f aca="false">IF(A2271="","",'Outro banco'!D2271)</f>
        <v/>
      </c>
      <c r="E2271" s="9"/>
      <c r="F2271" s="9"/>
      <c r="G2271" s="7" t="str">
        <f aca="false">IF(A2271="","",IF(COUNTIF(Tabelas!$A:$A,IF(E2271="",A2271,E2271))&gt;0,"sim","não"))</f>
        <v/>
      </c>
      <c r="H2271" s="7" t="str">
        <f aca="false">IF(A2271="","",IF(E2271="",A2271,E2271)&amp;"."&amp;IF(F2271="",B2271,F2271))</f>
        <v/>
      </c>
      <c r="I2271" s="7" t="str">
        <f aca="false">IF(A2271="","",IFERROR(INDEX('Campos Growths'!$F:$F,MATCH(H2271,'Campos Growths'!$A:$A,0)),""))</f>
        <v/>
      </c>
      <c r="J2271" s="7" t="str">
        <f aca="false">IF(A2271="","",IFERROR(VLOOKUP(IF(ISNUMBER(SEARCH("(",C2271)),LEFT(C2271,SEARCH("(",C2271)-1),C2271),Tipos!$A:$B,2,FALSE()),"outro"))</f>
        <v/>
      </c>
      <c r="K2271" s="7" t="str">
        <f aca="false">IF(I2271="","",IFERROR(INDEX('Campos Growths'!$L:$L,MATCH(H2271,'Campos Growths'!$A:$A,0)),""))</f>
        <v/>
      </c>
      <c r="L2271" s="7" t="str">
        <f aca="false">IF(A2271="","",IF(G2271="não","Sem tabela no Growths",IF(I2271="","Sem campo no Growths",IF(J2271=K2271,"Importa direto","Ajustar tipo"))))</f>
        <v/>
      </c>
      <c r="M2271" s="9"/>
    </row>
    <row r="2272" customFormat="false" ht="15" hidden="false" customHeight="false" outlineLevel="0" collapsed="false">
      <c r="A2272" s="7" t="str">
        <f aca="false">IF('Outro banco'!A2272="","",IF(LEFT('Outro banco'!A2272,1)="(","",'Outro banco'!A2272))</f>
        <v/>
      </c>
      <c r="B2272" s="7" t="str">
        <f aca="false">IF(A2272="","",'Outro banco'!B2272)</f>
        <v/>
      </c>
      <c r="C2272" s="7" t="str">
        <f aca="false">IF(A2272="","",'Outro banco'!C2272)</f>
        <v/>
      </c>
      <c r="D2272" s="7" t="str">
        <f aca="false">IF(A2272="","",'Outro banco'!D2272)</f>
        <v/>
      </c>
      <c r="E2272" s="9"/>
      <c r="F2272" s="9"/>
      <c r="G2272" s="7" t="str">
        <f aca="false">IF(A2272="","",IF(COUNTIF(Tabelas!$A:$A,IF(E2272="",A2272,E2272))&gt;0,"sim","não"))</f>
        <v/>
      </c>
      <c r="H2272" s="7" t="str">
        <f aca="false">IF(A2272="","",IF(E2272="",A2272,E2272)&amp;"."&amp;IF(F2272="",B2272,F2272))</f>
        <v/>
      </c>
      <c r="I2272" s="7" t="str">
        <f aca="false">IF(A2272="","",IFERROR(INDEX('Campos Growths'!$F:$F,MATCH(H2272,'Campos Growths'!$A:$A,0)),""))</f>
        <v/>
      </c>
      <c r="J2272" s="7" t="str">
        <f aca="false">IF(A2272="","",IFERROR(VLOOKUP(IF(ISNUMBER(SEARCH("(",C2272)),LEFT(C2272,SEARCH("(",C2272)-1),C2272),Tipos!$A:$B,2,FALSE()),"outro"))</f>
        <v/>
      </c>
      <c r="K2272" s="7" t="str">
        <f aca="false">IF(I2272="","",IFERROR(INDEX('Campos Growths'!$L:$L,MATCH(H2272,'Campos Growths'!$A:$A,0)),""))</f>
        <v/>
      </c>
      <c r="L2272" s="7" t="str">
        <f aca="false">IF(A2272="","",IF(G2272="não","Sem tabela no Growths",IF(I2272="","Sem campo no Growths",IF(J2272=K2272,"Importa direto","Ajustar tipo"))))</f>
        <v/>
      </c>
      <c r="M2272" s="9"/>
    </row>
    <row r="2273" customFormat="false" ht="15" hidden="false" customHeight="false" outlineLevel="0" collapsed="false">
      <c r="A2273" s="7" t="str">
        <f aca="false">IF('Outro banco'!A2273="","",IF(LEFT('Outro banco'!A2273,1)="(","",'Outro banco'!A2273))</f>
        <v/>
      </c>
      <c r="B2273" s="7" t="str">
        <f aca="false">IF(A2273="","",'Outro banco'!B2273)</f>
        <v/>
      </c>
      <c r="C2273" s="7" t="str">
        <f aca="false">IF(A2273="","",'Outro banco'!C2273)</f>
        <v/>
      </c>
      <c r="D2273" s="7" t="str">
        <f aca="false">IF(A2273="","",'Outro banco'!D2273)</f>
        <v/>
      </c>
      <c r="E2273" s="9"/>
      <c r="F2273" s="9"/>
      <c r="G2273" s="7" t="str">
        <f aca="false">IF(A2273="","",IF(COUNTIF(Tabelas!$A:$A,IF(E2273="",A2273,E2273))&gt;0,"sim","não"))</f>
        <v/>
      </c>
      <c r="H2273" s="7" t="str">
        <f aca="false">IF(A2273="","",IF(E2273="",A2273,E2273)&amp;"."&amp;IF(F2273="",B2273,F2273))</f>
        <v/>
      </c>
      <c r="I2273" s="7" t="str">
        <f aca="false">IF(A2273="","",IFERROR(INDEX('Campos Growths'!$F:$F,MATCH(H2273,'Campos Growths'!$A:$A,0)),""))</f>
        <v/>
      </c>
      <c r="J2273" s="7" t="str">
        <f aca="false">IF(A2273="","",IFERROR(VLOOKUP(IF(ISNUMBER(SEARCH("(",C2273)),LEFT(C2273,SEARCH("(",C2273)-1),C2273),Tipos!$A:$B,2,FALSE()),"outro"))</f>
        <v/>
      </c>
      <c r="K2273" s="7" t="str">
        <f aca="false">IF(I2273="","",IFERROR(INDEX('Campos Growths'!$L:$L,MATCH(H2273,'Campos Growths'!$A:$A,0)),""))</f>
        <v/>
      </c>
      <c r="L2273" s="7" t="str">
        <f aca="false">IF(A2273="","",IF(G2273="não","Sem tabela no Growths",IF(I2273="","Sem campo no Growths",IF(J2273=K2273,"Importa direto","Ajustar tipo"))))</f>
        <v/>
      </c>
      <c r="M2273" s="9"/>
    </row>
    <row r="2274" customFormat="false" ht="15" hidden="false" customHeight="false" outlineLevel="0" collapsed="false">
      <c r="A2274" s="7" t="str">
        <f aca="false">IF('Outro banco'!A2274="","",IF(LEFT('Outro banco'!A2274,1)="(","",'Outro banco'!A2274))</f>
        <v/>
      </c>
      <c r="B2274" s="7" t="str">
        <f aca="false">IF(A2274="","",'Outro banco'!B2274)</f>
        <v/>
      </c>
      <c r="C2274" s="7" t="str">
        <f aca="false">IF(A2274="","",'Outro banco'!C2274)</f>
        <v/>
      </c>
      <c r="D2274" s="7" t="str">
        <f aca="false">IF(A2274="","",'Outro banco'!D2274)</f>
        <v/>
      </c>
      <c r="E2274" s="9"/>
      <c r="F2274" s="9"/>
      <c r="G2274" s="7" t="str">
        <f aca="false">IF(A2274="","",IF(COUNTIF(Tabelas!$A:$A,IF(E2274="",A2274,E2274))&gt;0,"sim","não"))</f>
        <v/>
      </c>
      <c r="H2274" s="7" t="str">
        <f aca="false">IF(A2274="","",IF(E2274="",A2274,E2274)&amp;"."&amp;IF(F2274="",B2274,F2274))</f>
        <v/>
      </c>
      <c r="I2274" s="7" t="str">
        <f aca="false">IF(A2274="","",IFERROR(INDEX('Campos Growths'!$F:$F,MATCH(H2274,'Campos Growths'!$A:$A,0)),""))</f>
        <v/>
      </c>
      <c r="J2274" s="7" t="str">
        <f aca="false">IF(A2274="","",IFERROR(VLOOKUP(IF(ISNUMBER(SEARCH("(",C2274)),LEFT(C2274,SEARCH("(",C2274)-1),C2274),Tipos!$A:$B,2,FALSE()),"outro"))</f>
        <v/>
      </c>
      <c r="K2274" s="7" t="str">
        <f aca="false">IF(I2274="","",IFERROR(INDEX('Campos Growths'!$L:$L,MATCH(H2274,'Campos Growths'!$A:$A,0)),""))</f>
        <v/>
      </c>
      <c r="L2274" s="7" t="str">
        <f aca="false">IF(A2274="","",IF(G2274="não","Sem tabela no Growths",IF(I2274="","Sem campo no Growths",IF(J2274=K2274,"Importa direto","Ajustar tipo"))))</f>
        <v/>
      </c>
      <c r="M2274" s="9"/>
    </row>
    <row r="2275" customFormat="false" ht="15" hidden="false" customHeight="false" outlineLevel="0" collapsed="false">
      <c r="A2275" s="7" t="str">
        <f aca="false">IF('Outro banco'!A2275="","",IF(LEFT('Outro banco'!A2275,1)="(","",'Outro banco'!A2275))</f>
        <v/>
      </c>
      <c r="B2275" s="7" t="str">
        <f aca="false">IF(A2275="","",'Outro banco'!B2275)</f>
        <v/>
      </c>
      <c r="C2275" s="7" t="str">
        <f aca="false">IF(A2275="","",'Outro banco'!C2275)</f>
        <v/>
      </c>
      <c r="D2275" s="7" t="str">
        <f aca="false">IF(A2275="","",'Outro banco'!D2275)</f>
        <v/>
      </c>
      <c r="E2275" s="9"/>
      <c r="F2275" s="9"/>
      <c r="G2275" s="7" t="str">
        <f aca="false">IF(A2275="","",IF(COUNTIF(Tabelas!$A:$A,IF(E2275="",A2275,E2275))&gt;0,"sim","não"))</f>
        <v/>
      </c>
      <c r="H2275" s="7" t="str">
        <f aca="false">IF(A2275="","",IF(E2275="",A2275,E2275)&amp;"."&amp;IF(F2275="",B2275,F2275))</f>
        <v/>
      </c>
      <c r="I2275" s="7" t="str">
        <f aca="false">IF(A2275="","",IFERROR(INDEX('Campos Growths'!$F:$F,MATCH(H2275,'Campos Growths'!$A:$A,0)),""))</f>
        <v/>
      </c>
      <c r="J2275" s="7" t="str">
        <f aca="false">IF(A2275="","",IFERROR(VLOOKUP(IF(ISNUMBER(SEARCH("(",C2275)),LEFT(C2275,SEARCH("(",C2275)-1),C2275),Tipos!$A:$B,2,FALSE()),"outro"))</f>
        <v/>
      </c>
      <c r="K2275" s="7" t="str">
        <f aca="false">IF(I2275="","",IFERROR(INDEX('Campos Growths'!$L:$L,MATCH(H2275,'Campos Growths'!$A:$A,0)),""))</f>
        <v/>
      </c>
      <c r="L2275" s="7" t="str">
        <f aca="false">IF(A2275="","",IF(G2275="não","Sem tabela no Growths",IF(I2275="","Sem campo no Growths",IF(J2275=K2275,"Importa direto","Ajustar tipo"))))</f>
        <v/>
      </c>
      <c r="M2275" s="9"/>
    </row>
    <row r="2276" customFormat="false" ht="15" hidden="false" customHeight="false" outlineLevel="0" collapsed="false">
      <c r="A2276" s="7" t="str">
        <f aca="false">IF('Outro banco'!A2276="","",IF(LEFT('Outro banco'!A2276,1)="(","",'Outro banco'!A2276))</f>
        <v/>
      </c>
      <c r="B2276" s="7" t="str">
        <f aca="false">IF(A2276="","",'Outro banco'!B2276)</f>
        <v/>
      </c>
      <c r="C2276" s="7" t="str">
        <f aca="false">IF(A2276="","",'Outro banco'!C2276)</f>
        <v/>
      </c>
      <c r="D2276" s="7" t="str">
        <f aca="false">IF(A2276="","",'Outro banco'!D2276)</f>
        <v/>
      </c>
      <c r="E2276" s="9"/>
      <c r="F2276" s="9"/>
      <c r="G2276" s="7" t="str">
        <f aca="false">IF(A2276="","",IF(COUNTIF(Tabelas!$A:$A,IF(E2276="",A2276,E2276))&gt;0,"sim","não"))</f>
        <v/>
      </c>
      <c r="H2276" s="7" t="str">
        <f aca="false">IF(A2276="","",IF(E2276="",A2276,E2276)&amp;"."&amp;IF(F2276="",B2276,F2276))</f>
        <v/>
      </c>
      <c r="I2276" s="7" t="str">
        <f aca="false">IF(A2276="","",IFERROR(INDEX('Campos Growths'!$F:$F,MATCH(H2276,'Campos Growths'!$A:$A,0)),""))</f>
        <v/>
      </c>
      <c r="J2276" s="7" t="str">
        <f aca="false">IF(A2276="","",IFERROR(VLOOKUP(IF(ISNUMBER(SEARCH("(",C2276)),LEFT(C2276,SEARCH("(",C2276)-1),C2276),Tipos!$A:$B,2,FALSE()),"outro"))</f>
        <v/>
      </c>
      <c r="K2276" s="7" t="str">
        <f aca="false">IF(I2276="","",IFERROR(INDEX('Campos Growths'!$L:$L,MATCH(H2276,'Campos Growths'!$A:$A,0)),""))</f>
        <v/>
      </c>
      <c r="L2276" s="7" t="str">
        <f aca="false">IF(A2276="","",IF(G2276="não","Sem tabela no Growths",IF(I2276="","Sem campo no Growths",IF(J2276=K2276,"Importa direto","Ajustar tipo"))))</f>
        <v/>
      </c>
      <c r="M2276" s="9"/>
    </row>
    <row r="2277" customFormat="false" ht="15" hidden="false" customHeight="false" outlineLevel="0" collapsed="false">
      <c r="A2277" s="7" t="str">
        <f aca="false">IF('Outro banco'!A2277="","",IF(LEFT('Outro banco'!A2277,1)="(","",'Outro banco'!A2277))</f>
        <v/>
      </c>
      <c r="B2277" s="7" t="str">
        <f aca="false">IF(A2277="","",'Outro banco'!B2277)</f>
        <v/>
      </c>
      <c r="C2277" s="7" t="str">
        <f aca="false">IF(A2277="","",'Outro banco'!C2277)</f>
        <v/>
      </c>
      <c r="D2277" s="7" t="str">
        <f aca="false">IF(A2277="","",'Outro banco'!D2277)</f>
        <v/>
      </c>
      <c r="E2277" s="9"/>
      <c r="F2277" s="9"/>
      <c r="G2277" s="7" t="str">
        <f aca="false">IF(A2277="","",IF(COUNTIF(Tabelas!$A:$A,IF(E2277="",A2277,E2277))&gt;0,"sim","não"))</f>
        <v/>
      </c>
      <c r="H2277" s="7" t="str">
        <f aca="false">IF(A2277="","",IF(E2277="",A2277,E2277)&amp;"."&amp;IF(F2277="",B2277,F2277))</f>
        <v/>
      </c>
      <c r="I2277" s="7" t="str">
        <f aca="false">IF(A2277="","",IFERROR(INDEX('Campos Growths'!$F:$F,MATCH(H2277,'Campos Growths'!$A:$A,0)),""))</f>
        <v/>
      </c>
      <c r="J2277" s="7" t="str">
        <f aca="false">IF(A2277="","",IFERROR(VLOOKUP(IF(ISNUMBER(SEARCH("(",C2277)),LEFT(C2277,SEARCH("(",C2277)-1),C2277),Tipos!$A:$B,2,FALSE()),"outro"))</f>
        <v/>
      </c>
      <c r="K2277" s="7" t="str">
        <f aca="false">IF(I2277="","",IFERROR(INDEX('Campos Growths'!$L:$L,MATCH(H2277,'Campos Growths'!$A:$A,0)),""))</f>
        <v/>
      </c>
      <c r="L2277" s="7" t="str">
        <f aca="false">IF(A2277="","",IF(G2277="não","Sem tabela no Growths",IF(I2277="","Sem campo no Growths",IF(J2277=K2277,"Importa direto","Ajustar tipo"))))</f>
        <v/>
      </c>
      <c r="M2277" s="9"/>
    </row>
    <row r="2278" customFormat="false" ht="15" hidden="false" customHeight="false" outlineLevel="0" collapsed="false">
      <c r="A2278" s="7" t="str">
        <f aca="false">IF('Outro banco'!A2278="","",IF(LEFT('Outro banco'!A2278,1)="(","",'Outro banco'!A2278))</f>
        <v/>
      </c>
      <c r="B2278" s="7" t="str">
        <f aca="false">IF(A2278="","",'Outro banco'!B2278)</f>
        <v/>
      </c>
      <c r="C2278" s="7" t="str">
        <f aca="false">IF(A2278="","",'Outro banco'!C2278)</f>
        <v/>
      </c>
      <c r="D2278" s="7" t="str">
        <f aca="false">IF(A2278="","",'Outro banco'!D2278)</f>
        <v/>
      </c>
      <c r="E2278" s="9"/>
      <c r="F2278" s="9"/>
      <c r="G2278" s="7" t="str">
        <f aca="false">IF(A2278="","",IF(COUNTIF(Tabelas!$A:$A,IF(E2278="",A2278,E2278))&gt;0,"sim","não"))</f>
        <v/>
      </c>
      <c r="H2278" s="7" t="str">
        <f aca="false">IF(A2278="","",IF(E2278="",A2278,E2278)&amp;"."&amp;IF(F2278="",B2278,F2278))</f>
        <v/>
      </c>
      <c r="I2278" s="7" t="str">
        <f aca="false">IF(A2278="","",IFERROR(INDEX('Campos Growths'!$F:$F,MATCH(H2278,'Campos Growths'!$A:$A,0)),""))</f>
        <v/>
      </c>
      <c r="J2278" s="7" t="str">
        <f aca="false">IF(A2278="","",IFERROR(VLOOKUP(IF(ISNUMBER(SEARCH("(",C2278)),LEFT(C2278,SEARCH("(",C2278)-1),C2278),Tipos!$A:$B,2,FALSE()),"outro"))</f>
        <v/>
      </c>
      <c r="K2278" s="7" t="str">
        <f aca="false">IF(I2278="","",IFERROR(INDEX('Campos Growths'!$L:$L,MATCH(H2278,'Campos Growths'!$A:$A,0)),""))</f>
        <v/>
      </c>
      <c r="L2278" s="7" t="str">
        <f aca="false">IF(A2278="","",IF(G2278="não","Sem tabela no Growths",IF(I2278="","Sem campo no Growths",IF(J2278=K2278,"Importa direto","Ajustar tipo"))))</f>
        <v/>
      </c>
      <c r="M2278" s="9"/>
    </row>
    <row r="2279" customFormat="false" ht="15" hidden="false" customHeight="false" outlineLevel="0" collapsed="false">
      <c r="A2279" s="7" t="str">
        <f aca="false">IF('Outro banco'!A2279="","",IF(LEFT('Outro banco'!A2279,1)="(","",'Outro banco'!A2279))</f>
        <v/>
      </c>
      <c r="B2279" s="7" t="str">
        <f aca="false">IF(A2279="","",'Outro banco'!B2279)</f>
        <v/>
      </c>
      <c r="C2279" s="7" t="str">
        <f aca="false">IF(A2279="","",'Outro banco'!C2279)</f>
        <v/>
      </c>
      <c r="D2279" s="7" t="str">
        <f aca="false">IF(A2279="","",'Outro banco'!D2279)</f>
        <v/>
      </c>
      <c r="E2279" s="9"/>
      <c r="F2279" s="9"/>
      <c r="G2279" s="7" t="str">
        <f aca="false">IF(A2279="","",IF(COUNTIF(Tabelas!$A:$A,IF(E2279="",A2279,E2279))&gt;0,"sim","não"))</f>
        <v/>
      </c>
      <c r="H2279" s="7" t="str">
        <f aca="false">IF(A2279="","",IF(E2279="",A2279,E2279)&amp;"."&amp;IF(F2279="",B2279,F2279))</f>
        <v/>
      </c>
      <c r="I2279" s="7" t="str">
        <f aca="false">IF(A2279="","",IFERROR(INDEX('Campos Growths'!$F:$F,MATCH(H2279,'Campos Growths'!$A:$A,0)),""))</f>
        <v/>
      </c>
      <c r="J2279" s="7" t="str">
        <f aca="false">IF(A2279="","",IFERROR(VLOOKUP(IF(ISNUMBER(SEARCH("(",C2279)),LEFT(C2279,SEARCH("(",C2279)-1),C2279),Tipos!$A:$B,2,FALSE()),"outro"))</f>
        <v/>
      </c>
      <c r="K2279" s="7" t="str">
        <f aca="false">IF(I2279="","",IFERROR(INDEX('Campos Growths'!$L:$L,MATCH(H2279,'Campos Growths'!$A:$A,0)),""))</f>
        <v/>
      </c>
      <c r="L2279" s="7" t="str">
        <f aca="false">IF(A2279="","",IF(G2279="não","Sem tabela no Growths",IF(I2279="","Sem campo no Growths",IF(J2279=K2279,"Importa direto","Ajustar tipo"))))</f>
        <v/>
      </c>
      <c r="M2279" s="9"/>
    </row>
    <row r="2280" customFormat="false" ht="15" hidden="false" customHeight="false" outlineLevel="0" collapsed="false">
      <c r="A2280" s="7" t="str">
        <f aca="false">IF('Outro banco'!A2280="","",IF(LEFT('Outro banco'!A2280,1)="(","",'Outro banco'!A2280))</f>
        <v/>
      </c>
      <c r="B2280" s="7" t="str">
        <f aca="false">IF(A2280="","",'Outro banco'!B2280)</f>
        <v/>
      </c>
      <c r="C2280" s="7" t="str">
        <f aca="false">IF(A2280="","",'Outro banco'!C2280)</f>
        <v/>
      </c>
      <c r="D2280" s="7" t="str">
        <f aca="false">IF(A2280="","",'Outro banco'!D2280)</f>
        <v/>
      </c>
      <c r="E2280" s="9"/>
      <c r="F2280" s="9"/>
      <c r="G2280" s="7" t="str">
        <f aca="false">IF(A2280="","",IF(COUNTIF(Tabelas!$A:$A,IF(E2280="",A2280,E2280))&gt;0,"sim","não"))</f>
        <v/>
      </c>
      <c r="H2280" s="7" t="str">
        <f aca="false">IF(A2280="","",IF(E2280="",A2280,E2280)&amp;"."&amp;IF(F2280="",B2280,F2280))</f>
        <v/>
      </c>
      <c r="I2280" s="7" t="str">
        <f aca="false">IF(A2280="","",IFERROR(INDEX('Campos Growths'!$F:$F,MATCH(H2280,'Campos Growths'!$A:$A,0)),""))</f>
        <v/>
      </c>
      <c r="J2280" s="7" t="str">
        <f aca="false">IF(A2280="","",IFERROR(VLOOKUP(IF(ISNUMBER(SEARCH("(",C2280)),LEFT(C2280,SEARCH("(",C2280)-1),C2280),Tipos!$A:$B,2,FALSE()),"outro"))</f>
        <v/>
      </c>
      <c r="K2280" s="7" t="str">
        <f aca="false">IF(I2280="","",IFERROR(INDEX('Campos Growths'!$L:$L,MATCH(H2280,'Campos Growths'!$A:$A,0)),""))</f>
        <v/>
      </c>
      <c r="L2280" s="7" t="str">
        <f aca="false">IF(A2280="","",IF(G2280="não","Sem tabela no Growths",IF(I2280="","Sem campo no Growths",IF(J2280=K2280,"Importa direto","Ajustar tipo"))))</f>
        <v/>
      </c>
      <c r="M2280" s="9"/>
    </row>
    <row r="2281" customFormat="false" ht="15" hidden="false" customHeight="false" outlineLevel="0" collapsed="false">
      <c r="A2281" s="7" t="str">
        <f aca="false">IF('Outro banco'!A2281="","",IF(LEFT('Outro banco'!A2281,1)="(","",'Outro banco'!A2281))</f>
        <v/>
      </c>
      <c r="B2281" s="7" t="str">
        <f aca="false">IF(A2281="","",'Outro banco'!B2281)</f>
        <v/>
      </c>
      <c r="C2281" s="7" t="str">
        <f aca="false">IF(A2281="","",'Outro banco'!C2281)</f>
        <v/>
      </c>
      <c r="D2281" s="7" t="str">
        <f aca="false">IF(A2281="","",'Outro banco'!D2281)</f>
        <v/>
      </c>
      <c r="E2281" s="9"/>
      <c r="F2281" s="9"/>
      <c r="G2281" s="7" t="str">
        <f aca="false">IF(A2281="","",IF(COUNTIF(Tabelas!$A:$A,IF(E2281="",A2281,E2281))&gt;0,"sim","não"))</f>
        <v/>
      </c>
      <c r="H2281" s="7" t="str">
        <f aca="false">IF(A2281="","",IF(E2281="",A2281,E2281)&amp;"."&amp;IF(F2281="",B2281,F2281))</f>
        <v/>
      </c>
      <c r="I2281" s="7" t="str">
        <f aca="false">IF(A2281="","",IFERROR(INDEX('Campos Growths'!$F:$F,MATCH(H2281,'Campos Growths'!$A:$A,0)),""))</f>
        <v/>
      </c>
      <c r="J2281" s="7" t="str">
        <f aca="false">IF(A2281="","",IFERROR(VLOOKUP(IF(ISNUMBER(SEARCH("(",C2281)),LEFT(C2281,SEARCH("(",C2281)-1),C2281),Tipos!$A:$B,2,FALSE()),"outro"))</f>
        <v/>
      </c>
      <c r="K2281" s="7" t="str">
        <f aca="false">IF(I2281="","",IFERROR(INDEX('Campos Growths'!$L:$L,MATCH(H2281,'Campos Growths'!$A:$A,0)),""))</f>
        <v/>
      </c>
      <c r="L2281" s="7" t="str">
        <f aca="false">IF(A2281="","",IF(G2281="não","Sem tabela no Growths",IF(I2281="","Sem campo no Growths",IF(J2281=K2281,"Importa direto","Ajustar tipo"))))</f>
        <v/>
      </c>
      <c r="M2281" s="9"/>
    </row>
    <row r="2282" customFormat="false" ht="15" hidden="false" customHeight="false" outlineLevel="0" collapsed="false">
      <c r="A2282" s="7" t="str">
        <f aca="false">IF('Outro banco'!A2282="","",IF(LEFT('Outro banco'!A2282,1)="(","",'Outro banco'!A2282))</f>
        <v/>
      </c>
      <c r="B2282" s="7" t="str">
        <f aca="false">IF(A2282="","",'Outro banco'!B2282)</f>
        <v/>
      </c>
      <c r="C2282" s="7" t="str">
        <f aca="false">IF(A2282="","",'Outro banco'!C2282)</f>
        <v/>
      </c>
      <c r="D2282" s="7" t="str">
        <f aca="false">IF(A2282="","",'Outro banco'!D2282)</f>
        <v/>
      </c>
      <c r="E2282" s="9"/>
      <c r="F2282" s="9"/>
      <c r="G2282" s="7" t="str">
        <f aca="false">IF(A2282="","",IF(COUNTIF(Tabelas!$A:$A,IF(E2282="",A2282,E2282))&gt;0,"sim","não"))</f>
        <v/>
      </c>
      <c r="H2282" s="7" t="str">
        <f aca="false">IF(A2282="","",IF(E2282="",A2282,E2282)&amp;"."&amp;IF(F2282="",B2282,F2282))</f>
        <v/>
      </c>
      <c r="I2282" s="7" t="str">
        <f aca="false">IF(A2282="","",IFERROR(INDEX('Campos Growths'!$F:$F,MATCH(H2282,'Campos Growths'!$A:$A,0)),""))</f>
        <v/>
      </c>
      <c r="J2282" s="7" t="str">
        <f aca="false">IF(A2282="","",IFERROR(VLOOKUP(IF(ISNUMBER(SEARCH("(",C2282)),LEFT(C2282,SEARCH("(",C2282)-1),C2282),Tipos!$A:$B,2,FALSE()),"outro"))</f>
        <v/>
      </c>
      <c r="K2282" s="7" t="str">
        <f aca="false">IF(I2282="","",IFERROR(INDEX('Campos Growths'!$L:$L,MATCH(H2282,'Campos Growths'!$A:$A,0)),""))</f>
        <v/>
      </c>
      <c r="L2282" s="7" t="str">
        <f aca="false">IF(A2282="","",IF(G2282="não","Sem tabela no Growths",IF(I2282="","Sem campo no Growths",IF(J2282=K2282,"Importa direto","Ajustar tipo"))))</f>
        <v/>
      </c>
      <c r="M2282" s="9"/>
    </row>
    <row r="2283" customFormat="false" ht="15" hidden="false" customHeight="false" outlineLevel="0" collapsed="false">
      <c r="A2283" s="7" t="str">
        <f aca="false">IF('Outro banco'!A2283="","",IF(LEFT('Outro banco'!A2283,1)="(","",'Outro banco'!A2283))</f>
        <v/>
      </c>
      <c r="B2283" s="7" t="str">
        <f aca="false">IF(A2283="","",'Outro banco'!B2283)</f>
        <v/>
      </c>
      <c r="C2283" s="7" t="str">
        <f aca="false">IF(A2283="","",'Outro banco'!C2283)</f>
        <v/>
      </c>
      <c r="D2283" s="7" t="str">
        <f aca="false">IF(A2283="","",'Outro banco'!D2283)</f>
        <v/>
      </c>
      <c r="E2283" s="9"/>
      <c r="F2283" s="9"/>
      <c r="G2283" s="7" t="str">
        <f aca="false">IF(A2283="","",IF(COUNTIF(Tabelas!$A:$A,IF(E2283="",A2283,E2283))&gt;0,"sim","não"))</f>
        <v/>
      </c>
      <c r="H2283" s="7" t="str">
        <f aca="false">IF(A2283="","",IF(E2283="",A2283,E2283)&amp;"."&amp;IF(F2283="",B2283,F2283))</f>
        <v/>
      </c>
      <c r="I2283" s="7" t="str">
        <f aca="false">IF(A2283="","",IFERROR(INDEX('Campos Growths'!$F:$F,MATCH(H2283,'Campos Growths'!$A:$A,0)),""))</f>
        <v/>
      </c>
      <c r="J2283" s="7" t="str">
        <f aca="false">IF(A2283="","",IFERROR(VLOOKUP(IF(ISNUMBER(SEARCH("(",C2283)),LEFT(C2283,SEARCH("(",C2283)-1),C2283),Tipos!$A:$B,2,FALSE()),"outro"))</f>
        <v/>
      </c>
      <c r="K2283" s="7" t="str">
        <f aca="false">IF(I2283="","",IFERROR(INDEX('Campos Growths'!$L:$L,MATCH(H2283,'Campos Growths'!$A:$A,0)),""))</f>
        <v/>
      </c>
      <c r="L2283" s="7" t="str">
        <f aca="false">IF(A2283="","",IF(G2283="não","Sem tabela no Growths",IF(I2283="","Sem campo no Growths",IF(J2283=K2283,"Importa direto","Ajustar tipo"))))</f>
        <v/>
      </c>
      <c r="M2283" s="9"/>
    </row>
    <row r="2284" customFormat="false" ht="15" hidden="false" customHeight="false" outlineLevel="0" collapsed="false">
      <c r="A2284" s="7" t="str">
        <f aca="false">IF('Outro banco'!A2284="","",IF(LEFT('Outro banco'!A2284,1)="(","",'Outro banco'!A2284))</f>
        <v/>
      </c>
      <c r="B2284" s="7" t="str">
        <f aca="false">IF(A2284="","",'Outro banco'!B2284)</f>
        <v/>
      </c>
      <c r="C2284" s="7" t="str">
        <f aca="false">IF(A2284="","",'Outro banco'!C2284)</f>
        <v/>
      </c>
      <c r="D2284" s="7" t="str">
        <f aca="false">IF(A2284="","",'Outro banco'!D2284)</f>
        <v/>
      </c>
      <c r="E2284" s="9"/>
      <c r="F2284" s="9"/>
      <c r="G2284" s="7" t="str">
        <f aca="false">IF(A2284="","",IF(COUNTIF(Tabelas!$A:$A,IF(E2284="",A2284,E2284))&gt;0,"sim","não"))</f>
        <v/>
      </c>
      <c r="H2284" s="7" t="str">
        <f aca="false">IF(A2284="","",IF(E2284="",A2284,E2284)&amp;"."&amp;IF(F2284="",B2284,F2284))</f>
        <v/>
      </c>
      <c r="I2284" s="7" t="str">
        <f aca="false">IF(A2284="","",IFERROR(INDEX('Campos Growths'!$F:$F,MATCH(H2284,'Campos Growths'!$A:$A,0)),""))</f>
        <v/>
      </c>
      <c r="J2284" s="7" t="str">
        <f aca="false">IF(A2284="","",IFERROR(VLOOKUP(IF(ISNUMBER(SEARCH("(",C2284)),LEFT(C2284,SEARCH("(",C2284)-1),C2284),Tipos!$A:$B,2,FALSE()),"outro"))</f>
        <v/>
      </c>
      <c r="K2284" s="7" t="str">
        <f aca="false">IF(I2284="","",IFERROR(INDEX('Campos Growths'!$L:$L,MATCH(H2284,'Campos Growths'!$A:$A,0)),""))</f>
        <v/>
      </c>
      <c r="L2284" s="7" t="str">
        <f aca="false">IF(A2284="","",IF(G2284="não","Sem tabela no Growths",IF(I2284="","Sem campo no Growths",IF(J2284=K2284,"Importa direto","Ajustar tipo"))))</f>
        <v/>
      </c>
      <c r="M2284" s="9"/>
    </row>
    <row r="2285" customFormat="false" ht="15" hidden="false" customHeight="false" outlineLevel="0" collapsed="false">
      <c r="A2285" s="7" t="str">
        <f aca="false">IF('Outro banco'!A2285="","",IF(LEFT('Outro banco'!A2285,1)="(","",'Outro banco'!A2285))</f>
        <v/>
      </c>
      <c r="B2285" s="7" t="str">
        <f aca="false">IF(A2285="","",'Outro banco'!B2285)</f>
        <v/>
      </c>
      <c r="C2285" s="7" t="str">
        <f aca="false">IF(A2285="","",'Outro banco'!C2285)</f>
        <v/>
      </c>
      <c r="D2285" s="7" t="str">
        <f aca="false">IF(A2285="","",'Outro banco'!D2285)</f>
        <v/>
      </c>
      <c r="E2285" s="9"/>
      <c r="F2285" s="9"/>
      <c r="G2285" s="7" t="str">
        <f aca="false">IF(A2285="","",IF(COUNTIF(Tabelas!$A:$A,IF(E2285="",A2285,E2285))&gt;0,"sim","não"))</f>
        <v/>
      </c>
      <c r="H2285" s="7" t="str">
        <f aca="false">IF(A2285="","",IF(E2285="",A2285,E2285)&amp;"."&amp;IF(F2285="",B2285,F2285))</f>
        <v/>
      </c>
      <c r="I2285" s="7" t="str">
        <f aca="false">IF(A2285="","",IFERROR(INDEX('Campos Growths'!$F:$F,MATCH(H2285,'Campos Growths'!$A:$A,0)),""))</f>
        <v/>
      </c>
      <c r="J2285" s="7" t="str">
        <f aca="false">IF(A2285="","",IFERROR(VLOOKUP(IF(ISNUMBER(SEARCH("(",C2285)),LEFT(C2285,SEARCH("(",C2285)-1),C2285),Tipos!$A:$B,2,FALSE()),"outro"))</f>
        <v/>
      </c>
      <c r="K2285" s="7" t="str">
        <f aca="false">IF(I2285="","",IFERROR(INDEX('Campos Growths'!$L:$L,MATCH(H2285,'Campos Growths'!$A:$A,0)),""))</f>
        <v/>
      </c>
      <c r="L2285" s="7" t="str">
        <f aca="false">IF(A2285="","",IF(G2285="não","Sem tabela no Growths",IF(I2285="","Sem campo no Growths",IF(J2285=K2285,"Importa direto","Ajustar tipo"))))</f>
        <v/>
      </c>
      <c r="M2285" s="9"/>
    </row>
    <row r="2286" customFormat="false" ht="15" hidden="false" customHeight="false" outlineLevel="0" collapsed="false">
      <c r="A2286" s="7" t="str">
        <f aca="false">IF('Outro banco'!A2286="","",IF(LEFT('Outro banco'!A2286,1)="(","",'Outro banco'!A2286))</f>
        <v/>
      </c>
      <c r="B2286" s="7" t="str">
        <f aca="false">IF(A2286="","",'Outro banco'!B2286)</f>
        <v/>
      </c>
      <c r="C2286" s="7" t="str">
        <f aca="false">IF(A2286="","",'Outro banco'!C2286)</f>
        <v/>
      </c>
      <c r="D2286" s="7" t="str">
        <f aca="false">IF(A2286="","",'Outro banco'!D2286)</f>
        <v/>
      </c>
      <c r="E2286" s="9"/>
      <c r="F2286" s="9"/>
      <c r="G2286" s="7" t="str">
        <f aca="false">IF(A2286="","",IF(COUNTIF(Tabelas!$A:$A,IF(E2286="",A2286,E2286))&gt;0,"sim","não"))</f>
        <v/>
      </c>
      <c r="H2286" s="7" t="str">
        <f aca="false">IF(A2286="","",IF(E2286="",A2286,E2286)&amp;"."&amp;IF(F2286="",B2286,F2286))</f>
        <v/>
      </c>
      <c r="I2286" s="7" t="str">
        <f aca="false">IF(A2286="","",IFERROR(INDEX('Campos Growths'!$F:$F,MATCH(H2286,'Campos Growths'!$A:$A,0)),""))</f>
        <v/>
      </c>
      <c r="J2286" s="7" t="str">
        <f aca="false">IF(A2286="","",IFERROR(VLOOKUP(IF(ISNUMBER(SEARCH("(",C2286)),LEFT(C2286,SEARCH("(",C2286)-1),C2286),Tipos!$A:$B,2,FALSE()),"outro"))</f>
        <v/>
      </c>
      <c r="K2286" s="7" t="str">
        <f aca="false">IF(I2286="","",IFERROR(INDEX('Campos Growths'!$L:$L,MATCH(H2286,'Campos Growths'!$A:$A,0)),""))</f>
        <v/>
      </c>
      <c r="L2286" s="7" t="str">
        <f aca="false">IF(A2286="","",IF(G2286="não","Sem tabela no Growths",IF(I2286="","Sem campo no Growths",IF(J2286=K2286,"Importa direto","Ajustar tipo"))))</f>
        <v/>
      </c>
      <c r="M2286" s="9"/>
    </row>
    <row r="2287" customFormat="false" ht="15" hidden="false" customHeight="false" outlineLevel="0" collapsed="false">
      <c r="A2287" s="7" t="str">
        <f aca="false">IF('Outro banco'!A2287="","",IF(LEFT('Outro banco'!A2287,1)="(","",'Outro banco'!A2287))</f>
        <v/>
      </c>
      <c r="B2287" s="7" t="str">
        <f aca="false">IF(A2287="","",'Outro banco'!B2287)</f>
        <v/>
      </c>
      <c r="C2287" s="7" t="str">
        <f aca="false">IF(A2287="","",'Outro banco'!C2287)</f>
        <v/>
      </c>
      <c r="D2287" s="7" t="str">
        <f aca="false">IF(A2287="","",'Outro banco'!D2287)</f>
        <v/>
      </c>
      <c r="E2287" s="9"/>
      <c r="F2287" s="9"/>
      <c r="G2287" s="7" t="str">
        <f aca="false">IF(A2287="","",IF(COUNTIF(Tabelas!$A:$A,IF(E2287="",A2287,E2287))&gt;0,"sim","não"))</f>
        <v/>
      </c>
      <c r="H2287" s="7" t="str">
        <f aca="false">IF(A2287="","",IF(E2287="",A2287,E2287)&amp;"."&amp;IF(F2287="",B2287,F2287))</f>
        <v/>
      </c>
      <c r="I2287" s="7" t="str">
        <f aca="false">IF(A2287="","",IFERROR(INDEX('Campos Growths'!$F:$F,MATCH(H2287,'Campos Growths'!$A:$A,0)),""))</f>
        <v/>
      </c>
      <c r="J2287" s="7" t="str">
        <f aca="false">IF(A2287="","",IFERROR(VLOOKUP(IF(ISNUMBER(SEARCH("(",C2287)),LEFT(C2287,SEARCH("(",C2287)-1),C2287),Tipos!$A:$B,2,FALSE()),"outro"))</f>
        <v/>
      </c>
      <c r="K2287" s="7" t="str">
        <f aca="false">IF(I2287="","",IFERROR(INDEX('Campos Growths'!$L:$L,MATCH(H2287,'Campos Growths'!$A:$A,0)),""))</f>
        <v/>
      </c>
      <c r="L2287" s="7" t="str">
        <f aca="false">IF(A2287="","",IF(G2287="não","Sem tabela no Growths",IF(I2287="","Sem campo no Growths",IF(J2287=K2287,"Importa direto","Ajustar tipo"))))</f>
        <v/>
      </c>
      <c r="M2287" s="9"/>
    </row>
    <row r="2288" customFormat="false" ht="15" hidden="false" customHeight="false" outlineLevel="0" collapsed="false">
      <c r="A2288" s="7" t="str">
        <f aca="false">IF('Outro banco'!A2288="","",IF(LEFT('Outro banco'!A2288,1)="(","",'Outro banco'!A2288))</f>
        <v/>
      </c>
      <c r="B2288" s="7" t="str">
        <f aca="false">IF(A2288="","",'Outro banco'!B2288)</f>
        <v/>
      </c>
      <c r="C2288" s="7" t="str">
        <f aca="false">IF(A2288="","",'Outro banco'!C2288)</f>
        <v/>
      </c>
      <c r="D2288" s="7" t="str">
        <f aca="false">IF(A2288="","",'Outro banco'!D2288)</f>
        <v/>
      </c>
      <c r="E2288" s="9"/>
      <c r="F2288" s="9"/>
      <c r="G2288" s="7" t="str">
        <f aca="false">IF(A2288="","",IF(COUNTIF(Tabelas!$A:$A,IF(E2288="",A2288,E2288))&gt;0,"sim","não"))</f>
        <v/>
      </c>
      <c r="H2288" s="7" t="str">
        <f aca="false">IF(A2288="","",IF(E2288="",A2288,E2288)&amp;"."&amp;IF(F2288="",B2288,F2288))</f>
        <v/>
      </c>
      <c r="I2288" s="7" t="str">
        <f aca="false">IF(A2288="","",IFERROR(INDEX('Campos Growths'!$F:$F,MATCH(H2288,'Campos Growths'!$A:$A,0)),""))</f>
        <v/>
      </c>
      <c r="J2288" s="7" t="str">
        <f aca="false">IF(A2288="","",IFERROR(VLOOKUP(IF(ISNUMBER(SEARCH("(",C2288)),LEFT(C2288,SEARCH("(",C2288)-1),C2288),Tipos!$A:$B,2,FALSE()),"outro"))</f>
        <v/>
      </c>
      <c r="K2288" s="7" t="str">
        <f aca="false">IF(I2288="","",IFERROR(INDEX('Campos Growths'!$L:$L,MATCH(H2288,'Campos Growths'!$A:$A,0)),""))</f>
        <v/>
      </c>
      <c r="L2288" s="7" t="str">
        <f aca="false">IF(A2288="","",IF(G2288="não","Sem tabela no Growths",IF(I2288="","Sem campo no Growths",IF(J2288=K2288,"Importa direto","Ajustar tipo"))))</f>
        <v/>
      </c>
      <c r="M2288" s="9"/>
    </row>
    <row r="2289" customFormat="false" ht="15" hidden="false" customHeight="false" outlineLevel="0" collapsed="false">
      <c r="A2289" s="7" t="str">
        <f aca="false">IF('Outro banco'!A2289="","",IF(LEFT('Outro banco'!A2289,1)="(","",'Outro banco'!A2289))</f>
        <v/>
      </c>
      <c r="B2289" s="7" t="str">
        <f aca="false">IF(A2289="","",'Outro banco'!B2289)</f>
        <v/>
      </c>
      <c r="C2289" s="7" t="str">
        <f aca="false">IF(A2289="","",'Outro banco'!C2289)</f>
        <v/>
      </c>
      <c r="D2289" s="7" t="str">
        <f aca="false">IF(A2289="","",'Outro banco'!D2289)</f>
        <v/>
      </c>
      <c r="E2289" s="9"/>
      <c r="F2289" s="9"/>
      <c r="G2289" s="7" t="str">
        <f aca="false">IF(A2289="","",IF(COUNTIF(Tabelas!$A:$A,IF(E2289="",A2289,E2289))&gt;0,"sim","não"))</f>
        <v/>
      </c>
      <c r="H2289" s="7" t="str">
        <f aca="false">IF(A2289="","",IF(E2289="",A2289,E2289)&amp;"."&amp;IF(F2289="",B2289,F2289))</f>
        <v/>
      </c>
      <c r="I2289" s="7" t="str">
        <f aca="false">IF(A2289="","",IFERROR(INDEX('Campos Growths'!$F:$F,MATCH(H2289,'Campos Growths'!$A:$A,0)),""))</f>
        <v/>
      </c>
      <c r="J2289" s="7" t="str">
        <f aca="false">IF(A2289="","",IFERROR(VLOOKUP(IF(ISNUMBER(SEARCH("(",C2289)),LEFT(C2289,SEARCH("(",C2289)-1),C2289),Tipos!$A:$B,2,FALSE()),"outro"))</f>
        <v/>
      </c>
      <c r="K2289" s="7" t="str">
        <f aca="false">IF(I2289="","",IFERROR(INDEX('Campos Growths'!$L:$L,MATCH(H2289,'Campos Growths'!$A:$A,0)),""))</f>
        <v/>
      </c>
      <c r="L2289" s="7" t="str">
        <f aca="false">IF(A2289="","",IF(G2289="não","Sem tabela no Growths",IF(I2289="","Sem campo no Growths",IF(J2289=K2289,"Importa direto","Ajustar tipo"))))</f>
        <v/>
      </c>
      <c r="M2289" s="9"/>
    </row>
    <row r="2290" customFormat="false" ht="15" hidden="false" customHeight="false" outlineLevel="0" collapsed="false">
      <c r="A2290" s="7" t="str">
        <f aca="false">IF('Outro banco'!A2290="","",IF(LEFT('Outro banco'!A2290,1)="(","",'Outro banco'!A2290))</f>
        <v/>
      </c>
      <c r="B2290" s="7" t="str">
        <f aca="false">IF(A2290="","",'Outro banco'!B2290)</f>
        <v/>
      </c>
      <c r="C2290" s="7" t="str">
        <f aca="false">IF(A2290="","",'Outro banco'!C2290)</f>
        <v/>
      </c>
      <c r="D2290" s="7" t="str">
        <f aca="false">IF(A2290="","",'Outro banco'!D2290)</f>
        <v/>
      </c>
      <c r="E2290" s="9"/>
      <c r="F2290" s="9"/>
      <c r="G2290" s="7" t="str">
        <f aca="false">IF(A2290="","",IF(COUNTIF(Tabelas!$A:$A,IF(E2290="",A2290,E2290))&gt;0,"sim","não"))</f>
        <v/>
      </c>
      <c r="H2290" s="7" t="str">
        <f aca="false">IF(A2290="","",IF(E2290="",A2290,E2290)&amp;"."&amp;IF(F2290="",B2290,F2290))</f>
        <v/>
      </c>
      <c r="I2290" s="7" t="str">
        <f aca="false">IF(A2290="","",IFERROR(INDEX('Campos Growths'!$F:$F,MATCH(H2290,'Campos Growths'!$A:$A,0)),""))</f>
        <v/>
      </c>
      <c r="J2290" s="7" t="str">
        <f aca="false">IF(A2290="","",IFERROR(VLOOKUP(IF(ISNUMBER(SEARCH("(",C2290)),LEFT(C2290,SEARCH("(",C2290)-1),C2290),Tipos!$A:$B,2,FALSE()),"outro"))</f>
        <v/>
      </c>
      <c r="K2290" s="7" t="str">
        <f aca="false">IF(I2290="","",IFERROR(INDEX('Campos Growths'!$L:$L,MATCH(H2290,'Campos Growths'!$A:$A,0)),""))</f>
        <v/>
      </c>
      <c r="L2290" s="7" t="str">
        <f aca="false">IF(A2290="","",IF(G2290="não","Sem tabela no Growths",IF(I2290="","Sem campo no Growths",IF(J2290=K2290,"Importa direto","Ajustar tipo"))))</f>
        <v/>
      </c>
      <c r="M2290" s="9"/>
    </row>
    <row r="2291" customFormat="false" ht="15" hidden="false" customHeight="false" outlineLevel="0" collapsed="false">
      <c r="A2291" s="7" t="str">
        <f aca="false">IF('Outro banco'!A2291="","",IF(LEFT('Outro banco'!A2291,1)="(","",'Outro banco'!A2291))</f>
        <v/>
      </c>
      <c r="B2291" s="7" t="str">
        <f aca="false">IF(A2291="","",'Outro banco'!B2291)</f>
        <v/>
      </c>
      <c r="C2291" s="7" t="str">
        <f aca="false">IF(A2291="","",'Outro banco'!C2291)</f>
        <v/>
      </c>
      <c r="D2291" s="7" t="str">
        <f aca="false">IF(A2291="","",'Outro banco'!D2291)</f>
        <v/>
      </c>
      <c r="E2291" s="9"/>
      <c r="F2291" s="9"/>
      <c r="G2291" s="7" t="str">
        <f aca="false">IF(A2291="","",IF(COUNTIF(Tabelas!$A:$A,IF(E2291="",A2291,E2291))&gt;0,"sim","não"))</f>
        <v/>
      </c>
      <c r="H2291" s="7" t="str">
        <f aca="false">IF(A2291="","",IF(E2291="",A2291,E2291)&amp;"."&amp;IF(F2291="",B2291,F2291))</f>
        <v/>
      </c>
      <c r="I2291" s="7" t="str">
        <f aca="false">IF(A2291="","",IFERROR(INDEX('Campos Growths'!$F:$F,MATCH(H2291,'Campos Growths'!$A:$A,0)),""))</f>
        <v/>
      </c>
      <c r="J2291" s="7" t="str">
        <f aca="false">IF(A2291="","",IFERROR(VLOOKUP(IF(ISNUMBER(SEARCH("(",C2291)),LEFT(C2291,SEARCH("(",C2291)-1),C2291),Tipos!$A:$B,2,FALSE()),"outro"))</f>
        <v/>
      </c>
      <c r="K2291" s="7" t="str">
        <f aca="false">IF(I2291="","",IFERROR(INDEX('Campos Growths'!$L:$L,MATCH(H2291,'Campos Growths'!$A:$A,0)),""))</f>
        <v/>
      </c>
      <c r="L2291" s="7" t="str">
        <f aca="false">IF(A2291="","",IF(G2291="não","Sem tabela no Growths",IF(I2291="","Sem campo no Growths",IF(J2291=K2291,"Importa direto","Ajustar tipo"))))</f>
        <v/>
      </c>
      <c r="M2291" s="9"/>
    </row>
    <row r="2292" customFormat="false" ht="15" hidden="false" customHeight="false" outlineLevel="0" collapsed="false">
      <c r="A2292" s="7" t="str">
        <f aca="false">IF('Outro banco'!A2292="","",IF(LEFT('Outro banco'!A2292,1)="(","",'Outro banco'!A2292))</f>
        <v/>
      </c>
      <c r="B2292" s="7" t="str">
        <f aca="false">IF(A2292="","",'Outro banco'!B2292)</f>
        <v/>
      </c>
      <c r="C2292" s="7" t="str">
        <f aca="false">IF(A2292="","",'Outro banco'!C2292)</f>
        <v/>
      </c>
      <c r="D2292" s="7" t="str">
        <f aca="false">IF(A2292="","",'Outro banco'!D2292)</f>
        <v/>
      </c>
      <c r="E2292" s="9"/>
      <c r="F2292" s="9"/>
      <c r="G2292" s="7" t="str">
        <f aca="false">IF(A2292="","",IF(COUNTIF(Tabelas!$A:$A,IF(E2292="",A2292,E2292))&gt;0,"sim","não"))</f>
        <v/>
      </c>
      <c r="H2292" s="7" t="str">
        <f aca="false">IF(A2292="","",IF(E2292="",A2292,E2292)&amp;"."&amp;IF(F2292="",B2292,F2292))</f>
        <v/>
      </c>
      <c r="I2292" s="7" t="str">
        <f aca="false">IF(A2292="","",IFERROR(INDEX('Campos Growths'!$F:$F,MATCH(H2292,'Campos Growths'!$A:$A,0)),""))</f>
        <v/>
      </c>
      <c r="J2292" s="7" t="str">
        <f aca="false">IF(A2292="","",IFERROR(VLOOKUP(IF(ISNUMBER(SEARCH("(",C2292)),LEFT(C2292,SEARCH("(",C2292)-1),C2292),Tipos!$A:$B,2,FALSE()),"outro"))</f>
        <v/>
      </c>
      <c r="K2292" s="7" t="str">
        <f aca="false">IF(I2292="","",IFERROR(INDEX('Campos Growths'!$L:$L,MATCH(H2292,'Campos Growths'!$A:$A,0)),""))</f>
        <v/>
      </c>
      <c r="L2292" s="7" t="str">
        <f aca="false">IF(A2292="","",IF(G2292="não","Sem tabela no Growths",IF(I2292="","Sem campo no Growths",IF(J2292=K2292,"Importa direto","Ajustar tipo"))))</f>
        <v/>
      </c>
      <c r="M2292" s="9"/>
    </row>
    <row r="2293" customFormat="false" ht="15" hidden="false" customHeight="false" outlineLevel="0" collapsed="false">
      <c r="A2293" s="7" t="str">
        <f aca="false">IF('Outro banco'!A2293="","",IF(LEFT('Outro banco'!A2293,1)="(","",'Outro banco'!A2293))</f>
        <v/>
      </c>
      <c r="B2293" s="7" t="str">
        <f aca="false">IF(A2293="","",'Outro banco'!B2293)</f>
        <v/>
      </c>
      <c r="C2293" s="7" t="str">
        <f aca="false">IF(A2293="","",'Outro banco'!C2293)</f>
        <v/>
      </c>
      <c r="D2293" s="7" t="str">
        <f aca="false">IF(A2293="","",'Outro banco'!D2293)</f>
        <v/>
      </c>
      <c r="E2293" s="9"/>
      <c r="F2293" s="9"/>
      <c r="G2293" s="7" t="str">
        <f aca="false">IF(A2293="","",IF(COUNTIF(Tabelas!$A:$A,IF(E2293="",A2293,E2293))&gt;0,"sim","não"))</f>
        <v/>
      </c>
      <c r="H2293" s="7" t="str">
        <f aca="false">IF(A2293="","",IF(E2293="",A2293,E2293)&amp;"."&amp;IF(F2293="",B2293,F2293))</f>
        <v/>
      </c>
      <c r="I2293" s="7" t="str">
        <f aca="false">IF(A2293="","",IFERROR(INDEX('Campos Growths'!$F:$F,MATCH(H2293,'Campos Growths'!$A:$A,0)),""))</f>
        <v/>
      </c>
      <c r="J2293" s="7" t="str">
        <f aca="false">IF(A2293="","",IFERROR(VLOOKUP(IF(ISNUMBER(SEARCH("(",C2293)),LEFT(C2293,SEARCH("(",C2293)-1),C2293),Tipos!$A:$B,2,FALSE()),"outro"))</f>
        <v/>
      </c>
      <c r="K2293" s="7" t="str">
        <f aca="false">IF(I2293="","",IFERROR(INDEX('Campos Growths'!$L:$L,MATCH(H2293,'Campos Growths'!$A:$A,0)),""))</f>
        <v/>
      </c>
      <c r="L2293" s="7" t="str">
        <f aca="false">IF(A2293="","",IF(G2293="não","Sem tabela no Growths",IF(I2293="","Sem campo no Growths",IF(J2293=K2293,"Importa direto","Ajustar tipo"))))</f>
        <v/>
      </c>
      <c r="M2293" s="9"/>
    </row>
    <row r="2294" customFormat="false" ht="15" hidden="false" customHeight="false" outlineLevel="0" collapsed="false">
      <c r="A2294" s="7" t="str">
        <f aca="false">IF('Outro banco'!A2294="","",IF(LEFT('Outro banco'!A2294,1)="(","",'Outro banco'!A2294))</f>
        <v/>
      </c>
      <c r="B2294" s="7" t="str">
        <f aca="false">IF(A2294="","",'Outro banco'!B2294)</f>
        <v/>
      </c>
      <c r="C2294" s="7" t="str">
        <f aca="false">IF(A2294="","",'Outro banco'!C2294)</f>
        <v/>
      </c>
      <c r="D2294" s="7" t="str">
        <f aca="false">IF(A2294="","",'Outro banco'!D2294)</f>
        <v/>
      </c>
      <c r="E2294" s="9"/>
      <c r="F2294" s="9"/>
      <c r="G2294" s="7" t="str">
        <f aca="false">IF(A2294="","",IF(COUNTIF(Tabelas!$A:$A,IF(E2294="",A2294,E2294))&gt;0,"sim","não"))</f>
        <v/>
      </c>
      <c r="H2294" s="7" t="str">
        <f aca="false">IF(A2294="","",IF(E2294="",A2294,E2294)&amp;"."&amp;IF(F2294="",B2294,F2294))</f>
        <v/>
      </c>
      <c r="I2294" s="7" t="str">
        <f aca="false">IF(A2294="","",IFERROR(INDEX('Campos Growths'!$F:$F,MATCH(H2294,'Campos Growths'!$A:$A,0)),""))</f>
        <v/>
      </c>
      <c r="J2294" s="7" t="str">
        <f aca="false">IF(A2294="","",IFERROR(VLOOKUP(IF(ISNUMBER(SEARCH("(",C2294)),LEFT(C2294,SEARCH("(",C2294)-1),C2294),Tipos!$A:$B,2,FALSE()),"outro"))</f>
        <v/>
      </c>
      <c r="K2294" s="7" t="str">
        <f aca="false">IF(I2294="","",IFERROR(INDEX('Campos Growths'!$L:$L,MATCH(H2294,'Campos Growths'!$A:$A,0)),""))</f>
        <v/>
      </c>
      <c r="L2294" s="7" t="str">
        <f aca="false">IF(A2294="","",IF(G2294="não","Sem tabela no Growths",IF(I2294="","Sem campo no Growths",IF(J2294=K2294,"Importa direto","Ajustar tipo"))))</f>
        <v/>
      </c>
      <c r="M2294" s="9"/>
    </row>
    <row r="2295" customFormat="false" ht="15" hidden="false" customHeight="false" outlineLevel="0" collapsed="false">
      <c r="A2295" s="7" t="str">
        <f aca="false">IF('Outro banco'!A2295="","",IF(LEFT('Outro banco'!A2295,1)="(","",'Outro banco'!A2295))</f>
        <v/>
      </c>
      <c r="B2295" s="7" t="str">
        <f aca="false">IF(A2295="","",'Outro banco'!B2295)</f>
        <v/>
      </c>
      <c r="C2295" s="7" t="str">
        <f aca="false">IF(A2295="","",'Outro banco'!C2295)</f>
        <v/>
      </c>
      <c r="D2295" s="7" t="str">
        <f aca="false">IF(A2295="","",'Outro banco'!D2295)</f>
        <v/>
      </c>
      <c r="E2295" s="9"/>
      <c r="F2295" s="9"/>
      <c r="G2295" s="7" t="str">
        <f aca="false">IF(A2295="","",IF(COUNTIF(Tabelas!$A:$A,IF(E2295="",A2295,E2295))&gt;0,"sim","não"))</f>
        <v/>
      </c>
      <c r="H2295" s="7" t="str">
        <f aca="false">IF(A2295="","",IF(E2295="",A2295,E2295)&amp;"."&amp;IF(F2295="",B2295,F2295))</f>
        <v/>
      </c>
      <c r="I2295" s="7" t="str">
        <f aca="false">IF(A2295="","",IFERROR(INDEX('Campos Growths'!$F:$F,MATCH(H2295,'Campos Growths'!$A:$A,0)),""))</f>
        <v/>
      </c>
      <c r="J2295" s="7" t="str">
        <f aca="false">IF(A2295="","",IFERROR(VLOOKUP(IF(ISNUMBER(SEARCH("(",C2295)),LEFT(C2295,SEARCH("(",C2295)-1),C2295),Tipos!$A:$B,2,FALSE()),"outro"))</f>
        <v/>
      </c>
      <c r="K2295" s="7" t="str">
        <f aca="false">IF(I2295="","",IFERROR(INDEX('Campos Growths'!$L:$L,MATCH(H2295,'Campos Growths'!$A:$A,0)),""))</f>
        <v/>
      </c>
      <c r="L2295" s="7" t="str">
        <f aca="false">IF(A2295="","",IF(G2295="não","Sem tabela no Growths",IF(I2295="","Sem campo no Growths",IF(J2295=K2295,"Importa direto","Ajustar tipo"))))</f>
        <v/>
      </c>
      <c r="M2295" s="9"/>
    </row>
    <row r="2296" customFormat="false" ht="15" hidden="false" customHeight="false" outlineLevel="0" collapsed="false">
      <c r="A2296" s="7" t="str">
        <f aca="false">IF('Outro banco'!A2296="","",IF(LEFT('Outro banco'!A2296,1)="(","",'Outro banco'!A2296))</f>
        <v/>
      </c>
      <c r="B2296" s="7" t="str">
        <f aca="false">IF(A2296="","",'Outro banco'!B2296)</f>
        <v/>
      </c>
      <c r="C2296" s="7" t="str">
        <f aca="false">IF(A2296="","",'Outro banco'!C2296)</f>
        <v/>
      </c>
      <c r="D2296" s="7" t="str">
        <f aca="false">IF(A2296="","",'Outro banco'!D2296)</f>
        <v/>
      </c>
      <c r="E2296" s="9"/>
      <c r="F2296" s="9"/>
      <c r="G2296" s="7" t="str">
        <f aca="false">IF(A2296="","",IF(COUNTIF(Tabelas!$A:$A,IF(E2296="",A2296,E2296))&gt;0,"sim","não"))</f>
        <v/>
      </c>
      <c r="H2296" s="7" t="str">
        <f aca="false">IF(A2296="","",IF(E2296="",A2296,E2296)&amp;"."&amp;IF(F2296="",B2296,F2296))</f>
        <v/>
      </c>
      <c r="I2296" s="7" t="str">
        <f aca="false">IF(A2296="","",IFERROR(INDEX('Campos Growths'!$F:$F,MATCH(H2296,'Campos Growths'!$A:$A,0)),""))</f>
        <v/>
      </c>
      <c r="J2296" s="7" t="str">
        <f aca="false">IF(A2296="","",IFERROR(VLOOKUP(IF(ISNUMBER(SEARCH("(",C2296)),LEFT(C2296,SEARCH("(",C2296)-1),C2296),Tipos!$A:$B,2,FALSE()),"outro"))</f>
        <v/>
      </c>
      <c r="K2296" s="7" t="str">
        <f aca="false">IF(I2296="","",IFERROR(INDEX('Campos Growths'!$L:$L,MATCH(H2296,'Campos Growths'!$A:$A,0)),""))</f>
        <v/>
      </c>
      <c r="L2296" s="7" t="str">
        <f aca="false">IF(A2296="","",IF(G2296="não","Sem tabela no Growths",IF(I2296="","Sem campo no Growths",IF(J2296=K2296,"Importa direto","Ajustar tipo"))))</f>
        <v/>
      </c>
      <c r="M2296" s="9"/>
    </row>
    <row r="2297" customFormat="false" ht="15" hidden="false" customHeight="false" outlineLevel="0" collapsed="false">
      <c r="A2297" s="7" t="str">
        <f aca="false">IF('Outro banco'!A2297="","",IF(LEFT('Outro banco'!A2297,1)="(","",'Outro banco'!A2297))</f>
        <v/>
      </c>
      <c r="B2297" s="7" t="str">
        <f aca="false">IF(A2297="","",'Outro banco'!B2297)</f>
        <v/>
      </c>
      <c r="C2297" s="7" t="str">
        <f aca="false">IF(A2297="","",'Outro banco'!C2297)</f>
        <v/>
      </c>
      <c r="D2297" s="7" t="str">
        <f aca="false">IF(A2297="","",'Outro banco'!D2297)</f>
        <v/>
      </c>
      <c r="E2297" s="9"/>
      <c r="F2297" s="9"/>
      <c r="G2297" s="7" t="str">
        <f aca="false">IF(A2297="","",IF(COUNTIF(Tabelas!$A:$A,IF(E2297="",A2297,E2297))&gt;0,"sim","não"))</f>
        <v/>
      </c>
      <c r="H2297" s="7" t="str">
        <f aca="false">IF(A2297="","",IF(E2297="",A2297,E2297)&amp;"."&amp;IF(F2297="",B2297,F2297))</f>
        <v/>
      </c>
      <c r="I2297" s="7" t="str">
        <f aca="false">IF(A2297="","",IFERROR(INDEX('Campos Growths'!$F:$F,MATCH(H2297,'Campos Growths'!$A:$A,0)),""))</f>
        <v/>
      </c>
      <c r="J2297" s="7" t="str">
        <f aca="false">IF(A2297="","",IFERROR(VLOOKUP(IF(ISNUMBER(SEARCH("(",C2297)),LEFT(C2297,SEARCH("(",C2297)-1),C2297),Tipos!$A:$B,2,FALSE()),"outro"))</f>
        <v/>
      </c>
      <c r="K2297" s="7" t="str">
        <f aca="false">IF(I2297="","",IFERROR(INDEX('Campos Growths'!$L:$L,MATCH(H2297,'Campos Growths'!$A:$A,0)),""))</f>
        <v/>
      </c>
      <c r="L2297" s="7" t="str">
        <f aca="false">IF(A2297="","",IF(G2297="não","Sem tabela no Growths",IF(I2297="","Sem campo no Growths",IF(J2297=K2297,"Importa direto","Ajustar tipo"))))</f>
        <v/>
      </c>
      <c r="M2297" s="9"/>
    </row>
    <row r="2298" customFormat="false" ht="15" hidden="false" customHeight="false" outlineLevel="0" collapsed="false">
      <c r="A2298" s="7" t="str">
        <f aca="false">IF('Outro banco'!A2298="","",IF(LEFT('Outro banco'!A2298,1)="(","",'Outro banco'!A2298))</f>
        <v/>
      </c>
      <c r="B2298" s="7" t="str">
        <f aca="false">IF(A2298="","",'Outro banco'!B2298)</f>
        <v/>
      </c>
      <c r="C2298" s="7" t="str">
        <f aca="false">IF(A2298="","",'Outro banco'!C2298)</f>
        <v/>
      </c>
      <c r="D2298" s="7" t="str">
        <f aca="false">IF(A2298="","",'Outro banco'!D2298)</f>
        <v/>
      </c>
      <c r="E2298" s="9"/>
      <c r="F2298" s="9"/>
      <c r="G2298" s="7" t="str">
        <f aca="false">IF(A2298="","",IF(COUNTIF(Tabelas!$A:$A,IF(E2298="",A2298,E2298))&gt;0,"sim","não"))</f>
        <v/>
      </c>
      <c r="H2298" s="7" t="str">
        <f aca="false">IF(A2298="","",IF(E2298="",A2298,E2298)&amp;"."&amp;IF(F2298="",B2298,F2298))</f>
        <v/>
      </c>
      <c r="I2298" s="7" t="str">
        <f aca="false">IF(A2298="","",IFERROR(INDEX('Campos Growths'!$F:$F,MATCH(H2298,'Campos Growths'!$A:$A,0)),""))</f>
        <v/>
      </c>
      <c r="J2298" s="7" t="str">
        <f aca="false">IF(A2298="","",IFERROR(VLOOKUP(IF(ISNUMBER(SEARCH("(",C2298)),LEFT(C2298,SEARCH("(",C2298)-1),C2298),Tipos!$A:$B,2,FALSE()),"outro"))</f>
        <v/>
      </c>
      <c r="K2298" s="7" t="str">
        <f aca="false">IF(I2298="","",IFERROR(INDEX('Campos Growths'!$L:$L,MATCH(H2298,'Campos Growths'!$A:$A,0)),""))</f>
        <v/>
      </c>
      <c r="L2298" s="7" t="str">
        <f aca="false">IF(A2298="","",IF(G2298="não","Sem tabela no Growths",IF(I2298="","Sem campo no Growths",IF(J2298=K2298,"Importa direto","Ajustar tipo"))))</f>
        <v/>
      </c>
      <c r="M2298" s="9"/>
    </row>
    <row r="2299" customFormat="false" ht="15" hidden="false" customHeight="false" outlineLevel="0" collapsed="false">
      <c r="A2299" s="7" t="str">
        <f aca="false">IF('Outro banco'!A2299="","",IF(LEFT('Outro banco'!A2299,1)="(","",'Outro banco'!A2299))</f>
        <v/>
      </c>
      <c r="B2299" s="7" t="str">
        <f aca="false">IF(A2299="","",'Outro banco'!B2299)</f>
        <v/>
      </c>
      <c r="C2299" s="7" t="str">
        <f aca="false">IF(A2299="","",'Outro banco'!C2299)</f>
        <v/>
      </c>
      <c r="D2299" s="7" t="str">
        <f aca="false">IF(A2299="","",'Outro banco'!D2299)</f>
        <v/>
      </c>
      <c r="E2299" s="9"/>
      <c r="F2299" s="9"/>
      <c r="G2299" s="7" t="str">
        <f aca="false">IF(A2299="","",IF(COUNTIF(Tabelas!$A:$A,IF(E2299="",A2299,E2299))&gt;0,"sim","não"))</f>
        <v/>
      </c>
      <c r="H2299" s="7" t="str">
        <f aca="false">IF(A2299="","",IF(E2299="",A2299,E2299)&amp;"."&amp;IF(F2299="",B2299,F2299))</f>
        <v/>
      </c>
      <c r="I2299" s="7" t="str">
        <f aca="false">IF(A2299="","",IFERROR(INDEX('Campos Growths'!$F:$F,MATCH(H2299,'Campos Growths'!$A:$A,0)),""))</f>
        <v/>
      </c>
      <c r="J2299" s="7" t="str">
        <f aca="false">IF(A2299="","",IFERROR(VLOOKUP(IF(ISNUMBER(SEARCH("(",C2299)),LEFT(C2299,SEARCH("(",C2299)-1),C2299),Tipos!$A:$B,2,FALSE()),"outro"))</f>
        <v/>
      </c>
      <c r="K2299" s="7" t="str">
        <f aca="false">IF(I2299="","",IFERROR(INDEX('Campos Growths'!$L:$L,MATCH(H2299,'Campos Growths'!$A:$A,0)),""))</f>
        <v/>
      </c>
      <c r="L2299" s="7" t="str">
        <f aca="false">IF(A2299="","",IF(G2299="não","Sem tabela no Growths",IF(I2299="","Sem campo no Growths",IF(J2299=K2299,"Importa direto","Ajustar tipo"))))</f>
        <v/>
      </c>
      <c r="M2299" s="9"/>
    </row>
    <row r="2300" customFormat="false" ht="15" hidden="false" customHeight="false" outlineLevel="0" collapsed="false">
      <c r="A2300" s="7" t="str">
        <f aca="false">IF('Outro banco'!A2300="","",IF(LEFT('Outro banco'!A2300,1)="(","",'Outro banco'!A2300))</f>
        <v/>
      </c>
      <c r="B2300" s="7" t="str">
        <f aca="false">IF(A2300="","",'Outro banco'!B2300)</f>
        <v/>
      </c>
      <c r="C2300" s="7" t="str">
        <f aca="false">IF(A2300="","",'Outro banco'!C2300)</f>
        <v/>
      </c>
      <c r="D2300" s="7" t="str">
        <f aca="false">IF(A2300="","",'Outro banco'!D2300)</f>
        <v/>
      </c>
      <c r="E2300" s="9"/>
      <c r="F2300" s="9"/>
      <c r="G2300" s="7" t="str">
        <f aca="false">IF(A2300="","",IF(COUNTIF(Tabelas!$A:$A,IF(E2300="",A2300,E2300))&gt;0,"sim","não"))</f>
        <v/>
      </c>
      <c r="H2300" s="7" t="str">
        <f aca="false">IF(A2300="","",IF(E2300="",A2300,E2300)&amp;"."&amp;IF(F2300="",B2300,F2300))</f>
        <v/>
      </c>
      <c r="I2300" s="7" t="str">
        <f aca="false">IF(A2300="","",IFERROR(INDEX('Campos Growths'!$F:$F,MATCH(H2300,'Campos Growths'!$A:$A,0)),""))</f>
        <v/>
      </c>
      <c r="J2300" s="7" t="str">
        <f aca="false">IF(A2300="","",IFERROR(VLOOKUP(IF(ISNUMBER(SEARCH("(",C2300)),LEFT(C2300,SEARCH("(",C2300)-1),C2300),Tipos!$A:$B,2,FALSE()),"outro"))</f>
        <v/>
      </c>
      <c r="K2300" s="7" t="str">
        <f aca="false">IF(I2300="","",IFERROR(INDEX('Campos Growths'!$L:$L,MATCH(H2300,'Campos Growths'!$A:$A,0)),""))</f>
        <v/>
      </c>
      <c r="L2300" s="7" t="str">
        <f aca="false">IF(A2300="","",IF(G2300="não","Sem tabela no Growths",IF(I2300="","Sem campo no Growths",IF(J2300=K2300,"Importa direto","Ajustar tipo"))))</f>
        <v/>
      </c>
      <c r="M2300" s="9"/>
    </row>
    <row r="2301" customFormat="false" ht="15" hidden="false" customHeight="false" outlineLevel="0" collapsed="false">
      <c r="A2301" s="7" t="str">
        <f aca="false">IF('Outro banco'!A2301="","",IF(LEFT('Outro banco'!A2301,1)="(","",'Outro banco'!A2301))</f>
        <v/>
      </c>
      <c r="B2301" s="7" t="str">
        <f aca="false">IF(A2301="","",'Outro banco'!B2301)</f>
        <v/>
      </c>
      <c r="C2301" s="7" t="str">
        <f aca="false">IF(A2301="","",'Outro banco'!C2301)</f>
        <v/>
      </c>
      <c r="D2301" s="7" t="str">
        <f aca="false">IF(A2301="","",'Outro banco'!D2301)</f>
        <v/>
      </c>
      <c r="E2301" s="9"/>
      <c r="F2301" s="9"/>
      <c r="G2301" s="7" t="str">
        <f aca="false">IF(A2301="","",IF(COUNTIF(Tabelas!$A:$A,IF(E2301="",A2301,E2301))&gt;0,"sim","não"))</f>
        <v/>
      </c>
      <c r="H2301" s="7" t="str">
        <f aca="false">IF(A2301="","",IF(E2301="",A2301,E2301)&amp;"."&amp;IF(F2301="",B2301,F2301))</f>
        <v/>
      </c>
      <c r="I2301" s="7" t="str">
        <f aca="false">IF(A2301="","",IFERROR(INDEX('Campos Growths'!$F:$F,MATCH(H2301,'Campos Growths'!$A:$A,0)),""))</f>
        <v/>
      </c>
      <c r="J2301" s="7" t="str">
        <f aca="false">IF(A2301="","",IFERROR(VLOOKUP(IF(ISNUMBER(SEARCH("(",C2301)),LEFT(C2301,SEARCH("(",C2301)-1),C2301),Tipos!$A:$B,2,FALSE()),"outro"))</f>
        <v/>
      </c>
      <c r="K2301" s="7" t="str">
        <f aca="false">IF(I2301="","",IFERROR(INDEX('Campos Growths'!$L:$L,MATCH(H2301,'Campos Growths'!$A:$A,0)),""))</f>
        <v/>
      </c>
      <c r="L2301" s="7" t="str">
        <f aca="false">IF(A2301="","",IF(G2301="não","Sem tabela no Growths",IF(I2301="","Sem campo no Growths",IF(J2301=K2301,"Importa direto","Ajustar tipo"))))</f>
        <v/>
      </c>
      <c r="M2301" s="9"/>
    </row>
    <row r="2302" customFormat="false" ht="15" hidden="false" customHeight="false" outlineLevel="0" collapsed="false">
      <c r="A2302" s="7" t="str">
        <f aca="false">IF('Outro banco'!A2302="","",IF(LEFT('Outro banco'!A2302,1)="(","",'Outro banco'!A2302))</f>
        <v/>
      </c>
      <c r="B2302" s="7" t="str">
        <f aca="false">IF(A2302="","",'Outro banco'!B2302)</f>
        <v/>
      </c>
      <c r="C2302" s="7" t="str">
        <f aca="false">IF(A2302="","",'Outro banco'!C2302)</f>
        <v/>
      </c>
      <c r="D2302" s="7" t="str">
        <f aca="false">IF(A2302="","",'Outro banco'!D2302)</f>
        <v/>
      </c>
      <c r="E2302" s="9"/>
      <c r="F2302" s="9"/>
      <c r="G2302" s="7" t="str">
        <f aca="false">IF(A2302="","",IF(COUNTIF(Tabelas!$A:$A,IF(E2302="",A2302,E2302))&gt;0,"sim","não"))</f>
        <v/>
      </c>
      <c r="H2302" s="7" t="str">
        <f aca="false">IF(A2302="","",IF(E2302="",A2302,E2302)&amp;"."&amp;IF(F2302="",B2302,F2302))</f>
        <v/>
      </c>
      <c r="I2302" s="7" t="str">
        <f aca="false">IF(A2302="","",IFERROR(INDEX('Campos Growths'!$F:$F,MATCH(H2302,'Campos Growths'!$A:$A,0)),""))</f>
        <v/>
      </c>
      <c r="J2302" s="7" t="str">
        <f aca="false">IF(A2302="","",IFERROR(VLOOKUP(IF(ISNUMBER(SEARCH("(",C2302)),LEFT(C2302,SEARCH("(",C2302)-1),C2302),Tipos!$A:$B,2,FALSE()),"outro"))</f>
        <v/>
      </c>
      <c r="K2302" s="7" t="str">
        <f aca="false">IF(I2302="","",IFERROR(INDEX('Campos Growths'!$L:$L,MATCH(H2302,'Campos Growths'!$A:$A,0)),""))</f>
        <v/>
      </c>
      <c r="L2302" s="7" t="str">
        <f aca="false">IF(A2302="","",IF(G2302="não","Sem tabela no Growths",IF(I2302="","Sem campo no Growths",IF(J2302=K2302,"Importa direto","Ajustar tipo"))))</f>
        <v/>
      </c>
      <c r="M2302" s="9"/>
    </row>
    <row r="2303" customFormat="false" ht="15" hidden="false" customHeight="false" outlineLevel="0" collapsed="false">
      <c r="A2303" s="7" t="str">
        <f aca="false">IF('Outro banco'!A2303="","",IF(LEFT('Outro banco'!A2303,1)="(","",'Outro banco'!A2303))</f>
        <v/>
      </c>
      <c r="B2303" s="7" t="str">
        <f aca="false">IF(A2303="","",'Outro banco'!B2303)</f>
        <v/>
      </c>
      <c r="C2303" s="7" t="str">
        <f aca="false">IF(A2303="","",'Outro banco'!C2303)</f>
        <v/>
      </c>
      <c r="D2303" s="7" t="str">
        <f aca="false">IF(A2303="","",'Outro banco'!D2303)</f>
        <v/>
      </c>
      <c r="E2303" s="9"/>
      <c r="F2303" s="9"/>
      <c r="G2303" s="7" t="str">
        <f aca="false">IF(A2303="","",IF(COUNTIF(Tabelas!$A:$A,IF(E2303="",A2303,E2303))&gt;0,"sim","não"))</f>
        <v/>
      </c>
      <c r="H2303" s="7" t="str">
        <f aca="false">IF(A2303="","",IF(E2303="",A2303,E2303)&amp;"."&amp;IF(F2303="",B2303,F2303))</f>
        <v/>
      </c>
      <c r="I2303" s="7" t="str">
        <f aca="false">IF(A2303="","",IFERROR(INDEX('Campos Growths'!$F:$F,MATCH(H2303,'Campos Growths'!$A:$A,0)),""))</f>
        <v/>
      </c>
      <c r="J2303" s="7" t="str">
        <f aca="false">IF(A2303="","",IFERROR(VLOOKUP(IF(ISNUMBER(SEARCH("(",C2303)),LEFT(C2303,SEARCH("(",C2303)-1),C2303),Tipos!$A:$B,2,FALSE()),"outro"))</f>
        <v/>
      </c>
      <c r="K2303" s="7" t="str">
        <f aca="false">IF(I2303="","",IFERROR(INDEX('Campos Growths'!$L:$L,MATCH(H2303,'Campos Growths'!$A:$A,0)),""))</f>
        <v/>
      </c>
      <c r="L2303" s="7" t="str">
        <f aca="false">IF(A2303="","",IF(G2303="não","Sem tabela no Growths",IF(I2303="","Sem campo no Growths",IF(J2303=K2303,"Importa direto","Ajustar tipo"))))</f>
        <v/>
      </c>
      <c r="M2303" s="9"/>
    </row>
    <row r="2304" customFormat="false" ht="15" hidden="false" customHeight="false" outlineLevel="0" collapsed="false">
      <c r="A2304" s="7" t="str">
        <f aca="false">IF('Outro banco'!A2304="","",IF(LEFT('Outro banco'!A2304,1)="(","",'Outro banco'!A2304))</f>
        <v/>
      </c>
      <c r="B2304" s="7" t="str">
        <f aca="false">IF(A2304="","",'Outro banco'!B2304)</f>
        <v/>
      </c>
      <c r="C2304" s="7" t="str">
        <f aca="false">IF(A2304="","",'Outro banco'!C2304)</f>
        <v/>
      </c>
      <c r="D2304" s="7" t="str">
        <f aca="false">IF(A2304="","",'Outro banco'!D2304)</f>
        <v/>
      </c>
      <c r="E2304" s="9"/>
      <c r="F2304" s="9"/>
      <c r="G2304" s="7" t="str">
        <f aca="false">IF(A2304="","",IF(COUNTIF(Tabelas!$A:$A,IF(E2304="",A2304,E2304))&gt;0,"sim","não"))</f>
        <v/>
      </c>
      <c r="H2304" s="7" t="str">
        <f aca="false">IF(A2304="","",IF(E2304="",A2304,E2304)&amp;"."&amp;IF(F2304="",B2304,F2304))</f>
        <v/>
      </c>
      <c r="I2304" s="7" t="str">
        <f aca="false">IF(A2304="","",IFERROR(INDEX('Campos Growths'!$F:$F,MATCH(H2304,'Campos Growths'!$A:$A,0)),""))</f>
        <v/>
      </c>
      <c r="J2304" s="7" t="str">
        <f aca="false">IF(A2304="","",IFERROR(VLOOKUP(IF(ISNUMBER(SEARCH("(",C2304)),LEFT(C2304,SEARCH("(",C2304)-1),C2304),Tipos!$A:$B,2,FALSE()),"outro"))</f>
        <v/>
      </c>
      <c r="K2304" s="7" t="str">
        <f aca="false">IF(I2304="","",IFERROR(INDEX('Campos Growths'!$L:$L,MATCH(H2304,'Campos Growths'!$A:$A,0)),""))</f>
        <v/>
      </c>
      <c r="L2304" s="7" t="str">
        <f aca="false">IF(A2304="","",IF(G2304="não","Sem tabela no Growths",IF(I2304="","Sem campo no Growths",IF(J2304=K2304,"Importa direto","Ajustar tipo"))))</f>
        <v/>
      </c>
      <c r="M2304" s="9"/>
    </row>
    <row r="2305" customFormat="false" ht="15" hidden="false" customHeight="false" outlineLevel="0" collapsed="false">
      <c r="A2305" s="7" t="str">
        <f aca="false">IF('Outro banco'!A2305="","",IF(LEFT('Outro banco'!A2305,1)="(","",'Outro banco'!A2305))</f>
        <v/>
      </c>
      <c r="B2305" s="7" t="str">
        <f aca="false">IF(A2305="","",'Outro banco'!B2305)</f>
        <v/>
      </c>
      <c r="C2305" s="7" t="str">
        <f aca="false">IF(A2305="","",'Outro banco'!C2305)</f>
        <v/>
      </c>
      <c r="D2305" s="7" t="str">
        <f aca="false">IF(A2305="","",'Outro banco'!D2305)</f>
        <v/>
      </c>
      <c r="E2305" s="9"/>
      <c r="F2305" s="9"/>
      <c r="G2305" s="7" t="str">
        <f aca="false">IF(A2305="","",IF(COUNTIF(Tabelas!$A:$A,IF(E2305="",A2305,E2305))&gt;0,"sim","não"))</f>
        <v/>
      </c>
      <c r="H2305" s="7" t="str">
        <f aca="false">IF(A2305="","",IF(E2305="",A2305,E2305)&amp;"."&amp;IF(F2305="",B2305,F2305))</f>
        <v/>
      </c>
      <c r="I2305" s="7" t="str">
        <f aca="false">IF(A2305="","",IFERROR(INDEX('Campos Growths'!$F:$F,MATCH(H2305,'Campos Growths'!$A:$A,0)),""))</f>
        <v/>
      </c>
      <c r="J2305" s="7" t="str">
        <f aca="false">IF(A2305="","",IFERROR(VLOOKUP(IF(ISNUMBER(SEARCH("(",C2305)),LEFT(C2305,SEARCH("(",C2305)-1),C2305),Tipos!$A:$B,2,FALSE()),"outro"))</f>
        <v/>
      </c>
      <c r="K2305" s="7" t="str">
        <f aca="false">IF(I2305="","",IFERROR(INDEX('Campos Growths'!$L:$L,MATCH(H2305,'Campos Growths'!$A:$A,0)),""))</f>
        <v/>
      </c>
      <c r="L2305" s="7" t="str">
        <f aca="false">IF(A2305="","",IF(G2305="não","Sem tabela no Growths",IF(I2305="","Sem campo no Growths",IF(J2305=K2305,"Importa direto","Ajustar tipo"))))</f>
        <v/>
      </c>
      <c r="M2305" s="9"/>
    </row>
    <row r="2306" customFormat="false" ht="15" hidden="false" customHeight="false" outlineLevel="0" collapsed="false">
      <c r="A2306" s="7" t="str">
        <f aca="false">IF('Outro banco'!A2306="","",IF(LEFT('Outro banco'!A2306,1)="(","",'Outro banco'!A2306))</f>
        <v/>
      </c>
      <c r="B2306" s="7" t="str">
        <f aca="false">IF(A2306="","",'Outro banco'!B2306)</f>
        <v/>
      </c>
      <c r="C2306" s="7" t="str">
        <f aca="false">IF(A2306="","",'Outro banco'!C2306)</f>
        <v/>
      </c>
      <c r="D2306" s="7" t="str">
        <f aca="false">IF(A2306="","",'Outro banco'!D2306)</f>
        <v/>
      </c>
      <c r="E2306" s="9"/>
      <c r="F2306" s="9"/>
      <c r="G2306" s="7" t="str">
        <f aca="false">IF(A2306="","",IF(COUNTIF(Tabelas!$A:$A,IF(E2306="",A2306,E2306))&gt;0,"sim","não"))</f>
        <v/>
      </c>
      <c r="H2306" s="7" t="str">
        <f aca="false">IF(A2306="","",IF(E2306="",A2306,E2306)&amp;"."&amp;IF(F2306="",B2306,F2306))</f>
        <v/>
      </c>
      <c r="I2306" s="7" t="str">
        <f aca="false">IF(A2306="","",IFERROR(INDEX('Campos Growths'!$F:$F,MATCH(H2306,'Campos Growths'!$A:$A,0)),""))</f>
        <v/>
      </c>
      <c r="J2306" s="7" t="str">
        <f aca="false">IF(A2306="","",IFERROR(VLOOKUP(IF(ISNUMBER(SEARCH("(",C2306)),LEFT(C2306,SEARCH("(",C2306)-1),C2306),Tipos!$A:$B,2,FALSE()),"outro"))</f>
        <v/>
      </c>
      <c r="K2306" s="7" t="str">
        <f aca="false">IF(I2306="","",IFERROR(INDEX('Campos Growths'!$L:$L,MATCH(H2306,'Campos Growths'!$A:$A,0)),""))</f>
        <v/>
      </c>
      <c r="L2306" s="7" t="str">
        <f aca="false">IF(A2306="","",IF(G2306="não","Sem tabela no Growths",IF(I2306="","Sem campo no Growths",IF(J2306=K2306,"Importa direto","Ajustar tipo"))))</f>
        <v/>
      </c>
      <c r="M2306" s="9"/>
    </row>
    <row r="2307" customFormat="false" ht="15" hidden="false" customHeight="false" outlineLevel="0" collapsed="false">
      <c r="A2307" s="7" t="str">
        <f aca="false">IF('Outro banco'!A2307="","",IF(LEFT('Outro banco'!A2307,1)="(","",'Outro banco'!A2307))</f>
        <v/>
      </c>
      <c r="B2307" s="7" t="str">
        <f aca="false">IF(A2307="","",'Outro banco'!B2307)</f>
        <v/>
      </c>
      <c r="C2307" s="7" t="str">
        <f aca="false">IF(A2307="","",'Outro banco'!C2307)</f>
        <v/>
      </c>
      <c r="D2307" s="7" t="str">
        <f aca="false">IF(A2307="","",'Outro banco'!D2307)</f>
        <v/>
      </c>
      <c r="E2307" s="9"/>
      <c r="F2307" s="9"/>
      <c r="G2307" s="7" t="str">
        <f aca="false">IF(A2307="","",IF(COUNTIF(Tabelas!$A:$A,IF(E2307="",A2307,E2307))&gt;0,"sim","não"))</f>
        <v/>
      </c>
      <c r="H2307" s="7" t="str">
        <f aca="false">IF(A2307="","",IF(E2307="",A2307,E2307)&amp;"."&amp;IF(F2307="",B2307,F2307))</f>
        <v/>
      </c>
      <c r="I2307" s="7" t="str">
        <f aca="false">IF(A2307="","",IFERROR(INDEX('Campos Growths'!$F:$F,MATCH(H2307,'Campos Growths'!$A:$A,0)),""))</f>
        <v/>
      </c>
      <c r="J2307" s="7" t="str">
        <f aca="false">IF(A2307="","",IFERROR(VLOOKUP(IF(ISNUMBER(SEARCH("(",C2307)),LEFT(C2307,SEARCH("(",C2307)-1),C2307),Tipos!$A:$B,2,FALSE()),"outro"))</f>
        <v/>
      </c>
      <c r="K2307" s="7" t="str">
        <f aca="false">IF(I2307="","",IFERROR(INDEX('Campos Growths'!$L:$L,MATCH(H2307,'Campos Growths'!$A:$A,0)),""))</f>
        <v/>
      </c>
      <c r="L2307" s="7" t="str">
        <f aca="false">IF(A2307="","",IF(G2307="não","Sem tabela no Growths",IF(I2307="","Sem campo no Growths",IF(J2307=K2307,"Importa direto","Ajustar tipo"))))</f>
        <v/>
      </c>
      <c r="M2307" s="9"/>
    </row>
    <row r="2308" customFormat="false" ht="15" hidden="false" customHeight="false" outlineLevel="0" collapsed="false">
      <c r="A2308" s="7" t="str">
        <f aca="false">IF('Outro banco'!A2308="","",IF(LEFT('Outro banco'!A2308,1)="(","",'Outro banco'!A2308))</f>
        <v/>
      </c>
      <c r="B2308" s="7" t="str">
        <f aca="false">IF(A2308="","",'Outro banco'!B2308)</f>
        <v/>
      </c>
      <c r="C2308" s="7" t="str">
        <f aca="false">IF(A2308="","",'Outro banco'!C2308)</f>
        <v/>
      </c>
      <c r="D2308" s="7" t="str">
        <f aca="false">IF(A2308="","",'Outro banco'!D2308)</f>
        <v/>
      </c>
      <c r="E2308" s="9"/>
      <c r="F2308" s="9"/>
      <c r="G2308" s="7" t="str">
        <f aca="false">IF(A2308="","",IF(COUNTIF(Tabelas!$A:$A,IF(E2308="",A2308,E2308))&gt;0,"sim","não"))</f>
        <v/>
      </c>
      <c r="H2308" s="7" t="str">
        <f aca="false">IF(A2308="","",IF(E2308="",A2308,E2308)&amp;"."&amp;IF(F2308="",B2308,F2308))</f>
        <v/>
      </c>
      <c r="I2308" s="7" t="str">
        <f aca="false">IF(A2308="","",IFERROR(INDEX('Campos Growths'!$F:$F,MATCH(H2308,'Campos Growths'!$A:$A,0)),""))</f>
        <v/>
      </c>
      <c r="J2308" s="7" t="str">
        <f aca="false">IF(A2308="","",IFERROR(VLOOKUP(IF(ISNUMBER(SEARCH("(",C2308)),LEFT(C2308,SEARCH("(",C2308)-1),C2308),Tipos!$A:$B,2,FALSE()),"outro"))</f>
        <v/>
      </c>
      <c r="K2308" s="7" t="str">
        <f aca="false">IF(I2308="","",IFERROR(INDEX('Campos Growths'!$L:$L,MATCH(H2308,'Campos Growths'!$A:$A,0)),""))</f>
        <v/>
      </c>
      <c r="L2308" s="7" t="str">
        <f aca="false">IF(A2308="","",IF(G2308="não","Sem tabela no Growths",IF(I2308="","Sem campo no Growths",IF(J2308=K2308,"Importa direto","Ajustar tipo"))))</f>
        <v/>
      </c>
      <c r="M2308" s="9"/>
    </row>
    <row r="2309" customFormat="false" ht="15" hidden="false" customHeight="false" outlineLevel="0" collapsed="false">
      <c r="A2309" s="7" t="str">
        <f aca="false">IF('Outro banco'!A2309="","",IF(LEFT('Outro banco'!A2309,1)="(","",'Outro banco'!A2309))</f>
        <v/>
      </c>
      <c r="B2309" s="7" t="str">
        <f aca="false">IF(A2309="","",'Outro banco'!B2309)</f>
        <v/>
      </c>
      <c r="C2309" s="7" t="str">
        <f aca="false">IF(A2309="","",'Outro banco'!C2309)</f>
        <v/>
      </c>
      <c r="D2309" s="7" t="str">
        <f aca="false">IF(A2309="","",'Outro banco'!D2309)</f>
        <v/>
      </c>
      <c r="E2309" s="9"/>
      <c r="F2309" s="9"/>
      <c r="G2309" s="7" t="str">
        <f aca="false">IF(A2309="","",IF(COUNTIF(Tabelas!$A:$A,IF(E2309="",A2309,E2309))&gt;0,"sim","não"))</f>
        <v/>
      </c>
      <c r="H2309" s="7" t="str">
        <f aca="false">IF(A2309="","",IF(E2309="",A2309,E2309)&amp;"."&amp;IF(F2309="",B2309,F2309))</f>
        <v/>
      </c>
      <c r="I2309" s="7" t="str">
        <f aca="false">IF(A2309="","",IFERROR(INDEX('Campos Growths'!$F:$F,MATCH(H2309,'Campos Growths'!$A:$A,0)),""))</f>
        <v/>
      </c>
      <c r="J2309" s="7" t="str">
        <f aca="false">IF(A2309="","",IFERROR(VLOOKUP(IF(ISNUMBER(SEARCH("(",C2309)),LEFT(C2309,SEARCH("(",C2309)-1),C2309),Tipos!$A:$B,2,FALSE()),"outro"))</f>
        <v/>
      </c>
      <c r="K2309" s="7" t="str">
        <f aca="false">IF(I2309="","",IFERROR(INDEX('Campos Growths'!$L:$L,MATCH(H2309,'Campos Growths'!$A:$A,0)),""))</f>
        <v/>
      </c>
      <c r="L2309" s="7" t="str">
        <f aca="false">IF(A2309="","",IF(G2309="não","Sem tabela no Growths",IF(I2309="","Sem campo no Growths",IF(J2309=K2309,"Importa direto","Ajustar tipo"))))</f>
        <v/>
      </c>
      <c r="M2309" s="9"/>
    </row>
    <row r="2310" customFormat="false" ht="15" hidden="false" customHeight="false" outlineLevel="0" collapsed="false">
      <c r="A2310" s="7" t="str">
        <f aca="false">IF('Outro banco'!A2310="","",IF(LEFT('Outro banco'!A2310,1)="(","",'Outro banco'!A2310))</f>
        <v/>
      </c>
      <c r="B2310" s="7" t="str">
        <f aca="false">IF(A2310="","",'Outro banco'!B2310)</f>
        <v/>
      </c>
      <c r="C2310" s="7" t="str">
        <f aca="false">IF(A2310="","",'Outro banco'!C2310)</f>
        <v/>
      </c>
      <c r="D2310" s="7" t="str">
        <f aca="false">IF(A2310="","",'Outro banco'!D2310)</f>
        <v/>
      </c>
      <c r="E2310" s="9"/>
      <c r="F2310" s="9"/>
      <c r="G2310" s="7" t="str">
        <f aca="false">IF(A2310="","",IF(COUNTIF(Tabelas!$A:$A,IF(E2310="",A2310,E2310))&gt;0,"sim","não"))</f>
        <v/>
      </c>
      <c r="H2310" s="7" t="str">
        <f aca="false">IF(A2310="","",IF(E2310="",A2310,E2310)&amp;"."&amp;IF(F2310="",B2310,F2310))</f>
        <v/>
      </c>
      <c r="I2310" s="7" t="str">
        <f aca="false">IF(A2310="","",IFERROR(INDEX('Campos Growths'!$F:$F,MATCH(H2310,'Campos Growths'!$A:$A,0)),""))</f>
        <v/>
      </c>
      <c r="J2310" s="7" t="str">
        <f aca="false">IF(A2310="","",IFERROR(VLOOKUP(IF(ISNUMBER(SEARCH("(",C2310)),LEFT(C2310,SEARCH("(",C2310)-1),C2310),Tipos!$A:$B,2,FALSE()),"outro"))</f>
        <v/>
      </c>
      <c r="K2310" s="7" t="str">
        <f aca="false">IF(I2310="","",IFERROR(INDEX('Campos Growths'!$L:$L,MATCH(H2310,'Campos Growths'!$A:$A,0)),""))</f>
        <v/>
      </c>
      <c r="L2310" s="7" t="str">
        <f aca="false">IF(A2310="","",IF(G2310="não","Sem tabela no Growths",IF(I2310="","Sem campo no Growths",IF(J2310=K2310,"Importa direto","Ajustar tipo"))))</f>
        <v/>
      </c>
      <c r="M2310" s="9"/>
    </row>
    <row r="2311" customFormat="false" ht="15" hidden="false" customHeight="false" outlineLevel="0" collapsed="false">
      <c r="A2311" s="7" t="str">
        <f aca="false">IF('Outro banco'!A2311="","",IF(LEFT('Outro banco'!A2311,1)="(","",'Outro banco'!A2311))</f>
        <v/>
      </c>
      <c r="B2311" s="7" t="str">
        <f aca="false">IF(A2311="","",'Outro banco'!B2311)</f>
        <v/>
      </c>
      <c r="C2311" s="7" t="str">
        <f aca="false">IF(A2311="","",'Outro banco'!C2311)</f>
        <v/>
      </c>
      <c r="D2311" s="7" t="str">
        <f aca="false">IF(A2311="","",'Outro banco'!D2311)</f>
        <v/>
      </c>
      <c r="E2311" s="9"/>
      <c r="F2311" s="9"/>
      <c r="G2311" s="7" t="str">
        <f aca="false">IF(A2311="","",IF(COUNTIF(Tabelas!$A:$A,IF(E2311="",A2311,E2311))&gt;0,"sim","não"))</f>
        <v/>
      </c>
      <c r="H2311" s="7" t="str">
        <f aca="false">IF(A2311="","",IF(E2311="",A2311,E2311)&amp;"."&amp;IF(F2311="",B2311,F2311))</f>
        <v/>
      </c>
      <c r="I2311" s="7" t="str">
        <f aca="false">IF(A2311="","",IFERROR(INDEX('Campos Growths'!$F:$F,MATCH(H2311,'Campos Growths'!$A:$A,0)),""))</f>
        <v/>
      </c>
      <c r="J2311" s="7" t="str">
        <f aca="false">IF(A2311="","",IFERROR(VLOOKUP(IF(ISNUMBER(SEARCH("(",C2311)),LEFT(C2311,SEARCH("(",C2311)-1),C2311),Tipos!$A:$B,2,FALSE()),"outro"))</f>
        <v/>
      </c>
      <c r="K2311" s="7" t="str">
        <f aca="false">IF(I2311="","",IFERROR(INDEX('Campos Growths'!$L:$L,MATCH(H2311,'Campos Growths'!$A:$A,0)),""))</f>
        <v/>
      </c>
      <c r="L2311" s="7" t="str">
        <f aca="false">IF(A2311="","",IF(G2311="não","Sem tabela no Growths",IF(I2311="","Sem campo no Growths",IF(J2311=K2311,"Importa direto","Ajustar tipo"))))</f>
        <v/>
      </c>
      <c r="M2311" s="9"/>
    </row>
    <row r="2312" customFormat="false" ht="15" hidden="false" customHeight="false" outlineLevel="0" collapsed="false">
      <c r="A2312" s="7" t="str">
        <f aca="false">IF('Outro banco'!A2312="","",IF(LEFT('Outro banco'!A2312,1)="(","",'Outro banco'!A2312))</f>
        <v/>
      </c>
      <c r="B2312" s="7" t="str">
        <f aca="false">IF(A2312="","",'Outro banco'!B2312)</f>
        <v/>
      </c>
      <c r="C2312" s="7" t="str">
        <f aca="false">IF(A2312="","",'Outro banco'!C2312)</f>
        <v/>
      </c>
      <c r="D2312" s="7" t="str">
        <f aca="false">IF(A2312="","",'Outro banco'!D2312)</f>
        <v/>
      </c>
      <c r="E2312" s="9"/>
      <c r="F2312" s="9"/>
      <c r="G2312" s="7" t="str">
        <f aca="false">IF(A2312="","",IF(COUNTIF(Tabelas!$A:$A,IF(E2312="",A2312,E2312))&gt;0,"sim","não"))</f>
        <v/>
      </c>
      <c r="H2312" s="7" t="str">
        <f aca="false">IF(A2312="","",IF(E2312="",A2312,E2312)&amp;"."&amp;IF(F2312="",B2312,F2312))</f>
        <v/>
      </c>
      <c r="I2312" s="7" t="str">
        <f aca="false">IF(A2312="","",IFERROR(INDEX('Campos Growths'!$F:$F,MATCH(H2312,'Campos Growths'!$A:$A,0)),""))</f>
        <v/>
      </c>
      <c r="J2312" s="7" t="str">
        <f aca="false">IF(A2312="","",IFERROR(VLOOKUP(IF(ISNUMBER(SEARCH("(",C2312)),LEFT(C2312,SEARCH("(",C2312)-1),C2312),Tipos!$A:$B,2,FALSE()),"outro"))</f>
        <v/>
      </c>
      <c r="K2312" s="7" t="str">
        <f aca="false">IF(I2312="","",IFERROR(INDEX('Campos Growths'!$L:$L,MATCH(H2312,'Campos Growths'!$A:$A,0)),""))</f>
        <v/>
      </c>
      <c r="L2312" s="7" t="str">
        <f aca="false">IF(A2312="","",IF(G2312="não","Sem tabela no Growths",IF(I2312="","Sem campo no Growths",IF(J2312=K2312,"Importa direto","Ajustar tipo"))))</f>
        <v/>
      </c>
      <c r="M2312" s="9"/>
    </row>
    <row r="2313" customFormat="false" ht="15" hidden="false" customHeight="false" outlineLevel="0" collapsed="false">
      <c r="A2313" s="7" t="str">
        <f aca="false">IF('Outro banco'!A2313="","",IF(LEFT('Outro banco'!A2313,1)="(","",'Outro banco'!A2313))</f>
        <v/>
      </c>
      <c r="B2313" s="7" t="str">
        <f aca="false">IF(A2313="","",'Outro banco'!B2313)</f>
        <v/>
      </c>
      <c r="C2313" s="7" t="str">
        <f aca="false">IF(A2313="","",'Outro banco'!C2313)</f>
        <v/>
      </c>
      <c r="D2313" s="7" t="str">
        <f aca="false">IF(A2313="","",'Outro banco'!D2313)</f>
        <v/>
      </c>
      <c r="E2313" s="9"/>
      <c r="F2313" s="9"/>
      <c r="G2313" s="7" t="str">
        <f aca="false">IF(A2313="","",IF(COUNTIF(Tabelas!$A:$A,IF(E2313="",A2313,E2313))&gt;0,"sim","não"))</f>
        <v/>
      </c>
      <c r="H2313" s="7" t="str">
        <f aca="false">IF(A2313="","",IF(E2313="",A2313,E2313)&amp;"."&amp;IF(F2313="",B2313,F2313))</f>
        <v/>
      </c>
      <c r="I2313" s="7" t="str">
        <f aca="false">IF(A2313="","",IFERROR(INDEX('Campos Growths'!$F:$F,MATCH(H2313,'Campos Growths'!$A:$A,0)),""))</f>
        <v/>
      </c>
      <c r="J2313" s="7" t="str">
        <f aca="false">IF(A2313="","",IFERROR(VLOOKUP(IF(ISNUMBER(SEARCH("(",C2313)),LEFT(C2313,SEARCH("(",C2313)-1),C2313),Tipos!$A:$B,2,FALSE()),"outro"))</f>
        <v/>
      </c>
      <c r="K2313" s="7" t="str">
        <f aca="false">IF(I2313="","",IFERROR(INDEX('Campos Growths'!$L:$L,MATCH(H2313,'Campos Growths'!$A:$A,0)),""))</f>
        <v/>
      </c>
      <c r="L2313" s="7" t="str">
        <f aca="false">IF(A2313="","",IF(G2313="não","Sem tabela no Growths",IF(I2313="","Sem campo no Growths",IF(J2313=K2313,"Importa direto","Ajustar tipo"))))</f>
        <v/>
      </c>
      <c r="M2313" s="9"/>
    </row>
    <row r="2314" customFormat="false" ht="15" hidden="false" customHeight="false" outlineLevel="0" collapsed="false">
      <c r="A2314" s="7" t="str">
        <f aca="false">IF('Outro banco'!A2314="","",IF(LEFT('Outro banco'!A2314,1)="(","",'Outro banco'!A2314))</f>
        <v/>
      </c>
      <c r="B2314" s="7" t="str">
        <f aca="false">IF(A2314="","",'Outro banco'!B2314)</f>
        <v/>
      </c>
      <c r="C2314" s="7" t="str">
        <f aca="false">IF(A2314="","",'Outro banco'!C2314)</f>
        <v/>
      </c>
      <c r="D2314" s="7" t="str">
        <f aca="false">IF(A2314="","",'Outro banco'!D2314)</f>
        <v/>
      </c>
      <c r="E2314" s="9"/>
      <c r="F2314" s="9"/>
      <c r="G2314" s="7" t="str">
        <f aca="false">IF(A2314="","",IF(COUNTIF(Tabelas!$A:$A,IF(E2314="",A2314,E2314))&gt;0,"sim","não"))</f>
        <v/>
      </c>
      <c r="H2314" s="7" t="str">
        <f aca="false">IF(A2314="","",IF(E2314="",A2314,E2314)&amp;"."&amp;IF(F2314="",B2314,F2314))</f>
        <v/>
      </c>
      <c r="I2314" s="7" t="str">
        <f aca="false">IF(A2314="","",IFERROR(INDEX('Campos Growths'!$F:$F,MATCH(H2314,'Campos Growths'!$A:$A,0)),""))</f>
        <v/>
      </c>
      <c r="J2314" s="7" t="str">
        <f aca="false">IF(A2314="","",IFERROR(VLOOKUP(IF(ISNUMBER(SEARCH("(",C2314)),LEFT(C2314,SEARCH("(",C2314)-1),C2314),Tipos!$A:$B,2,FALSE()),"outro"))</f>
        <v/>
      </c>
      <c r="K2314" s="7" t="str">
        <f aca="false">IF(I2314="","",IFERROR(INDEX('Campos Growths'!$L:$L,MATCH(H2314,'Campos Growths'!$A:$A,0)),""))</f>
        <v/>
      </c>
      <c r="L2314" s="7" t="str">
        <f aca="false">IF(A2314="","",IF(G2314="não","Sem tabela no Growths",IF(I2314="","Sem campo no Growths",IF(J2314=K2314,"Importa direto","Ajustar tipo"))))</f>
        <v/>
      </c>
      <c r="M2314" s="9"/>
    </row>
    <row r="2315" customFormat="false" ht="15" hidden="false" customHeight="false" outlineLevel="0" collapsed="false">
      <c r="A2315" s="7" t="str">
        <f aca="false">IF('Outro banco'!A2315="","",IF(LEFT('Outro banco'!A2315,1)="(","",'Outro banco'!A2315))</f>
        <v/>
      </c>
      <c r="B2315" s="7" t="str">
        <f aca="false">IF(A2315="","",'Outro banco'!B2315)</f>
        <v/>
      </c>
      <c r="C2315" s="7" t="str">
        <f aca="false">IF(A2315="","",'Outro banco'!C2315)</f>
        <v/>
      </c>
      <c r="D2315" s="7" t="str">
        <f aca="false">IF(A2315="","",'Outro banco'!D2315)</f>
        <v/>
      </c>
      <c r="E2315" s="9"/>
      <c r="F2315" s="9"/>
      <c r="G2315" s="7" t="str">
        <f aca="false">IF(A2315="","",IF(COUNTIF(Tabelas!$A:$A,IF(E2315="",A2315,E2315))&gt;0,"sim","não"))</f>
        <v/>
      </c>
      <c r="H2315" s="7" t="str">
        <f aca="false">IF(A2315="","",IF(E2315="",A2315,E2315)&amp;"."&amp;IF(F2315="",B2315,F2315))</f>
        <v/>
      </c>
      <c r="I2315" s="7" t="str">
        <f aca="false">IF(A2315="","",IFERROR(INDEX('Campos Growths'!$F:$F,MATCH(H2315,'Campos Growths'!$A:$A,0)),""))</f>
        <v/>
      </c>
      <c r="J2315" s="7" t="str">
        <f aca="false">IF(A2315="","",IFERROR(VLOOKUP(IF(ISNUMBER(SEARCH("(",C2315)),LEFT(C2315,SEARCH("(",C2315)-1),C2315),Tipos!$A:$B,2,FALSE()),"outro"))</f>
        <v/>
      </c>
      <c r="K2315" s="7" t="str">
        <f aca="false">IF(I2315="","",IFERROR(INDEX('Campos Growths'!$L:$L,MATCH(H2315,'Campos Growths'!$A:$A,0)),""))</f>
        <v/>
      </c>
      <c r="L2315" s="7" t="str">
        <f aca="false">IF(A2315="","",IF(G2315="não","Sem tabela no Growths",IF(I2315="","Sem campo no Growths",IF(J2315=K2315,"Importa direto","Ajustar tipo"))))</f>
        <v/>
      </c>
      <c r="M2315" s="9"/>
    </row>
    <row r="2316" customFormat="false" ht="15" hidden="false" customHeight="false" outlineLevel="0" collapsed="false">
      <c r="A2316" s="7" t="str">
        <f aca="false">IF('Outro banco'!A2316="","",IF(LEFT('Outro banco'!A2316,1)="(","",'Outro banco'!A2316))</f>
        <v/>
      </c>
      <c r="B2316" s="7" t="str">
        <f aca="false">IF(A2316="","",'Outro banco'!B2316)</f>
        <v/>
      </c>
      <c r="C2316" s="7" t="str">
        <f aca="false">IF(A2316="","",'Outro banco'!C2316)</f>
        <v/>
      </c>
      <c r="D2316" s="7" t="str">
        <f aca="false">IF(A2316="","",'Outro banco'!D2316)</f>
        <v/>
      </c>
      <c r="E2316" s="9"/>
      <c r="F2316" s="9"/>
      <c r="G2316" s="7" t="str">
        <f aca="false">IF(A2316="","",IF(COUNTIF(Tabelas!$A:$A,IF(E2316="",A2316,E2316))&gt;0,"sim","não"))</f>
        <v/>
      </c>
      <c r="H2316" s="7" t="str">
        <f aca="false">IF(A2316="","",IF(E2316="",A2316,E2316)&amp;"."&amp;IF(F2316="",B2316,F2316))</f>
        <v/>
      </c>
      <c r="I2316" s="7" t="str">
        <f aca="false">IF(A2316="","",IFERROR(INDEX('Campos Growths'!$F:$F,MATCH(H2316,'Campos Growths'!$A:$A,0)),""))</f>
        <v/>
      </c>
      <c r="J2316" s="7" t="str">
        <f aca="false">IF(A2316="","",IFERROR(VLOOKUP(IF(ISNUMBER(SEARCH("(",C2316)),LEFT(C2316,SEARCH("(",C2316)-1),C2316),Tipos!$A:$B,2,FALSE()),"outro"))</f>
        <v/>
      </c>
      <c r="K2316" s="7" t="str">
        <f aca="false">IF(I2316="","",IFERROR(INDEX('Campos Growths'!$L:$L,MATCH(H2316,'Campos Growths'!$A:$A,0)),""))</f>
        <v/>
      </c>
      <c r="L2316" s="7" t="str">
        <f aca="false">IF(A2316="","",IF(G2316="não","Sem tabela no Growths",IF(I2316="","Sem campo no Growths",IF(J2316=K2316,"Importa direto","Ajustar tipo"))))</f>
        <v/>
      </c>
      <c r="M2316" s="9"/>
    </row>
    <row r="2317" customFormat="false" ht="15" hidden="false" customHeight="false" outlineLevel="0" collapsed="false">
      <c r="A2317" s="7" t="str">
        <f aca="false">IF('Outro banco'!A2317="","",IF(LEFT('Outro banco'!A2317,1)="(","",'Outro banco'!A2317))</f>
        <v/>
      </c>
      <c r="B2317" s="7" t="str">
        <f aca="false">IF(A2317="","",'Outro banco'!B2317)</f>
        <v/>
      </c>
      <c r="C2317" s="7" t="str">
        <f aca="false">IF(A2317="","",'Outro banco'!C2317)</f>
        <v/>
      </c>
      <c r="D2317" s="7" t="str">
        <f aca="false">IF(A2317="","",'Outro banco'!D2317)</f>
        <v/>
      </c>
      <c r="E2317" s="9"/>
      <c r="F2317" s="9"/>
      <c r="G2317" s="7" t="str">
        <f aca="false">IF(A2317="","",IF(COUNTIF(Tabelas!$A:$A,IF(E2317="",A2317,E2317))&gt;0,"sim","não"))</f>
        <v/>
      </c>
      <c r="H2317" s="7" t="str">
        <f aca="false">IF(A2317="","",IF(E2317="",A2317,E2317)&amp;"."&amp;IF(F2317="",B2317,F2317))</f>
        <v/>
      </c>
      <c r="I2317" s="7" t="str">
        <f aca="false">IF(A2317="","",IFERROR(INDEX('Campos Growths'!$F:$F,MATCH(H2317,'Campos Growths'!$A:$A,0)),""))</f>
        <v/>
      </c>
      <c r="J2317" s="7" t="str">
        <f aca="false">IF(A2317="","",IFERROR(VLOOKUP(IF(ISNUMBER(SEARCH("(",C2317)),LEFT(C2317,SEARCH("(",C2317)-1),C2317),Tipos!$A:$B,2,FALSE()),"outro"))</f>
        <v/>
      </c>
      <c r="K2317" s="7" t="str">
        <f aca="false">IF(I2317="","",IFERROR(INDEX('Campos Growths'!$L:$L,MATCH(H2317,'Campos Growths'!$A:$A,0)),""))</f>
        <v/>
      </c>
      <c r="L2317" s="7" t="str">
        <f aca="false">IF(A2317="","",IF(G2317="não","Sem tabela no Growths",IF(I2317="","Sem campo no Growths",IF(J2317=K2317,"Importa direto","Ajustar tipo"))))</f>
        <v/>
      </c>
      <c r="M2317" s="9"/>
    </row>
    <row r="2318" customFormat="false" ht="15" hidden="false" customHeight="false" outlineLevel="0" collapsed="false">
      <c r="A2318" s="7" t="str">
        <f aca="false">IF('Outro banco'!A2318="","",IF(LEFT('Outro banco'!A2318,1)="(","",'Outro banco'!A2318))</f>
        <v/>
      </c>
      <c r="B2318" s="7" t="str">
        <f aca="false">IF(A2318="","",'Outro banco'!B2318)</f>
        <v/>
      </c>
      <c r="C2318" s="7" t="str">
        <f aca="false">IF(A2318="","",'Outro banco'!C2318)</f>
        <v/>
      </c>
      <c r="D2318" s="7" t="str">
        <f aca="false">IF(A2318="","",'Outro banco'!D2318)</f>
        <v/>
      </c>
      <c r="E2318" s="9"/>
      <c r="F2318" s="9"/>
      <c r="G2318" s="7" t="str">
        <f aca="false">IF(A2318="","",IF(COUNTIF(Tabelas!$A:$A,IF(E2318="",A2318,E2318))&gt;0,"sim","não"))</f>
        <v/>
      </c>
      <c r="H2318" s="7" t="str">
        <f aca="false">IF(A2318="","",IF(E2318="",A2318,E2318)&amp;"."&amp;IF(F2318="",B2318,F2318))</f>
        <v/>
      </c>
      <c r="I2318" s="7" t="str">
        <f aca="false">IF(A2318="","",IFERROR(INDEX('Campos Growths'!$F:$F,MATCH(H2318,'Campos Growths'!$A:$A,0)),""))</f>
        <v/>
      </c>
      <c r="J2318" s="7" t="str">
        <f aca="false">IF(A2318="","",IFERROR(VLOOKUP(IF(ISNUMBER(SEARCH("(",C2318)),LEFT(C2318,SEARCH("(",C2318)-1),C2318),Tipos!$A:$B,2,FALSE()),"outro"))</f>
        <v/>
      </c>
      <c r="K2318" s="7" t="str">
        <f aca="false">IF(I2318="","",IFERROR(INDEX('Campos Growths'!$L:$L,MATCH(H2318,'Campos Growths'!$A:$A,0)),""))</f>
        <v/>
      </c>
      <c r="L2318" s="7" t="str">
        <f aca="false">IF(A2318="","",IF(G2318="não","Sem tabela no Growths",IF(I2318="","Sem campo no Growths",IF(J2318=K2318,"Importa direto","Ajustar tipo"))))</f>
        <v/>
      </c>
      <c r="M2318" s="9"/>
    </row>
    <row r="2319" customFormat="false" ht="15" hidden="false" customHeight="false" outlineLevel="0" collapsed="false">
      <c r="A2319" s="7" t="str">
        <f aca="false">IF('Outro banco'!A2319="","",IF(LEFT('Outro banco'!A2319,1)="(","",'Outro banco'!A2319))</f>
        <v/>
      </c>
      <c r="B2319" s="7" t="str">
        <f aca="false">IF(A2319="","",'Outro banco'!B2319)</f>
        <v/>
      </c>
      <c r="C2319" s="7" t="str">
        <f aca="false">IF(A2319="","",'Outro banco'!C2319)</f>
        <v/>
      </c>
      <c r="D2319" s="7" t="str">
        <f aca="false">IF(A2319="","",'Outro banco'!D2319)</f>
        <v/>
      </c>
      <c r="E2319" s="9"/>
      <c r="F2319" s="9"/>
      <c r="G2319" s="7" t="str">
        <f aca="false">IF(A2319="","",IF(COUNTIF(Tabelas!$A:$A,IF(E2319="",A2319,E2319))&gt;0,"sim","não"))</f>
        <v/>
      </c>
      <c r="H2319" s="7" t="str">
        <f aca="false">IF(A2319="","",IF(E2319="",A2319,E2319)&amp;"."&amp;IF(F2319="",B2319,F2319))</f>
        <v/>
      </c>
      <c r="I2319" s="7" t="str">
        <f aca="false">IF(A2319="","",IFERROR(INDEX('Campos Growths'!$F:$F,MATCH(H2319,'Campos Growths'!$A:$A,0)),""))</f>
        <v/>
      </c>
      <c r="J2319" s="7" t="str">
        <f aca="false">IF(A2319="","",IFERROR(VLOOKUP(IF(ISNUMBER(SEARCH("(",C2319)),LEFT(C2319,SEARCH("(",C2319)-1),C2319),Tipos!$A:$B,2,FALSE()),"outro"))</f>
        <v/>
      </c>
      <c r="K2319" s="7" t="str">
        <f aca="false">IF(I2319="","",IFERROR(INDEX('Campos Growths'!$L:$L,MATCH(H2319,'Campos Growths'!$A:$A,0)),""))</f>
        <v/>
      </c>
      <c r="L2319" s="7" t="str">
        <f aca="false">IF(A2319="","",IF(G2319="não","Sem tabela no Growths",IF(I2319="","Sem campo no Growths",IF(J2319=K2319,"Importa direto","Ajustar tipo"))))</f>
        <v/>
      </c>
      <c r="M2319" s="9"/>
    </row>
    <row r="2320" customFormat="false" ht="15" hidden="false" customHeight="false" outlineLevel="0" collapsed="false">
      <c r="A2320" s="7" t="str">
        <f aca="false">IF('Outro banco'!A2320="","",IF(LEFT('Outro banco'!A2320,1)="(","",'Outro banco'!A2320))</f>
        <v/>
      </c>
      <c r="B2320" s="7" t="str">
        <f aca="false">IF(A2320="","",'Outro banco'!B2320)</f>
        <v/>
      </c>
      <c r="C2320" s="7" t="str">
        <f aca="false">IF(A2320="","",'Outro banco'!C2320)</f>
        <v/>
      </c>
      <c r="D2320" s="7" t="str">
        <f aca="false">IF(A2320="","",'Outro banco'!D2320)</f>
        <v/>
      </c>
      <c r="E2320" s="9"/>
      <c r="F2320" s="9"/>
      <c r="G2320" s="7" t="str">
        <f aca="false">IF(A2320="","",IF(COUNTIF(Tabelas!$A:$A,IF(E2320="",A2320,E2320))&gt;0,"sim","não"))</f>
        <v/>
      </c>
      <c r="H2320" s="7" t="str">
        <f aca="false">IF(A2320="","",IF(E2320="",A2320,E2320)&amp;"."&amp;IF(F2320="",B2320,F2320))</f>
        <v/>
      </c>
      <c r="I2320" s="7" t="str">
        <f aca="false">IF(A2320="","",IFERROR(INDEX('Campos Growths'!$F:$F,MATCH(H2320,'Campos Growths'!$A:$A,0)),""))</f>
        <v/>
      </c>
      <c r="J2320" s="7" t="str">
        <f aca="false">IF(A2320="","",IFERROR(VLOOKUP(IF(ISNUMBER(SEARCH("(",C2320)),LEFT(C2320,SEARCH("(",C2320)-1),C2320),Tipos!$A:$B,2,FALSE()),"outro"))</f>
        <v/>
      </c>
      <c r="K2320" s="7" t="str">
        <f aca="false">IF(I2320="","",IFERROR(INDEX('Campos Growths'!$L:$L,MATCH(H2320,'Campos Growths'!$A:$A,0)),""))</f>
        <v/>
      </c>
      <c r="L2320" s="7" t="str">
        <f aca="false">IF(A2320="","",IF(G2320="não","Sem tabela no Growths",IF(I2320="","Sem campo no Growths",IF(J2320=K2320,"Importa direto","Ajustar tipo"))))</f>
        <v/>
      </c>
      <c r="M2320" s="9"/>
    </row>
    <row r="2321" customFormat="false" ht="15" hidden="false" customHeight="false" outlineLevel="0" collapsed="false">
      <c r="A2321" s="7" t="str">
        <f aca="false">IF('Outro banco'!A2321="","",IF(LEFT('Outro banco'!A2321,1)="(","",'Outro banco'!A2321))</f>
        <v/>
      </c>
      <c r="B2321" s="7" t="str">
        <f aca="false">IF(A2321="","",'Outro banco'!B2321)</f>
        <v/>
      </c>
      <c r="C2321" s="7" t="str">
        <f aca="false">IF(A2321="","",'Outro banco'!C2321)</f>
        <v/>
      </c>
      <c r="D2321" s="7" t="str">
        <f aca="false">IF(A2321="","",'Outro banco'!D2321)</f>
        <v/>
      </c>
      <c r="E2321" s="9"/>
      <c r="F2321" s="9"/>
      <c r="G2321" s="7" t="str">
        <f aca="false">IF(A2321="","",IF(COUNTIF(Tabelas!$A:$A,IF(E2321="",A2321,E2321))&gt;0,"sim","não"))</f>
        <v/>
      </c>
      <c r="H2321" s="7" t="str">
        <f aca="false">IF(A2321="","",IF(E2321="",A2321,E2321)&amp;"."&amp;IF(F2321="",B2321,F2321))</f>
        <v/>
      </c>
      <c r="I2321" s="7" t="str">
        <f aca="false">IF(A2321="","",IFERROR(INDEX('Campos Growths'!$F:$F,MATCH(H2321,'Campos Growths'!$A:$A,0)),""))</f>
        <v/>
      </c>
      <c r="J2321" s="7" t="str">
        <f aca="false">IF(A2321="","",IFERROR(VLOOKUP(IF(ISNUMBER(SEARCH("(",C2321)),LEFT(C2321,SEARCH("(",C2321)-1),C2321),Tipos!$A:$B,2,FALSE()),"outro"))</f>
        <v/>
      </c>
      <c r="K2321" s="7" t="str">
        <f aca="false">IF(I2321="","",IFERROR(INDEX('Campos Growths'!$L:$L,MATCH(H2321,'Campos Growths'!$A:$A,0)),""))</f>
        <v/>
      </c>
      <c r="L2321" s="7" t="str">
        <f aca="false">IF(A2321="","",IF(G2321="não","Sem tabela no Growths",IF(I2321="","Sem campo no Growths",IF(J2321=K2321,"Importa direto","Ajustar tipo"))))</f>
        <v/>
      </c>
      <c r="M2321" s="9"/>
    </row>
    <row r="2322" customFormat="false" ht="15" hidden="false" customHeight="false" outlineLevel="0" collapsed="false">
      <c r="A2322" s="7" t="str">
        <f aca="false">IF('Outro banco'!A2322="","",IF(LEFT('Outro banco'!A2322,1)="(","",'Outro banco'!A2322))</f>
        <v/>
      </c>
      <c r="B2322" s="7" t="str">
        <f aca="false">IF(A2322="","",'Outro banco'!B2322)</f>
        <v/>
      </c>
      <c r="C2322" s="7" t="str">
        <f aca="false">IF(A2322="","",'Outro banco'!C2322)</f>
        <v/>
      </c>
      <c r="D2322" s="7" t="str">
        <f aca="false">IF(A2322="","",'Outro banco'!D2322)</f>
        <v/>
      </c>
      <c r="E2322" s="9"/>
      <c r="F2322" s="9"/>
      <c r="G2322" s="7" t="str">
        <f aca="false">IF(A2322="","",IF(COUNTIF(Tabelas!$A:$A,IF(E2322="",A2322,E2322))&gt;0,"sim","não"))</f>
        <v/>
      </c>
      <c r="H2322" s="7" t="str">
        <f aca="false">IF(A2322="","",IF(E2322="",A2322,E2322)&amp;"."&amp;IF(F2322="",B2322,F2322))</f>
        <v/>
      </c>
      <c r="I2322" s="7" t="str">
        <f aca="false">IF(A2322="","",IFERROR(INDEX('Campos Growths'!$F:$F,MATCH(H2322,'Campos Growths'!$A:$A,0)),""))</f>
        <v/>
      </c>
      <c r="J2322" s="7" t="str">
        <f aca="false">IF(A2322="","",IFERROR(VLOOKUP(IF(ISNUMBER(SEARCH("(",C2322)),LEFT(C2322,SEARCH("(",C2322)-1),C2322),Tipos!$A:$B,2,FALSE()),"outro"))</f>
        <v/>
      </c>
      <c r="K2322" s="7" t="str">
        <f aca="false">IF(I2322="","",IFERROR(INDEX('Campos Growths'!$L:$L,MATCH(H2322,'Campos Growths'!$A:$A,0)),""))</f>
        <v/>
      </c>
      <c r="L2322" s="7" t="str">
        <f aca="false">IF(A2322="","",IF(G2322="não","Sem tabela no Growths",IF(I2322="","Sem campo no Growths",IF(J2322=K2322,"Importa direto","Ajustar tipo"))))</f>
        <v/>
      </c>
      <c r="M2322" s="9"/>
    </row>
    <row r="2323" customFormat="false" ht="15" hidden="false" customHeight="false" outlineLevel="0" collapsed="false">
      <c r="A2323" s="7" t="str">
        <f aca="false">IF('Outro banco'!A2323="","",IF(LEFT('Outro banco'!A2323,1)="(","",'Outro banco'!A2323))</f>
        <v/>
      </c>
      <c r="B2323" s="7" t="str">
        <f aca="false">IF(A2323="","",'Outro banco'!B2323)</f>
        <v/>
      </c>
      <c r="C2323" s="7" t="str">
        <f aca="false">IF(A2323="","",'Outro banco'!C2323)</f>
        <v/>
      </c>
      <c r="D2323" s="7" t="str">
        <f aca="false">IF(A2323="","",'Outro banco'!D2323)</f>
        <v/>
      </c>
      <c r="E2323" s="9"/>
      <c r="F2323" s="9"/>
      <c r="G2323" s="7" t="str">
        <f aca="false">IF(A2323="","",IF(COUNTIF(Tabelas!$A:$A,IF(E2323="",A2323,E2323))&gt;0,"sim","não"))</f>
        <v/>
      </c>
      <c r="H2323" s="7" t="str">
        <f aca="false">IF(A2323="","",IF(E2323="",A2323,E2323)&amp;"."&amp;IF(F2323="",B2323,F2323))</f>
        <v/>
      </c>
      <c r="I2323" s="7" t="str">
        <f aca="false">IF(A2323="","",IFERROR(INDEX('Campos Growths'!$F:$F,MATCH(H2323,'Campos Growths'!$A:$A,0)),""))</f>
        <v/>
      </c>
      <c r="J2323" s="7" t="str">
        <f aca="false">IF(A2323="","",IFERROR(VLOOKUP(IF(ISNUMBER(SEARCH("(",C2323)),LEFT(C2323,SEARCH("(",C2323)-1),C2323),Tipos!$A:$B,2,FALSE()),"outro"))</f>
        <v/>
      </c>
      <c r="K2323" s="7" t="str">
        <f aca="false">IF(I2323="","",IFERROR(INDEX('Campos Growths'!$L:$L,MATCH(H2323,'Campos Growths'!$A:$A,0)),""))</f>
        <v/>
      </c>
      <c r="L2323" s="7" t="str">
        <f aca="false">IF(A2323="","",IF(G2323="não","Sem tabela no Growths",IF(I2323="","Sem campo no Growths",IF(J2323=K2323,"Importa direto","Ajustar tipo"))))</f>
        <v/>
      </c>
      <c r="M2323" s="9"/>
    </row>
    <row r="2324" customFormat="false" ht="15" hidden="false" customHeight="false" outlineLevel="0" collapsed="false">
      <c r="A2324" s="7" t="str">
        <f aca="false">IF('Outro banco'!A2324="","",IF(LEFT('Outro banco'!A2324,1)="(","",'Outro banco'!A2324))</f>
        <v/>
      </c>
      <c r="B2324" s="7" t="str">
        <f aca="false">IF(A2324="","",'Outro banco'!B2324)</f>
        <v/>
      </c>
      <c r="C2324" s="7" t="str">
        <f aca="false">IF(A2324="","",'Outro banco'!C2324)</f>
        <v/>
      </c>
      <c r="D2324" s="7" t="str">
        <f aca="false">IF(A2324="","",'Outro banco'!D2324)</f>
        <v/>
      </c>
      <c r="E2324" s="9"/>
      <c r="F2324" s="9"/>
      <c r="G2324" s="7" t="str">
        <f aca="false">IF(A2324="","",IF(COUNTIF(Tabelas!$A:$A,IF(E2324="",A2324,E2324))&gt;0,"sim","não"))</f>
        <v/>
      </c>
      <c r="H2324" s="7" t="str">
        <f aca="false">IF(A2324="","",IF(E2324="",A2324,E2324)&amp;"."&amp;IF(F2324="",B2324,F2324))</f>
        <v/>
      </c>
      <c r="I2324" s="7" t="str">
        <f aca="false">IF(A2324="","",IFERROR(INDEX('Campos Growths'!$F:$F,MATCH(H2324,'Campos Growths'!$A:$A,0)),""))</f>
        <v/>
      </c>
      <c r="J2324" s="7" t="str">
        <f aca="false">IF(A2324="","",IFERROR(VLOOKUP(IF(ISNUMBER(SEARCH("(",C2324)),LEFT(C2324,SEARCH("(",C2324)-1),C2324),Tipos!$A:$B,2,FALSE()),"outro"))</f>
        <v/>
      </c>
      <c r="K2324" s="7" t="str">
        <f aca="false">IF(I2324="","",IFERROR(INDEX('Campos Growths'!$L:$L,MATCH(H2324,'Campos Growths'!$A:$A,0)),""))</f>
        <v/>
      </c>
      <c r="L2324" s="7" t="str">
        <f aca="false">IF(A2324="","",IF(G2324="não","Sem tabela no Growths",IF(I2324="","Sem campo no Growths",IF(J2324=K2324,"Importa direto","Ajustar tipo"))))</f>
        <v/>
      </c>
      <c r="M2324" s="9"/>
    </row>
    <row r="2325" customFormat="false" ht="15" hidden="false" customHeight="false" outlineLevel="0" collapsed="false">
      <c r="A2325" s="7" t="str">
        <f aca="false">IF('Outro banco'!A2325="","",IF(LEFT('Outro banco'!A2325,1)="(","",'Outro banco'!A2325))</f>
        <v/>
      </c>
      <c r="B2325" s="7" t="str">
        <f aca="false">IF(A2325="","",'Outro banco'!B2325)</f>
        <v/>
      </c>
      <c r="C2325" s="7" t="str">
        <f aca="false">IF(A2325="","",'Outro banco'!C2325)</f>
        <v/>
      </c>
      <c r="D2325" s="7" t="str">
        <f aca="false">IF(A2325="","",'Outro banco'!D2325)</f>
        <v/>
      </c>
      <c r="E2325" s="9"/>
      <c r="F2325" s="9"/>
      <c r="G2325" s="7" t="str">
        <f aca="false">IF(A2325="","",IF(COUNTIF(Tabelas!$A:$A,IF(E2325="",A2325,E2325))&gt;0,"sim","não"))</f>
        <v/>
      </c>
      <c r="H2325" s="7" t="str">
        <f aca="false">IF(A2325="","",IF(E2325="",A2325,E2325)&amp;"."&amp;IF(F2325="",B2325,F2325))</f>
        <v/>
      </c>
      <c r="I2325" s="7" t="str">
        <f aca="false">IF(A2325="","",IFERROR(INDEX('Campos Growths'!$F:$F,MATCH(H2325,'Campos Growths'!$A:$A,0)),""))</f>
        <v/>
      </c>
      <c r="J2325" s="7" t="str">
        <f aca="false">IF(A2325="","",IFERROR(VLOOKUP(IF(ISNUMBER(SEARCH("(",C2325)),LEFT(C2325,SEARCH("(",C2325)-1),C2325),Tipos!$A:$B,2,FALSE()),"outro"))</f>
        <v/>
      </c>
      <c r="K2325" s="7" t="str">
        <f aca="false">IF(I2325="","",IFERROR(INDEX('Campos Growths'!$L:$L,MATCH(H2325,'Campos Growths'!$A:$A,0)),""))</f>
        <v/>
      </c>
      <c r="L2325" s="7" t="str">
        <f aca="false">IF(A2325="","",IF(G2325="não","Sem tabela no Growths",IF(I2325="","Sem campo no Growths",IF(J2325=K2325,"Importa direto","Ajustar tipo"))))</f>
        <v/>
      </c>
      <c r="M2325" s="9"/>
    </row>
    <row r="2326" customFormat="false" ht="15" hidden="false" customHeight="false" outlineLevel="0" collapsed="false">
      <c r="A2326" s="7" t="str">
        <f aca="false">IF('Outro banco'!A2326="","",IF(LEFT('Outro banco'!A2326,1)="(","",'Outro banco'!A2326))</f>
        <v/>
      </c>
      <c r="B2326" s="7" t="str">
        <f aca="false">IF(A2326="","",'Outro banco'!B2326)</f>
        <v/>
      </c>
      <c r="C2326" s="7" t="str">
        <f aca="false">IF(A2326="","",'Outro banco'!C2326)</f>
        <v/>
      </c>
      <c r="D2326" s="7" t="str">
        <f aca="false">IF(A2326="","",'Outro banco'!D2326)</f>
        <v/>
      </c>
      <c r="E2326" s="9"/>
      <c r="F2326" s="9"/>
      <c r="G2326" s="7" t="str">
        <f aca="false">IF(A2326="","",IF(COUNTIF(Tabelas!$A:$A,IF(E2326="",A2326,E2326))&gt;0,"sim","não"))</f>
        <v/>
      </c>
      <c r="H2326" s="7" t="str">
        <f aca="false">IF(A2326="","",IF(E2326="",A2326,E2326)&amp;"."&amp;IF(F2326="",B2326,F2326))</f>
        <v/>
      </c>
      <c r="I2326" s="7" t="str">
        <f aca="false">IF(A2326="","",IFERROR(INDEX('Campos Growths'!$F:$F,MATCH(H2326,'Campos Growths'!$A:$A,0)),""))</f>
        <v/>
      </c>
      <c r="J2326" s="7" t="str">
        <f aca="false">IF(A2326="","",IFERROR(VLOOKUP(IF(ISNUMBER(SEARCH("(",C2326)),LEFT(C2326,SEARCH("(",C2326)-1),C2326),Tipos!$A:$B,2,FALSE()),"outro"))</f>
        <v/>
      </c>
      <c r="K2326" s="7" t="str">
        <f aca="false">IF(I2326="","",IFERROR(INDEX('Campos Growths'!$L:$L,MATCH(H2326,'Campos Growths'!$A:$A,0)),""))</f>
        <v/>
      </c>
      <c r="L2326" s="7" t="str">
        <f aca="false">IF(A2326="","",IF(G2326="não","Sem tabela no Growths",IF(I2326="","Sem campo no Growths",IF(J2326=K2326,"Importa direto","Ajustar tipo"))))</f>
        <v/>
      </c>
      <c r="M2326" s="9"/>
    </row>
    <row r="2327" customFormat="false" ht="15" hidden="false" customHeight="false" outlineLevel="0" collapsed="false">
      <c r="A2327" s="7" t="str">
        <f aca="false">IF('Outro banco'!A2327="","",IF(LEFT('Outro banco'!A2327,1)="(","",'Outro banco'!A2327))</f>
        <v/>
      </c>
      <c r="B2327" s="7" t="str">
        <f aca="false">IF(A2327="","",'Outro banco'!B2327)</f>
        <v/>
      </c>
      <c r="C2327" s="7" t="str">
        <f aca="false">IF(A2327="","",'Outro banco'!C2327)</f>
        <v/>
      </c>
      <c r="D2327" s="7" t="str">
        <f aca="false">IF(A2327="","",'Outro banco'!D2327)</f>
        <v/>
      </c>
      <c r="E2327" s="9"/>
      <c r="F2327" s="9"/>
      <c r="G2327" s="7" t="str">
        <f aca="false">IF(A2327="","",IF(COUNTIF(Tabelas!$A:$A,IF(E2327="",A2327,E2327))&gt;0,"sim","não"))</f>
        <v/>
      </c>
      <c r="H2327" s="7" t="str">
        <f aca="false">IF(A2327="","",IF(E2327="",A2327,E2327)&amp;"."&amp;IF(F2327="",B2327,F2327))</f>
        <v/>
      </c>
      <c r="I2327" s="7" t="str">
        <f aca="false">IF(A2327="","",IFERROR(INDEX('Campos Growths'!$F:$F,MATCH(H2327,'Campos Growths'!$A:$A,0)),""))</f>
        <v/>
      </c>
      <c r="J2327" s="7" t="str">
        <f aca="false">IF(A2327="","",IFERROR(VLOOKUP(IF(ISNUMBER(SEARCH("(",C2327)),LEFT(C2327,SEARCH("(",C2327)-1),C2327),Tipos!$A:$B,2,FALSE()),"outro"))</f>
        <v/>
      </c>
      <c r="K2327" s="7" t="str">
        <f aca="false">IF(I2327="","",IFERROR(INDEX('Campos Growths'!$L:$L,MATCH(H2327,'Campos Growths'!$A:$A,0)),""))</f>
        <v/>
      </c>
      <c r="L2327" s="7" t="str">
        <f aca="false">IF(A2327="","",IF(G2327="não","Sem tabela no Growths",IF(I2327="","Sem campo no Growths",IF(J2327=K2327,"Importa direto","Ajustar tipo"))))</f>
        <v/>
      </c>
      <c r="M2327" s="9"/>
    </row>
    <row r="2328" customFormat="false" ht="15" hidden="false" customHeight="false" outlineLevel="0" collapsed="false">
      <c r="A2328" s="7" t="str">
        <f aca="false">IF('Outro banco'!A2328="","",IF(LEFT('Outro banco'!A2328,1)="(","",'Outro banco'!A2328))</f>
        <v/>
      </c>
      <c r="B2328" s="7" t="str">
        <f aca="false">IF(A2328="","",'Outro banco'!B2328)</f>
        <v/>
      </c>
      <c r="C2328" s="7" t="str">
        <f aca="false">IF(A2328="","",'Outro banco'!C2328)</f>
        <v/>
      </c>
      <c r="D2328" s="7" t="str">
        <f aca="false">IF(A2328="","",'Outro banco'!D2328)</f>
        <v/>
      </c>
      <c r="E2328" s="9"/>
      <c r="F2328" s="9"/>
      <c r="G2328" s="7" t="str">
        <f aca="false">IF(A2328="","",IF(COUNTIF(Tabelas!$A:$A,IF(E2328="",A2328,E2328))&gt;0,"sim","não"))</f>
        <v/>
      </c>
      <c r="H2328" s="7" t="str">
        <f aca="false">IF(A2328="","",IF(E2328="",A2328,E2328)&amp;"."&amp;IF(F2328="",B2328,F2328))</f>
        <v/>
      </c>
      <c r="I2328" s="7" t="str">
        <f aca="false">IF(A2328="","",IFERROR(INDEX('Campos Growths'!$F:$F,MATCH(H2328,'Campos Growths'!$A:$A,0)),""))</f>
        <v/>
      </c>
      <c r="J2328" s="7" t="str">
        <f aca="false">IF(A2328="","",IFERROR(VLOOKUP(IF(ISNUMBER(SEARCH("(",C2328)),LEFT(C2328,SEARCH("(",C2328)-1),C2328),Tipos!$A:$B,2,FALSE()),"outro"))</f>
        <v/>
      </c>
      <c r="K2328" s="7" t="str">
        <f aca="false">IF(I2328="","",IFERROR(INDEX('Campos Growths'!$L:$L,MATCH(H2328,'Campos Growths'!$A:$A,0)),""))</f>
        <v/>
      </c>
      <c r="L2328" s="7" t="str">
        <f aca="false">IF(A2328="","",IF(G2328="não","Sem tabela no Growths",IF(I2328="","Sem campo no Growths",IF(J2328=K2328,"Importa direto","Ajustar tipo"))))</f>
        <v/>
      </c>
      <c r="M2328" s="9"/>
    </row>
    <row r="2329" customFormat="false" ht="15" hidden="false" customHeight="false" outlineLevel="0" collapsed="false">
      <c r="A2329" s="7" t="str">
        <f aca="false">IF('Outro banco'!A2329="","",IF(LEFT('Outro banco'!A2329,1)="(","",'Outro banco'!A2329))</f>
        <v/>
      </c>
      <c r="B2329" s="7" t="str">
        <f aca="false">IF(A2329="","",'Outro banco'!B2329)</f>
        <v/>
      </c>
      <c r="C2329" s="7" t="str">
        <f aca="false">IF(A2329="","",'Outro banco'!C2329)</f>
        <v/>
      </c>
      <c r="D2329" s="7" t="str">
        <f aca="false">IF(A2329="","",'Outro banco'!D2329)</f>
        <v/>
      </c>
      <c r="E2329" s="9"/>
      <c r="F2329" s="9"/>
      <c r="G2329" s="7" t="str">
        <f aca="false">IF(A2329="","",IF(COUNTIF(Tabelas!$A:$A,IF(E2329="",A2329,E2329))&gt;0,"sim","não"))</f>
        <v/>
      </c>
      <c r="H2329" s="7" t="str">
        <f aca="false">IF(A2329="","",IF(E2329="",A2329,E2329)&amp;"."&amp;IF(F2329="",B2329,F2329))</f>
        <v/>
      </c>
      <c r="I2329" s="7" t="str">
        <f aca="false">IF(A2329="","",IFERROR(INDEX('Campos Growths'!$F:$F,MATCH(H2329,'Campos Growths'!$A:$A,0)),""))</f>
        <v/>
      </c>
      <c r="J2329" s="7" t="str">
        <f aca="false">IF(A2329="","",IFERROR(VLOOKUP(IF(ISNUMBER(SEARCH("(",C2329)),LEFT(C2329,SEARCH("(",C2329)-1),C2329),Tipos!$A:$B,2,FALSE()),"outro"))</f>
        <v/>
      </c>
      <c r="K2329" s="7" t="str">
        <f aca="false">IF(I2329="","",IFERROR(INDEX('Campos Growths'!$L:$L,MATCH(H2329,'Campos Growths'!$A:$A,0)),""))</f>
        <v/>
      </c>
      <c r="L2329" s="7" t="str">
        <f aca="false">IF(A2329="","",IF(G2329="não","Sem tabela no Growths",IF(I2329="","Sem campo no Growths",IF(J2329=K2329,"Importa direto","Ajustar tipo"))))</f>
        <v/>
      </c>
      <c r="M2329" s="9"/>
    </row>
    <row r="2330" customFormat="false" ht="15" hidden="false" customHeight="false" outlineLevel="0" collapsed="false">
      <c r="A2330" s="7" t="str">
        <f aca="false">IF('Outro banco'!A2330="","",IF(LEFT('Outro banco'!A2330,1)="(","",'Outro banco'!A2330))</f>
        <v/>
      </c>
      <c r="B2330" s="7" t="str">
        <f aca="false">IF(A2330="","",'Outro banco'!B2330)</f>
        <v/>
      </c>
      <c r="C2330" s="7" t="str">
        <f aca="false">IF(A2330="","",'Outro banco'!C2330)</f>
        <v/>
      </c>
      <c r="D2330" s="7" t="str">
        <f aca="false">IF(A2330="","",'Outro banco'!D2330)</f>
        <v/>
      </c>
      <c r="E2330" s="9"/>
      <c r="F2330" s="9"/>
      <c r="G2330" s="7" t="str">
        <f aca="false">IF(A2330="","",IF(COUNTIF(Tabelas!$A:$A,IF(E2330="",A2330,E2330))&gt;0,"sim","não"))</f>
        <v/>
      </c>
      <c r="H2330" s="7" t="str">
        <f aca="false">IF(A2330="","",IF(E2330="",A2330,E2330)&amp;"."&amp;IF(F2330="",B2330,F2330))</f>
        <v/>
      </c>
      <c r="I2330" s="7" t="str">
        <f aca="false">IF(A2330="","",IFERROR(INDEX('Campos Growths'!$F:$F,MATCH(H2330,'Campos Growths'!$A:$A,0)),""))</f>
        <v/>
      </c>
      <c r="J2330" s="7" t="str">
        <f aca="false">IF(A2330="","",IFERROR(VLOOKUP(IF(ISNUMBER(SEARCH("(",C2330)),LEFT(C2330,SEARCH("(",C2330)-1),C2330),Tipos!$A:$B,2,FALSE()),"outro"))</f>
        <v/>
      </c>
      <c r="K2330" s="7" t="str">
        <f aca="false">IF(I2330="","",IFERROR(INDEX('Campos Growths'!$L:$L,MATCH(H2330,'Campos Growths'!$A:$A,0)),""))</f>
        <v/>
      </c>
      <c r="L2330" s="7" t="str">
        <f aca="false">IF(A2330="","",IF(G2330="não","Sem tabela no Growths",IF(I2330="","Sem campo no Growths",IF(J2330=K2330,"Importa direto","Ajustar tipo"))))</f>
        <v/>
      </c>
      <c r="M2330" s="9"/>
    </row>
    <row r="2331" customFormat="false" ht="15" hidden="false" customHeight="false" outlineLevel="0" collapsed="false">
      <c r="A2331" s="7" t="str">
        <f aca="false">IF('Outro banco'!A2331="","",IF(LEFT('Outro banco'!A2331,1)="(","",'Outro banco'!A2331))</f>
        <v/>
      </c>
      <c r="B2331" s="7" t="str">
        <f aca="false">IF(A2331="","",'Outro banco'!B2331)</f>
        <v/>
      </c>
      <c r="C2331" s="7" t="str">
        <f aca="false">IF(A2331="","",'Outro banco'!C2331)</f>
        <v/>
      </c>
      <c r="D2331" s="7" t="str">
        <f aca="false">IF(A2331="","",'Outro banco'!D2331)</f>
        <v/>
      </c>
      <c r="E2331" s="9"/>
      <c r="F2331" s="9"/>
      <c r="G2331" s="7" t="str">
        <f aca="false">IF(A2331="","",IF(COUNTIF(Tabelas!$A:$A,IF(E2331="",A2331,E2331))&gt;0,"sim","não"))</f>
        <v/>
      </c>
      <c r="H2331" s="7" t="str">
        <f aca="false">IF(A2331="","",IF(E2331="",A2331,E2331)&amp;"."&amp;IF(F2331="",B2331,F2331))</f>
        <v/>
      </c>
      <c r="I2331" s="7" t="str">
        <f aca="false">IF(A2331="","",IFERROR(INDEX('Campos Growths'!$F:$F,MATCH(H2331,'Campos Growths'!$A:$A,0)),""))</f>
        <v/>
      </c>
      <c r="J2331" s="7" t="str">
        <f aca="false">IF(A2331="","",IFERROR(VLOOKUP(IF(ISNUMBER(SEARCH("(",C2331)),LEFT(C2331,SEARCH("(",C2331)-1),C2331),Tipos!$A:$B,2,FALSE()),"outro"))</f>
        <v/>
      </c>
      <c r="K2331" s="7" t="str">
        <f aca="false">IF(I2331="","",IFERROR(INDEX('Campos Growths'!$L:$L,MATCH(H2331,'Campos Growths'!$A:$A,0)),""))</f>
        <v/>
      </c>
      <c r="L2331" s="7" t="str">
        <f aca="false">IF(A2331="","",IF(G2331="não","Sem tabela no Growths",IF(I2331="","Sem campo no Growths",IF(J2331=K2331,"Importa direto","Ajustar tipo"))))</f>
        <v/>
      </c>
      <c r="M2331" s="9"/>
    </row>
    <row r="2332" customFormat="false" ht="15" hidden="false" customHeight="false" outlineLevel="0" collapsed="false">
      <c r="A2332" s="7" t="str">
        <f aca="false">IF('Outro banco'!A2332="","",IF(LEFT('Outro banco'!A2332,1)="(","",'Outro banco'!A2332))</f>
        <v/>
      </c>
      <c r="B2332" s="7" t="str">
        <f aca="false">IF(A2332="","",'Outro banco'!B2332)</f>
        <v/>
      </c>
      <c r="C2332" s="7" t="str">
        <f aca="false">IF(A2332="","",'Outro banco'!C2332)</f>
        <v/>
      </c>
      <c r="D2332" s="7" t="str">
        <f aca="false">IF(A2332="","",'Outro banco'!D2332)</f>
        <v/>
      </c>
      <c r="E2332" s="9"/>
      <c r="F2332" s="9"/>
      <c r="G2332" s="7" t="str">
        <f aca="false">IF(A2332="","",IF(COUNTIF(Tabelas!$A:$A,IF(E2332="",A2332,E2332))&gt;0,"sim","não"))</f>
        <v/>
      </c>
      <c r="H2332" s="7" t="str">
        <f aca="false">IF(A2332="","",IF(E2332="",A2332,E2332)&amp;"."&amp;IF(F2332="",B2332,F2332))</f>
        <v/>
      </c>
      <c r="I2332" s="7" t="str">
        <f aca="false">IF(A2332="","",IFERROR(INDEX('Campos Growths'!$F:$F,MATCH(H2332,'Campos Growths'!$A:$A,0)),""))</f>
        <v/>
      </c>
      <c r="J2332" s="7" t="str">
        <f aca="false">IF(A2332="","",IFERROR(VLOOKUP(IF(ISNUMBER(SEARCH("(",C2332)),LEFT(C2332,SEARCH("(",C2332)-1),C2332),Tipos!$A:$B,2,FALSE()),"outro"))</f>
        <v/>
      </c>
      <c r="K2332" s="7" t="str">
        <f aca="false">IF(I2332="","",IFERROR(INDEX('Campos Growths'!$L:$L,MATCH(H2332,'Campos Growths'!$A:$A,0)),""))</f>
        <v/>
      </c>
      <c r="L2332" s="7" t="str">
        <f aca="false">IF(A2332="","",IF(G2332="não","Sem tabela no Growths",IF(I2332="","Sem campo no Growths",IF(J2332=K2332,"Importa direto","Ajustar tipo"))))</f>
        <v/>
      </c>
      <c r="M2332" s="9"/>
    </row>
    <row r="2333" customFormat="false" ht="15" hidden="false" customHeight="false" outlineLevel="0" collapsed="false">
      <c r="A2333" s="7" t="str">
        <f aca="false">IF('Outro banco'!A2333="","",IF(LEFT('Outro banco'!A2333,1)="(","",'Outro banco'!A2333))</f>
        <v/>
      </c>
      <c r="B2333" s="7" t="str">
        <f aca="false">IF(A2333="","",'Outro banco'!B2333)</f>
        <v/>
      </c>
      <c r="C2333" s="7" t="str">
        <f aca="false">IF(A2333="","",'Outro banco'!C2333)</f>
        <v/>
      </c>
      <c r="D2333" s="7" t="str">
        <f aca="false">IF(A2333="","",'Outro banco'!D2333)</f>
        <v/>
      </c>
      <c r="E2333" s="9"/>
      <c r="F2333" s="9"/>
      <c r="G2333" s="7" t="str">
        <f aca="false">IF(A2333="","",IF(COUNTIF(Tabelas!$A:$A,IF(E2333="",A2333,E2333))&gt;0,"sim","não"))</f>
        <v/>
      </c>
      <c r="H2333" s="7" t="str">
        <f aca="false">IF(A2333="","",IF(E2333="",A2333,E2333)&amp;"."&amp;IF(F2333="",B2333,F2333))</f>
        <v/>
      </c>
      <c r="I2333" s="7" t="str">
        <f aca="false">IF(A2333="","",IFERROR(INDEX('Campos Growths'!$F:$F,MATCH(H2333,'Campos Growths'!$A:$A,0)),""))</f>
        <v/>
      </c>
      <c r="J2333" s="7" t="str">
        <f aca="false">IF(A2333="","",IFERROR(VLOOKUP(IF(ISNUMBER(SEARCH("(",C2333)),LEFT(C2333,SEARCH("(",C2333)-1),C2333),Tipos!$A:$B,2,FALSE()),"outro"))</f>
        <v/>
      </c>
      <c r="K2333" s="7" t="str">
        <f aca="false">IF(I2333="","",IFERROR(INDEX('Campos Growths'!$L:$L,MATCH(H2333,'Campos Growths'!$A:$A,0)),""))</f>
        <v/>
      </c>
      <c r="L2333" s="7" t="str">
        <f aca="false">IF(A2333="","",IF(G2333="não","Sem tabela no Growths",IF(I2333="","Sem campo no Growths",IF(J2333=K2333,"Importa direto","Ajustar tipo"))))</f>
        <v/>
      </c>
      <c r="M2333" s="9"/>
    </row>
    <row r="2334" customFormat="false" ht="15" hidden="false" customHeight="false" outlineLevel="0" collapsed="false">
      <c r="A2334" s="7" t="str">
        <f aca="false">IF('Outro banco'!A2334="","",IF(LEFT('Outro banco'!A2334,1)="(","",'Outro banco'!A2334))</f>
        <v/>
      </c>
      <c r="B2334" s="7" t="str">
        <f aca="false">IF(A2334="","",'Outro banco'!B2334)</f>
        <v/>
      </c>
      <c r="C2334" s="7" t="str">
        <f aca="false">IF(A2334="","",'Outro banco'!C2334)</f>
        <v/>
      </c>
      <c r="D2334" s="7" t="str">
        <f aca="false">IF(A2334="","",'Outro banco'!D2334)</f>
        <v/>
      </c>
      <c r="E2334" s="9"/>
      <c r="F2334" s="9"/>
      <c r="G2334" s="7" t="str">
        <f aca="false">IF(A2334="","",IF(COUNTIF(Tabelas!$A:$A,IF(E2334="",A2334,E2334))&gt;0,"sim","não"))</f>
        <v/>
      </c>
      <c r="H2334" s="7" t="str">
        <f aca="false">IF(A2334="","",IF(E2334="",A2334,E2334)&amp;"."&amp;IF(F2334="",B2334,F2334))</f>
        <v/>
      </c>
      <c r="I2334" s="7" t="str">
        <f aca="false">IF(A2334="","",IFERROR(INDEX('Campos Growths'!$F:$F,MATCH(H2334,'Campos Growths'!$A:$A,0)),""))</f>
        <v/>
      </c>
      <c r="J2334" s="7" t="str">
        <f aca="false">IF(A2334="","",IFERROR(VLOOKUP(IF(ISNUMBER(SEARCH("(",C2334)),LEFT(C2334,SEARCH("(",C2334)-1),C2334),Tipos!$A:$B,2,FALSE()),"outro"))</f>
        <v/>
      </c>
      <c r="K2334" s="7" t="str">
        <f aca="false">IF(I2334="","",IFERROR(INDEX('Campos Growths'!$L:$L,MATCH(H2334,'Campos Growths'!$A:$A,0)),""))</f>
        <v/>
      </c>
      <c r="L2334" s="7" t="str">
        <f aca="false">IF(A2334="","",IF(G2334="não","Sem tabela no Growths",IF(I2334="","Sem campo no Growths",IF(J2334=K2334,"Importa direto","Ajustar tipo"))))</f>
        <v/>
      </c>
      <c r="M2334" s="9"/>
    </row>
    <row r="2335" customFormat="false" ht="15" hidden="false" customHeight="false" outlineLevel="0" collapsed="false">
      <c r="A2335" s="7" t="str">
        <f aca="false">IF('Outro banco'!A2335="","",IF(LEFT('Outro banco'!A2335,1)="(","",'Outro banco'!A2335))</f>
        <v/>
      </c>
      <c r="B2335" s="7" t="str">
        <f aca="false">IF(A2335="","",'Outro banco'!B2335)</f>
        <v/>
      </c>
      <c r="C2335" s="7" t="str">
        <f aca="false">IF(A2335="","",'Outro banco'!C2335)</f>
        <v/>
      </c>
      <c r="D2335" s="7" t="str">
        <f aca="false">IF(A2335="","",'Outro banco'!D2335)</f>
        <v/>
      </c>
      <c r="E2335" s="9"/>
      <c r="F2335" s="9"/>
      <c r="G2335" s="7" t="str">
        <f aca="false">IF(A2335="","",IF(COUNTIF(Tabelas!$A:$A,IF(E2335="",A2335,E2335))&gt;0,"sim","não"))</f>
        <v/>
      </c>
      <c r="H2335" s="7" t="str">
        <f aca="false">IF(A2335="","",IF(E2335="",A2335,E2335)&amp;"."&amp;IF(F2335="",B2335,F2335))</f>
        <v/>
      </c>
      <c r="I2335" s="7" t="str">
        <f aca="false">IF(A2335="","",IFERROR(INDEX('Campos Growths'!$F:$F,MATCH(H2335,'Campos Growths'!$A:$A,0)),""))</f>
        <v/>
      </c>
      <c r="J2335" s="7" t="str">
        <f aca="false">IF(A2335="","",IFERROR(VLOOKUP(IF(ISNUMBER(SEARCH("(",C2335)),LEFT(C2335,SEARCH("(",C2335)-1),C2335),Tipos!$A:$B,2,FALSE()),"outro"))</f>
        <v/>
      </c>
      <c r="K2335" s="7" t="str">
        <f aca="false">IF(I2335="","",IFERROR(INDEX('Campos Growths'!$L:$L,MATCH(H2335,'Campos Growths'!$A:$A,0)),""))</f>
        <v/>
      </c>
      <c r="L2335" s="7" t="str">
        <f aca="false">IF(A2335="","",IF(G2335="não","Sem tabela no Growths",IF(I2335="","Sem campo no Growths",IF(J2335=K2335,"Importa direto","Ajustar tipo"))))</f>
        <v/>
      </c>
      <c r="M2335" s="9"/>
    </row>
    <row r="2336" customFormat="false" ht="15" hidden="false" customHeight="false" outlineLevel="0" collapsed="false">
      <c r="A2336" s="7" t="str">
        <f aca="false">IF('Outro banco'!A2336="","",IF(LEFT('Outro banco'!A2336,1)="(","",'Outro banco'!A2336))</f>
        <v/>
      </c>
      <c r="B2336" s="7" t="str">
        <f aca="false">IF(A2336="","",'Outro banco'!B2336)</f>
        <v/>
      </c>
      <c r="C2336" s="7" t="str">
        <f aca="false">IF(A2336="","",'Outro banco'!C2336)</f>
        <v/>
      </c>
      <c r="D2336" s="7" t="str">
        <f aca="false">IF(A2336="","",'Outro banco'!D2336)</f>
        <v/>
      </c>
      <c r="E2336" s="9"/>
      <c r="F2336" s="9"/>
      <c r="G2336" s="7" t="str">
        <f aca="false">IF(A2336="","",IF(COUNTIF(Tabelas!$A:$A,IF(E2336="",A2336,E2336))&gt;0,"sim","não"))</f>
        <v/>
      </c>
      <c r="H2336" s="7" t="str">
        <f aca="false">IF(A2336="","",IF(E2336="",A2336,E2336)&amp;"."&amp;IF(F2336="",B2336,F2336))</f>
        <v/>
      </c>
      <c r="I2336" s="7" t="str">
        <f aca="false">IF(A2336="","",IFERROR(INDEX('Campos Growths'!$F:$F,MATCH(H2336,'Campos Growths'!$A:$A,0)),""))</f>
        <v/>
      </c>
      <c r="J2336" s="7" t="str">
        <f aca="false">IF(A2336="","",IFERROR(VLOOKUP(IF(ISNUMBER(SEARCH("(",C2336)),LEFT(C2336,SEARCH("(",C2336)-1),C2336),Tipos!$A:$B,2,FALSE()),"outro"))</f>
        <v/>
      </c>
      <c r="K2336" s="7" t="str">
        <f aca="false">IF(I2336="","",IFERROR(INDEX('Campos Growths'!$L:$L,MATCH(H2336,'Campos Growths'!$A:$A,0)),""))</f>
        <v/>
      </c>
      <c r="L2336" s="7" t="str">
        <f aca="false">IF(A2336="","",IF(G2336="não","Sem tabela no Growths",IF(I2336="","Sem campo no Growths",IF(J2336=K2336,"Importa direto","Ajustar tipo"))))</f>
        <v/>
      </c>
      <c r="M2336" s="9"/>
    </row>
    <row r="2337" customFormat="false" ht="15" hidden="false" customHeight="false" outlineLevel="0" collapsed="false">
      <c r="A2337" s="7" t="str">
        <f aca="false">IF('Outro banco'!A2337="","",IF(LEFT('Outro banco'!A2337,1)="(","",'Outro banco'!A2337))</f>
        <v/>
      </c>
      <c r="B2337" s="7" t="str">
        <f aca="false">IF(A2337="","",'Outro banco'!B2337)</f>
        <v/>
      </c>
      <c r="C2337" s="7" t="str">
        <f aca="false">IF(A2337="","",'Outro banco'!C2337)</f>
        <v/>
      </c>
      <c r="D2337" s="7" t="str">
        <f aca="false">IF(A2337="","",'Outro banco'!D2337)</f>
        <v/>
      </c>
      <c r="E2337" s="9"/>
      <c r="F2337" s="9"/>
      <c r="G2337" s="7" t="str">
        <f aca="false">IF(A2337="","",IF(COUNTIF(Tabelas!$A:$A,IF(E2337="",A2337,E2337))&gt;0,"sim","não"))</f>
        <v/>
      </c>
      <c r="H2337" s="7" t="str">
        <f aca="false">IF(A2337="","",IF(E2337="",A2337,E2337)&amp;"."&amp;IF(F2337="",B2337,F2337))</f>
        <v/>
      </c>
      <c r="I2337" s="7" t="str">
        <f aca="false">IF(A2337="","",IFERROR(INDEX('Campos Growths'!$F:$F,MATCH(H2337,'Campos Growths'!$A:$A,0)),""))</f>
        <v/>
      </c>
      <c r="J2337" s="7" t="str">
        <f aca="false">IF(A2337="","",IFERROR(VLOOKUP(IF(ISNUMBER(SEARCH("(",C2337)),LEFT(C2337,SEARCH("(",C2337)-1),C2337),Tipos!$A:$B,2,FALSE()),"outro"))</f>
        <v/>
      </c>
      <c r="K2337" s="7" t="str">
        <f aca="false">IF(I2337="","",IFERROR(INDEX('Campos Growths'!$L:$L,MATCH(H2337,'Campos Growths'!$A:$A,0)),""))</f>
        <v/>
      </c>
      <c r="L2337" s="7" t="str">
        <f aca="false">IF(A2337="","",IF(G2337="não","Sem tabela no Growths",IF(I2337="","Sem campo no Growths",IF(J2337=K2337,"Importa direto","Ajustar tipo"))))</f>
        <v/>
      </c>
      <c r="M2337" s="9"/>
    </row>
    <row r="2338" customFormat="false" ht="15" hidden="false" customHeight="false" outlineLevel="0" collapsed="false">
      <c r="A2338" s="7" t="str">
        <f aca="false">IF('Outro banco'!A2338="","",IF(LEFT('Outro banco'!A2338,1)="(","",'Outro banco'!A2338))</f>
        <v/>
      </c>
      <c r="B2338" s="7" t="str">
        <f aca="false">IF(A2338="","",'Outro banco'!B2338)</f>
        <v/>
      </c>
      <c r="C2338" s="7" t="str">
        <f aca="false">IF(A2338="","",'Outro banco'!C2338)</f>
        <v/>
      </c>
      <c r="D2338" s="7" t="str">
        <f aca="false">IF(A2338="","",'Outro banco'!D2338)</f>
        <v/>
      </c>
      <c r="E2338" s="9"/>
      <c r="F2338" s="9"/>
      <c r="G2338" s="7" t="str">
        <f aca="false">IF(A2338="","",IF(COUNTIF(Tabelas!$A:$A,IF(E2338="",A2338,E2338))&gt;0,"sim","não"))</f>
        <v/>
      </c>
      <c r="H2338" s="7" t="str">
        <f aca="false">IF(A2338="","",IF(E2338="",A2338,E2338)&amp;"."&amp;IF(F2338="",B2338,F2338))</f>
        <v/>
      </c>
      <c r="I2338" s="7" t="str">
        <f aca="false">IF(A2338="","",IFERROR(INDEX('Campos Growths'!$F:$F,MATCH(H2338,'Campos Growths'!$A:$A,0)),""))</f>
        <v/>
      </c>
      <c r="J2338" s="7" t="str">
        <f aca="false">IF(A2338="","",IFERROR(VLOOKUP(IF(ISNUMBER(SEARCH("(",C2338)),LEFT(C2338,SEARCH("(",C2338)-1),C2338),Tipos!$A:$B,2,FALSE()),"outro"))</f>
        <v/>
      </c>
      <c r="K2338" s="7" t="str">
        <f aca="false">IF(I2338="","",IFERROR(INDEX('Campos Growths'!$L:$L,MATCH(H2338,'Campos Growths'!$A:$A,0)),""))</f>
        <v/>
      </c>
      <c r="L2338" s="7" t="str">
        <f aca="false">IF(A2338="","",IF(G2338="não","Sem tabela no Growths",IF(I2338="","Sem campo no Growths",IF(J2338=K2338,"Importa direto","Ajustar tipo"))))</f>
        <v/>
      </c>
      <c r="M2338" s="9"/>
    </row>
    <row r="2339" customFormat="false" ht="15" hidden="false" customHeight="false" outlineLevel="0" collapsed="false">
      <c r="A2339" s="7" t="str">
        <f aca="false">IF('Outro banco'!A2339="","",IF(LEFT('Outro banco'!A2339,1)="(","",'Outro banco'!A2339))</f>
        <v/>
      </c>
      <c r="B2339" s="7" t="str">
        <f aca="false">IF(A2339="","",'Outro banco'!B2339)</f>
        <v/>
      </c>
      <c r="C2339" s="7" t="str">
        <f aca="false">IF(A2339="","",'Outro banco'!C2339)</f>
        <v/>
      </c>
      <c r="D2339" s="7" t="str">
        <f aca="false">IF(A2339="","",'Outro banco'!D2339)</f>
        <v/>
      </c>
      <c r="E2339" s="9"/>
      <c r="F2339" s="9"/>
      <c r="G2339" s="7" t="str">
        <f aca="false">IF(A2339="","",IF(COUNTIF(Tabelas!$A:$A,IF(E2339="",A2339,E2339))&gt;0,"sim","não"))</f>
        <v/>
      </c>
      <c r="H2339" s="7" t="str">
        <f aca="false">IF(A2339="","",IF(E2339="",A2339,E2339)&amp;"."&amp;IF(F2339="",B2339,F2339))</f>
        <v/>
      </c>
      <c r="I2339" s="7" t="str">
        <f aca="false">IF(A2339="","",IFERROR(INDEX('Campos Growths'!$F:$F,MATCH(H2339,'Campos Growths'!$A:$A,0)),""))</f>
        <v/>
      </c>
      <c r="J2339" s="7" t="str">
        <f aca="false">IF(A2339="","",IFERROR(VLOOKUP(IF(ISNUMBER(SEARCH("(",C2339)),LEFT(C2339,SEARCH("(",C2339)-1),C2339),Tipos!$A:$B,2,FALSE()),"outro"))</f>
        <v/>
      </c>
      <c r="K2339" s="7" t="str">
        <f aca="false">IF(I2339="","",IFERROR(INDEX('Campos Growths'!$L:$L,MATCH(H2339,'Campos Growths'!$A:$A,0)),""))</f>
        <v/>
      </c>
      <c r="L2339" s="7" t="str">
        <f aca="false">IF(A2339="","",IF(G2339="não","Sem tabela no Growths",IF(I2339="","Sem campo no Growths",IF(J2339=K2339,"Importa direto","Ajustar tipo"))))</f>
        <v/>
      </c>
      <c r="M2339" s="9"/>
    </row>
    <row r="2340" customFormat="false" ht="15" hidden="false" customHeight="false" outlineLevel="0" collapsed="false">
      <c r="A2340" s="7" t="str">
        <f aca="false">IF('Outro banco'!A2340="","",IF(LEFT('Outro banco'!A2340,1)="(","",'Outro banco'!A2340))</f>
        <v/>
      </c>
      <c r="B2340" s="7" t="str">
        <f aca="false">IF(A2340="","",'Outro banco'!B2340)</f>
        <v/>
      </c>
      <c r="C2340" s="7" t="str">
        <f aca="false">IF(A2340="","",'Outro banco'!C2340)</f>
        <v/>
      </c>
      <c r="D2340" s="7" t="str">
        <f aca="false">IF(A2340="","",'Outro banco'!D2340)</f>
        <v/>
      </c>
      <c r="E2340" s="9"/>
      <c r="F2340" s="9"/>
      <c r="G2340" s="7" t="str">
        <f aca="false">IF(A2340="","",IF(COUNTIF(Tabelas!$A:$A,IF(E2340="",A2340,E2340))&gt;0,"sim","não"))</f>
        <v/>
      </c>
      <c r="H2340" s="7" t="str">
        <f aca="false">IF(A2340="","",IF(E2340="",A2340,E2340)&amp;"."&amp;IF(F2340="",B2340,F2340))</f>
        <v/>
      </c>
      <c r="I2340" s="7" t="str">
        <f aca="false">IF(A2340="","",IFERROR(INDEX('Campos Growths'!$F:$F,MATCH(H2340,'Campos Growths'!$A:$A,0)),""))</f>
        <v/>
      </c>
      <c r="J2340" s="7" t="str">
        <f aca="false">IF(A2340="","",IFERROR(VLOOKUP(IF(ISNUMBER(SEARCH("(",C2340)),LEFT(C2340,SEARCH("(",C2340)-1),C2340),Tipos!$A:$B,2,FALSE()),"outro"))</f>
        <v/>
      </c>
      <c r="K2340" s="7" t="str">
        <f aca="false">IF(I2340="","",IFERROR(INDEX('Campos Growths'!$L:$L,MATCH(H2340,'Campos Growths'!$A:$A,0)),""))</f>
        <v/>
      </c>
      <c r="L2340" s="7" t="str">
        <f aca="false">IF(A2340="","",IF(G2340="não","Sem tabela no Growths",IF(I2340="","Sem campo no Growths",IF(J2340=K2340,"Importa direto","Ajustar tipo"))))</f>
        <v/>
      </c>
      <c r="M2340" s="9"/>
    </row>
    <row r="2341" customFormat="false" ht="15" hidden="false" customHeight="false" outlineLevel="0" collapsed="false">
      <c r="A2341" s="7" t="str">
        <f aca="false">IF('Outro banco'!A2341="","",IF(LEFT('Outro banco'!A2341,1)="(","",'Outro banco'!A2341))</f>
        <v/>
      </c>
      <c r="B2341" s="7" t="str">
        <f aca="false">IF(A2341="","",'Outro banco'!B2341)</f>
        <v/>
      </c>
      <c r="C2341" s="7" t="str">
        <f aca="false">IF(A2341="","",'Outro banco'!C2341)</f>
        <v/>
      </c>
      <c r="D2341" s="7" t="str">
        <f aca="false">IF(A2341="","",'Outro banco'!D2341)</f>
        <v/>
      </c>
      <c r="E2341" s="9"/>
      <c r="F2341" s="9"/>
      <c r="G2341" s="7" t="str">
        <f aca="false">IF(A2341="","",IF(COUNTIF(Tabelas!$A:$A,IF(E2341="",A2341,E2341))&gt;0,"sim","não"))</f>
        <v/>
      </c>
      <c r="H2341" s="7" t="str">
        <f aca="false">IF(A2341="","",IF(E2341="",A2341,E2341)&amp;"."&amp;IF(F2341="",B2341,F2341))</f>
        <v/>
      </c>
      <c r="I2341" s="7" t="str">
        <f aca="false">IF(A2341="","",IFERROR(INDEX('Campos Growths'!$F:$F,MATCH(H2341,'Campos Growths'!$A:$A,0)),""))</f>
        <v/>
      </c>
      <c r="J2341" s="7" t="str">
        <f aca="false">IF(A2341="","",IFERROR(VLOOKUP(IF(ISNUMBER(SEARCH("(",C2341)),LEFT(C2341,SEARCH("(",C2341)-1),C2341),Tipos!$A:$B,2,FALSE()),"outro"))</f>
        <v/>
      </c>
      <c r="K2341" s="7" t="str">
        <f aca="false">IF(I2341="","",IFERROR(INDEX('Campos Growths'!$L:$L,MATCH(H2341,'Campos Growths'!$A:$A,0)),""))</f>
        <v/>
      </c>
      <c r="L2341" s="7" t="str">
        <f aca="false">IF(A2341="","",IF(G2341="não","Sem tabela no Growths",IF(I2341="","Sem campo no Growths",IF(J2341=K2341,"Importa direto","Ajustar tipo"))))</f>
        <v/>
      </c>
      <c r="M2341" s="9"/>
    </row>
    <row r="2342" customFormat="false" ht="15" hidden="false" customHeight="false" outlineLevel="0" collapsed="false">
      <c r="A2342" s="7" t="str">
        <f aca="false">IF('Outro banco'!A2342="","",IF(LEFT('Outro banco'!A2342,1)="(","",'Outro banco'!A2342))</f>
        <v/>
      </c>
      <c r="B2342" s="7" t="str">
        <f aca="false">IF(A2342="","",'Outro banco'!B2342)</f>
        <v/>
      </c>
      <c r="C2342" s="7" t="str">
        <f aca="false">IF(A2342="","",'Outro banco'!C2342)</f>
        <v/>
      </c>
      <c r="D2342" s="7" t="str">
        <f aca="false">IF(A2342="","",'Outro banco'!D2342)</f>
        <v/>
      </c>
      <c r="E2342" s="9"/>
      <c r="F2342" s="9"/>
      <c r="G2342" s="7" t="str">
        <f aca="false">IF(A2342="","",IF(COUNTIF(Tabelas!$A:$A,IF(E2342="",A2342,E2342))&gt;0,"sim","não"))</f>
        <v/>
      </c>
      <c r="H2342" s="7" t="str">
        <f aca="false">IF(A2342="","",IF(E2342="",A2342,E2342)&amp;"."&amp;IF(F2342="",B2342,F2342))</f>
        <v/>
      </c>
      <c r="I2342" s="7" t="str">
        <f aca="false">IF(A2342="","",IFERROR(INDEX('Campos Growths'!$F:$F,MATCH(H2342,'Campos Growths'!$A:$A,0)),""))</f>
        <v/>
      </c>
      <c r="J2342" s="7" t="str">
        <f aca="false">IF(A2342="","",IFERROR(VLOOKUP(IF(ISNUMBER(SEARCH("(",C2342)),LEFT(C2342,SEARCH("(",C2342)-1),C2342),Tipos!$A:$B,2,FALSE()),"outro"))</f>
        <v/>
      </c>
      <c r="K2342" s="7" t="str">
        <f aca="false">IF(I2342="","",IFERROR(INDEX('Campos Growths'!$L:$L,MATCH(H2342,'Campos Growths'!$A:$A,0)),""))</f>
        <v/>
      </c>
      <c r="L2342" s="7" t="str">
        <f aca="false">IF(A2342="","",IF(G2342="não","Sem tabela no Growths",IF(I2342="","Sem campo no Growths",IF(J2342=K2342,"Importa direto","Ajustar tipo"))))</f>
        <v/>
      </c>
      <c r="M2342" s="9"/>
    </row>
    <row r="2343" customFormat="false" ht="15" hidden="false" customHeight="false" outlineLevel="0" collapsed="false">
      <c r="A2343" s="7" t="str">
        <f aca="false">IF('Outro banco'!A2343="","",IF(LEFT('Outro banco'!A2343,1)="(","",'Outro banco'!A2343))</f>
        <v/>
      </c>
      <c r="B2343" s="7" t="str">
        <f aca="false">IF(A2343="","",'Outro banco'!B2343)</f>
        <v/>
      </c>
      <c r="C2343" s="7" t="str">
        <f aca="false">IF(A2343="","",'Outro banco'!C2343)</f>
        <v/>
      </c>
      <c r="D2343" s="7" t="str">
        <f aca="false">IF(A2343="","",'Outro banco'!D2343)</f>
        <v/>
      </c>
      <c r="E2343" s="9"/>
      <c r="F2343" s="9"/>
      <c r="G2343" s="7" t="str">
        <f aca="false">IF(A2343="","",IF(COUNTIF(Tabelas!$A:$A,IF(E2343="",A2343,E2343))&gt;0,"sim","não"))</f>
        <v/>
      </c>
      <c r="H2343" s="7" t="str">
        <f aca="false">IF(A2343="","",IF(E2343="",A2343,E2343)&amp;"."&amp;IF(F2343="",B2343,F2343))</f>
        <v/>
      </c>
      <c r="I2343" s="7" t="str">
        <f aca="false">IF(A2343="","",IFERROR(INDEX('Campos Growths'!$F:$F,MATCH(H2343,'Campos Growths'!$A:$A,0)),""))</f>
        <v/>
      </c>
      <c r="J2343" s="7" t="str">
        <f aca="false">IF(A2343="","",IFERROR(VLOOKUP(IF(ISNUMBER(SEARCH("(",C2343)),LEFT(C2343,SEARCH("(",C2343)-1),C2343),Tipos!$A:$B,2,FALSE()),"outro"))</f>
        <v/>
      </c>
      <c r="K2343" s="7" t="str">
        <f aca="false">IF(I2343="","",IFERROR(INDEX('Campos Growths'!$L:$L,MATCH(H2343,'Campos Growths'!$A:$A,0)),""))</f>
        <v/>
      </c>
      <c r="L2343" s="7" t="str">
        <f aca="false">IF(A2343="","",IF(G2343="não","Sem tabela no Growths",IF(I2343="","Sem campo no Growths",IF(J2343=K2343,"Importa direto","Ajustar tipo"))))</f>
        <v/>
      </c>
      <c r="M2343" s="9"/>
    </row>
    <row r="2344" customFormat="false" ht="15" hidden="false" customHeight="false" outlineLevel="0" collapsed="false">
      <c r="A2344" s="7" t="str">
        <f aca="false">IF('Outro banco'!A2344="","",IF(LEFT('Outro banco'!A2344,1)="(","",'Outro banco'!A2344))</f>
        <v/>
      </c>
      <c r="B2344" s="7" t="str">
        <f aca="false">IF(A2344="","",'Outro banco'!B2344)</f>
        <v/>
      </c>
      <c r="C2344" s="7" t="str">
        <f aca="false">IF(A2344="","",'Outro banco'!C2344)</f>
        <v/>
      </c>
      <c r="D2344" s="7" t="str">
        <f aca="false">IF(A2344="","",'Outro banco'!D2344)</f>
        <v/>
      </c>
      <c r="E2344" s="9"/>
      <c r="F2344" s="9"/>
      <c r="G2344" s="7" t="str">
        <f aca="false">IF(A2344="","",IF(COUNTIF(Tabelas!$A:$A,IF(E2344="",A2344,E2344))&gt;0,"sim","não"))</f>
        <v/>
      </c>
      <c r="H2344" s="7" t="str">
        <f aca="false">IF(A2344="","",IF(E2344="",A2344,E2344)&amp;"."&amp;IF(F2344="",B2344,F2344))</f>
        <v/>
      </c>
      <c r="I2344" s="7" t="str">
        <f aca="false">IF(A2344="","",IFERROR(INDEX('Campos Growths'!$F:$F,MATCH(H2344,'Campos Growths'!$A:$A,0)),""))</f>
        <v/>
      </c>
      <c r="J2344" s="7" t="str">
        <f aca="false">IF(A2344="","",IFERROR(VLOOKUP(IF(ISNUMBER(SEARCH("(",C2344)),LEFT(C2344,SEARCH("(",C2344)-1),C2344),Tipos!$A:$B,2,FALSE()),"outro"))</f>
        <v/>
      </c>
      <c r="K2344" s="7" t="str">
        <f aca="false">IF(I2344="","",IFERROR(INDEX('Campos Growths'!$L:$L,MATCH(H2344,'Campos Growths'!$A:$A,0)),""))</f>
        <v/>
      </c>
      <c r="L2344" s="7" t="str">
        <f aca="false">IF(A2344="","",IF(G2344="não","Sem tabela no Growths",IF(I2344="","Sem campo no Growths",IF(J2344=K2344,"Importa direto","Ajustar tipo"))))</f>
        <v/>
      </c>
      <c r="M2344" s="9"/>
    </row>
    <row r="2345" customFormat="false" ht="15" hidden="false" customHeight="false" outlineLevel="0" collapsed="false">
      <c r="A2345" s="7" t="str">
        <f aca="false">IF('Outro banco'!A2345="","",IF(LEFT('Outro banco'!A2345,1)="(","",'Outro banco'!A2345))</f>
        <v/>
      </c>
      <c r="B2345" s="7" t="str">
        <f aca="false">IF(A2345="","",'Outro banco'!B2345)</f>
        <v/>
      </c>
      <c r="C2345" s="7" t="str">
        <f aca="false">IF(A2345="","",'Outro banco'!C2345)</f>
        <v/>
      </c>
      <c r="D2345" s="7" t="str">
        <f aca="false">IF(A2345="","",'Outro banco'!D2345)</f>
        <v/>
      </c>
      <c r="E2345" s="9"/>
      <c r="F2345" s="9"/>
      <c r="G2345" s="7" t="str">
        <f aca="false">IF(A2345="","",IF(COUNTIF(Tabelas!$A:$A,IF(E2345="",A2345,E2345))&gt;0,"sim","não"))</f>
        <v/>
      </c>
      <c r="H2345" s="7" t="str">
        <f aca="false">IF(A2345="","",IF(E2345="",A2345,E2345)&amp;"."&amp;IF(F2345="",B2345,F2345))</f>
        <v/>
      </c>
      <c r="I2345" s="7" t="str">
        <f aca="false">IF(A2345="","",IFERROR(INDEX('Campos Growths'!$F:$F,MATCH(H2345,'Campos Growths'!$A:$A,0)),""))</f>
        <v/>
      </c>
      <c r="J2345" s="7" t="str">
        <f aca="false">IF(A2345="","",IFERROR(VLOOKUP(IF(ISNUMBER(SEARCH("(",C2345)),LEFT(C2345,SEARCH("(",C2345)-1),C2345),Tipos!$A:$B,2,FALSE()),"outro"))</f>
        <v/>
      </c>
      <c r="K2345" s="7" t="str">
        <f aca="false">IF(I2345="","",IFERROR(INDEX('Campos Growths'!$L:$L,MATCH(H2345,'Campos Growths'!$A:$A,0)),""))</f>
        <v/>
      </c>
      <c r="L2345" s="7" t="str">
        <f aca="false">IF(A2345="","",IF(G2345="não","Sem tabela no Growths",IF(I2345="","Sem campo no Growths",IF(J2345=K2345,"Importa direto","Ajustar tipo"))))</f>
        <v/>
      </c>
      <c r="M2345" s="9"/>
    </row>
    <row r="2346" customFormat="false" ht="15" hidden="false" customHeight="false" outlineLevel="0" collapsed="false">
      <c r="A2346" s="7" t="str">
        <f aca="false">IF('Outro banco'!A2346="","",IF(LEFT('Outro banco'!A2346,1)="(","",'Outro banco'!A2346))</f>
        <v/>
      </c>
      <c r="B2346" s="7" t="str">
        <f aca="false">IF(A2346="","",'Outro banco'!B2346)</f>
        <v/>
      </c>
      <c r="C2346" s="7" t="str">
        <f aca="false">IF(A2346="","",'Outro banco'!C2346)</f>
        <v/>
      </c>
      <c r="D2346" s="7" t="str">
        <f aca="false">IF(A2346="","",'Outro banco'!D2346)</f>
        <v/>
      </c>
      <c r="E2346" s="9"/>
      <c r="F2346" s="9"/>
      <c r="G2346" s="7" t="str">
        <f aca="false">IF(A2346="","",IF(COUNTIF(Tabelas!$A:$A,IF(E2346="",A2346,E2346))&gt;0,"sim","não"))</f>
        <v/>
      </c>
      <c r="H2346" s="7" t="str">
        <f aca="false">IF(A2346="","",IF(E2346="",A2346,E2346)&amp;"."&amp;IF(F2346="",B2346,F2346))</f>
        <v/>
      </c>
      <c r="I2346" s="7" t="str">
        <f aca="false">IF(A2346="","",IFERROR(INDEX('Campos Growths'!$F:$F,MATCH(H2346,'Campos Growths'!$A:$A,0)),""))</f>
        <v/>
      </c>
      <c r="J2346" s="7" t="str">
        <f aca="false">IF(A2346="","",IFERROR(VLOOKUP(IF(ISNUMBER(SEARCH("(",C2346)),LEFT(C2346,SEARCH("(",C2346)-1),C2346),Tipos!$A:$B,2,FALSE()),"outro"))</f>
        <v/>
      </c>
      <c r="K2346" s="7" t="str">
        <f aca="false">IF(I2346="","",IFERROR(INDEX('Campos Growths'!$L:$L,MATCH(H2346,'Campos Growths'!$A:$A,0)),""))</f>
        <v/>
      </c>
      <c r="L2346" s="7" t="str">
        <f aca="false">IF(A2346="","",IF(G2346="não","Sem tabela no Growths",IF(I2346="","Sem campo no Growths",IF(J2346=K2346,"Importa direto","Ajustar tipo"))))</f>
        <v/>
      </c>
      <c r="M2346" s="9"/>
    </row>
    <row r="2347" customFormat="false" ht="15" hidden="false" customHeight="false" outlineLevel="0" collapsed="false">
      <c r="A2347" s="7" t="str">
        <f aca="false">IF('Outro banco'!A2347="","",IF(LEFT('Outro banco'!A2347,1)="(","",'Outro banco'!A2347))</f>
        <v/>
      </c>
      <c r="B2347" s="7" t="str">
        <f aca="false">IF(A2347="","",'Outro banco'!B2347)</f>
        <v/>
      </c>
      <c r="C2347" s="7" t="str">
        <f aca="false">IF(A2347="","",'Outro banco'!C2347)</f>
        <v/>
      </c>
      <c r="D2347" s="7" t="str">
        <f aca="false">IF(A2347="","",'Outro banco'!D2347)</f>
        <v/>
      </c>
      <c r="E2347" s="9"/>
      <c r="F2347" s="9"/>
      <c r="G2347" s="7" t="str">
        <f aca="false">IF(A2347="","",IF(COUNTIF(Tabelas!$A:$A,IF(E2347="",A2347,E2347))&gt;0,"sim","não"))</f>
        <v/>
      </c>
      <c r="H2347" s="7" t="str">
        <f aca="false">IF(A2347="","",IF(E2347="",A2347,E2347)&amp;"."&amp;IF(F2347="",B2347,F2347))</f>
        <v/>
      </c>
      <c r="I2347" s="7" t="str">
        <f aca="false">IF(A2347="","",IFERROR(INDEX('Campos Growths'!$F:$F,MATCH(H2347,'Campos Growths'!$A:$A,0)),""))</f>
        <v/>
      </c>
      <c r="J2347" s="7" t="str">
        <f aca="false">IF(A2347="","",IFERROR(VLOOKUP(IF(ISNUMBER(SEARCH("(",C2347)),LEFT(C2347,SEARCH("(",C2347)-1),C2347),Tipos!$A:$B,2,FALSE()),"outro"))</f>
        <v/>
      </c>
      <c r="K2347" s="7" t="str">
        <f aca="false">IF(I2347="","",IFERROR(INDEX('Campos Growths'!$L:$L,MATCH(H2347,'Campos Growths'!$A:$A,0)),""))</f>
        <v/>
      </c>
      <c r="L2347" s="7" t="str">
        <f aca="false">IF(A2347="","",IF(G2347="não","Sem tabela no Growths",IF(I2347="","Sem campo no Growths",IF(J2347=K2347,"Importa direto","Ajustar tipo"))))</f>
        <v/>
      </c>
      <c r="M2347" s="9"/>
    </row>
    <row r="2348" customFormat="false" ht="15" hidden="false" customHeight="false" outlineLevel="0" collapsed="false">
      <c r="A2348" s="7" t="str">
        <f aca="false">IF('Outro banco'!A2348="","",IF(LEFT('Outro banco'!A2348,1)="(","",'Outro banco'!A2348))</f>
        <v/>
      </c>
      <c r="B2348" s="7" t="str">
        <f aca="false">IF(A2348="","",'Outro banco'!B2348)</f>
        <v/>
      </c>
      <c r="C2348" s="7" t="str">
        <f aca="false">IF(A2348="","",'Outro banco'!C2348)</f>
        <v/>
      </c>
      <c r="D2348" s="7" t="str">
        <f aca="false">IF(A2348="","",'Outro banco'!D2348)</f>
        <v/>
      </c>
      <c r="E2348" s="9"/>
      <c r="F2348" s="9"/>
      <c r="G2348" s="7" t="str">
        <f aca="false">IF(A2348="","",IF(COUNTIF(Tabelas!$A:$A,IF(E2348="",A2348,E2348))&gt;0,"sim","não"))</f>
        <v/>
      </c>
      <c r="H2348" s="7" t="str">
        <f aca="false">IF(A2348="","",IF(E2348="",A2348,E2348)&amp;"."&amp;IF(F2348="",B2348,F2348))</f>
        <v/>
      </c>
      <c r="I2348" s="7" t="str">
        <f aca="false">IF(A2348="","",IFERROR(INDEX('Campos Growths'!$F:$F,MATCH(H2348,'Campos Growths'!$A:$A,0)),""))</f>
        <v/>
      </c>
      <c r="J2348" s="7" t="str">
        <f aca="false">IF(A2348="","",IFERROR(VLOOKUP(IF(ISNUMBER(SEARCH("(",C2348)),LEFT(C2348,SEARCH("(",C2348)-1),C2348),Tipos!$A:$B,2,FALSE()),"outro"))</f>
        <v/>
      </c>
      <c r="K2348" s="7" t="str">
        <f aca="false">IF(I2348="","",IFERROR(INDEX('Campos Growths'!$L:$L,MATCH(H2348,'Campos Growths'!$A:$A,0)),""))</f>
        <v/>
      </c>
      <c r="L2348" s="7" t="str">
        <f aca="false">IF(A2348="","",IF(G2348="não","Sem tabela no Growths",IF(I2348="","Sem campo no Growths",IF(J2348=K2348,"Importa direto","Ajustar tipo"))))</f>
        <v/>
      </c>
      <c r="M2348" s="9"/>
    </row>
    <row r="2349" customFormat="false" ht="15" hidden="false" customHeight="false" outlineLevel="0" collapsed="false">
      <c r="A2349" s="7" t="str">
        <f aca="false">IF('Outro banco'!A2349="","",IF(LEFT('Outro banco'!A2349,1)="(","",'Outro banco'!A2349))</f>
        <v/>
      </c>
      <c r="B2349" s="7" t="str">
        <f aca="false">IF(A2349="","",'Outro banco'!B2349)</f>
        <v/>
      </c>
      <c r="C2349" s="7" t="str">
        <f aca="false">IF(A2349="","",'Outro banco'!C2349)</f>
        <v/>
      </c>
      <c r="D2349" s="7" t="str">
        <f aca="false">IF(A2349="","",'Outro banco'!D2349)</f>
        <v/>
      </c>
      <c r="E2349" s="9"/>
      <c r="F2349" s="9"/>
      <c r="G2349" s="7" t="str">
        <f aca="false">IF(A2349="","",IF(COUNTIF(Tabelas!$A:$A,IF(E2349="",A2349,E2349))&gt;0,"sim","não"))</f>
        <v/>
      </c>
      <c r="H2349" s="7" t="str">
        <f aca="false">IF(A2349="","",IF(E2349="",A2349,E2349)&amp;"."&amp;IF(F2349="",B2349,F2349))</f>
        <v/>
      </c>
      <c r="I2349" s="7" t="str">
        <f aca="false">IF(A2349="","",IFERROR(INDEX('Campos Growths'!$F:$F,MATCH(H2349,'Campos Growths'!$A:$A,0)),""))</f>
        <v/>
      </c>
      <c r="J2349" s="7" t="str">
        <f aca="false">IF(A2349="","",IFERROR(VLOOKUP(IF(ISNUMBER(SEARCH("(",C2349)),LEFT(C2349,SEARCH("(",C2349)-1),C2349),Tipos!$A:$B,2,FALSE()),"outro"))</f>
        <v/>
      </c>
      <c r="K2349" s="7" t="str">
        <f aca="false">IF(I2349="","",IFERROR(INDEX('Campos Growths'!$L:$L,MATCH(H2349,'Campos Growths'!$A:$A,0)),""))</f>
        <v/>
      </c>
      <c r="L2349" s="7" t="str">
        <f aca="false">IF(A2349="","",IF(G2349="não","Sem tabela no Growths",IF(I2349="","Sem campo no Growths",IF(J2349=K2349,"Importa direto","Ajustar tipo"))))</f>
        <v/>
      </c>
      <c r="M2349" s="9"/>
    </row>
    <row r="2350" customFormat="false" ht="15" hidden="false" customHeight="false" outlineLevel="0" collapsed="false">
      <c r="A2350" s="7" t="str">
        <f aca="false">IF('Outro banco'!A2350="","",IF(LEFT('Outro banco'!A2350,1)="(","",'Outro banco'!A2350))</f>
        <v/>
      </c>
      <c r="B2350" s="7" t="str">
        <f aca="false">IF(A2350="","",'Outro banco'!B2350)</f>
        <v/>
      </c>
      <c r="C2350" s="7" t="str">
        <f aca="false">IF(A2350="","",'Outro banco'!C2350)</f>
        <v/>
      </c>
      <c r="D2350" s="7" t="str">
        <f aca="false">IF(A2350="","",'Outro banco'!D2350)</f>
        <v/>
      </c>
      <c r="E2350" s="9"/>
      <c r="F2350" s="9"/>
      <c r="G2350" s="7" t="str">
        <f aca="false">IF(A2350="","",IF(COUNTIF(Tabelas!$A:$A,IF(E2350="",A2350,E2350))&gt;0,"sim","não"))</f>
        <v/>
      </c>
      <c r="H2350" s="7" t="str">
        <f aca="false">IF(A2350="","",IF(E2350="",A2350,E2350)&amp;"."&amp;IF(F2350="",B2350,F2350))</f>
        <v/>
      </c>
      <c r="I2350" s="7" t="str">
        <f aca="false">IF(A2350="","",IFERROR(INDEX('Campos Growths'!$F:$F,MATCH(H2350,'Campos Growths'!$A:$A,0)),""))</f>
        <v/>
      </c>
      <c r="J2350" s="7" t="str">
        <f aca="false">IF(A2350="","",IFERROR(VLOOKUP(IF(ISNUMBER(SEARCH("(",C2350)),LEFT(C2350,SEARCH("(",C2350)-1),C2350),Tipos!$A:$B,2,FALSE()),"outro"))</f>
        <v/>
      </c>
      <c r="K2350" s="7" t="str">
        <f aca="false">IF(I2350="","",IFERROR(INDEX('Campos Growths'!$L:$L,MATCH(H2350,'Campos Growths'!$A:$A,0)),""))</f>
        <v/>
      </c>
      <c r="L2350" s="7" t="str">
        <f aca="false">IF(A2350="","",IF(G2350="não","Sem tabela no Growths",IF(I2350="","Sem campo no Growths",IF(J2350=K2350,"Importa direto","Ajustar tipo"))))</f>
        <v/>
      </c>
      <c r="M2350" s="9"/>
    </row>
    <row r="2351" customFormat="false" ht="15" hidden="false" customHeight="false" outlineLevel="0" collapsed="false">
      <c r="A2351" s="7" t="str">
        <f aca="false">IF('Outro banco'!A2351="","",IF(LEFT('Outro banco'!A2351,1)="(","",'Outro banco'!A2351))</f>
        <v/>
      </c>
      <c r="B2351" s="7" t="str">
        <f aca="false">IF(A2351="","",'Outro banco'!B2351)</f>
        <v/>
      </c>
      <c r="C2351" s="7" t="str">
        <f aca="false">IF(A2351="","",'Outro banco'!C2351)</f>
        <v/>
      </c>
      <c r="D2351" s="7" t="str">
        <f aca="false">IF(A2351="","",'Outro banco'!D2351)</f>
        <v/>
      </c>
      <c r="E2351" s="9"/>
      <c r="F2351" s="9"/>
      <c r="G2351" s="7" t="str">
        <f aca="false">IF(A2351="","",IF(COUNTIF(Tabelas!$A:$A,IF(E2351="",A2351,E2351))&gt;0,"sim","não"))</f>
        <v/>
      </c>
      <c r="H2351" s="7" t="str">
        <f aca="false">IF(A2351="","",IF(E2351="",A2351,E2351)&amp;"."&amp;IF(F2351="",B2351,F2351))</f>
        <v/>
      </c>
      <c r="I2351" s="7" t="str">
        <f aca="false">IF(A2351="","",IFERROR(INDEX('Campos Growths'!$F:$F,MATCH(H2351,'Campos Growths'!$A:$A,0)),""))</f>
        <v/>
      </c>
      <c r="J2351" s="7" t="str">
        <f aca="false">IF(A2351="","",IFERROR(VLOOKUP(IF(ISNUMBER(SEARCH("(",C2351)),LEFT(C2351,SEARCH("(",C2351)-1),C2351),Tipos!$A:$B,2,FALSE()),"outro"))</f>
        <v/>
      </c>
      <c r="K2351" s="7" t="str">
        <f aca="false">IF(I2351="","",IFERROR(INDEX('Campos Growths'!$L:$L,MATCH(H2351,'Campos Growths'!$A:$A,0)),""))</f>
        <v/>
      </c>
      <c r="L2351" s="7" t="str">
        <f aca="false">IF(A2351="","",IF(G2351="não","Sem tabela no Growths",IF(I2351="","Sem campo no Growths",IF(J2351=K2351,"Importa direto","Ajustar tipo"))))</f>
        <v/>
      </c>
      <c r="M2351" s="9"/>
    </row>
    <row r="2352" customFormat="false" ht="15" hidden="false" customHeight="false" outlineLevel="0" collapsed="false">
      <c r="A2352" s="7" t="str">
        <f aca="false">IF('Outro banco'!A2352="","",IF(LEFT('Outro banco'!A2352,1)="(","",'Outro banco'!A2352))</f>
        <v/>
      </c>
      <c r="B2352" s="7" t="str">
        <f aca="false">IF(A2352="","",'Outro banco'!B2352)</f>
        <v/>
      </c>
      <c r="C2352" s="7" t="str">
        <f aca="false">IF(A2352="","",'Outro banco'!C2352)</f>
        <v/>
      </c>
      <c r="D2352" s="7" t="str">
        <f aca="false">IF(A2352="","",'Outro banco'!D2352)</f>
        <v/>
      </c>
      <c r="E2352" s="9"/>
      <c r="F2352" s="9"/>
      <c r="G2352" s="7" t="str">
        <f aca="false">IF(A2352="","",IF(COUNTIF(Tabelas!$A:$A,IF(E2352="",A2352,E2352))&gt;0,"sim","não"))</f>
        <v/>
      </c>
      <c r="H2352" s="7" t="str">
        <f aca="false">IF(A2352="","",IF(E2352="",A2352,E2352)&amp;"."&amp;IF(F2352="",B2352,F2352))</f>
        <v/>
      </c>
      <c r="I2352" s="7" t="str">
        <f aca="false">IF(A2352="","",IFERROR(INDEX('Campos Growths'!$F:$F,MATCH(H2352,'Campos Growths'!$A:$A,0)),""))</f>
        <v/>
      </c>
      <c r="J2352" s="7" t="str">
        <f aca="false">IF(A2352="","",IFERROR(VLOOKUP(IF(ISNUMBER(SEARCH("(",C2352)),LEFT(C2352,SEARCH("(",C2352)-1),C2352),Tipos!$A:$B,2,FALSE()),"outro"))</f>
        <v/>
      </c>
      <c r="K2352" s="7" t="str">
        <f aca="false">IF(I2352="","",IFERROR(INDEX('Campos Growths'!$L:$L,MATCH(H2352,'Campos Growths'!$A:$A,0)),""))</f>
        <v/>
      </c>
      <c r="L2352" s="7" t="str">
        <f aca="false">IF(A2352="","",IF(G2352="não","Sem tabela no Growths",IF(I2352="","Sem campo no Growths",IF(J2352=K2352,"Importa direto","Ajustar tipo"))))</f>
        <v/>
      </c>
      <c r="M2352" s="9"/>
    </row>
    <row r="2353" customFormat="false" ht="15" hidden="false" customHeight="false" outlineLevel="0" collapsed="false">
      <c r="A2353" s="7" t="str">
        <f aca="false">IF('Outro banco'!A2353="","",IF(LEFT('Outro banco'!A2353,1)="(","",'Outro banco'!A2353))</f>
        <v/>
      </c>
      <c r="B2353" s="7" t="str">
        <f aca="false">IF(A2353="","",'Outro banco'!B2353)</f>
        <v/>
      </c>
      <c r="C2353" s="7" t="str">
        <f aca="false">IF(A2353="","",'Outro banco'!C2353)</f>
        <v/>
      </c>
      <c r="D2353" s="7" t="str">
        <f aca="false">IF(A2353="","",'Outro banco'!D2353)</f>
        <v/>
      </c>
      <c r="E2353" s="9"/>
      <c r="F2353" s="9"/>
      <c r="G2353" s="7" t="str">
        <f aca="false">IF(A2353="","",IF(COUNTIF(Tabelas!$A:$A,IF(E2353="",A2353,E2353))&gt;0,"sim","não"))</f>
        <v/>
      </c>
      <c r="H2353" s="7" t="str">
        <f aca="false">IF(A2353="","",IF(E2353="",A2353,E2353)&amp;"."&amp;IF(F2353="",B2353,F2353))</f>
        <v/>
      </c>
      <c r="I2353" s="7" t="str">
        <f aca="false">IF(A2353="","",IFERROR(INDEX('Campos Growths'!$F:$F,MATCH(H2353,'Campos Growths'!$A:$A,0)),""))</f>
        <v/>
      </c>
      <c r="J2353" s="7" t="str">
        <f aca="false">IF(A2353="","",IFERROR(VLOOKUP(IF(ISNUMBER(SEARCH("(",C2353)),LEFT(C2353,SEARCH("(",C2353)-1),C2353),Tipos!$A:$B,2,FALSE()),"outro"))</f>
        <v/>
      </c>
      <c r="K2353" s="7" t="str">
        <f aca="false">IF(I2353="","",IFERROR(INDEX('Campos Growths'!$L:$L,MATCH(H2353,'Campos Growths'!$A:$A,0)),""))</f>
        <v/>
      </c>
      <c r="L2353" s="7" t="str">
        <f aca="false">IF(A2353="","",IF(G2353="não","Sem tabela no Growths",IF(I2353="","Sem campo no Growths",IF(J2353=K2353,"Importa direto","Ajustar tipo"))))</f>
        <v/>
      </c>
      <c r="M2353" s="9"/>
    </row>
    <row r="2354" customFormat="false" ht="15" hidden="false" customHeight="false" outlineLevel="0" collapsed="false">
      <c r="A2354" s="7" t="str">
        <f aca="false">IF('Outro banco'!A2354="","",IF(LEFT('Outro banco'!A2354,1)="(","",'Outro banco'!A2354))</f>
        <v/>
      </c>
      <c r="B2354" s="7" t="str">
        <f aca="false">IF(A2354="","",'Outro banco'!B2354)</f>
        <v/>
      </c>
      <c r="C2354" s="7" t="str">
        <f aca="false">IF(A2354="","",'Outro banco'!C2354)</f>
        <v/>
      </c>
      <c r="D2354" s="7" t="str">
        <f aca="false">IF(A2354="","",'Outro banco'!D2354)</f>
        <v/>
      </c>
      <c r="E2354" s="9"/>
      <c r="F2354" s="9"/>
      <c r="G2354" s="7" t="str">
        <f aca="false">IF(A2354="","",IF(COUNTIF(Tabelas!$A:$A,IF(E2354="",A2354,E2354))&gt;0,"sim","não"))</f>
        <v/>
      </c>
      <c r="H2354" s="7" t="str">
        <f aca="false">IF(A2354="","",IF(E2354="",A2354,E2354)&amp;"."&amp;IF(F2354="",B2354,F2354))</f>
        <v/>
      </c>
      <c r="I2354" s="7" t="str">
        <f aca="false">IF(A2354="","",IFERROR(INDEX('Campos Growths'!$F:$F,MATCH(H2354,'Campos Growths'!$A:$A,0)),""))</f>
        <v/>
      </c>
      <c r="J2354" s="7" t="str">
        <f aca="false">IF(A2354="","",IFERROR(VLOOKUP(IF(ISNUMBER(SEARCH("(",C2354)),LEFT(C2354,SEARCH("(",C2354)-1),C2354),Tipos!$A:$B,2,FALSE()),"outro"))</f>
        <v/>
      </c>
      <c r="K2354" s="7" t="str">
        <f aca="false">IF(I2354="","",IFERROR(INDEX('Campos Growths'!$L:$L,MATCH(H2354,'Campos Growths'!$A:$A,0)),""))</f>
        <v/>
      </c>
      <c r="L2354" s="7" t="str">
        <f aca="false">IF(A2354="","",IF(G2354="não","Sem tabela no Growths",IF(I2354="","Sem campo no Growths",IF(J2354=K2354,"Importa direto","Ajustar tipo"))))</f>
        <v/>
      </c>
      <c r="M2354" s="9"/>
    </row>
    <row r="2355" customFormat="false" ht="15" hidden="false" customHeight="false" outlineLevel="0" collapsed="false">
      <c r="A2355" s="7" t="str">
        <f aca="false">IF('Outro banco'!A2355="","",IF(LEFT('Outro banco'!A2355,1)="(","",'Outro banco'!A2355))</f>
        <v/>
      </c>
      <c r="B2355" s="7" t="str">
        <f aca="false">IF(A2355="","",'Outro banco'!B2355)</f>
        <v/>
      </c>
      <c r="C2355" s="7" t="str">
        <f aca="false">IF(A2355="","",'Outro banco'!C2355)</f>
        <v/>
      </c>
      <c r="D2355" s="7" t="str">
        <f aca="false">IF(A2355="","",'Outro banco'!D2355)</f>
        <v/>
      </c>
      <c r="E2355" s="9"/>
      <c r="F2355" s="9"/>
      <c r="G2355" s="7" t="str">
        <f aca="false">IF(A2355="","",IF(COUNTIF(Tabelas!$A:$A,IF(E2355="",A2355,E2355))&gt;0,"sim","não"))</f>
        <v/>
      </c>
      <c r="H2355" s="7" t="str">
        <f aca="false">IF(A2355="","",IF(E2355="",A2355,E2355)&amp;"."&amp;IF(F2355="",B2355,F2355))</f>
        <v/>
      </c>
      <c r="I2355" s="7" t="str">
        <f aca="false">IF(A2355="","",IFERROR(INDEX('Campos Growths'!$F:$F,MATCH(H2355,'Campos Growths'!$A:$A,0)),""))</f>
        <v/>
      </c>
      <c r="J2355" s="7" t="str">
        <f aca="false">IF(A2355="","",IFERROR(VLOOKUP(IF(ISNUMBER(SEARCH("(",C2355)),LEFT(C2355,SEARCH("(",C2355)-1),C2355),Tipos!$A:$B,2,FALSE()),"outro"))</f>
        <v/>
      </c>
      <c r="K2355" s="7" t="str">
        <f aca="false">IF(I2355="","",IFERROR(INDEX('Campos Growths'!$L:$L,MATCH(H2355,'Campos Growths'!$A:$A,0)),""))</f>
        <v/>
      </c>
      <c r="L2355" s="7" t="str">
        <f aca="false">IF(A2355="","",IF(G2355="não","Sem tabela no Growths",IF(I2355="","Sem campo no Growths",IF(J2355=K2355,"Importa direto","Ajustar tipo"))))</f>
        <v/>
      </c>
      <c r="M2355" s="9"/>
    </row>
    <row r="2356" customFormat="false" ht="15" hidden="false" customHeight="false" outlineLevel="0" collapsed="false">
      <c r="A2356" s="7" t="str">
        <f aca="false">IF('Outro banco'!A2356="","",IF(LEFT('Outro banco'!A2356,1)="(","",'Outro banco'!A2356))</f>
        <v/>
      </c>
      <c r="B2356" s="7" t="str">
        <f aca="false">IF(A2356="","",'Outro banco'!B2356)</f>
        <v/>
      </c>
      <c r="C2356" s="7" t="str">
        <f aca="false">IF(A2356="","",'Outro banco'!C2356)</f>
        <v/>
      </c>
      <c r="D2356" s="7" t="str">
        <f aca="false">IF(A2356="","",'Outro banco'!D2356)</f>
        <v/>
      </c>
      <c r="E2356" s="9"/>
      <c r="F2356" s="9"/>
      <c r="G2356" s="7" t="str">
        <f aca="false">IF(A2356="","",IF(COUNTIF(Tabelas!$A:$A,IF(E2356="",A2356,E2356))&gt;0,"sim","não"))</f>
        <v/>
      </c>
      <c r="H2356" s="7" t="str">
        <f aca="false">IF(A2356="","",IF(E2356="",A2356,E2356)&amp;"."&amp;IF(F2356="",B2356,F2356))</f>
        <v/>
      </c>
      <c r="I2356" s="7" t="str">
        <f aca="false">IF(A2356="","",IFERROR(INDEX('Campos Growths'!$F:$F,MATCH(H2356,'Campos Growths'!$A:$A,0)),""))</f>
        <v/>
      </c>
      <c r="J2356" s="7" t="str">
        <f aca="false">IF(A2356="","",IFERROR(VLOOKUP(IF(ISNUMBER(SEARCH("(",C2356)),LEFT(C2356,SEARCH("(",C2356)-1),C2356),Tipos!$A:$B,2,FALSE()),"outro"))</f>
        <v/>
      </c>
      <c r="K2356" s="7" t="str">
        <f aca="false">IF(I2356="","",IFERROR(INDEX('Campos Growths'!$L:$L,MATCH(H2356,'Campos Growths'!$A:$A,0)),""))</f>
        <v/>
      </c>
      <c r="L2356" s="7" t="str">
        <f aca="false">IF(A2356="","",IF(G2356="não","Sem tabela no Growths",IF(I2356="","Sem campo no Growths",IF(J2356=K2356,"Importa direto","Ajustar tipo"))))</f>
        <v/>
      </c>
      <c r="M2356" s="9"/>
    </row>
    <row r="2357" customFormat="false" ht="15" hidden="false" customHeight="false" outlineLevel="0" collapsed="false">
      <c r="A2357" s="7" t="str">
        <f aca="false">IF('Outro banco'!A2357="","",IF(LEFT('Outro banco'!A2357,1)="(","",'Outro banco'!A2357))</f>
        <v/>
      </c>
      <c r="B2357" s="7" t="str">
        <f aca="false">IF(A2357="","",'Outro banco'!B2357)</f>
        <v/>
      </c>
      <c r="C2357" s="7" t="str">
        <f aca="false">IF(A2357="","",'Outro banco'!C2357)</f>
        <v/>
      </c>
      <c r="D2357" s="7" t="str">
        <f aca="false">IF(A2357="","",'Outro banco'!D2357)</f>
        <v/>
      </c>
      <c r="E2357" s="9"/>
      <c r="F2357" s="9"/>
      <c r="G2357" s="7" t="str">
        <f aca="false">IF(A2357="","",IF(COUNTIF(Tabelas!$A:$A,IF(E2357="",A2357,E2357))&gt;0,"sim","não"))</f>
        <v/>
      </c>
      <c r="H2357" s="7" t="str">
        <f aca="false">IF(A2357="","",IF(E2357="",A2357,E2357)&amp;"."&amp;IF(F2357="",B2357,F2357))</f>
        <v/>
      </c>
      <c r="I2357" s="7" t="str">
        <f aca="false">IF(A2357="","",IFERROR(INDEX('Campos Growths'!$F:$F,MATCH(H2357,'Campos Growths'!$A:$A,0)),""))</f>
        <v/>
      </c>
      <c r="J2357" s="7" t="str">
        <f aca="false">IF(A2357="","",IFERROR(VLOOKUP(IF(ISNUMBER(SEARCH("(",C2357)),LEFT(C2357,SEARCH("(",C2357)-1),C2357),Tipos!$A:$B,2,FALSE()),"outro"))</f>
        <v/>
      </c>
      <c r="K2357" s="7" t="str">
        <f aca="false">IF(I2357="","",IFERROR(INDEX('Campos Growths'!$L:$L,MATCH(H2357,'Campos Growths'!$A:$A,0)),""))</f>
        <v/>
      </c>
      <c r="L2357" s="7" t="str">
        <f aca="false">IF(A2357="","",IF(G2357="não","Sem tabela no Growths",IF(I2357="","Sem campo no Growths",IF(J2357=K2357,"Importa direto","Ajustar tipo"))))</f>
        <v/>
      </c>
      <c r="M2357" s="9"/>
    </row>
    <row r="2358" customFormat="false" ht="15" hidden="false" customHeight="false" outlineLevel="0" collapsed="false">
      <c r="A2358" s="7" t="str">
        <f aca="false">IF('Outro banco'!A2358="","",IF(LEFT('Outro banco'!A2358,1)="(","",'Outro banco'!A2358))</f>
        <v/>
      </c>
      <c r="B2358" s="7" t="str">
        <f aca="false">IF(A2358="","",'Outro banco'!B2358)</f>
        <v/>
      </c>
      <c r="C2358" s="7" t="str">
        <f aca="false">IF(A2358="","",'Outro banco'!C2358)</f>
        <v/>
      </c>
      <c r="D2358" s="7" t="str">
        <f aca="false">IF(A2358="","",'Outro banco'!D2358)</f>
        <v/>
      </c>
      <c r="E2358" s="9"/>
      <c r="F2358" s="9"/>
      <c r="G2358" s="7" t="str">
        <f aca="false">IF(A2358="","",IF(COUNTIF(Tabelas!$A:$A,IF(E2358="",A2358,E2358))&gt;0,"sim","não"))</f>
        <v/>
      </c>
      <c r="H2358" s="7" t="str">
        <f aca="false">IF(A2358="","",IF(E2358="",A2358,E2358)&amp;"."&amp;IF(F2358="",B2358,F2358))</f>
        <v/>
      </c>
      <c r="I2358" s="7" t="str">
        <f aca="false">IF(A2358="","",IFERROR(INDEX('Campos Growths'!$F:$F,MATCH(H2358,'Campos Growths'!$A:$A,0)),""))</f>
        <v/>
      </c>
      <c r="J2358" s="7" t="str">
        <f aca="false">IF(A2358="","",IFERROR(VLOOKUP(IF(ISNUMBER(SEARCH("(",C2358)),LEFT(C2358,SEARCH("(",C2358)-1),C2358),Tipos!$A:$B,2,FALSE()),"outro"))</f>
        <v/>
      </c>
      <c r="K2358" s="7" t="str">
        <f aca="false">IF(I2358="","",IFERROR(INDEX('Campos Growths'!$L:$L,MATCH(H2358,'Campos Growths'!$A:$A,0)),""))</f>
        <v/>
      </c>
      <c r="L2358" s="7" t="str">
        <f aca="false">IF(A2358="","",IF(G2358="não","Sem tabela no Growths",IF(I2358="","Sem campo no Growths",IF(J2358=K2358,"Importa direto","Ajustar tipo"))))</f>
        <v/>
      </c>
      <c r="M2358" s="9"/>
    </row>
    <row r="2359" customFormat="false" ht="15" hidden="false" customHeight="false" outlineLevel="0" collapsed="false">
      <c r="A2359" s="7" t="str">
        <f aca="false">IF('Outro banco'!A2359="","",IF(LEFT('Outro banco'!A2359,1)="(","",'Outro banco'!A2359))</f>
        <v/>
      </c>
      <c r="B2359" s="7" t="str">
        <f aca="false">IF(A2359="","",'Outro banco'!B2359)</f>
        <v/>
      </c>
      <c r="C2359" s="7" t="str">
        <f aca="false">IF(A2359="","",'Outro banco'!C2359)</f>
        <v/>
      </c>
      <c r="D2359" s="7" t="str">
        <f aca="false">IF(A2359="","",'Outro banco'!D2359)</f>
        <v/>
      </c>
      <c r="E2359" s="9"/>
      <c r="F2359" s="9"/>
      <c r="G2359" s="7" t="str">
        <f aca="false">IF(A2359="","",IF(COUNTIF(Tabelas!$A:$A,IF(E2359="",A2359,E2359))&gt;0,"sim","não"))</f>
        <v/>
      </c>
      <c r="H2359" s="7" t="str">
        <f aca="false">IF(A2359="","",IF(E2359="",A2359,E2359)&amp;"."&amp;IF(F2359="",B2359,F2359))</f>
        <v/>
      </c>
      <c r="I2359" s="7" t="str">
        <f aca="false">IF(A2359="","",IFERROR(INDEX('Campos Growths'!$F:$F,MATCH(H2359,'Campos Growths'!$A:$A,0)),""))</f>
        <v/>
      </c>
      <c r="J2359" s="7" t="str">
        <f aca="false">IF(A2359="","",IFERROR(VLOOKUP(IF(ISNUMBER(SEARCH("(",C2359)),LEFT(C2359,SEARCH("(",C2359)-1),C2359),Tipos!$A:$B,2,FALSE()),"outro"))</f>
        <v/>
      </c>
      <c r="K2359" s="7" t="str">
        <f aca="false">IF(I2359="","",IFERROR(INDEX('Campos Growths'!$L:$L,MATCH(H2359,'Campos Growths'!$A:$A,0)),""))</f>
        <v/>
      </c>
      <c r="L2359" s="7" t="str">
        <f aca="false">IF(A2359="","",IF(G2359="não","Sem tabela no Growths",IF(I2359="","Sem campo no Growths",IF(J2359=K2359,"Importa direto","Ajustar tipo"))))</f>
        <v/>
      </c>
      <c r="M2359" s="9"/>
    </row>
    <row r="2360" customFormat="false" ht="15" hidden="false" customHeight="false" outlineLevel="0" collapsed="false">
      <c r="A2360" s="7" t="str">
        <f aca="false">IF('Outro banco'!A2360="","",IF(LEFT('Outro banco'!A2360,1)="(","",'Outro banco'!A2360))</f>
        <v/>
      </c>
      <c r="B2360" s="7" t="str">
        <f aca="false">IF(A2360="","",'Outro banco'!B2360)</f>
        <v/>
      </c>
      <c r="C2360" s="7" t="str">
        <f aca="false">IF(A2360="","",'Outro banco'!C2360)</f>
        <v/>
      </c>
      <c r="D2360" s="7" t="str">
        <f aca="false">IF(A2360="","",'Outro banco'!D2360)</f>
        <v/>
      </c>
      <c r="E2360" s="9"/>
      <c r="F2360" s="9"/>
      <c r="G2360" s="7" t="str">
        <f aca="false">IF(A2360="","",IF(COUNTIF(Tabelas!$A:$A,IF(E2360="",A2360,E2360))&gt;0,"sim","não"))</f>
        <v/>
      </c>
      <c r="H2360" s="7" t="str">
        <f aca="false">IF(A2360="","",IF(E2360="",A2360,E2360)&amp;"."&amp;IF(F2360="",B2360,F2360))</f>
        <v/>
      </c>
      <c r="I2360" s="7" t="str">
        <f aca="false">IF(A2360="","",IFERROR(INDEX('Campos Growths'!$F:$F,MATCH(H2360,'Campos Growths'!$A:$A,0)),""))</f>
        <v/>
      </c>
      <c r="J2360" s="7" t="str">
        <f aca="false">IF(A2360="","",IFERROR(VLOOKUP(IF(ISNUMBER(SEARCH("(",C2360)),LEFT(C2360,SEARCH("(",C2360)-1),C2360),Tipos!$A:$B,2,FALSE()),"outro"))</f>
        <v/>
      </c>
      <c r="K2360" s="7" t="str">
        <f aca="false">IF(I2360="","",IFERROR(INDEX('Campos Growths'!$L:$L,MATCH(H2360,'Campos Growths'!$A:$A,0)),""))</f>
        <v/>
      </c>
      <c r="L2360" s="7" t="str">
        <f aca="false">IF(A2360="","",IF(G2360="não","Sem tabela no Growths",IF(I2360="","Sem campo no Growths",IF(J2360=K2360,"Importa direto","Ajustar tipo"))))</f>
        <v/>
      </c>
      <c r="M2360" s="9"/>
    </row>
    <row r="2361" customFormat="false" ht="15" hidden="false" customHeight="false" outlineLevel="0" collapsed="false">
      <c r="A2361" s="7" t="str">
        <f aca="false">IF('Outro banco'!A2361="","",IF(LEFT('Outro banco'!A2361,1)="(","",'Outro banco'!A2361))</f>
        <v/>
      </c>
      <c r="B2361" s="7" t="str">
        <f aca="false">IF(A2361="","",'Outro banco'!B2361)</f>
        <v/>
      </c>
      <c r="C2361" s="7" t="str">
        <f aca="false">IF(A2361="","",'Outro banco'!C2361)</f>
        <v/>
      </c>
      <c r="D2361" s="7" t="str">
        <f aca="false">IF(A2361="","",'Outro banco'!D2361)</f>
        <v/>
      </c>
      <c r="E2361" s="9"/>
      <c r="F2361" s="9"/>
      <c r="G2361" s="7" t="str">
        <f aca="false">IF(A2361="","",IF(COUNTIF(Tabelas!$A:$A,IF(E2361="",A2361,E2361))&gt;0,"sim","não"))</f>
        <v/>
      </c>
      <c r="H2361" s="7" t="str">
        <f aca="false">IF(A2361="","",IF(E2361="",A2361,E2361)&amp;"."&amp;IF(F2361="",B2361,F2361))</f>
        <v/>
      </c>
      <c r="I2361" s="7" t="str">
        <f aca="false">IF(A2361="","",IFERROR(INDEX('Campos Growths'!$F:$F,MATCH(H2361,'Campos Growths'!$A:$A,0)),""))</f>
        <v/>
      </c>
      <c r="J2361" s="7" t="str">
        <f aca="false">IF(A2361="","",IFERROR(VLOOKUP(IF(ISNUMBER(SEARCH("(",C2361)),LEFT(C2361,SEARCH("(",C2361)-1),C2361),Tipos!$A:$B,2,FALSE()),"outro"))</f>
        <v/>
      </c>
      <c r="K2361" s="7" t="str">
        <f aca="false">IF(I2361="","",IFERROR(INDEX('Campos Growths'!$L:$L,MATCH(H2361,'Campos Growths'!$A:$A,0)),""))</f>
        <v/>
      </c>
      <c r="L2361" s="7" t="str">
        <f aca="false">IF(A2361="","",IF(G2361="não","Sem tabela no Growths",IF(I2361="","Sem campo no Growths",IF(J2361=K2361,"Importa direto","Ajustar tipo"))))</f>
        <v/>
      </c>
      <c r="M2361" s="9"/>
    </row>
    <row r="2362" customFormat="false" ht="15" hidden="false" customHeight="false" outlineLevel="0" collapsed="false">
      <c r="A2362" s="7" t="str">
        <f aca="false">IF('Outro banco'!A2362="","",IF(LEFT('Outro banco'!A2362,1)="(","",'Outro banco'!A2362))</f>
        <v/>
      </c>
      <c r="B2362" s="7" t="str">
        <f aca="false">IF(A2362="","",'Outro banco'!B2362)</f>
        <v/>
      </c>
      <c r="C2362" s="7" t="str">
        <f aca="false">IF(A2362="","",'Outro banco'!C2362)</f>
        <v/>
      </c>
      <c r="D2362" s="7" t="str">
        <f aca="false">IF(A2362="","",'Outro banco'!D2362)</f>
        <v/>
      </c>
      <c r="E2362" s="9"/>
      <c r="F2362" s="9"/>
      <c r="G2362" s="7" t="str">
        <f aca="false">IF(A2362="","",IF(COUNTIF(Tabelas!$A:$A,IF(E2362="",A2362,E2362))&gt;0,"sim","não"))</f>
        <v/>
      </c>
      <c r="H2362" s="7" t="str">
        <f aca="false">IF(A2362="","",IF(E2362="",A2362,E2362)&amp;"."&amp;IF(F2362="",B2362,F2362))</f>
        <v/>
      </c>
      <c r="I2362" s="7" t="str">
        <f aca="false">IF(A2362="","",IFERROR(INDEX('Campos Growths'!$F:$F,MATCH(H2362,'Campos Growths'!$A:$A,0)),""))</f>
        <v/>
      </c>
      <c r="J2362" s="7" t="str">
        <f aca="false">IF(A2362="","",IFERROR(VLOOKUP(IF(ISNUMBER(SEARCH("(",C2362)),LEFT(C2362,SEARCH("(",C2362)-1),C2362),Tipos!$A:$B,2,FALSE()),"outro"))</f>
        <v/>
      </c>
      <c r="K2362" s="7" t="str">
        <f aca="false">IF(I2362="","",IFERROR(INDEX('Campos Growths'!$L:$L,MATCH(H2362,'Campos Growths'!$A:$A,0)),""))</f>
        <v/>
      </c>
      <c r="L2362" s="7" t="str">
        <f aca="false">IF(A2362="","",IF(G2362="não","Sem tabela no Growths",IF(I2362="","Sem campo no Growths",IF(J2362=K2362,"Importa direto","Ajustar tipo"))))</f>
        <v/>
      </c>
      <c r="M2362" s="9"/>
    </row>
    <row r="2363" customFormat="false" ht="15" hidden="false" customHeight="false" outlineLevel="0" collapsed="false">
      <c r="A2363" s="7" t="str">
        <f aca="false">IF('Outro banco'!A2363="","",IF(LEFT('Outro banco'!A2363,1)="(","",'Outro banco'!A2363))</f>
        <v/>
      </c>
      <c r="B2363" s="7" t="str">
        <f aca="false">IF(A2363="","",'Outro banco'!B2363)</f>
        <v/>
      </c>
      <c r="C2363" s="7" t="str">
        <f aca="false">IF(A2363="","",'Outro banco'!C2363)</f>
        <v/>
      </c>
      <c r="D2363" s="7" t="str">
        <f aca="false">IF(A2363="","",'Outro banco'!D2363)</f>
        <v/>
      </c>
      <c r="E2363" s="9"/>
      <c r="F2363" s="9"/>
      <c r="G2363" s="7" t="str">
        <f aca="false">IF(A2363="","",IF(COUNTIF(Tabelas!$A:$A,IF(E2363="",A2363,E2363))&gt;0,"sim","não"))</f>
        <v/>
      </c>
      <c r="H2363" s="7" t="str">
        <f aca="false">IF(A2363="","",IF(E2363="",A2363,E2363)&amp;"."&amp;IF(F2363="",B2363,F2363))</f>
        <v/>
      </c>
      <c r="I2363" s="7" t="str">
        <f aca="false">IF(A2363="","",IFERROR(INDEX('Campos Growths'!$F:$F,MATCH(H2363,'Campos Growths'!$A:$A,0)),""))</f>
        <v/>
      </c>
      <c r="J2363" s="7" t="str">
        <f aca="false">IF(A2363="","",IFERROR(VLOOKUP(IF(ISNUMBER(SEARCH("(",C2363)),LEFT(C2363,SEARCH("(",C2363)-1),C2363),Tipos!$A:$B,2,FALSE()),"outro"))</f>
        <v/>
      </c>
      <c r="K2363" s="7" t="str">
        <f aca="false">IF(I2363="","",IFERROR(INDEX('Campos Growths'!$L:$L,MATCH(H2363,'Campos Growths'!$A:$A,0)),""))</f>
        <v/>
      </c>
      <c r="L2363" s="7" t="str">
        <f aca="false">IF(A2363="","",IF(G2363="não","Sem tabela no Growths",IF(I2363="","Sem campo no Growths",IF(J2363=K2363,"Importa direto","Ajustar tipo"))))</f>
        <v/>
      </c>
      <c r="M2363" s="9"/>
    </row>
    <row r="2364" customFormat="false" ht="15" hidden="false" customHeight="false" outlineLevel="0" collapsed="false">
      <c r="A2364" s="7" t="str">
        <f aca="false">IF('Outro banco'!A2364="","",IF(LEFT('Outro banco'!A2364,1)="(","",'Outro banco'!A2364))</f>
        <v/>
      </c>
      <c r="B2364" s="7" t="str">
        <f aca="false">IF(A2364="","",'Outro banco'!B2364)</f>
        <v/>
      </c>
      <c r="C2364" s="7" t="str">
        <f aca="false">IF(A2364="","",'Outro banco'!C2364)</f>
        <v/>
      </c>
      <c r="D2364" s="7" t="str">
        <f aca="false">IF(A2364="","",'Outro banco'!D2364)</f>
        <v/>
      </c>
      <c r="E2364" s="9"/>
      <c r="F2364" s="9"/>
      <c r="G2364" s="7" t="str">
        <f aca="false">IF(A2364="","",IF(COUNTIF(Tabelas!$A:$A,IF(E2364="",A2364,E2364))&gt;0,"sim","não"))</f>
        <v/>
      </c>
      <c r="H2364" s="7" t="str">
        <f aca="false">IF(A2364="","",IF(E2364="",A2364,E2364)&amp;"."&amp;IF(F2364="",B2364,F2364))</f>
        <v/>
      </c>
      <c r="I2364" s="7" t="str">
        <f aca="false">IF(A2364="","",IFERROR(INDEX('Campos Growths'!$F:$F,MATCH(H2364,'Campos Growths'!$A:$A,0)),""))</f>
        <v/>
      </c>
      <c r="J2364" s="7" t="str">
        <f aca="false">IF(A2364="","",IFERROR(VLOOKUP(IF(ISNUMBER(SEARCH("(",C2364)),LEFT(C2364,SEARCH("(",C2364)-1),C2364),Tipos!$A:$B,2,FALSE()),"outro"))</f>
        <v/>
      </c>
      <c r="K2364" s="7" t="str">
        <f aca="false">IF(I2364="","",IFERROR(INDEX('Campos Growths'!$L:$L,MATCH(H2364,'Campos Growths'!$A:$A,0)),""))</f>
        <v/>
      </c>
      <c r="L2364" s="7" t="str">
        <f aca="false">IF(A2364="","",IF(G2364="não","Sem tabela no Growths",IF(I2364="","Sem campo no Growths",IF(J2364=K2364,"Importa direto","Ajustar tipo"))))</f>
        <v/>
      </c>
      <c r="M2364" s="9"/>
    </row>
    <row r="2365" customFormat="false" ht="15" hidden="false" customHeight="false" outlineLevel="0" collapsed="false">
      <c r="A2365" s="7" t="str">
        <f aca="false">IF('Outro banco'!A2365="","",IF(LEFT('Outro banco'!A2365,1)="(","",'Outro banco'!A2365))</f>
        <v/>
      </c>
      <c r="B2365" s="7" t="str">
        <f aca="false">IF(A2365="","",'Outro banco'!B2365)</f>
        <v/>
      </c>
      <c r="C2365" s="7" t="str">
        <f aca="false">IF(A2365="","",'Outro banco'!C2365)</f>
        <v/>
      </c>
      <c r="D2365" s="7" t="str">
        <f aca="false">IF(A2365="","",'Outro banco'!D2365)</f>
        <v/>
      </c>
      <c r="E2365" s="9"/>
      <c r="F2365" s="9"/>
      <c r="G2365" s="7" t="str">
        <f aca="false">IF(A2365="","",IF(COUNTIF(Tabelas!$A:$A,IF(E2365="",A2365,E2365))&gt;0,"sim","não"))</f>
        <v/>
      </c>
      <c r="H2365" s="7" t="str">
        <f aca="false">IF(A2365="","",IF(E2365="",A2365,E2365)&amp;"."&amp;IF(F2365="",B2365,F2365))</f>
        <v/>
      </c>
      <c r="I2365" s="7" t="str">
        <f aca="false">IF(A2365="","",IFERROR(INDEX('Campos Growths'!$F:$F,MATCH(H2365,'Campos Growths'!$A:$A,0)),""))</f>
        <v/>
      </c>
      <c r="J2365" s="7" t="str">
        <f aca="false">IF(A2365="","",IFERROR(VLOOKUP(IF(ISNUMBER(SEARCH("(",C2365)),LEFT(C2365,SEARCH("(",C2365)-1),C2365),Tipos!$A:$B,2,FALSE()),"outro"))</f>
        <v/>
      </c>
      <c r="K2365" s="7" t="str">
        <f aca="false">IF(I2365="","",IFERROR(INDEX('Campos Growths'!$L:$L,MATCH(H2365,'Campos Growths'!$A:$A,0)),""))</f>
        <v/>
      </c>
      <c r="L2365" s="7" t="str">
        <f aca="false">IF(A2365="","",IF(G2365="não","Sem tabela no Growths",IF(I2365="","Sem campo no Growths",IF(J2365=K2365,"Importa direto","Ajustar tipo"))))</f>
        <v/>
      </c>
      <c r="M2365" s="9"/>
    </row>
    <row r="2366" customFormat="false" ht="15" hidden="false" customHeight="false" outlineLevel="0" collapsed="false">
      <c r="A2366" s="7" t="str">
        <f aca="false">IF('Outro banco'!A2366="","",IF(LEFT('Outro banco'!A2366,1)="(","",'Outro banco'!A2366))</f>
        <v/>
      </c>
      <c r="B2366" s="7" t="str">
        <f aca="false">IF(A2366="","",'Outro banco'!B2366)</f>
        <v/>
      </c>
      <c r="C2366" s="7" t="str">
        <f aca="false">IF(A2366="","",'Outro banco'!C2366)</f>
        <v/>
      </c>
      <c r="D2366" s="7" t="str">
        <f aca="false">IF(A2366="","",'Outro banco'!D2366)</f>
        <v/>
      </c>
      <c r="E2366" s="9"/>
      <c r="F2366" s="9"/>
      <c r="G2366" s="7" t="str">
        <f aca="false">IF(A2366="","",IF(COUNTIF(Tabelas!$A:$A,IF(E2366="",A2366,E2366))&gt;0,"sim","não"))</f>
        <v/>
      </c>
      <c r="H2366" s="7" t="str">
        <f aca="false">IF(A2366="","",IF(E2366="",A2366,E2366)&amp;"."&amp;IF(F2366="",B2366,F2366))</f>
        <v/>
      </c>
      <c r="I2366" s="7" t="str">
        <f aca="false">IF(A2366="","",IFERROR(INDEX('Campos Growths'!$F:$F,MATCH(H2366,'Campos Growths'!$A:$A,0)),""))</f>
        <v/>
      </c>
      <c r="J2366" s="7" t="str">
        <f aca="false">IF(A2366="","",IFERROR(VLOOKUP(IF(ISNUMBER(SEARCH("(",C2366)),LEFT(C2366,SEARCH("(",C2366)-1),C2366),Tipos!$A:$B,2,FALSE()),"outro"))</f>
        <v/>
      </c>
      <c r="K2366" s="7" t="str">
        <f aca="false">IF(I2366="","",IFERROR(INDEX('Campos Growths'!$L:$L,MATCH(H2366,'Campos Growths'!$A:$A,0)),""))</f>
        <v/>
      </c>
      <c r="L2366" s="7" t="str">
        <f aca="false">IF(A2366="","",IF(G2366="não","Sem tabela no Growths",IF(I2366="","Sem campo no Growths",IF(J2366=K2366,"Importa direto","Ajustar tipo"))))</f>
        <v/>
      </c>
      <c r="M2366" s="9"/>
    </row>
    <row r="2367" customFormat="false" ht="15" hidden="false" customHeight="false" outlineLevel="0" collapsed="false">
      <c r="A2367" s="7" t="str">
        <f aca="false">IF('Outro banco'!A2367="","",IF(LEFT('Outro banco'!A2367,1)="(","",'Outro banco'!A2367))</f>
        <v/>
      </c>
      <c r="B2367" s="7" t="str">
        <f aca="false">IF(A2367="","",'Outro banco'!B2367)</f>
        <v/>
      </c>
      <c r="C2367" s="7" t="str">
        <f aca="false">IF(A2367="","",'Outro banco'!C2367)</f>
        <v/>
      </c>
      <c r="D2367" s="7" t="str">
        <f aca="false">IF(A2367="","",'Outro banco'!D2367)</f>
        <v/>
      </c>
      <c r="E2367" s="9"/>
      <c r="F2367" s="9"/>
      <c r="G2367" s="7" t="str">
        <f aca="false">IF(A2367="","",IF(COUNTIF(Tabelas!$A:$A,IF(E2367="",A2367,E2367))&gt;0,"sim","não"))</f>
        <v/>
      </c>
      <c r="H2367" s="7" t="str">
        <f aca="false">IF(A2367="","",IF(E2367="",A2367,E2367)&amp;"."&amp;IF(F2367="",B2367,F2367))</f>
        <v/>
      </c>
      <c r="I2367" s="7" t="str">
        <f aca="false">IF(A2367="","",IFERROR(INDEX('Campos Growths'!$F:$F,MATCH(H2367,'Campos Growths'!$A:$A,0)),""))</f>
        <v/>
      </c>
      <c r="J2367" s="7" t="str">
        <f aca="false">IF(A2367="","",IFERROR(VLOOKUP(IF(ISNUMBER(SEARCH("(",C2367)),LEFT(C2367,SEARCH("(",C2367)-1),C2367),Tipos!$A:$B,2,FALSE()),"outro"))</f>
        <v/>
      </c>
      <c r="K2367" s="7" t="str">
        <f aca="false">IF(I2367="","",IFERROR(INDEX('Campos Growths'!$L:$L,MATCH(H2367,'Campos Growths'!$A:$A,0)),""))</f>
        <v/>
      </c>
      <c r="L2367" s="7" t="str">
        <f aca="false">IF(A2367="","",IF(G2367="não","Sem tabela no Growths",IF(I2367="","Sem campo no Growths",IF(J2367=K2367,"Importa direto","Ajustar tipo"))))</f>
        <v/>
      </c>
      <c r="M2367" s="9"/>
    </row>
    <row r="2368" customFormat="false" ht="15" hidden="false" customHeight="false" outlineLevel="0" collapsed="false">
      <c r="A2368" s="7" t="str">
        <f aca="false">IF('Outro banco'!A2368="","",IF(LEFT('Outro banco'!A2368,1)="(","",'Outro banco'!A2368))</f>
        <v/>
      </c>
      <c r="B2368" s="7" t="str">
        <f aca="false">IF(A2368="","",'Outro banco'!B2368)</f>
        <v/>
      </c>
      <c r="C2368" s="7" t="str">
        <f aca="false">IF(A2368="","",'Outro banco'!C2368)</f>
        <v/>
      </c>
      <c r="D2368" s="7" t="str">
        <f aca="false">IF(A2368="","",'Outro banco'!D2368)</f>
        <v/>
      </c>
      <c r="E2368" s="9"/>
      <c r="F2368" s="9"/>
      <c r="G2368" s="7" t="str">
        <f aca="false">IF(A2368="","",IF(COUNTIF(Tabelas!$A:$A,IF(E2368="",A2368,E2368))&gt;0,"sim","não"))</f>
        <v/>
      </c>
      <c r="H2368" s="7" t="str">
        <f aca="false">IF(A2368="","",IF(E2368="",A2368,E2368)&amp;"."&amp;IF(F2368="",B2368,F2368))</f>
        <v/>
      </c>
      <c r="I2368" s="7" t="str">
        <f aca="false">IF(A2368="","",IFERROR(INDEX('Campos Growths'!$F:$F,MATCH(H2368,'Campos Growths'!$A:$A,0)),""))</f>
        <v/>
      </c>
      <c r="J2368" s="7" t="str">
        <f aca="false">IF(A2368="","",IFERROR(VLOOKUP(IF(ISNUMBER(SEARCH("(",C2368)),LEFT(C2368,SEARCH("(",C2368)-1),C2368),Tipos!$A:$B,2,FALSE()),"outro"))</f>
        <v/>
      </c>
      <c r="K2368" s="7" t="str">
        <f aca="false">IF(I2368="","",IFERROR(INDEX('Campos Growths'!$L:$L,MATCH(H2368,'Campos Growths'!$A:$A,0)),""))</f>
        <v/>
      </c>
      <c r="L2368" s="7" t="str">
        <f aca="false">IF(A2368="","",IF(G2368="não","Sem tabela no Growths",IF(I2368="","Sem campo no Growths",IF(J2368=K2368,"Importa direto","Ajustar tipo"))))</f>
        <v/>
      </c>
      <c r="M2368" s="9"/>
    </row>
    <row r="2369" customFormat="false" ht="15" hidden="false" customHeight="false" outlineLevel="0" collapsed="false">
      <c r="A2369" s="7" t="str">
        <f aca="false">IF('Outro banco'!A2369="","",IF(LEFT('Outro banco'!A2369,1)="(","",'Outro banco'!A2369))</f>
        <v/>
      </c>
      <c r="B2369" s="7" t="str">
        <f aca="false">IF(A2369="","",'Outro banco'!B2369)</f>
        <v/>
      </c>
      <c r="C2369" s="7" t="str">
        <f aca="false">IF(A2369="","",'Outro banco'!C2369)</f>
        <v/>
      </c>
      <c r="D2369" s="7" t="str">
        <f aca="false">IF(A2369="","",'Outro banco'!D2369)</f>
        <v/>
      </c>
      <c r="E2369" s="9"/>
      <c r="F2369" s="9"/>
      <c r="G2369" s="7" t="str">
        <f aca="false">IF(A2369="","",IF(COUNTIF(Tabelas!$A:$A,IF(E2369="",A2369,E2369))&gt;0,"sim","não"))</f>
        <v/>
      </c>
      <c r="H2369" s="7" t="str">
        <f aca="false">IF(A2369="","",IF(E2369="",A2369,E2369)&amp;"."&amp;IF(F2369="",B2369,F2369))</f>
        <v/>
      </c>
      <c r="I2369" s="7" t="str">
        <f aca="false">IF(A2369="","",IFERROR(INDEX('Campos Growths'!$F:$F,MATCH(H2369,'Campos Growths'!$A:$A,0)),""))</f>
        <v/>
      </c>
      <c r="J2369" s="7" t="str">
        <f aca="false">IF(A2369="","",IFERROR(VLOOKUP(IF(ISNUMBER(SEARCH("(",C2369)),LEFT(C2369,SEARCH("(",C2369)-1),C2369),Tipos!$A:$B,2,FALSE()),"outro"))</f>
        <v/>
      </c>
      <c r="K2369" s="7" t="str">
        <f aca="false">IF(I2369="","",IFERROR(INDEX('Campos Growths'!$L:$L,MATCH(H2369,'Campos Growths'!$A:$A,0)),""))</f>
        <v/>
      </c>
      <c r="L2369" s="7" t="str">
        <f aca="false">IF(A2369="","",IF(G2369="não","Sem tabela no Growths",IF(I2369="","Sem campo no Growths",IF(J2369=K2369,"Importa direto","Ajustar tipo"))))</f>
        <v/>
      </c>
      <c r="M2369" s="9"/>
    </row>
    <row r="2370" customFormat="false" ht="15" hidden="false" customHeight="false" outlineLevel="0" collapsed="false">
      <c r="A2370" s="7" t="str">
        <f aca="false">IF('Outro banco'!A2370="","",IF(LEFT('Outro banco'!A2370,1)="(","",'Outro banco'!A2370))</f>
        <v/>
      </c>
      <c r="B2370" s="7" t="str">
        <f aca="false">IF(A2370="","",'Outro banco'!B2370)</f>
        <v/>
      </c>
      <c r="C2370" s="7" t="str">
        <f aca="false">IF(A2370="","",'Outro banco'!C2370)</f>
        <v/>
      </c>
      <c r="D2370" s="7" t="str">
        <f aca="false">IF(A2370="","",'Outro banco'!D2370)</f>
        <v/>
      </c>
      <c r="E2370" s="9"/>
      <c r="F2370" s="9"/>
      <c r="G2370" s="7" t="str">
        <f aca="false">IF(A2370="","",IF(COUNTIF(Tabelas!$A:$A,IF(E2370="",A2370,E2370))&gt;0,"sim","não"))</f>
        <v/>
      </c>
      <c r="H2370" s="7" t="str">
        <f aca="false">IF(A2370="","",IF(E2370="",A2370,E2370)&amp;"."&amp;IF(F2370="",B2370,F2370))</f>
        <v/>
      </c>
      <c r="I2370" s="7" t="str">
        <f aca="false">IF(A2370="","",IFERROR(INDEX('Campos Growths'!$F:$F,MATCH(H2370,'Campos Growths'!$A:$A,0)),""))</f>
        <v/>
      </c>
      <c r="J2370" s="7" t="str">
        <f aca="false">IF(A2370="","",IFERROR(VLOOKUP(IF(ISNUMBER(SEARCH("(",C2370)),LEFT(C2370,SEARCH("(",C2370)-1),C2370),Tipos!$A:$B,2,FALSE()),"outro"))</f>
        <v/>
      </c>
      <c r="K2370" s="7" t="str">
        <f aca="false">IF(I2370="","",IFERROR(INDEX('Campos Growths'!$L:$L,MATCH(H2370,'Campos Growths'!$A:$A,0)),""))</f>
        <v/>
      </c>
      <c r="L2370" s="7" t="str">
        <f aca="false">IF(A2370="","",IF(G2370="não","Sem tabela no Growths",IF(I2370="","Sem campo no Growths",IF(J2370=K2370,"Importa direto","Ajustar tipo"))))</f>
        <v/>
      </c>
      <c r="M2370" s="9"/>
    </row>
    <row r="2371" customFormat="false" ht="15" hidden="false" customHeight="false" outlineLevel="0" collapsed="false">
      <c r="A2371" s="7" t="str">
        <f aca="false">IF('Outro banco'!A2371="","",IF(LEFT('Outro banco'!A2371,1)="(","",'Outro banco'!A2371))</f>
        <v/>
      </c>
      <c r="B2371" s="7" t="str">
        <f aca="false">IF(A2371="","",'Outro banco'!B2371)</f>
        <v/>
      </c>
      <c r="C2371" s="7" t="str">
        <f aca="false">IF(A2371="","",'Outro banco'!C2371)</f>
        <v/>
      </c>
      <c r="D2371" s="7" t="str">
        <f aca="false">IF(A2371="","",'Outro banco'!D2371)</f>
        <v/>
      </c>
      <c r="E2371" s="9"/>
      <c r="F2371" s="9"/>
      <c r="G2371" s="7" t="str">
        <f aca="false">IF(A2371="","",IF(COUNTIF(Tabelas!$A:$A,IF(E2371="",A2371,E2371))&gt;0,"sim","não"))</f>
        <v/>
      </c>
      <c r="H2371" s="7" t="str">
        <f aca="false">IF(A2371="","",IF(E2371="",A2371,E2371)&amp;"."&amp;IF(F2371="",B2371,F2371))</f>
        <v/>
      </c>
      <c r="I2371" s="7" t="str">
        <f aca="false">IF(A2371="","",IFERROR(INDEX('Campos Growths'!$F:$F,MATCH(H2371,'Campos Growths'!$A:$A,0)),""))</f>
        <v/>
      </c>
      <c r="J2371" s="7" t="str">
        <f aca="false">IF(A2371="","",IFERROR(VLOOKUP(IF(ISNUMBER(SEARCH("(",C2371)),LEFT(C2371,SEARCH("(",C2371)-1),C2371),Tipos!$A:$B,2,FALSE()),"outro"))</f>
        <v/>
      </c>
      <c r="K2371" s="7" t="str">
        <f aca="false">IF(I2371="","",IFERROR(INDEX('Campos Growths'!$L:$L,MATCH(H2371,'Campos Growths'!$A:$A,0)),""))</f>
        <v/>
      </c>
      <c r="L2371" s="7" t="str">
        <f aca="false">IF(A2371="","",IF(G2371="não","Sem tabela no Growths",IF(I2371="","Sem campo no Growths",IF(J2371=K2371,"Importa direto","Ajustar tipo"))))</f>
        <v/>
      </c>
      <c r="M2371" s="9"/>
    </row>
    <row r="2372" customFormat="false" ht="15" hidden="false" customHeight="false" outlineLevel="0" collapsed="false">
      <c r="A2372" s="7" t="str">
        <f aca="false">IF('Outro banco'!A2372="","",IF(LEFT('Outro banco'!A2372,1)="(","",'Outro banco'!A2372))</f>
        <v/>
      </c>
      <c r="B2372" s="7" t="str">
        <f aca="false">IF(A2372="","",'Outro banco'!B2372)</f>
        <v/>
      </c>
      <c r="C2372" s="7" t="str">
        <f aca="false">IF(A2372="","",'Outro banco'!C2372)</f>
        <v/>
      </c>
      <c r="D2372" s="7" t="str">
        <f aca="false">IF(A2372="","",'Outro banco'!D2372)</f>
        <v/>
      </c>
      <c r="E2372" s="9"/>
      <c r="F2372" s="9"/>
      <c r="G2372" s="7" t="str">
        <f aca="false">IF(A2372="","",IF(COUNTIF(Tabelas!$A:$A,IF(E2372="",A2372,E2372))&gt;0,"sim","não"))</f>
        <v/>
      </c>
      <c r="H2372" s="7" t="str">
        <f aca="false">IF(A2372="","",IF(E2372="",A2372,E2372)&amp;"."&amp;IF(F2372="",B2372,F2372))</f>
        <v/>
      </c>
      <c r="I2372" s="7" t="str">
        <f aca="false">IF(A2372="","",IFERROR(INDEX('Campos Growths'!$F:$F,MATCH(H2372,'Campos Growths'!$A:$A,0)),""))</f>
        <v/>
      </c>
      <c r="J2372" s="7" t="str">
        <f aca="false">IF(A2372="","",IFERROR(VLOOKUP(IF(ISNUMBER(SEARCH("(",C2372)),LEFT(C2372,SEARCH("(",C2372)-1),C2372),Tipos!$A:$B,2,FALSE()),"outro"))</f>
        <v/>
      </c>
      <c r="K2372" s="7" t="str">
        <f aca="false">IF(I2372="","",IFERROR(INDEX('Campos Growths'!$L:$L,MATCH(H2372,'Campos Growths'!$A:$A,0)),""))</f>
        <v/>
      </c>
      <c r="L2372" s="7" t="str">
        <f aca="false">IF(A2372="","",IF(G2372="não","Sem tabela no Growths",IF(I2372="","Sem campo no Growths",IF(J2372=K2372,"Importa direto","Ajustar tipo"))))</f>
        <v/>
      </c>
      <c r="M2372" s="9"/>
    </row>
    <row r="2373" customFormat="false" ht="15" hidden="false" customHeight="false" outlineLevel="0" collapsed="false">
      <c r="A2373" s="7" t="str">
        <f aca="false">IF('Outro banco'!A2373="","",IF(LEFT('Outro banco'!A2373,1)="(","",'Outro banco'!A2373))</f>
        <v/>
      </c>
      <c r="B2373" s="7" t="str">
        <f aca="false">IF(A2373="","",'Outro banco'!B2373)</f>
        <v/>
      </c>
      <c r="C2373" s="7" t="str">
        <f aca="false">IF(A2373="","",'Outro banco'!C2373)</f>
        <v/>
      </c>
      <c r="D2373" s="7" t="str">
        <f aca="false">IF(A2373="","",'Outro banco'!D2373)</f>
        <v/>
      </c>
      <c r="E2373" s="9"/>
      <c r="F2373" s="9"/>
      <c r="G2373" s="7" t="str">
        <f aca="false">IF(A2373="","",IF(COUNTIF(Tabelas!$A:$A,IF(E2373="",A2373,E2373))&gt;0,"sim","não"))</f>
        <v/>
      </c>
      <c r="H2373" s="7" t="str">
        <f aca="false">IF(A2373="","",IF(E2373="",A2373,E2373)&amp;"."&amp;IF(F2373="",B2373,F2373))</f>
        <v/>
      </c>
      <c r="I2373" s="7" t="str">
        <f aca="false">IF(A2373="","",IFERROR(INDEX('Campos Growths'!$F:$F,MATCH(H2373,'Campos Growths'!$A:$A,0)),""))</f>
        <v/>
      </c>
      <c r="J2373" s="7" t="str">
        <f aca="false">IF(A2373="","",IFERROR(VLOOKUP(IF(ISNUMBER(SEARCH("(",C2373)),LEFT(C2373,SEARCH("(",C2373)-1),C2373),Tipos!$A:$B,2,FALSE()),"outro"))</f>
        <v/>
      </c>
      <c r="K2373" s="7" t="str">
        <f aca="false">IF(I2373="","",IFERROR(INDEX('Campos Growths'!$L:$L,MATCH(H2373,'Campos Growths'!$A:$A,0)),""))</f>
        <v/>
      </c>
      <c r="L2373" s="7" t="str">
        <f aca="false">IF(A2373="","",IF(G2373="não","Sem tabela no Growths",IF(I2373="","Sem campo no Growths",IF(J2373=K2373,"Importa direto","Ajustar tipo"))))</f>
        <v/>
      </c>
      <c r="M2373" s="9"/>
    </row>
    <row r="2374" customFormat="false" ht="15" hidden="false" customHeight="false" outlineLevel="0" collapsed="false">
      <c r="A2374" s="7" t="str">
        <f aca="false">IF('Outro banco'!A2374="","",IF(LEFT('Outro banco'!A2374,1)="(","",'Outro banco'!A2374))</f>
        <v/>
      </c>
      <c r="B2374" s="7" t="str">
        <f aca="false">IF(A2374="","",'Outro banco'!B2374)</f>
        <v/>
      </c>
      <c r="C2374" s="7" t="str">
        <f aca="false">IF(A2374="","",'Outro banco'!C2374)</f>
        <v/>
      </c>
      <c r="D2374" s="7" t="str">
        <f aca="false">IF(A2374="","",'Outro banco'!D2374)</f>
        <v/>
      </c>
      <c r="E2374" s="9"/>
      <c r="F2374" s="9"/>
      <c r="G2374" s="7" t="str">
        <f aca="false">IF(A2374="","",IF(COUNTIF(Tabelas!$A:$A,IF(E2374="",A2374,E2374))&gt;0,"sim","não"))</f>
        <v/>
      </c>
      <c r="H2374" s="7" t="str">
        <f aca="false">IF(A2374="","",IF(E2374="",A2374,E2374)&amp;"."&amp;IF(F2374="",B2374,F2374))</f>
        <v/>
      </c>
      <c r="I2374" s="7" t="str">
        <f aca="false">IF(A2374="","",IFERROR(INDEX('Campos Growths'!$F:$F,MATCH(H2374,'Campos Growths'!$A:$A,0)),""))</f>
        <v/>
      </c>
      <c r="J2374" s="7" t="str">
        <f aca="false">IF(A2374="","",IFERROR(VLOOKUP(IF(ISNUMBER(SEARCH("(",C2374)),LEFT(C2374,SEARCH("(",C2374)-1),C2374),Tipos!$A:$B,2,FALSE()),"outro"))</f>
        <v/>
      </c>
      <c r="K2374" s="7" t="str">
        <f aca="false">IF(I2374="","",IFERROR(INDEX('Campos Growths'!$L:$L,MATCH(H2374,'Campos Growths'!$A:$A,0)),""))</f>
        <v/>
      </c>
      <c r="L2374" s="7" t="str">
        <f aca="false">IF(A2374="","",IF(G2374="não","Sem tabela no Growths",IF(I2374="","Sem campo no Growths",IF(J2374=K2374,"Importa direto","Ajustar tipo"))))</f>
        <v/>
      </c>
      <c r="M2374" s="9"/>
    </row>
    <row r="2375" customFormat="false" ht="15" hidden="false" customHeight="false" outlineLevel="0" collapsed="false">
      <c r="A2375" s="7" t="str">
        <f aca="false">IF('Outro banco'!A2375="","",IF(LEFT('Outro banco'!A2375,1)="(","",'Outro banco'!A2375))</f>
        <v/>
      </c>
      <c r="B2375" s="7" t="str">
        <f aca="false">IF(A2375="","",'Outro banco'!B2375)</f>
        <v/>
      </c>
      <c r="C2375" s="7" t="str">
        <f aca="false">IF(A2375="","",'Outro banco'!C2375)</f>
        <v/>
      </c>
      <c r="D2375" s="7" t="str">
        <f aca="false">IF(A2375="","",'Outro banco'!D2375)</f>
        <v/>
      </c>
      <c r="E2375" s="9"/>
      <c r="F2375" s="9"/>
      <c r="G2375" s="7" t="str">
        <f aca="false">IF(A2375="","",IF(COUNTIF(Tabelas!$A:$A,IF(E2375="",A2375,E2375))&gt;0,"sim","não"))</f>
        <v/>
      </c>
      <c r="H2375" s="7" t="str">
        <f aca="false">IF(A2375="","",IF(E2375="",A2375,E2375)&amp;"."&amp;IF(F2375="",B2375,F2375))</f>
        <v/>
      </c>
      <c r="I2375" s="7" t="str">
        <f aca="false">IF(A2375="","",IFERROR(INDEX('Campos Growths'!$F:$F,MATCH(H2375,'Campos Growths'!$A:$A,0)),""))</f>
        <v/>
      </c>
      <c r="J2375" s="7" t="str">
        <f aca="false">IF(A2375="","",IFERROR(VLOOKUP(IF(ISNUMBER(SEARCH("(",C2375)),LEFT(C2375,SEARCH("(",C2375)-1),C2375),Tipos!$A:$B,2,FALSE()),"outro"))</f>
        <v/>
      </c>
      <c r="K2375" s="7" t="str">
        <f aca="false">IF(I2375="","",IFERROR(INDEX('Campos Growths'!$L:$L,MATCH(H2375,'Campos Growths'!$A:$A,0)),""))</f>
        <v/>
      </c>
      <c r="L2375" s="7" t="str">
        <f aca="false">IF(A2375="","",IF(G2375="não","Sem tabela no Growths",IF(I2375="","Sem campo no Growths",IF(J2375=K2375,"Importa direto","Ajustar tipo"))))</f>
        <v/>
      </c>
      <c r="M2375" s="9"/>
    </row>
    <row r="2376" customFormat="false" ht="15" hidden="false" customHeight="false" outlineLevel="0" collapsed="false">
      <c r="A2376" s="7" t="str">
        <f aca="false">IF('Outro banco'!A2376="","",IF(LEFT('Outro banco'!A2376,1)="(","",'Outro banco'!A2376))</f>
        <v/>
      </c>
      <c r="B2376" s="7" t="str">
        <f aca="false">IF(A2376="","",'Outro banco'!B2376)</f>
        <v/>
      </c>
      <c r="C2376" s="7" t="str">
        <f aca="false">IF(A2376="","",'Outro banco'!C2376)</f>
        <v/>
      </c>
      <c r="D2376" s="7" t="str">
        <f aca="false">IF(A2376="","",'Outro banco'!D2376)</f>
        <v/>
      </c>
      <c r="E2376" s="9"/>
      <c r="F2376" s="9"/>
      <c r="G2376" s="7" t="str">
        <f aca="false">IF(A2376="","",IF(COUNTIF(Tabelas!$A:$A,IF(E2376="",A2376,E2376))&gt;0,"sim","não"))</f>
        <v/>
      </c>
      <c r="H2376" s="7" t="str">
        <f aca="false">IF(A2376="","",IF(E2376="",A2376,E2376)&amp;"."&amp;IF(F2376="",B2376,F2376))</f>
        <v/>
      </c>
      <c r="I2376" s="7" t="str">
        <f aca="false">IF(A2376="","",IFERROR(INDEX('Campos Growths'!$F:$F,MATCH(H2376,'Campos Growths'!$A:$A,0)),""))</f>
        <v/>
      </c>
      <c r="J2376" s="7" t="str">
        <f aca="false">IF(A2376="","",IFERROR(VLOOKUP(IF(ISNUMBER(SEARCH("(",C2376)),LEFT(C2376,SEARCH("(",C2376)-1),C2376),Tipos!$A:$B,2,FALSE()),"outro"))</f>
        <v/>
      </c>
      <c r="K2376" s="7" t="str">
        <f aca="false">IF(I2376="","",IFERROR(INDEX('Campos Growths'!$L:$L,MATCH(H2376,'Campos Growths'!$A:$A,0)),""))</f>
        <v/>
      </c>
      <c r="L2376" s="7" t="str">
        <f aca="false">IF(A2376="","",IF(G2376="não","Sem tabela no Growths",IF(I2376="","Sem campo no Growths",IF(J2376=K2376,"Importa direto","Ajustar tipo"))))</f>
        <v/>
      </c>
      <c r="M2376" s="9"/>
    </row>
    <row r="2377" customFormat="false" ht="15" hidden="false" customHeight="false" outlineLevel="0" collapsed="false">
      <c r="A2377" s="7" t="str">
        <f aca="false">IF('Outro banco'!A2377="","",IF(LEFT('Outro banco'!A2377,1)="(","",'Outro banco'!A2377))</f>
        <v/>
      </c>
      <c r="B2377" s="7" t="str">
        <f aca="false">IF(A2377="","",'Outro banco'!B2377)</f>
        <v/>
      </c>
      <c r="C2377" s="7" t="str">
        <f aca="false">IF(A2377="","",'Outro banco'!C2377)</f>
        <v/>
      </c>
      <c r="D2377" s="7" t="str">
        <f aca="false">IF(A2377="","",'Outro banco'!D2377)</f>
        <v/>
      </c>
      <c r="E2377" s="9"/>
      <c r="F2377" s="9"/>
      <c r="G2377" s="7" t="str">
        <f aca="false">IF(A2377="","",IF(COUNTIF(Tabelas!$A:$A,IF(E2377="",A2377,E2377))&gt;0,"sim","não"))</f>
        <v/>
      </c>
      <c r="H2377" s="7" t="str">
        <f aca="false">IF(A2377="","",IF(E2377="",A2377,E2377)&amp;"."&amp;IF(F2377="",B2377,F2377))</f>
        <v/>
      </c>
      <c r="I2377" s="7" t="str">
        <f aca="false">IF(A2377="","",IFERROR(INDEX('Campos Growths'!$F:$F,MATCH(H2377,'Campos Growths'!$A:$A,0)),""))</f>
        <v/>
      </c>
      <c r="J2377" s="7" t="str">
        <f aca="false">IF(A2377="","",IFERROR(VLOOKUP(IF(ISNUMBER(SEARCH("(",C2377)),LEFT(C2377,SEARCH("(",C2377)-1),C2377),Tipos!$A:$B,2,FALSE()),"outro"))</f>
        <v/>
      </c>
      <c r="K2377" s="7" t="str">
        <f aca="false">IF(I2377="","",IFERROR(INDEX('Campos Growths'!$L:$L,MATCH(H2377,'Campos Growths'!$A:$A,0)),""))</f>
        <v/>
      </c>
      <c r="L2377" s="7" t="str">
        <f aca="false">IF(A2377="","",IF(G2377="não","Sem tabela no Growths",IF(I2377="","Sem campo no Growths",IF(J2377=K2377,"Importa direto","Ajustar tipo"))))</f>
        <v/>
      </c>
      <c r="M2377" s="9"/>
    </row>
    <row r="2378" customFormat="false" ht="15" hidden="false" customHeight="false" outlineLevel="0" collapsed="false">
      <c r="A2378" s="7" t="str">
        <f aca="false">IF('Outro banco'!A2378="","",IF(LEFT('Outro banco'!A2378,1)="(","",'Outro banco'!A2378))</f>
        <v/>
      </c>
      <c r="B2378" s="7" t="str">
        <f aca="false">IF(A2378="","",'Outro banco'!B2378)</f>
        <v/>
      </c>
      <c r="C2378" s="7" t="str">
        <f aca="false">IF(A2378="","",'Outro banco'!C2378)</f>
        <v/>
      </c>
      <c r="D2378" s="7" t="str">
        <f aca="false">IF(A2378="","",'Outro banco'!D2378)</f>
        <v/>
      </c>
      <c r="E2378" s="9"/>
      <c r="F2378" s="9"/>
      <c r="G2378" s="7" t="str">
        <f aca="false">IF(A2378="","",IF(COUNTIF(Tabelas!$A:$A,IF(E2378="",A2378,E2378))&gt;0,"sim","não"))</f>
        <v/>
      </c>
      <c r="H2378" s="7" t="str">
        <f aca="false">IF(A2378="","",IF(E2378="",A2378,E2378)&amp;"."&amp;IF(F2378="",B2378,F2378))</f>
        <v/>
      </c>
      <c r="I2378" s="7" t="str">
        <f aca="false">IF(A2378="","",IFERROR(INDEX('Campos Growths'!$F:$F,MATCH(H2378,'Campos Growths'!$A:$A,0)),""))</f>
        <v/>
      </c>
      <c r="J2378" s="7" t="str">
        <f aca="false">IF(A2378="","",IFERROR(VLOOKUP(IF(ISNUMBER(SEARCH("(",C2378)),LEFT(C2378,SEARCH("(",C2378)-1),C2378),Tipos!$A:$B,2,FALSE()),"outro"))</f>
        <v/>
      </c>
      <c r="K2378" s="7" t="str">
        <f aca="false">IF(I2378="","",IFERROR(INDEX('Campos Growths'!$L:$L,MATCH(H2378,'Campos Growths'!$A:$A,0)),""))</f>
        <v/>
      </c>
      <c r="L2378" s="7" t="str">
        <f aca="false">IF(A2378="","",IF(G2378="não","Sem tabela no Growths",IF(I2378="","Sem campo no Growths",IF(J2378=K2378,"Importa direto","Ajustar tipo"))))</f>
        <v/>
      </c>
      <c r="M2378" s="9"/>
    </row>
    <row r="2379" customFormat="false" ht="15" hidden="false" customHeight="false" outlineLevel="0" collapsed="false">
      <c r="A2379" s="7" t="str">
        <f aca="false">IF('Outro banco'!A2379="","",IF(LEFT('Outro banco'!A2379,1)="(","",'Outro banco'!A2379))</f>
        <v/>
      </c>
      <c r="B2379" s="7" t="str">
        <f aca="false">IF(A2379="","",'Outro banco'!B2379)</f>
        <v/>
      </c>
      <c r="C2379" s="7" t="str">
        <f aca="false">IF(A2379="","",'Outro banco'!C2379)</f>
        <v/>
      </c>
      <c r="D2379" s="7" t="str">
        <f aca="false">IF(A2379="","",'Outro banco'!D2379)</f>
        <v/>
      </c>
      <c r="E2379" s="9"/>
      <c r="F2379" s="9"/>
      <c r="G2379" s="7" t="str">
        <f aca="false">IF(A2379="","",IF(COUNTIF(Tabelas!$A:$A,IF(E2379="",A2379,E2379))&gt;0,"sim","não"))</f>
        <v/>
      </c>
      <c r="H2379" s="7" t="str">
        <f aca="false">IF(A2379="","",IF(E2379="",A2379,E2379)&amp;"."&amp;IF(F2379="",B2379,F2379))</f>
        <v/>
      </c>
      <c r="I2379" s="7" t="str">
        <f aca="false">IF(A2379="","",IFERROR(INDEX('Campos Growths'!$F:$F,MATCH(H2379,'Campos Growths'!$A:$A,0)),""))</f>
        <v/>
      </c>
      <c r="J2379" s="7" t="str">
        <f aca="false">IF(A2379="","",IFERROR(VLOOKUP(IF(ISNUMBER(SEARCH("(",C2379)),LEFT(C2379,SEARCH("(",C2379)-1),C2379),Tipos!$A:$B,2,FALSE()),"outro"))</f>
        <v/>
      </c>
      <c r="K2379" s="7" t="str">
        <f aca="false">IF(I2379="","",IFERROR(INDEX('Campos Growths'!$L:$L,MATCH(H2379,'Campos Growths'!$A:$A,0)),""))</f>
        <v/>
      </c>
      <c r="L2379" s="7" t="str">
        <f aca="false">IF(A2379="","",IF(G2379="não","Sem tabela no Growths",IF(I2379="","Sem campo no Growths",IF(J2379=K2379,"Importa direto","Ajustar tipo"))))</f>
        <v/>
      </c>
      <c r="M2379" s="9"/>
    </row>
    <row r="2380" customFormat="false" ht="15" hidden="false" customHeight="false" outlineLevel="0" collapsed="false">
      <c r="A2380" s="7" t="str">
        <f aca="false">IF('Outro banco'!A2380="","",IF(LEFT('Outro banco'!A2380,1)="(","",'Outro banco'!A2380))</f>
        <v/>
      </c>
      <c r="B2380" s="7" t="str">
        <f aca="false">IF(A2380="","",'Outro banco'!B2380)</f>
        <v/>
      </c>
      <c r="C2380" s="7" t="str">
        <f aca="false">IF(A2380="","",'Outro banco'!C2380)</f>
        <v/>
      </c>
      <c r="D2380" s="7" t="str">
        <f aca="false">IF(A2380="","",'Outro banco'!D2380)</f>
        <v/>
      </c>
      <c r="E2380" s="9"/>
      <c r="F2380" s="9"/>
      <c r="G2380" s="7" t="str">
        <f aca="false">IF(A2380="","",IF(COUNTIF(Tabelas!$A:$A,IF(E2380="",A2380,E2380))&gt;0,"sim","não"))</f>
        <v/>
      </c>
      <c r="H2380" s="7" t="str">
        <f aca="false">IF(A2380="","",IF(E2380="",A2380,E2380)&amp;"."&amp;IF(F2380="",B2380,F2380))</f>
        <v/>
      </c>
      <c r="I2380" s="7" t="str">
        <f aca="false">IF(A2380="","",IFERROR(INDEX('Campos Growths'!$F:$F,MATCH(H2380,'Campos Growths'!$A:$A,0)),""))</f>
        <v/>
      </c>
      <c r="J2380" s="7" t="str">
        <f aca="false">IF(A2380="","",IFERROR(VLOOKUP(IF(ISNUMBER(SEARCH("(",C2380)),LEFT(C2380,SEARCH("(",C2380)-1),C2380),Tipos!$A:$B,2,FALSE()),"outro"))</f>
        <v/>
      </c>
      <c r="K2380" s="7" t="str">
        <f aca="false">IF(I2380="","",IFERROR(INDEX('Campos Growths'!$L:$L,MATCH(H2380,'Campos Growths'!$A:$A,0)),""))</f>
        <v/>
      </c>
      <c r="L2380" s="7" t="str">
        <f aca="false">IF(A2380="","",IF(G2380="não","Sem tabela no Growths",IF(I2380="","Sem campo no Growths",IF(J2380=K2380,"Importa direto","Ajustar tipo"))))</f>
        <v/>
      </c>
      <c r="M2380" s="9"/>
    </row>
    <row r="2381" customFormat="false" ht="15" hidden="false" customHeight="false" outlineLevel="0" collapsed="false">
      <c r="A2381" s="7" t="str">
        <f aca="false">IF('Outro banco'!A2381="","",IF(LEFT('Outro banco'!A2381,1)="(","",'Outro banco'!A2381))</f>
        <v/>
      </c>
      <c r="B2381" s="7" t="str">
        <f aca="false">IF(A2381="","",'Outro banco'!B2381)</f>
        <v/>
      </c>
      <c r="C2381" s="7" t="str">
        <f aca="false">IF(A2381="","",'Outro banco'!C2381)</f>
        <v/>
      </c>
      <c r="D2381" s="7" t="str">
        <f aca="false">IF(A2381="","",'Outro banco'!D2381)</f>
        <v/>
      </c>
      <c r="E2381" s="9"/>
      <c r="F2381" s="9"/>
      <c r="G2381" s="7" t="str">
        <f aca="false">IF(A2381="","",IF(COUNTIF(Tabelas!$A:$A,IF(E2381="",A2381,E2381))&gt;0,"sim","não"))</f>
        <v/>
      </c>
      <c r="H2381" s="7" t="str">
        <f aca="false">IF(A2381="","",IF(E2381="",A2381,E2381)&amp;"."&amp;IF(F2381="",B2381,F2381))</f>
        <v/>
      </c>
      <c r="I2381" s="7" t="str">
        <f aca="false">IF(A2381="","",IFERROR(INDEX('Campos Growths'!$F:$F,MATCH(H2381,'Campos Growths'!$A:$A,0)),""))</f>
        <v/>
      </c>
      <c r="J2381" s="7" t="str">
        <f aca="false">IF(A2381="","",IFERROR(VLOOKUP(IF(ISNUMBER(SEARCH("(",C2381)),LEFT(C2381,SEARCH("(",C2381)-1),C2381),Tipos!$A:$B,2,FALSE()),"outro"))</f>
        <v/>
      </c>
      <c r="K2381" s="7" t="str">
        <f aca="false">IF(I2381="","",IFERROR(INDEX('Campos Growths'!$L:$L,MATCH(H2381,'Campos Growths'!$A:$A,0)),""))</f>
        <v/>
      </c>
      <c r="L2381" s="7" t="str">
        <f aca="false">IF(A2381="","",IF(G2381="não","Sem tabela no Growths",IF(I2381="","Sem campo no Growths",IF(J2381=K2381,"Importa direto","Ajustar tipo"))))</f>
        <v/>
      </c>
      <c r="M2381" s="9"/>
    </row>
    <row r="2382" customFormat="false" ht="15" hidden="false" customHeight="false" outlineLevel="0" collapsed="false">
      <c r="A2382" s="7" t="str">
        <f aca="false">IF('Outro banco'!A2382="","",IF(LEFT('Outro banco'!A2382,1)="(","",'Outro banco'!A2382))</f>
        <v/>
      </c>
      <c r="B2382" s="7" t="str">
        <f aca="false">IF(A2382="","",'Outro banco'!B2382)</f>
        <v/>
      </c>
      <c r="C2382" s="7" t="str">
        <f aca="false">IF(A2382="","",'Outro banco'!C2382)</f>
        <v/>
      </c>
      <c r="D2382" s="7" t="str">
        <f aca="false">IF(A2382="","",'Outro banco'!D2382)</f>
        <v/>
      </c>
      <c r="E2382" s="9"/>
      <c r="F2382" s="9"/>
      <c r="G2382" s="7" t="str">
        <f aca="false">IF(A2382="","",IF(COUNTIF(Tabelas!$A:$A,IF(E2382="",A2382,E2382))&gt;0,"sim","não"))</f>
        <v/>
      </c>
      <c r="H2382" s="7" t="str">
        <f aca="false">IF(A2382="","",IF(E2382="",A2382,E2382)&amp;"."&amp;IF(F2382="",B2382,F2382))</f>
        <v/>
      </c>
      <c r="I2382" s="7" t="str">
        <f aca="false">IF(A2382="","",IFERROR(INDEX('Campos Growths'!$F:$F,MATCH(H2382,'Campos Growths'!$A:$A,0)),""))</f>
        <v/>
      </c>
      <c r="J2382" s="7" t="str">
        <f aca="false">IF(A2382="","",IFERROR(VLOOKUP(IF(ISNUMBER(SEARCH("(",C2382)),LEFT(C2382,SEARCH("(",C2382)-1),C2382),Tipos!$A:$B,2,FALSE()),"outro"))</f>
        <v/>
      </c>
      <c r="K2382" s="7" t="str">
        <f aca="false">IF(I2382="","",IFERROR(INDEX('Campos Growths'!$L:$L,MATCH(H2382,'Campos Growths'!$A:$A,0)),""))</f>
        <v/>
      </c>
      <c r="L2382" s="7" t="str">
        <f aca="false">IF(A2382="","",IF(G2382="não","Sem tabela no Growths",IF(I2382="","Sem campo no Growths",IF(J2382=K2382,"Importa direto","Ajustar tipo"))))</f>
        <v/>
      </c>
      <c r="M2382" s="9"/>
    </row>
    <row r="2383" customFormat="false" ht="15" hidden="false" customHeight="false" outlineLevel="0" collapsed="false">
      <c r="A2383" s="7" t="str">
        <f aca="false">IF('Outro banco'!A2383="","",IF(LEFT('Outro banco'!A2383,1)="(","",'Outro banco'!A2383))</f>
        <v/>
      </c>
      <c r="B2383" s="7" t="str">
        <f aca="false">IF(A2383="","",'Outro banco'!B2383)</f>
        <v/>
      </c>
      <c r="C2383" s="7" t="str">
        <f aca="false">IF(A2383="","",'Outro banco'!C2383)</f>
        <v/>
      </c>
      <c r="D2383" s="7" t="str">
        <f aca="false">IF(A2383="","",'Outro banco'!D2383)</f>
        <v/>
      </c>
      <c r="E2383" s="9"/>
      <c r="F2383" s="9"/>
      <c r="G2383" s="7" t="str">
        <f aca="false">IF(A2383="","",IF(COUNTIF(Tabelas!$A:$A,IF(E2383="",A2383,E2383))&gt;0,"sim","não"))</f>
        <v/>
      </c>
      <c r="H2383" s="7" t="str">
        <f aca="false">IF(A2383="","",IF(E2383="",A2383,E2383)&amp;"."&amp;IF(F2383="",B2383,F2383))</f>
        <v/>
      </c>
      <c r="I2383" s="7" t="str">
        <f aca="false">IF(A2383="","",IFERROR(INDEX('Campos Growths'!$F:$F,MATCH(H2383,'Campos Growths'!$A:$A,0)),""))</f>
        <v/>
      </c>
      <c r="J2383" s="7" t="str">
        <f aca="false">IF(A2383="","",IFERROR(VLOOKUP(IF(ISNUMBER(SEARCH("(",C2383)),LEFT(C2383,SEARCH("(",C2383)-1),C2383),Tipos!$A:$B,2,FALSE()),"outro"))</f>
        <v/>
      </c>
      <c r="K2383" s="7" t="str">
        <f aca="false">IF(I2383="","",IFERROR(INDEX('Campos Growths'!$L:$L,MATCH(H2383,'Campos Growths'!$A:$A,0)),""))</f>
        <v/>
      </c>
      <c r="L2383" s="7" t="str">
        <f aca="false">IF(A2383="","",IF(G2383="não","Sem tabela no Growths",IF(I2383="","Sem campo no Growths",IF(J2383=K2383,"Importa direto","Ajustar tipo"))))</f>
        <v/>
      </c>
      <c r="M2383" s="9"/>
    </row>
    <row r="2384" customFormat="false" ht="15" hidden="false" customHeight="false" outlineLevel="0" collapsed="false">
      <c r="A2384" s="7" t="str">
        <f aca="false">IF('Outro banco'!A2384="","",IF(LEFT('Outro banco'!A2384,1)="(","",'Outro banco'!A2384))</f>
        <v/>
      </c>
      <c r="B2384" s="7" t="str">
        <f aca="false">IF(A2384="","",'Outro banco'!B2384)</f>
        <v/>
      </c>
      <c r="C2384" s="7" t="str">
        <f aca="false">IF(A2384="","",'Outro banco'!C2384)</f>
        <v/>
      </c>
      <c r="D2384" s="7" t="str">
        <f aca="false">IF(A2384="","",'Outro banco'!D2384)</f>
        <v/>
      </c>
      <c r="E2384" s="9"/>
      <c r="F2384" s="9"/>
      <c r="G2384" s="7" t="str">
        <f aca="false">IF(A2384="","",IF(COUNTIF(Tabelas!$A:$A,IF(E2384="",A2384,E2384))&gt;0,"sim","não"))</f>
        <v/>
      </c>
      <c r="H2384" s="7" t="str">
        <f aca="false">IF(A2384="","",IF(E2384="",A2384,E2384)&amp;"."&amp;IF(F2384="",B2384,F2384))</f>
        <v/>
      </c>
      <c r="I2384" s="7" t="str">
        <f aca="false">IF(A2384="","",IFERROR(INDEX('Campos Growths'!$F:$F,MATCH(H2384,'Campos Growths'!$A:$A,0)),""))</f>
        <v/>
      </c>
      <c r="J2384" s="7" t="str">
        <f aca="false">IF(A2384="","",IFERROR(VLOOKUP(IF(ISNUMBER(SEARCH("(",C2384)),LEFT(C2384,SEARCH("(",C2384)-1),C2384),Tipos!$A:$B,2,FALSE()),"outro"))</f>
        <v/>
      </c>
      <c r="K2384" s="7" t="str">
        <f aca="false">IF(I2384="","",IFERROR(INDEX('Campos Growths'!$L:$L,MATCH(H2384,'Campos Growths'!$A:$A,0)),""))</f>
        <v/>
      </c>
      <c r="L2384" s="7" t="str">
        <f aca="false">IF(A2384="","",IF(G2384="não","Sem tabela no Growths",IF(I2384="","Sem campo no Growths",IF(J2384=K2384,"Importa direto","Ajustar tipo"))))</f>
        <v/>
      </c>
      <c r="M2384" s="9"/>
    </row>
    <row r="2385" customFormat="false" ht="15" hidden="false" customHeight="false" outlineLevel="0" collapsed="false">
      <c r="A2385" s="7" t="str">
        <f aca="false">IF('Outro banco'!A2385="","",IF(LEFT('Outro banco'!A2385,1)="(","",'Outro banco'!A2385))</f>
        <v/>
      </c>
      <c r="B2385" s="7" t="str">
        <f aca="false">IF(A2385="","",'Outro banco'!B2385)</f>
        <v/>
      </c>
      <c r="C2385" s="7" t="str">
        <f aca="false">IF(A2385="","",'Outro banco'!C2385)</f>
        <v/>
      </c>
      <c r="D2385" s="7" t="str">
        <f aca="false">IF(A2385="","",'Outro banco'!D2385)</f>
        <v/>
      </c>
      <c r="E2385" s="9"/>
      <c r="F2385" s="9"/>
      <c r="G2385" s="7" t="str">
        <f aca="false">IF(A2385="","",IF(COUNTIF(Tabelas!$A:$A,IF(E2385="",A2385,E2385))&gt;0,"sim","não"))</f>
        <v/>
      </c>
      <c r="H2385" s="7" t="str">
        <f aca="false">IF(A2385="","",IF(E2385="",A2385,E2385)&amp;"."&amp;IF(F2385="",B2385,F2385))</f>
        <v/>
      </c>
      <c r="I2385" s="7" t="str">
        <f aca="false">IF(A2385="","",IFERROR(INDEX('Campos Growths'!$F:$F,MATCH(H2385,'Campos Growths'!$A:$A,0)),""))</f>
        <v/>
      </c>
      <c r="J2385" s="7" t="str">
        <f aca="false">IF(A2385="","",IFERROR(VLOOKUP(IF(ISNUMBER(SEARCH("(",C2385)),LEFT(C2385,SEARCH("(",C2385)-1),C2385),Tipos!$A:$B,2,FALSE()),"outro"))</f>
        <v/>
      </c>
      <c r="K2385" s="7" t="str">
        <f aca="false">IF(I2385="","",IFERROR(INDEX('Campos Growths'!$L:$L,MATCH(H2385,'Campos Growths'!$A:$A,0)),""))</f>
        <v/>
      </c>
      <c r="L2385" s="7" t="str">
        <f aca="false">IF(A2385="","",IF(G2385="não","Sem tabela no Growths",IF(I2385="","Sem campo no Growths",IF(J2385=K2385,"Importa direto","Ajustar tipo"))))</f>
        <v/>
      </c>
      <c r="M2385" s="9"/>
    </row>
    <row r="2386" customFormat="false" ht="15" hidden="false" customHeight="false" outlineLevel="0" collapsed="false">
      <c r="A2386" s="7" t="str">
        <f aca="false">IF('Outro banco'!A2386="","",IF(LEFT('Outro banco'!A2386,1)="(","",'Outro banco'!A2386))</f>
        <v/>
      </c>
      <c r="B2386" s="7" t="str">
        <f aca="false">IF(A2386="","",'Outro banco'!B2386)</f>
        <v/>
      </c>
      <c r="C2386" s="7" t="str">
        <f aca="false">IF(A2386="","",'Outro banco'!C2386)</f>
        <v/>
      </c>
      <c r="D2386" s="7" t="str">
        <f aca="false">IF(A2386="","",'Outro banco'!D2386)</f>
        <v/>
      </c>
      <c r="E2386" s="9"/>
      <c r="F2386" s="9"/>
      <c r="G2386" s="7" t="str">
        <f aca="false">IF(A2386="","",IF(COUNTIF(Tabelas!$A:$A,IF(E2386="",A2386,E2386))&gt;0,"sim","não"))</f>
        <v/>
      </c>
      <c r="H2386" s="7" t="str">
        <f aca="false">IF(A2386="","",IF(E2386="",A2386,E2386)&amp;"."&amp;IF(F2386="",B2386,F2386))</f>
        <v/>
      </c>
      <c r="I2386" s="7" t="str">
        <f aca="false">IF(A2386="","",IFERROR(INDEX('Campos Growths'!$F:$F,MATCH(H2386,'Campos Growths'!$A:$A,0)),""))</f>
        <v/>
      </c>
      <c r="J2386" s="7" t="str">
        <f aca="false">IF(A2386="","",IFERROR(VLOOKUP(IF(ISNUMBER(SEARCH("(",C2386)),LEFT(C2386,SEARCH("(",C2386)-1),C2386),Tipos!$A:$B,2,FALSE()),"outro"))</f>
        <v/>
      </c>
      <c r="K2386" s="7" t="str">
        <f aca="false">IF(I2386="","",IFERROR(INDEX('Campos Growths'!$L:$L,MATCH(H2386,'Campos Growths'!$A:$A,0)),""))</f>
        <v/>
      </c>
      <c r="L2386" s="7" t="str">
        <f aca="false">IF(A2386="","",IF(G2386="não","Sem tabela no Growths",IF(I2386="","Sem campo no Growths",IF(J2386=K2386,"Importa direto","Ajustar tipo"))))</f>
        <v/>
      </c>
      <c r="M2386" s="9"/>
    </row>
    <row r="2387" customFormat="false" ht="15" hidden="false" customHeight="false" outlineLevel="0" collapsed="false">
      <c r="A2387" s="7" t="str">
        <f aca="false">IF('Outro banco'!A2387="","",IF(LEFT('Outro banco'!A2387,1)="(","",'Outro banco'!A2387))</f>
        <v/>
      </c>
      <c r="B2387" s="7" t="str">
        <f aca="false">IF(A2387="","",'Outro banco'!B2387)</f>
        <v/>
      </c>
      <c r="C2387" s="7" t="str">
        <f aca="false">IF(A2387="","",'Outro banco'!C2387)</f>
        <v/>
      </c>
      <c r="D2387" s="7" t="str">
        <f aca="false">IF(A2387="","",'Outro banco'!D2387)</f>
        <v/>
      </c>
      <c r="E2387" s="9"/>
      <c r="F2387" s="9"/>
      <c r="G2387" s="7" t="str">
        <f aca="false">IF(A2387="","",IF(COUNTIF(Tabelas!$A:$A,IF(E2387="",A2387,E2387))&gt;0,"sim","não"))</f>
        <v/>
      </c>
      <c r="H2387" s="7" t="str">
        <f aca="false">IF(A2387="","",IF(E2387="",A2387,E2387)&amp;"."&amp;IF(F2387="",B2387,F2387))</f>
        <v/>
      </c>
      <c r="I2387" s="7" t="str">
        <f aca="false">IF(A2387="","",IFERROR(INDEX('Campos Growths'!$F:$F,MATCH(H2387,'Campos Growths'!$A:$A,0)),""))</f>
        <v/>
      </c>
      <c r="J2387" s="7" t="str">
        <f aca="false">IF(A2387="","",IFERROR(VLOOKUP(IF(ISNUMBER(SEARCH("(",C2387)),LEFT(C2387,SEARCH("(",C2387)-1),C2387),Tipos!$A:$B,2,FALSE()),"outro"))</f>
        <v/>
      </c>
      <c r="K2387" s="7" t="str">
        <f aca="false">IF(I2387="","",IFERROR(INDEX('Campos Growths'!$L:$L,MATCH(H2387,'Campos Growths'!$A:$A,0)),""))</f>
        <v/>
      </c>
      <c r="L2387" s="7" t="str">
        <f aca="false">IF(A2387="","",IF(G2387="não","Sem tabela no Growths",IF(I2387="","Sem campo no Growths",IF(J2387=K2387,"Importa direto","Ajustar tipo"))))</f>
        <v/>
      </c>
      <c r="M2387" s="9"/>
    </row>
    <row r="2388" customFormat="false" ht="15" hidden="false" customHeight="false" outlineLevel="0" collapsed="false">
      <c r="A2388" s="7" t="str">
        <f aca="false">IF('Outro banco'!A2388="","",IF(LEFT('Outro banco'!A2388,1)="(","",'Outro banco'!A2388))</f>
        <v/>
      </c>
      <c r="B2388" s="7" t="str">
        <f aca="false">IF(A2388="","",'Outro banco'!B2388)</f>
        <v/>
      </c>
      <c r="C2388" s="7" t="str">
        <f aca="false">IF(A2388="","",'Outro banco'!C2388)</f>
        <v/>
      </c>
      <c r="D2388" s="7" t="str">
        <f aca="false">IF(A2388="","",'Outro banco'!D2388)</f>
        <v/>
      </c>
      <c r="E2388" s="9"/>
      <c r="F2388" s="9"/>
      <c r="G2388" s="7" t="str">
        <f aca="false">IF(A2388="","",IF(COUNTIF(Tabelas!$A:$A,IF(E2388="",A2388,E2388))&gt;0,"sim","não"))</f>
        <v/>
      </c>
      <c r="H2388" s="7" t="str">
        <f aca="false">IF(A2388="","",IF(E2388="",A2388,E2388)&amp;"."&amp;IF(F2388="",B2388,F2388))</f>
        <v/>
      </c>
      <c r="I2388" s="7" t="str">
        <f aca="false">IF(A2388="","",IFERROR(INDEX('Campos Growths'!$F:$F,MATCH(H2388,'Campos Growths'!$A:$A,0)),""))</f>
        <v/>
      </c>
      <c r="J2388" s="7" t="str">
        <f aca="false">IF(A2388="","",IFERROR(VLOOKUP(IF(ISNUMBER(SEARCH("(",C2388)),LEFT(C2388,SEARCH("(",C2388)-1),C2388),Tipos!$A:$B,2,FALSE()),"outro"))</f>
        <v/>
      </c>
      <c r="K2388" s="7" t="str">
        <f aca="false">IF(I2388="","",IFERROR(INDEX('Campos Growths'!$L:$L,MATCH(H2388,'Campos Growths'!$A:$A,0)),""))</f>
        <v/>
      </c>
      <c r="L2388" s="7" t="str">
        <f aca="false">IF(A2388="","",IF(G2388="não","Sem tabela no Growths",IF(I2388="","Sem campo no Growths",IF(J2388=K2388,"Importa direto","Ajustar tipo"))))</f>
        <v/>
      </c>
      <c r="M2388" s="9"/>
    </row>
    <row r="2389" customFormat="false" ht="15" hidden="false" customHeight="false" outlineLevel="0" collapsed="false">
      <c r="A2389" s="7" t="str">
        <f aca="false">IF('Outro banco'!A2389="","",IF(LEFT('Outro banco'!A2389,1)="(","",'Outro banco'!A2389))</f>
        <v/>
      </c>
      <c r="B2389" s="7" t="str">
        <f aca="false">IF(A2389="","",'Outro banco'!B2389)</f>
        <v/>
      </c>
      <c r="C2389" s="7" t="str">
        <f aca="false">IF(A2389="","",'Outro banco'!C2389)</f>
        <v/>
      </c>
      <c r="D2389" s="7" t="str">
        <f aca="false">IF(A2389="","",'Outro banco'!D2389)</f>
        <v/>
      </c>
      <c r="E2389" s="9"/>
      <c r="F2389" s="9"/>
      <c r="G2389" s="7" t="str">
        <f aca="false">IF(A2389="","",IF(COUNTIF(Tabelas!$A:$A,IF(E2389="",A2389,E2389))&gt;0,"sim","não"))</f>
        <v/>
      </c>
      <c r="H2389" s="7" t="str">
        <f aca="false">IF(A2389="","",IF(E2389="",A2389,E2389)&amp;"."&amp;IF(F2389="",B2389,F2389))</f>
        <v/>
      </c>
      <c r="I2389" s="7" t="str">
        <f aca="false">IF(A2389="","",IFERROR(INDEX('Campos Growths'!$F:$F,MATCH(H2389,'Campos Growths'!$A:$A,0)),""))</f>
        <v/>
      </c>
      <c r="J2389" s="7" t="str">
        <f aca="false">IF(A2389="","",IFERROR(VLOOKUP(IF(ISNUMBER(SEARCH("(",C2389)),LEFT(C2389,SEARCH("(",C2389)-1),C2389),Tipos!$A:$B,2,FALSE()),"outro"))</f>
        <v/>
      </c>
      <c r="K2389" s="7" t="str">
        <f aca="false">IF(I2389="","",IFERROR(INDEX('Campos Growths'!$L:$L,MATCH(H2389,'Campos Growths'!$A:$A,0)),""))</f>
        <v/>
      </c>
      <c r="L2389" s="7" t="str">
        <f aca="false">IF(A2389="","",IF(G2389="não","Sem tabela no Growths",IF(I2389="","Sem campo no Growths",IF(J2389=K2389,"Importa direto","Ajustar tipo"))))</f>
        <v/>
      </c>
      <c r="M2389" s="9"/>
    </row>
    <row r="2390" customFormat="false" ht="15" hidden="false" customHeight="false" outlineLevel="0" collapsed="false">
      <c r="A2390" s="7" t="str">
        <f aca="false">IF('Outro banco'!A2390="","",IF(LEFT('Outro banco'!A2390,1)="(","",'Outro banco'!A2390))</f>
        <v/>
      </c>
      <c r="B2390" s="7" t="str">
        <f aca="false">IF(A2390="","",'Outro banco'!B2390)</f>
        <v/>
      </c>
      <c r="C2390" s="7" t="str">
        <f aca="false">IF(A2390="","",'Outro banco'!C2390)</f>
        <v/>
      </c>
      <c r="D2390" s="7" t="str">
        <f aca="false">IF(A2390="","",'Outro banco'!D2390)</f>
        <v/>
      </c>
      <c r="E2390" s="9"/>
      <c r="F2390" s="9"/>
      <c r="G2390" s="7" t="str">
        <f aca="false">IF(A2390="","",IF(COUNTIF(Tabelas!$A:$A,IF(E2390="",A2390,E2390))&gt;0,"sim","não"))</f>
        <v/>
      </c>
      <c r="H2390" s="7" t="str">
        <f aca="false">IF(A2390="","",IF(E2390="",A2390,E2390)&amp;"."&amp;IF(F2390="",B2390,F2390))</f>
        <v/>
      </c>
      <c r="I2390" s="7" t="str">
        <f aca="false">IF(A2390="","",IFERROR(INDEX('Campos Growths'!$F:$F,MATCH(H2390,'Campos Growths'!$A:$A,0)),""))</f>
        <v/>
      </c>
      <c r="J2390" s="7" t="str">
        <f aca="false">IF(A2390="","",IFERROR(VLOOKUP(IF(ISNUMBER(SEARCH("(",C2390)),LEFT(C2390,SEARCH("(",C2390)-1),C2390),Tipos!$A:$B,2,FALSE()),"outro"))</f>
        <v/>
      </c>
      <c r="K2390" s="7" t="str">
        <f aca="false">IF(I2390="","",IFERROR(INDEX('Campos Growths'!$L:$L,MATCH(H2390,'Campos Growths'!$A:$A,0)),""))</f>
        <v/>
      </c>
      <c r="L2390" s="7" t="str">
        <f aca="false">IF(A2390="","",IF(G2390="não","Sem tabela no Growths",IF(I2390="","Sem campo no Growths",IF(J2390=K2390,"Importa direto","Ajustar tipo"))))</f>
        <v/>
      </c>
      <c r="M2390" s="9"/>
    </row>
    <row r="2391" customFormat="false" ht="15" hidden="false" customHeight="false" outlineLevel="0" collapsed="false">
      <c r="A2391" s="7" t="str">
        <f aca="false">IF('Outro banco'!A2391="","",IF(LEFT('Outro banco'!A2391,1)="(","",'Outro banco'!A2391))</f>
        <v/>
      </c>
      <c r="B2391" s="7" t="str">
        <f aca="false">IF(A2391="","",'Outro banco'!B2391)</f>
        <v/>
      </c>
      <c r="C2391" s="7" t="str">
        <f aca="false">IF(A2391="","",'Outro banco'!C2391)</f>
        <v/>
      </c>
      <c r="D2391" s="7" t="str">
        <f aca="false">IF(A2391="","",'Outro banco'!D2391)</f>
        <v/>
      </c>
      <c r="E2391" s="9"/>
      <c r="F2391" s="9"/>
      <c r="G2391" s="7" t="str">
        <f aca="false">IF(A2391="","",IF(COUNTIF(Tabelas!$A:$A,IF(E2391="",A2391,E2391))&gt;0,"sim","não"))</f>
        <v/>
      </c>
      <c r="H2391" s="7" t="str">
        <f aca="false">IF(A2391="","",IF(E2391="",A2391,E2391)&amp;"."&amp;IF(F2391="",B2391,F2391))</f>
        <v/>
      </c>
      <c r="I2391" s="7" t="str">
        <f aca="false">IF(A2391="","",IFERROR(INDEX('Campos Growths'!$F:$F,MATCH(H2391,'Campos Growths'!$A:$A,0)),""))</f>
        <v/>
      </c>
      <c r="J2391" s="7" t="str">
        <f aca="false">IF(A2391="","",IFERROR(VLOOKUP(IF(ISNUMBER(SEARCH("(",C2391)),LEFT(C2391,SEARCH("(",C2391)-1),C2391),Tipos!$A:$B,2,FALSE()),"outro"))</f>
        <v/>
      </c>
      <c r="K2391" s="7" t="str">
        <f aca="false">IF(I2391="","",IFERROR(INDEX('Campos Growths'!$L:$L,MATCH(H2391,'Campos Growths'!$A:$A,0)),""))</f>
        <v/>
      </c>
      <c r="L2391" s="7" t="str">
        <f aca="false">IF(A2391="","",IF(G2391="não","Sem tabela no Growths",IF(I2391="","Sem campo no Growths",IF(J2391=K2391,"Importa direto","Ajustar tipo"))))</f>
        <v/>
      </c>
      <c r="M2391" s="9"/>
    </row>
    <row r="2392" customFormat="false" ht="15" hidden="false" customHeight="false" outlineLevel="0" collapsed="false">
      <c r="A2392" s="7" t="str">
        <f aca="false">IF('Outro banco'!A2392="","",IF(LEFT('Outro banco'!A2392,1)="(","",'Outro banco'!A2392))</f>
        <v/>
      </c>
      <c r="B2392" s="7" t="str">
        <f aca="false">IF(A2392="","",'Outro banco'!B2392)</f>
        <v/>
      </c>
      <c r="C2392" s="7" t="str">
        <f aca="false">IF(A2392="","",'Outro banco'!C2392)</f>
        <v/>
      </c>
      <c r="D2392" s="7" t="str">
        <f aca="false">IF(A2392="","",'Outro banco'!D2392)</f>
        <v/>
      </c>
      <c r="E2392" s="9"/>
      <c r="F2392" s="9"/>
      <c r="G2392" s="7" t="str">
        <f aca="false">IF(A2392="","",IF(COUNTIF(Tabelas!$A:$A,IF(E2392="",A2392,E2392))&gt;0,"sim","não"))</f>
        <v/>
      </c>
      <c r="H2392" s="7" t="str">
        <f aca="false">IF(A2392="","",IF(E2392="",A2392,E2392)&amp;"."&amp;IF(F2392="",B2392,F2392))</f>
        <v/>
      </c>
      <c r="I2392" s="7" t="str">
        <f aca="false">IF(A2392="","",IFERROR(INDEX('Campos Growths'!$F:$F,MATCH(H2392,'Campos Growths'!$A:$A,0)),""))</f>
        <v/>
      </c>
      <c r="J2392" s="7" t="str">
        <f aca="false">IF(A2392="","",IFERROR(VLOOKUP(IF(ISNUMBER(SEARCH("(",C2392)),LEFT(C2392,SEARCH("(",C2392)-1),C2392),Tipos!$A:$B,2,FALSE()),"outro"))</f>
        <v/>
      </c>
      <c r="K2392" s="7" t="str">
        <f aca="false">IF(I2392="","",IFERROR(INDEX('Campos Growths'!$L:$L,MATCH(H2392,'Campos Growths'!$A:$A,0)),""))</f>
        <v/>
      </c>
      <c r="L2392" s="7" t="str">
        <f aca="false">IF(A2392="","",IF(G2392="não","Sem tabela no Growths",IF(I2392="","Sem campo no Growths",IF(J2392=K2392,"Importa direto","Ajustar tipo"))))</f>
        <v/>
      </c>
      <c r="M2392" s="9"/>
    </row>
    <row r="2393" customFormat="false" ht="15" hidden="false" customHeight="false" outlineLevel="0" collapsed="false">
      <c r="A2393" s="7" t="str">
        <f aca="false">IF('Outro banco'!A2393="","",IF(LEFT('Outro banco'!A2393,1)="(","",'Outro banco'!A2393))</f>
        <v/>
      </c>
      <c r="B2393" s="7" t="str">
        <f aca="false">IF(A2393="","",'Outro banco'!B2393)</f>
        <v/>
      </c>
      <c r="C2393" s="7" t="str">
        <f aca="false">IF(A2393="","",'Outro banco'!C2393)</f>
        <v/>
      </c>
      <c r="D2393" s="7" t="str">
        <f aca="false">IF(A2393="","",'Outro banco'!D2393)</f>
        <v/>
      </c>
      <c r="E2393" s="9"/>
      <c r="F2393" s="9"/>
      <c r="G2393" s="7" t="str">
        <f aca="false">IF(A2393="","",IF(COUNTIF(Tabelas!$A:$A,IF(E2393="",A2393,E2393))&gt;0,"sim","não"))</f>
        <v/>
      </c>
      <c r="H2393" s="7" t="str">
        <f aca="false">IF(A2393="","",IF(E2393="",A2393,E2393)&amp;"."&amp;IF(F2393="",B2393,F2393))</f>
        <v/>
      </c>
      <c r="I2393" s="7" t="str">
        <f aca="false">IF(A2393="","",IFERROR(INDEX('Campos Growths'!$F:$F,MATCH(H2393,'Campos Growths'!$A:$A,0)),""))</f>
        <v/>
      </c>
      <c r="J2393" s="7" t="str">
        <f aca="false">IF(A2393="","",IFERROR(VLOOKUP(IF(ISNUMBER(SEARCH("(",C2393)),LEFT(C2393,SEARCH("(",C2393)-1),C2393),Tipos!$A:$B,2,FALSE()),"outro"))</f>
        <v/>
      </c>
      <c r="K2393" s="7" t="str">
        <f aca="false">IF(I2393="","",IFERROR(INDEX('Campos Growths'!$L:$L,MATCH(H2393,'Campos Growths'!$A:$A,0)),""))</f>
        <v/>
      </c>
      <c r="L2393" s="7" t="str">
        <f aca="false">IF(A2393="","",IF(G2393="não","Sem tabela no Growths",IF(I2393="","Sem campo no Growths",IF(J2393=K2393,"Importa direto","Ajustar tipo"))))</f>
        <v/>
      </c>
      <c r="M2393" s="9"/>
    </row>
    <row r="2394" customFormat="false" ht="15" hidden="false" customHeight="false" outlineLevel="0" collapsed="false">
      <c r="A2394" s="7" t="str">
        <f aca="false">IF('Outro banco'!A2394="","",IF(LEFT('Outro banco'!A2394,1)="(","",'Outro banco'!A2394))</f>
        <v/>
      </c>
      <c r="B2394" s="7" t="str">
        <f aca="false">IF(A2394="","",'Outro banco'!B2394)</f>
        <v/>
      </c>
      <c r="C2394" s="7" t="str">
        <f aca="false">IF(A2394="","",'Outro banco'!C2394)</f>
        <v/>
      </c>
      <c r="D2394" s="7" t="str">
        <f aca="false">IF(A2394="","",'Outro banco'!D2394)</f>
        <v/>
      </c>
      <c r="E2394" s="9"/>
      <c r="F2394" s="9"/>
      <c r="G2394" s="7" t="str">
        <f aca="false">IF(A2394="","",IF(COUNTIF(Tabelas!$A:$A,IF(E2394="",A2394,E2394))&gt;0,"sim","não"))</f>
        <v/>
      </c>
      <c r="H2394" s="7" t="str">
        <f aca="false">IF(A2394="","",IF(E2394="",A2394,E2394)&amp;"."&amp;IF(F2394="",B2394,F2394))</f>
        <v/>
      </c>
      <c r="I2394" s="7" t="str">
        <f aca="false">IF(A2394="","",IFERROR(INDEX('Campos Growths'!$F:$F,MATCH(H2394,'Campos Growths'!$A:$A,0)),""))</f>
        <v/>
      </c>
      <c r="J2394" s="7" t="str">
        <f aca="false">IF(A2394="","",IFERROR(VLOOKUP(IF(ISNUMBER(SEARCH("(",C2394)),LEFT(C2394,SEARCH("(",C2394)-1),C2394),Tipos!$A:$B,2,FALSE()),"outro"))</f>
        <v/>
      </c>
      <c r="K2394" s="7" t="str">
        <f aca="false">IF(I2394="","",IFERROR(INDEX('Campos Growths'!$L:$L,MATCH(H2394,'Campos Growths'!$A:$A,0)),""))</f>
        <v/>
      </c>
      <c r="L2394" s="7" t="str">
        <f aca="false">IF(A2394="","",IF(G2394="não","Sem tabela no Growths",IF(I2394="","Sem campo no Growths",IF(J2394=K2394,"Importa direto","Ajustar tipo"))))</f>
        <v/>
      </c>
      <c r="M2394" s="9"/>
    </row>
    <row r="2395" customFormat="false" ht="15" hidden="false" customHeight="false" outlineLevel="0" collapsed="false">
      <c r="A2395" s="7" t="str">
        <f aca="false">IF('Outro banco'!A2395="","",IF(LEFT('Outro banco'!A2395,1)="(","",'Outro banco'!A2395))</f>
        <v/>
      </c>
      <c r="B2395" s="7" t="str">
        <f aca="false">IF(A2395="","",'Outro banco'!B2395)</f>
        <v/>
      </c>
      <c r="C2395" s="7" t="str">
        <f aca="false">IF(A2395="","",'Outro banco'!C2395)</f>
        <v/>
      </c>
      <c r="D2395" s="7" t="str">
        <f aca="false">IF(A2395="","",'Outro banco'!D2395)</f>
        <v/>
      </c>
      <c r="E2395" s="9"/>
      <c r="F2395" s="9"/>
      <c r="G2395" s="7" t="str">
        <f aca="false">IF(A2395="","",IF(COUNTIF(Tabelas!$A:$A,IF(E2395="",A2395,E2395))&gt;0,"sim","não"))</f>
        <v/>
      </c>
      <c r="H2395" s="7" t="str">
        <f aca="false">IF(A2395="","",IF(E2395="",A2395,E2395)&amp;"."&amp;IF(F2395="",B2395,F2395))</f>
        <v/>
      </c>
      <c r="I2395" s="7" t="str">
        <f aca="false">IF(A2395="","",IFERROR(INDEX('Campos Growths'!$F:$F,MATCH(H2395,'Campos Growths'!$A:$A,0)),""))</f>
        <v/>
      </c>
      <c r="J2395" s="7" t="str">
        <f aca="false">IF(A2395="","",IFERROR(VLOOKUP(IF(ISNUMBER(SEARCH("(",C2395)),LEFT(C2395,SEARCH("(",C2395)-1),C2395),Tipos!$A:$B,2,FALSE()),"outro"))</f>
        <v/>
      </c>
      <c r="K2395" s="7" t="str">
        <f aca="false">IF(I2395="","",IFERROR(INDEX('Campos Growths'!$L:$L,MATCH(H2395,'Campos Growths'!$A:$A,0)),""))</f>
        <v/>
      </c>
      <c r="L2395" s="7" t="str">
        <f aca="false">IF(A2395="","",IF(G2395="não","Sem tabela no Growths",IF(I2395="","Sem campo no Growths",IF(J2395=K2395,"Importa direto","Ajustar tipo"))))</f>
        <v/>
      </c>
      <c r="M2395" s="9"/>
    </row>
    <row r="2396" customFormat="false" ht="15" hidden="false" customHeight="false" outlineLevel="0" collapsed="false">
      <c r="A2396" s="7" t="str">
        <f aca="false">IF('Outro banco'!A2396="","",IF(LEFT('Outro banco'!A2396,1)="(","",'Outro banco'!A2396))</f>
        <v/>
      </c>
      <c r="B2396" s="7" t="str">
        <f aca="false">IF(A2396="","",'Outro banco'!B2396)</f>
        <v/>
      </c>
      <c r="C2396" s="7" t="str">
        <f aca="false">IF(A2396="","",'Outro banco'!C2396)</f>
        <v/>
      </c>
      <c r="D2396" s="7" t="str">
        <f aca="false">IF(A2396="","",'Outro banco'!D2396)</f>
        <v/>
      </c>
      <c r="E2396" s="9"/>
      <c r="F2396" s="9"/>
      <c r="G2396" s="7" t="str">
        <f aca="false">IF(A2396="","",IF(COUNTIF(Tabelas!$A:$A,IF(E2396="",A2396,E2396))&gt;0,"sim","não"))</f>
        <v/>
      </c>
      <c r="H2396" s="7" t="str">
        <f aca="false">IF(A2396="","",IF(E2396="",A2396,E2396)&amp;"."&amp;IF(F2396="",B2396,F2396))</f>
        <v/>
      </c>
      <c r="I2396" s="7" t="str">
        <f aca="false">IF(A2396="","",IFERROR(INDEX('Campos Growths'!$F:$F,MATCH(H2396,'Campos Growths'!$A:$A,0)),""))</f>
        <v/>
      </c>
      <c r="J2396" s="7" t="str">
        <f aca="false">IF(A2396="","",IFERROR(VLOOKUP(IF(ISNUMBER(SEARCH("(",C2396)),LEFT(C2396,SEARCH("(",C2396)-1),C2396),Tipos!$A:$B,2,FALSE()),"outro"))</f>
        <v/>
      </c>
      <c r="K2396" s="7" t="str">
        <f aca="false">IF(I2396="","",IFERROR(INDEX('Campos Growths'!$L:$L,MATCH(H2396,'Campos Growths'!$A:$A,0)),""))</f>
        <v/>
      </c>
      <c r="L2396" s="7" t="str">
        <f aca="false">IF(A2396="","",IF(G2396="não","Sem tabela no Growths",IF(I2396="","Sem campo no Growths",IF(J2396=K2396,"Importa direto","Ajustar tipo"))))</f>
        <v/>
      </c>
      <c r="M2396" s="9"/>
    </row>
    <row r="2397" customFormat="false" ht="15" hidden="false" customHeight="false" outlineLevel="0" collapsed="false">
      <c r="A2397" s="7" t="str">
        <f aca="false">IF('Outro banco'!A2397="","",IF(LEFT('Outro banco'!A2397,1)="(","",'Outro banco'!A2397))</f>
        <v/>
      </c>
      <c r="B2397" s="7" t="str">
        <f aca="false">IF(A2397="","",'Outro banco'!B2397)</f>
        <v/>
      </c>
      <c r="C2397" s="7" t="str">
        <f aca="false">IF(A2397="","",'Outro banco'!C2397)</f>
        <v/>
      </c>
      <c r="D2397" s="7" t="str">
        <f aca="false">IF(A2397="","",'Outro banco'!D2397)</f>
        <v/>
      </c>
      <c r="E2397" s="9"/>
      <c r="F2397" s="9"/>
      <c r="G2397" s="7" t="str">
        <f aca="false">IF(A2397="","",IF(COUNTIF(Tabelas!$A:$A,IF(E2397="",A2397,E2397))&gt;0,"sim","não"))</f>
        <v/>
      </c>
      <c r="H2397" s="7" t="str">
        <f aca="false">IF(A2397="","",IF(E2397="",A2397,E2397)&amp;"."&amp;IF(F2397="",B2397,F2397))</f>
        <v/>
      </c>
      <c r="I2397" s="7" t="str">
        <f aca="false">IF(A2397="","",IFERROR(INDEX('Campos Growths'!$F:$F,MATCH(H2397,'Campos Growths'!$A:$A,0)),""))</f>
        <v/>
      </c>
      <c r="J2397" s="7" t="str">
        <f aca="false">IF(A2397="","",IFERROR(VLOOKUP(IF(ISNUMBER(SEARCH("(",C2397)),LEFT(C2397,SEARCH("(",C2397)-1),C2397),Tipos!$A:$B,2,FALSE()),"outro"))</f>
        <v/>
      </c>
      <c r="K2397" s="7" t="str">
        <f aca="false">IF(I2397="","",IFERROR(INDEX('Campos Growths'!$L:$L,MATCH(H2397,'Campos Growths'!$A:$A,0)),""))</f>
        <v/>
      </c>
      <c r="L2397" s="7" t="str">
        <f aca="false">IF(A2397="","",IF(G2397="não","Sem tabela no Growths",IF(I2397="","Sem campo no Growths",IF(J2397=K2397,"Importa direto","Ajustar tipo"))))</f>
        <v/>
      </c>
      <c r="M2397" s="9"/>
    </row>
    <row r="2398" customFormat="false" ht="15" hidden="false" customHeight="false" outlineLevel="0" collapsed="false">
      <c r="A2398" s="7" t="str">
        <f aca="false">IF('Outro banco'!A2398="","",IF(LEFT('Outro banco'!A2398,1)="(","",'Outro banco'!A2398))</f>
        <v/>
      </c>
      <c r="B2398" s="7" t="str">
        <f aca="false">IF(A2398="","",'Outro banco'!B2398)</f>
        <v/>
      </c>
      <c r="C2398" s="7" t="str">
        <f aca="false">IF(A2398="","",'Outro banco'!C2398)</f>
        <v/>
      </c>
      <c r="D2398" s="7" t="str">
        <f aca="false">IF(A2398="","",'Outro banco'!D2398)</f>
        <v/>
      </c>
      <c r="E2398" s="9"/>
      <c r="F2398" s="9"/>
      <c r="G2398" s="7" t="str">
        <f aca="false">IF(A2398="","",IF(COUNTIF(Tabelas!$A:$A,IF(E2398="",A2398,E2398))&gt;0,"sim","não"))</f>
        <v/>
      </c>
      <c r="H2398" s="7" t="str">
        <f aca="false">IF(A2398="","",IF(E2398="",A2398,E2398)&amp;"."&amp;IF(F2398="",B2398,F2398))</f>
        <v/>
      </c>
      <c r="I2398" s="7" t="str">
        <f aca="false">IF(A2398="","",IFERROR(INDEX('Campos Growths'!$F:$F,MATCH(H2398,'Campos Growths'!$A:$A,0)),""))</f>
        <v/>
      </c>
      <c r="J2398" s="7" t="str">
        <f aca="false">IF(A2398="","",IFERROR(VLOOKUP(IF(ISNUMBER(SEARCH("(",C2398)),LEFT(C2398,SEARCH("(",C2398)-1),C2398),Tipos!$A:$B,2,FALSE()),"outro"))</f>
        <v/>
      </c>
      <c r="K2398" s="7" t="str">
        <f aca="false">IF(I2398="","",IFERROR(INDEX('Campos Growths'!$L:$L,MATCH(H2398,'Campos Growths'!$A:$A,0)),""))</f>
        <v/>
      </c>
      <c r="L2398" s="7" t="str">
        <f aca="false">IF(A2398="","",IF(G2398="não","Sem tabela no Growths",IF(I2398="","Sem campo no Growths",IF(J2398=K2398,"Importa direto","Ajustar tipo"))))</f>
        <v/>
      </c>
      <c r="M2398" s="9"/>
    </row>
    <row r="2399" customFormat="false" ht="15" hidden="false" customHeight="false" outlineLevel="0" collapsed="false">
      <c r="A2399" s="7" t="str">
        <f aca="false">IF('Outro banco'!A2399="","",IF(LEFT('Outro banco'!A2399,1)="(","",'Outro banco'!A2399))</f>
        <v/>
      </c>
      <c r="B2399" s="7" t="str">
        <f aca="false">IF(A2399="","",'Outro banco'!B2399)</f>
        <v/>
      </c>
      <c r="C2399" s="7" t="str">
        <f aca="false">IF(A2399="","",'Outro banco'!C2399)</f>
        <v/>
      </c>
      <c r="D2399" s="7" t="str">
        <f aca="false">IF(A2399="","",'Outro banco'!D2399)</f>
        <v/>
      </c>
      <c r="E2399" s="9"/>
      <c r="F2399" s="9"/>
      <c r="G2399" s="7" t="str">
        <f aca="false">IF(A2399="","",IF(COUNTIF(Tabelas!$A:$A,IF(E2399="",A2399,E2399))&gt;0,"sim","não"))</f>
        <v/>
      </c>
      <c r="H2399" s="7" t="str">
        <f aca="false">IF(A2399="","",IF(E2399="",A2399,E2399)&amp;"."&amp;IF(F2399="",B2399,F2399))</f>
        <v/>
      </c>
      <c r="I2399" s="7" t="str">
        <f aca="false">IF(A2399="","",IFERROR(INDEX('Campos Growths'!$F:$F,MATCH(H2399,'Campos Growths'!$A:$A,0)),""))</f>
        <v/>
      </c>
      <c r="J2399" s="7" t="str">
        <f aca="false">IF(A2399="","",IFERROR(VLOOKUP(IF(ISNUMBER(SEARCH("(",C2399)),LEFT(C2399,SEARCH("(",C2399)-1),C2399),Tipos!$A:$B,2,FALSE()),"outro"))</f>
        <v/>
      </c>
      <c r="K2399" s="7" t="str">
        <f aca="false">IF(I2399="","",IFERROR(INDEX('Campos Growths'!$L:$L,MATCH(H2399,'Campos Growths'!$A:$A,0)),""))</f>
        <v/>
      </c>
      <c r="L2399" s="7" t="str">
        <f aca="false">IF(A2399="","",IF(G2399="não","Sem tabela no Growths",IF(I2399="","Sem campo no Growths",IF(J2399=K2399,"Importa direto","Ajustar tipo"))))</f>
        <v/>
      </c>
      <c r="M2399" s="9"/>
    </row>
    <row r="2400" customFormat="false" ht="15" hidden="false" customHeight="false" outlineLevel="0" collapsed="false">
      <c r="A2400" s="7" t="str">
        <f aca="false">IF('Outro banco'!A2400="","",IF(LEFT('Outro banco'!A2400,1)="(","",'Outro banco'!A2400))</f>
        <v/>
      </c>
      <c r="B2400" s="7" t="str">
        <f aca="false">IF(A2400="","",'Outro banco'!B2400)</f>
        <v/>
      </c>
      <c r="C2400" s="7" t="str">
        <f aca="false">IF(A2400="","",'Outro banco'!C2400)</f>
        <v/>
      </c>
      <c r="D2400" s="7" t="str">
        <f aca="false">IF(A2400="","",'Outro banco'!D2400)</f>
        <v/>
      </c>
      <c r="E2400" s="9"/>
      <c r="F2400" s="9"/>
      <c r="G2400" s="7" t="str">
        <f aca="false">IF(A2400="","",IF(COUNTIF(Tabelas!$A:$A,IF(E2400="",A2400,E2400))&gt;0,"sim","não"))</f>
        <v/>
      </c>
      <c r="H2400" s="7" t="str">
        <f aca="false">IF(A2400="","",IF(E2400="",A2400,E2400)&amp;"."&amp;IF(F2400="",B2400,F2400))</f>
        <v/>
      </c>
      <c r="I2400" s="7" t="str">
        <f aca="false">IF(A2400="","",IFERROR(INDEX('Campos Growths'!$F:$F,MATCH(H2400,'Campos Growths'!$A:$A,0)),""))</f>
        <v/>
      </c>
      <c r="J2400" s="7" t="str">
        <f aca="false">IF(A2400="","",IFERROR(VLOOKUP(IF(ISNUMBER(SEARCH("(",C2400)),LEFT(C2400,SEARCH("(",C2400)-1),C2400),Tipos!$A:$B,2,FALSE()),"outro"))</f>
        <v/>
      </c>
      <c r="K2400" s="7" t="str">
        <f aca="false">IF(I2400="","",IFERROR(INDEX('Campos Growths'!$L:$L,MATCH(H2400,'Campos Growths'!$A:$A,0)),""))</f>
        <v/>
      </c>
      <c r="L2400" s="7" t="str">
        <f aca="false">IF(A2400="","",IF(G2400="não","Sem tabela no Growths",IF(I2400="","Sem campo no Growths",IF(J2400=K2400,"Importa direto","Ajustar tipo"))))</f>
        <v/>
      </c>
      <c r="M2400" s="9"/>
    </row>
    <row r="2401" customFormat="false" ht="15" hidden="false" customHeight="false" outlineLevel="0" collapsed="false">
      <c r="A2401" s="7" t="str">
        <f aca="false">IF('Outro banco'!A2401="","",IF(LEFT('Outro banco'!A2401,1)="(","",'Outro banco'!A2401))</f>
        <v/>
      </c>
      <c r="B2401" s="7" t="str">
        <f aca="false">IF(A2401="","",'Outro banco'!B2401)</f>
        <v/>
      </c>
      <c r="C2401" s="7" t="str">
        <f aca="false">IF(A2401="","",'Outro banco'!C2401)</f>
        <v/>
      </c>
      <c r="D2401" s="7" t="str">
        <f aca="false">IF(A2401="","",'Outro banco'!D2401)</f>
        <v/>
      </c>
      <c r="E2401" s="9"/>
      <c r="F2401" s="9"/>
      <c r="G2401" s="7" t="str">
        <f aca="false">IF(A2401="","",IF(COUNTIF(Tabelas!$A:$A,IF(E2401="",A2401,E2401))&gt;0,"sim","não"))</f>
        <v/>
      </c>
      <c r="H2401" s="7" t="str">
        <f aca="false">IF(A2401="","",IF(E2401="",A2401,E2401)&amp;"."&amp;IF(F2401="",B2401,F2401))</f>
        <v/>
      </c>
      <c r="I2401" s="7" t="str">
        <f aca="false">IF(A2401="","",IFERROR(INDEX('Campos Growths'!$F:$F,MATCH(H2401,'Campos Growths'!$A:$A,0)),""))</f>
        <v/>
      </c>
      <c r="J2401" s="7" t="str">
        <f aca="false">IF(A2401="","",IFERROR(VLOOKUP(IF(ISNUMBER(SEARCH("(",C2401)),LEFT(C2401,SEARCH("(",C2401)-1),C2401),Tipos!$A:$B,2,FALSE()),"outro"))</f>
        <v/>
      </c>
      <c r="K2401" s="7" t="str">
        <f aca="false">IF(I2401="","",IFERROR(INDEX('Campos Growths'!$L:$L,MATCH(H2401,'Campos Growths'!$A:$A,0)),""))</f>
        <v/>
      </c>
      <c r="L2401" s="7" t="str">
        <f aca="false">IF(A2401="","",IF(G2401="não","Sem tabela no Growths",IF(I2401="","Sem campo no Growths",IF(J2401=K2401,"Importa direto","Ajustar tipo"))))</f>
        <v/>
      </c>
      <c r="M2401" s="9"/>
    </row>
    <row r="2402" customFormat="false" ht="15" hidden="false" customHeight="false" outlineLevel="0" collapsed="false">
      <c r="A2402" s="7" t="str">
        <f aca="false">IF('Outro banco'!A2402="","",IF(LEFT('Outro banco'!A2402,1)="(","",'Outro banco'!A2402))</f>
        <v/>
      </c>
      <c r="B2402" s="7" t="str">
        <f aca="false">IF(A2402="","",'Outro banco'!B2402)</f>
        <v/>
      </c>
      <c r="C2402" s="7" t="str">
        <f aca="false">IF(A2402="","",'Outro banco'!C2402)</f>
        <v/>
      </c>
      <c r="D2402" s="7" t="str">
        <f aca="false">IF(A2402="","",'Outro banco'!D2402)</f>
        <v/>
      </c>
      <c r="E2402" s="9"/>
      <c r="F2402" s="9"/>
      <c r="G2402" s="7" t="str">
        <f aca="false">IF(A2402="","",IF(COUNTIF(Tabelas!$A:$A,IF(E2402="",A2402,E2402))&gt;0,"sim","não"))</f>
        <v/>
      </c>
      <c r="H2402" s="7" t="str">
        <f aca="false">IF(A2402="","",IF(E2402="",A2402,E2402)&amp;"."&amp;IF(F2402="",B2402,F2402))</f>
        <v/>
      </c>
      <c r="I2402" s="7" t="str">
        <f aca="false">IF(A2402="","",IFERROR(INDEX('Campos Growths'!$F:$F,MATCH(H2402,'Campos Growths'!$A:$A,0)),""))</f>
        <v/>
      </c>
      <c r="J2402" s="7" t="str">
        <f aca="false">IF(A2402="","",IFERROR(VLOOKUP(IF(ISNUMBER(SEARCH("(",C2402)),LEFT(C2402,SEARCH("(",C2402)-1),C2402),Tipos!$A:$B,2,FALSE()),"outro"))</f>
        <v/>
      </c>
      <c r="K2402" s="7" t="str">
        <f aca="false">IF(I2402="","",IFERROR(INDEX('Campos Growths'!$L:$L,MATCH(H2402,'Campos Growths'!$A:$A,0)),""))</f>
        <v/>
      </c>
      <c r="L2402" s="7" t="str">
        <f aca="false">IF(A2402="","",IF(G2402="não","Sem tabela no Growths",IF(I2402="","Sem campo no Growths",IF(J2402=K2402,"Importa direto","Ajustar tipo"))))</f>
        <v/>
      </c>
      <c r="M2402" s="9"/>
    </row>
    <row r="2403" customFormat="false" ht="15" hidden="false" customHeight="false" outlineLevel="0" collapsed="false">
      <c r="A2403" s="7" t="str">
        <f aca="false">IF('Outro banco'!A2403="","",IF(LEFT('Outro banco'!A2403,1)="(","",'Outro banco'!A2403))</f>
        <v/>
      </c>
      <c r="B2403" s="7" t="str">
        <f aca="false">IF(A2403="","",'Outro banco'!B2403)</f>
        <v/>
      </c>
      <c r="C2403" s="7" t="str">
        <f aca="false">IF(A2403="","",'Outro banco'!C2403)</f>
        <v/>
      </c>
      <c r="D2403" s="7" t="str">
        <f aca="false">IF(A2403="","",'Outro banco'!D2403)</f>
        <v/>
      </c>
      <c r="E2403" s="9"/>
      <c r="F2403" s="9"/>
      <c r="G2403" s="7" t="str">
        <f aca="false">IF(A2403="","",IF(COUNTIF(Tabelas!$A:$A,IF(E2403="",A2403,E2403))&gt;0,"sim","não"))</f>
        <v/>
      </c>
      <c r="H2403" s="7" t="str">
        <f aca="false">IF(A2403="","",IF(E2403="",A2403,E2403)&amp;"."&amp;IF(F2403="",B2403,F2403))</f>
        <v/>
      </c>
      <c r="I2403" s="7" t="str">
        <f aca="false">IF(A2403="","",IFERROR(INDEX('Campos Growths'!$F:$F,MATCH(H2403,'Campos Growths'!$A:$A,0)),""))</f>
        <v/>
      </c>
      <c r="J2403" s="7" t="str">
        <f aca="false">IF(A2403="","",IFERROR(VLOOKUP(IF(ISNUMBER(SEARCH("(",C2403)),LEFT(C2403,SEARCH("(",C2403)-1),C2403),Tipos!$A:$B,2,FALSE()),"outro"))</f>
        <v/>
      </c>
      <c r="K2403" s="7" t="str">
        <f aca="false">IF(I2403="","",IFERROR(INDEX('Campos Growths'!$L:$L,MATCH(H2403,'Campos Growths'!$A:$A,0)),""))</f>
        <v/>
      </c>
      <c r="L2403" s="7" t="str">
        <f aca="false">IF(A2403="","",IF(G2403="não","Sem tabela no Growths",IF(I2403="","Sem campo no Growths",IF(J2403=K2403,"Importa direto","Ajustar tipo"))))</f>
        <v/>
      </c>
      <c r="M2403" s="9"/>
    </row>
    <row r="2404" customFormat="false" ht="15" hidden="false" customHeight="false" outlineLevel="0" collapsed="false">
      <c r="A2404" s="7" t="str">
        <f aca="false">IF('Outro banco'!A2404="","",IF(LEFT('Outro banco'!A2404,1)="(","",'Outro banco'!A2404))</f>
        <v/>
      </c>
      <c r="B2404" s="7" t="str">
        <f aca="false">IF(A2404="","",'Outro banco'!B2404)</f>
        <v/>
      </c>
      <c r="C2404" s="7" t="str">
        <f aca="false">IF(A2404="","",'Outro banco'!C2404)</f>
        <v/>
      </c>
      <c r="D2404" s="7" t="str">
        <f aca="false">IF(A2404="","",'Outro banco'!D2404)</f>
        <v/>
      </c>
      <c r="E2404" s="9"/>
      <c r="F2404" s="9"/>
      <c r="G2404" s="7" t="str">
        <f aca="false">IF(A2404="","",IF(COUNTIF(Tabelas!$A:$A,IF(E2404="",A2404,E2404))&gt;0,"sim","não"))</f>
        <v/>
      </c>
      <c r="H2404" s="7" t="str">
        <f aca="false">IF(A2404="","",IF(E2404="",A2404,E2404)&amp;"."&amp;IF(F2404="",B2404,F2404))</f>
        <v/>
      </c>
      <c r="I2404" s="7" t="str">
        <f aca="false">IF(A2404="","",IFERROR(INDEX('Campos Growths'!$F:$F,MATCH(H2404,'Campos Growths'!$A:$A,0)),""))</f>
        <v/>
      </c>
      <c r="J2404" s="7" t="str">
        <f aca="false">IF(A2404="","",IFERROR(VLOOKUP(IF(ISNUMBER(SEARCH("(",C2404)),LEFT(C2404,SEARCH("(",C2404)-1),C2404),Tipos!$A:$B,2,FALSE()),"outro"))</f>
        <v/>
      </c>
      <c r="K2404" s="7" t="str">
        <f aca="false">IF(I2404="","",IFERROR(INDEX('Campos Growths'!$L:$L,MATCH(H2404,'Campos Growths'!$A:$A,0)),""))</f>
        <v/>
      </c>
      <c r="L2404" s="7" t="str">
        <f aca="false">IF(A2404="","",IF(G2404="não","Sem tabela no Growths",IF(I2404="","Sem campo no Growths",IF(J2404=K2404,"Importa direto","Ajustar tipo"))))</f>
        <v/>
      </c>
      <c r="M2404" s="9"/>
    </row>
    <row r="2405" customFormat="false" ht="15" hidden="false" customHeight="false" outlineLevel="0" collapsed="false">
      <c r="A2405" s="7" t="str">
        <f aca="false">IF('Outro banco'!A2405="","",IF(LEFT('Outro banco'!A2405,1)="(","",'Outro banco'!A2405))</f>
        <v/>
      </c>
      <c r="B2405" s="7" t="str">
        <f aca="false">IF(A2405="","",'Outro banco'!B2405)</f>
        <v/>
      </c>
      <c r="C2405" s="7" t="str">
        <f aca="false">IF(A2405="","",'Outro banco'!C2405)</f>
        <v/>
      </c>
      <c r="D2405" s="7" t="str">
        <f aca="false">IF(A2405="","",'Outro banco'!D2405)</f>
        <v/>
      </c>
      <c r="E2405" s="9"/>
      <c r="F2405" s="9"/>
      <c r="G2405" s="7" t="str">
        <f aca="false">IF(A2405="","",IF(COUNTIF(Tabelas!$A:$A,IF(E2405="",A2405,E2405))&gt;0,"sim","não"))</f>
        <v/>
      </c>
      <c r="H2405" s="7" t="str">
        <f aca="false">IF(A2405="","",IF(E2405="",A2405,E2405)&amp;"."&amp;IF(F2405="",B2405,F2405))</f>
        <v/>
      </c>
      <c r="I2405" s="7" t="str">
        <f aca="false">IF(A2405="","",IFERROR(INDEX('Campos Growths'!$F:$F,MATCH(H2405,'Campos Growths'!$A:$A,0)),""))</f>
        <v/>
      </c>
      <c r="J2405" s="7" t="str">
        <f aca="false">IF(A2405="","",IFERROR(VLOOKUP(IF(ISNUMBER(SEARCH("(",C2405)),LEFT(C2405,SEARCH("(",C2405)-1),C2405),Tipos!$A:$B,2,FALSE()),"outro"))</f>
        <v/>
      </c>
      <c r="K2405" s="7" t="str">
        <f aca="false">IF(I2405="","",IFERROR(INDEX('Campos Growths'!$L:$L,MATCH(H2405,'Campos Growths'!$A:$A,0)),""))</f>
        <v/>
      </c>
      <c r="L2405" s="7" t="str">
        <f aca="false">IF(A2405="","",IF(G2405="não","Sem tabela no Growths",IF(I2405="","Sem campo no Growths",IF(J2405=K2405,"Importa direto","Ajustar tipo"))))</f>
        <v/>
      </c>
      <c r="M2405" s="9"/>
    </row>
    <row r="2406" customFormat="false" ht="15" hidden="false" customHeight="false" outlineLevel="0" collapsed="false">
      <c r="A2406" s="7" t="str">
        <f aca="false">IF('Outro banco'!A2406="","",IF(LEFT('Outro banco'!A2406,1)="(","",'Outro banco'!A2406))</f>
        <v/>
      </c>
      <c r="B2406" s="7" t="str">
        <f aca="false">IF(A2406="","",'Outro banco'!B2406)</f>
        <v/>
      </c>
      <c r="C2406" s="7" t="str">
        <f aca="false">IF(A2406="","",'Outro banco'!C2406)</f>
        <v/>
      </c>
      <c r="D2406" s="7" t="str">
        <f aca="false">IF(A2406="","",'Outro banco'!D2406)</f>
        <v/>
      </c>
      <c r="E2406" s="9"/>
      <c r="F2406" s="9"/>
      <c r="G2406" s="7" t="str">
        <f aca="false">IF(A2406="","",IF(COUNTIF(Tabelas!$A:$A,IF(E2406="",A2406,E2406))&gt;0,"sim","não"))</f>
        <v/>
      </c>
      <c r="H2406" s="7" t="str">
        <f aca="false">IF(A2406="","",IF(E2406="",A2406,E2406)&amp;"."&amp;IF(F2406="",B2406,F2406))</f>
        <v/>
      </c>
      <c r="I2406" s="7" t="str">
        <f aca="false">IF(A2406="","",IFERROR(INDEX('Campos Growths'!$F:$F,MATCH(H2406,'Campos Growths'!$A:$A,0)),""))</f>
        <v/>
      </c>
      <c r="J2406" s="7" t="str">
        <f aca="false">IF(A2406="","",IFERROR(VLOOKUP(IF(ISNUMBER(SEARCH("(",C2406)),LEFT(C2406,SEARCH("(",C2406)-1),C2406),Tipos!$A:$B,2,FALSE()),"outro"))</f>
        <v/>
      </c>
      <c r="K2406" s="7" t="str">
        <f aca="false">IF(I2406="","",IFERROR(INDEX('Campos Growths'!$L:$L,MATCH(H2406,'Campos Growths'!$A:$A,0)),""))</f>
        <v/>
      </c>
      <c r="L2406" s="7" t="str">
        <f aca="false">IF(A2406="","",IF(G2406="não","Sem tabela no Growths",IF(I2406="","Sem campo no Growths",IF(J2406=K2406,"Importa direto","Ajustar tipo"))))</f>
        <v/>
      </c>
      <c r="M2406" s="9"/>
    </row>
    <row r="2407" customFormat="false" ht="15" hidden="false" customHeight="false" outlineLevel="0" collapsed="false">
      <c r="A2407" s="7" t="str">
        <f aca="false">IF('Outro banco'!A2407="","",IF(LEFT('Outro banco'!A2407,1)="(","",'Outro banco'!A2407))</f>
        <v/>
      </c>
      <c r="B2407" s="7" t="str">
        <f aca="false">IF(A2407="","",'Outro banco'!B2407)</f>
        <v/>
      </c>
      <c r="C2407" s="7" t="str">
        <f aca="false">IF(A2407="","",'Outro banco'!C2407)</f>
        <v/>
      </c>
      <c r="D2407" s="7" t="str">
        <f aca="false">IF(A2407="","",'Outro banco'!D2407)</f>
        <v/>
      </c>
      <c r="E2407" s="9"/>
      <c r="F2407" s="9"/>
      <c r="G2407" s="7" t="str">
        <f aca="false">IF(A2407="","",IF(COUNTIF(Tabelas!$A:$A,IF(E2407="",A2407,E2407))&gt;0,"sim","não"))</f>
        <v/>
      </c>
      <c r="H2407" s="7" t="str">
        <f aca="false">IF(A2407="","",IF(E2407="",A2407,E2407)&amp;"."&amp;IF(F2407="",B2407,F2407))</f>
        <v/>
      </c>
      <c r="I2407" s="7" t="str">
        <f aca="false">IF(A2407="","",IFERROR(INDEX('Campos Growths'!$F:$F,MATCH(H2407,'Campos Growths'!$A:$A,0)),""))</f>
        <v/>
      </c>
      <c r="J2407" s="7" t="str">
        <f aca="false">IF(A2407="","",IFERROR(VLOOKUP(IF(ISNUMBER(SEARCH("(",C2407)),LEFT(C2407,SEARCH("(",C2407)-1),C2407),Tipos!$A:$B,2,FALSE()),"outro"))</f>
        <v/>
      </c>
      <c r="K2407" s="7" t="str">
        <f aca="false">IF(I2407="","",IFERROR(INDEX('Campos Growths'!$L:$L,MATCH(H2407,'Campos Growths'!$A:$A,0)),""))</f>
        <v/>
      </c>
      <c r="L2407" s="7" t="str">
        <f aca="false">IF(A2407="","",IF(G2407="não","Sem tabela no Growths",IF(I2407="","Sem campo no Growths",IF(J2407=K2407,"Importa direto","Ajustar tipo"))))</f>
        <v/>
      </c>
      <c r="M2407" s="9"/>
    </row>
    <row r="2408" customFormat="false" ht="15" hidden="false" customHeight="false" outlineLevel="0" collapsed="false">
      <c r="A2408" s="7" t="str">
        <f aca="false">IF('Outro banco'!A2408="","",IF(LEFT('Outro banco'!A2408,1)="(","",'Outro banco'!A2408))</f>
        <v/>
      </c>
      <c r="B2408" s="7" t="str">
        <f aca="false">IF(A2408="","",'Outro banco'!B2408)</f>
        <v/>
      </c>
      <c r="C2408" s="7" t="str">
        <f aca="false">IF(A2408="","",'Outro banco'!C2408)</f>
        <v/>
      </c>
      <c r="D2408" s="7" t="str">
        <f aca="false">IF(A2408="","",'Outro banco'!D2408)</f>
        <v/>
      </c>
      <c r="E2408" s="9"/>
      <c r="F2408" s="9"/>
      <c r="G2408" s="7" t="str">
        <f aca="false">IF(A2408="","",IF(COUNTIF(Tabelas!$A:$A,IF(E2408="",A2408,E2408))&gt;0,"sim","não"))</f>
        <v/>
      </c>
      <c r="H2408" s="7" t="str">
        <f aca="false">IF(A2408="","",IF(E2408="",A2408,E2408)&amp;"."&amp;IF(F2408="",B2408,F2408))</f>
        <v/>
      </c>
      <c r="I2408" s="7" t="str">
        <f aca="false">IF(A2408="","",IFERROR(INDEX('Campos Growths'!$F:$F,MATCH(H2408,'Campos Growths'!$A:$A,0)),""))</f>
        <v/>
      </c>
      <c r="J2408" s="7" t="str">
        <f aca="false">IF(A2408="","",IFERROR(VLOOKUP(IF(ISNUMBER(SEARCH("(",C2408)),LEFT(C2408,SEARCH("(",C2408)-1),C2408),Tipos!$A:$B,2,FALSE()),"outro"))</f>
        <v/>
      </c>
      <c r="K2408" s="7" t="str">
        <f aca="false">IF(I2408="","",IFERROR(INDEX('Campos Growths'!$L:$L,MATCH(H2408,'Campos Growths'!$A:$A,0)),""))</f>
        <v/>
      </c>
      <c r="L2408" s="7" t="str">
        <f aca="false">IF(A2408="","",IF(G2408="não","Sem tabela no Growths",IF(I2408="","Sem campo no Growths",IF(J2408=K2408,"Importa direto","Ajustar tipo"))))</f>
        <v/>
      </c>
      <c r="M2408" s="9"/>
    </row>
    <row r="2409" customFormat="false" ht="15" hidden="false" customHeight="false" outlineLevel="0" collapsed="false">
      <c r="A2409" s="7" t="str">
        <f aca="false">IF('Outro banco'!A2409="","",IF(LEFT('Outro banco'!A2409,1)="(","",'Outro banco'!A2409))</f>
        <v/>
      </c>
      <c r="B2409" s="7" t="str">
        <f aca="false">IF(A2409="","",'Outro banco'!B2409)</f>
        <v/>
      </c>
      <c r="C2409" s="7" t="str">
        <f aca="false">IF(A2409="","",'Outro banco'!C2409)</f>
        <v/>
      </c>
      <c r="D2409" s="7" t="str">
        <f aca="false">IF(A2409="","",'Outro banco'!D2409)</f>
        <v/>
      </c>
      <c r="E2409" s="9"/>
      <c r="F2409" s="9"/>
      <c r="G2409" s="7" t="str">
        <f aca="false">IF(A2409="","",IF(COUNTIF(Tabelas!$A:$A,IF(E2409="",A2409,E2409))&gt;0,"sim","não"))</f>
        <v/>
      </c>
      <c r="H2409" s="7" t="str">
        <f aca="false">IF(A2409="","",IF(E2409="",A2409,E2409)&amp;"."&amp;IF(F2409="",B2409,F2409))</f>
        <v/>
      </c>
      <c r="I2409" s="7" t="str">
        <f aca="false">IF(A2409="","",IFERROR(INDEX('Campos Growths'!$F:$F,MATCH(H2409,'Campos Growths'!$A:$A,0)),""))</f>
        <v/>
      </c>
      <c r="J2409" s="7" t="str">
        <f aca="false">IF(A2409="","",IFERROR(VLOOKUP(IF(ISNUMBER(SEARCH("(",C2409)),LEFT(C2409,SEARCH("(",C2409)-1),C2409),Tipos!$A:$B,2,FALSE()),"outro"))</f>
        <v/>
      </c>
      <c r="K2409" s="7" t="str">
        <f aca="false">IF(I2409="","",IFERROR(INDEX('Campos Growths'!$L:$L,MATCH(H2409,'Campos Growths'!$A:$A,0)),""))</f>
        <v/>
      </c>
      <c r="L2409" s="7" t="str">
        <f aca="false">IF(A2409="","",IF(G2409="não","Sem tabela no Growths",IF(I2409="","Sem campo no Growths",IF(J2409=K2409,"Importa direto","Ajustar tipo"))))</f>
        <v/>
      </c>
      <c r="M2409" s="9"/>
    </row>
    <row r="2410" customFormat="false" ht="15" hidden="false" customHeight="false" outlineLevel="0" collapsed="false">
      <c r="A2410" s="7" t="str">
        <f aca="false">IF('Outro banco'!A2410="","",IF(LEFT('Outro banco'!A2410,1)="(","",'Outro banco'!A2410))</f>
        <v/>
      </c>
      <c r="B2410" s="7" t="str">
        <f aca="false">IF(A2410="","",'Outro banco'!B2410)</f>
        <v/>
      </c>
      <c r="C2410" s="7" t="str">
        <f aca="false">IF(A2410="","",'Outro banco'!C2410)</f>
        <v/>
      </c>
      <c r="D2410" s="7" t="str">
        <f aca="false">IF(A2410="","",'Outro banco'!D2410)</f>
        <v/>
      </c>
      <c r="E2410" s="9"/>
      <c r="F2410" s="9"/>
      <c r="G2410" s="7" t="str">
        <f aca="false">IF(A2410="","",IF(COUNTIF(Tabelas!$A:$A,IF(E2410="",A2410,E2410))&gt;0,"sim","não"))</f>
        <v/>
      </c>
      <c r="H2410" s="7" t="str">
        <f aca="false">IF(A2410="","",IF(E2410="",A2410,E2410)&amp;"."&amp;IF(F2410="",B2410,F2410))</f>
        <v/>
      </c>
      <c r="I2410" s="7" t="str">
        <f aca="false">IF(A2410="","",IFERROR(INDEX('Campos Growths'!$F:$F,MATCH(H2410,'Campos Growths'!$A:$A,0)),""))</f>
        <v/>
      </c>
      <c r="J2410" s="7" t="str">
        <f aca="false">IF(A2410="","",IFERROR(VLOOKUP(IF(ISNUMBER(SEARCH("(",C2410)),LEFT(C2410,SEARCH("(",C2410)-1),C2410),Tipos!$A:$B,2,FALSE()),"outro"))</f>
        <v/>
      </c>
      <c r="K2410" s="7" t="str">
        <f aca="false">IF(I2410="","",IFERROR(INDEX('Campos Growths'!$L:$L,MATCH(H2410,'Campos Growths'!$A:$A,0)),""))</f>
        <v/>
      </c>
      <c r="L2410" s="7" t="str">
        <f aca="false">IF(A2410="","",IF(G2410="não","Sem tabela no Growths",IF(I2410="","Sem campo no Growths",IF(J2410=K2410,"Importa direto","Ajustar tipo"))))</f>
        <v/>
      </c>
      <c r="M2410" s="9"/>
    </row>
    <row r="2411" customFormat="false" ht="15" hidden="false" customHeight="false" outlineLevel="0" collapsed="false">
      <c r="A2411" s="7" t="str">
        <f aca="false">IF('Outro banco'!A2411="","",IF(LEFT('Outro banco'!A2411,1)="(","",'Outro banco'!A2411))</f>
        <v/>
      </c>
      <c r="B2411" s="7" t="str">
        <f aca="false">IF(A2411="","",'Outro banco'!B2411)</f>
        <v/>
      </c>
      <c r="C2411" s="7" t="str">
        <f aca="false">IF(A2411="","",'Outro banco'!C2411)</f>
        <v/>
      </c>
      <c r="D2411" s="7" t="str">
        <f aca="false">IF(A2411="","",'Outro banco'!D2411)</f>
        <v/>
      </c>
      <c r="E2411" s="9"/>
      <c r="F2411" s="9"/>
      <c r="G2411" s="7" t="str">
        <f aca="false">IF(A2411="","",IF(COUNTIF(Tabelas!$A:$A,IF(E2411="",A2411,E2411))&gt;0,"sim","não"))</f>
        <v/>
      </c>
      <c r="H2411" s="7" t="str">
        <f aca="false">IF(A2411="","",IF(E2411="",A2411,E2411)&amp;"."&amp;IF(F2411="",B2411,F2411))</f>
        <v/>
      </c>
      <c r="I2411" s="7" t="str">
        <f aca="false">IF(A2411="","",IFERROR(INDEX('Campos Growths'!$F:$F,MATCH(H2411,'Campos Growths'!$A:$A,0)),""))</f>
        <v/>
      </c>
      <c r="J2411" s="7" t="str">
        <f aca="false">IF(A2411="","",IFERROR(VLOOKUP(IF(ISNUMBER(SEARCH("(",C2411)),LEFT(C2411,SEARCH("(",C2411)-1),C2411),Tipos!$A:$B,2,FALSE()),"outro"))</f>
        <v/>
      </c>
      <c r="K2411" s="7" t="str">
        <f aca="false">IF(I2411="","",IFERROR(INDEX('Campos Growths'!$L:$L,MATCH(H2411,'Campos Growths'!$A:$A,0)),""))</f>
        <v/>
      </c>
      <c r="L2411" s="7" t="str">
        <f aca="false">IF(A2411="","",IF(G2411="não","Sem tabela no Growths",IF(I2411="","Sem campo no Growths",IF(J2411=K2411,"Importa direto","Ajustar tipo"))))</f>
        <v/>
      </c>
      <c r="M2411" s="9"/>
    </row>
    <row r="2412" customFormat="false" ht="15" hidden="false" customHeight="false" outlineLevel="0" collapsed="false">
      <c r="A2412" s="7" t="str">
        <f aca="false">IF('Outro banco'!A2412="","",IF(LEFT('Outro banco'!A2412,1)="(","",'Outro banco'!A2412))</f>
        <v/>
      </c>
      <c r="B2412" s="7" t="str">
        <f aca="false">IF(A2412="","",'Outro banco'!B2412)</f>
        <v/>
      </c>
      <c r="C2412" s="7" t="str">
        <f aca="false">IF(A2412="","",'Outro banco'!C2412)</f>
        <v/>
      </c>
      <c r="D2412" s="7" t="str">
        <f aca="false">IF(A2412="","",'Outro banco'!D2412)</f>
        <v/>
      </c>
      <c r="E2412" s="9"/>
      <c r="F2412" s="9"/>
      <c r="G2412" s="7" t="str">
        <f aca="false">IF(A2412="","",IF(COUNTIF(Tabelas!$A:$A,IF(E2412="",A2412,E2412))&gt;0,"sim","não"))</f>
        <v/>
      </c>
      <c r="H2412" s="7" t="str">
        <f aca="false">IF(A2412="","",IF(E2412="",A2412,E2412)&amp;"."&amp;IF(F2412="",B2412,F2412))</f>
        <v/>
      </c>
      <c r="I2412" s="7" t="str">
        <f aca="false">IF(A2412="","",IFERROR(INDEX('Campos Growths'!$F:$F,MATCH(H2412,'Campos Growths'!$A:$A,0)),""))</f>
        <v/>
      </c>
      <c r="J2412" s="7" t="str">
        <f aca="false">IF(A2412="","",IFERROR(VLOOKUP(IF(ISNUMBER(SEARCH("(",C2412)),LEFT(C2412,SEARCH("(",C2412)-1),C2412),Tipos!$A:$B,2,FALSE()),"outro"))</f>
        <v/>
      </c>
      <c r="K2412" s="7" t="str">
        <f aca="false">IF(I2412="","",IFERROR(INDEX('Campos Growths'!$L:$L,MATCH(H2412,'Campos Growths'!$A:$A,0)),""))</f>
        <v/>
      </c>
      <c r="L2412" s="7" t="str">
        <f aca="false">IF(A2412="","",IF(G2412="não","Sem tabela no Growths",IF(I2412="","Sem campo no Growths",IF(J2412=K2412,"Importa direto","Ajustar tipo"))))</f>
        <v/>
      </c>
      <c r="M2412" s="9"/>
    </row>
    <row r="2413" customFormat="false" ht="15" hidden="false" customHeight="false" outlineLevel="0" collapsed="false">
      <c r="A2413" s="7" t="str">
        <f aca="false">IF('Outro banco'!A2413="","",IF(LEFT('Outro banco'!A2413,1)="(","",'Outro banco'!A2413))</f>
        <v/>
      </c>
      <c r="B2413" s="7" t="str">
        <f aca="false">IF(A2413="","",'Outro banco'!B2413)</f>
        <v/>
      </c>
      <c r="C2413" s="7" t="str">
        <f aca="false">IF(A2413="","",'Outro banco'!C2413)</f>
        <v/>
      </c>
      <c r="D2413" s="7" t="str">
        <f aca="false">IF(A2413="","",'Outro banco'!D2413)</f>
        <v/>
      </c>
      <c r="E2413" s="9"/>
      <c r="F2413" s="9"/>
      <c r="G2413" s="7" t="str">
        <f aca="false">IF(A2413="","",IF(COUNTIF(Tabelas!$A:$A,IF(E2413="",A2413,E2413))&gt;0,"sim","não"))</f>
        <v/>
      </c>
      <c r="H2413" s="7" t="str">
        <f aca="false">IF(A2413="","",IF(E2413="",A2413,E2413)&amp;"."&amp;IF(F2413="",B2413,F2413))</f>
        <v/>
      </c>
      <c r="I2413" s="7" t="str">
        <f aca="false">IF(A2413="","",IFERROR(INDEX('Campos Growths'!$F:$F,MATCH(H2413,'Campos Growths'!$A:$A,0)),""))</f>
        <v/>
      </c>
      <c r="J2413" s="7" t="str">
        <f aca="false">IF(A2413="","",IFERROR(VLOOKUP(IF(ISNUMBER(SEARCH("(",C2413)),LEFT(C2413,SEARCH("(",C2413)-1),C2413),Tipos!$A:$B,2,FALSE()),"outro"))</f>
        <v/>
      </c>
      <c r="K2413" s="7" t="str">
        <f aca="false">IF(I2413="","",IFERROR(INDEX('Campos Growths'!$L:$L,MATCH(H2413,'Campos Growths'!$A:$A,0)),""))</f>
        <v/>
      </c>
      <c r="L2413" s="7" t="str">
        <f aca="false">IF(A2413="","",IF(G2413="não","Sem tabela no Growths",IF(I2413="","Sem campo no Growths",IF(J2413=K2413,"Importa direto","Ajustar tipo"))))</f>
        <v/>
      </c>
      <c r="M2413" s="9"/>
    </row>
    <row r="2414" customFormat="false" ht="15" hidden="false" customHeight="false" outlineLevel="0" collapsed="false">
      <c r="A2414" s="7" t="str">
        <f aca="false">IF('Outro banco'!A2414="","",IF(LEFT('Outro banco'!A2414,1)="(","",'Outro banco'!A2414))</f>
        <v/>
      </c>
      <c r="B2414" s="7" t="str">
        <f aca="false">IF(A2414="","",'Outro banco'!B2414)</f>
        <v/>
      </c>
      <c r="C2414" s="7" t="str">
        <f aca="false">IF(A2414="","",'Outro banco'!C2414)</f>
        <v/>
      </c>
      <c r="D2414" s="7" t="str">
        <f aca="false">IF(A2414="","",'Outro banco'!D2414)</f>
        <v/>
      </c>
      <c r="E2414" s="9"/>
      <c r="F2414" s="9"/>
      <c r="G2414" s="7" t="str">
        <f aca="false">IF(A2414="","",IF(COUNTIF(Tabelas!$A:$A,IF(E2414="",A2414,E2414))&gt;0,"sim","não"))</f>
        <v/>
      </c>
      <c r="H2414" s="7" t="str">
        <f aca="false">IF(A2414="","",IF(E2414="",A2414,E2414)&amp;"."&amp;IF(F2414="",B2414,F2414))</f>
        <v/>
      </c>
      <c r="I2414" s="7" t="str">
        <f aca="false">IF(A2414="","",IFERROR(INDEX('Campos Growths'!$F:$F,MATCH(H2414,'Campos Growths'!$A:$A,0)),""))</f>
        <v/>
      </c>
      <c r="J2414" s="7" t="str">
        <f aca="false">IF(A2414="","",IFERROR(VLOOKUP(IF(ISNUMBER(SEARCH("(",C2414)),LEFT(C2414,SEARCH("(",C2414)-1),C2414),Tipos!$A:$B,2,FALSE()),"outro"))</f>
        <v/>
      </c>
      <c r="K2414" s="7" t="str">
        <f aca="false">IF(I2414="","",IFERROR(INDEX('Campos Growths'!$L:$L,MATCH(H2414,'Campos Growths'!$A:$A,0)),""))</f>
        <v/>
      </c>
      <c r="L2414" s="7" t="str">
        <f aca="false">IF(A2414="","",IF(G2414="não","Sem tabela no Growths",IF(I2414="","Sem campo no Growths",IF(J2414=K2414,"Importa direto","Ajustar tipo"))))</f>
        <v/>
      </c>
      <c r="M2414" s="9"/>
    </row>
    <row r="2415" customFormat="false" ht="15" hidden="false" customHeight="false" outlineLevel="0" collapsed="false">
      <c r="A2415" s="7" t="str">
        <f aca="false">IF('Outro banco'!A2415="","",IF(LEFT('Outro banco'!A2415,1)="(","",'Outro banco'!A2415))</f>
        <v/>
      </c>
      <c r="B2415" s="7" t="str">
        <f aca="false">IF(A2415="","",'Outro banco'!B2415)</f>
        <v/>
      </c>
      <c r="C2415" s="7" t="str">
        <f aca="false">IF(A2415="","",'Outro banco'!C2415)</f>
        <v/>
      </c>
      <c r="D2415" s="7" t="str">
        <f aca="false">IF(A2415="","",'Outro banco'!D2415)</f>
        <v/>
      </c>
      <c r="E2415" s="9"/>
      <c r="F2415" s="9"/>
      <c r="G2415" s="7" t="str">
        <f aca="false">IF(A2415="","",IF(COUNTIF(Tabelas!$A:$A,IF(E2415="",A2415,E2415))&gt;0,"sim","não"))</f>
        <v/>
      </c>
      <c r="H2415" s="7" t="str">
        <f aca="false">IF(A2415="","",IF(E2415="",A2415,E2415)&amp;"."&amp;IF(F2415="",B2415,F2415))</f>
        <v/>
      </c>
      <c r="I2415" s="7" t="str">
        <f aca="false">IF(A2415="","",IFERROR(INDEX('Campos Growths'!$F:$F,MATCH(H2415,'Campos Growths'!$A:$A,0)),""))</f>
        <v/>
      </c>
      <c r="J2415" s="7" t="str">
        <f aca="false">IF(A2415="","",IFERROR(VLOOKUP(IF(ISNUMBER(SEARCH("(",C2415)),LEFT(C2415,SEARCH("(",C2415)-1),C2415),Tipos!$A:$B,2,FALSE()),"outro"))</f>
        <v/>
      </c>
      <c r="K2415" s="7" t="str">
        <f aca="false">IF(I2415="","",IFERROR(INDEX('Campos Growths'!$L:$L,MATCH(H2415,'Campos Growths'!$A:$A,0)),""))</f>
        <v/>
      </c>
      <c r="L2415" s="7" t="str">
        <f aca="false">IF(A2415="","",IF(G2415="não","Sem tabela no Growths",IF(I2415="","Sem campo no Growths",IF(J2415=K2415,"Importa direto","Ajustar tipo"))))</f>
        <v/>
      </c>
      <c r="M2415" s="9"/>
    </row>
    <row r="2416" customFormat="false" ht="15" hidden="false" customHeight="false" outlineLevel="0" collapsed="false">
      <c r="A2416" s="7" t="str">
        <f aca="false">IF('Outro banco'!A2416="","",IF(LEFT('Outro banco'!A2416,1)="(","",'Outro banco'!A2416))</f>
        <v/>
      </c>
      <c r="B2416" s="7" t="str">
        <f aca="false">IF(A2416="","",'Outro banco'!B2416)</f>
        <v/>
      </c>
      <c r="C2416" s="7" t="str">
        <f aca="false">IF(A2416="","",'Outro banco'!C2416)</f>
        <v/>
      </c>
      <c r="D2416" s="7" t="str">
        <f aca="false">IF(A2416="","",'Outro banco'!D2416)</f>
        <v/>
      </c>
      <c r="E2416" s="9"/>
      <c r="F2416" s="9"/>
      <c r="G2416" s="7" t="str">
        <f aca="false">IF(A2416="","",IF(COUNTIF(Tabelas!$A:$A,IF(E2416="",A2416,E2416))&gt;0,"sim","não"))</f>
        <v/>
      </c>
      <c r="H2416" s="7" t="str">
        <f aca="false">IF(A2416="","",IF(E2416="",A2416,E2416)&amp;"."&amp;IF(F2416="",B2416,F2416))</f>
        <v/>
      </c>
      <c r="I2416" s="7" t="str">
        <f aca="false">IF(A2416="","",IFERROR(INDEX('Campos Growths'!$F:$F,MATCH(H2416,'Campos Growths'!$A:$A,0)),""))</f>
        <v/>
      </c>
      <c r="J2416" s="7" t="str">
        <f aca="false">IF(A2416="","",IFERROR(VLOOKUP(IF(ISNUMBER(SEARCH("(",C2416)),LEFT(C2416,SEARCH("(",C2416)-1),C2416),Tipos!$A:$B,2,FALSE()),"outro"))</f>
        <v/>
      </c>
      <c r="K2416" s="7" t="str">
        <f aca="false">IF(I2416="","",IFERROR(INDEX('Campos Growths'!$L:$L,MATCH(H2416,'Campos Growths'!$A:$A,0)),""))</f>
        <v/>
      </c>
      <c r="L2416" s="7" t="str">
        <f aca="false">IF(A2416="","",IF(G2416="não","Sem tabela no Growths",IF(I2416="","Sem campo no Growths",IF(J2416=K2416,"Importa direto","Ajustar tipo"))))</f>
        <v/>
      </c>
      <c r="M2416" s="9"/>
    </row>
    <row r="2417" customFormat="false" ht="15" hidden="false" customHeight="false" outlineLevel="0" collapsed="false">
      <c r="A2417" s="7" t="str">
        <f aca="false">IF('Outro banco'!A2417="","",IF(LEFT('Outro banco'!A2417,1)="(","",'Outro banco'!A2417))</f>
        <v/>
      </c>
      <c r="B2417" s="7" t="str">
        <f aca="false">IF(A2417="","",'Outro banco'!B2417)</f>
        <v/>
      </c>
      <c r="C2417" s="7" t="str">
        <f aca="false">IF(A2417="","",'Outro banco'!C2417)</f>
        <v/>
      </c>
      <c r="D2417" s="7" t="str">
        <f aca="false">IF(A2417="","",'Outro banco'!D2417)</f>
        <v/>
      </c>
      <c r="E2417" s="9"/>
      <c r="F2417" s="9"/>
      <c r="G2417" s="7" t="str">
        <f aca="false">IF(A2417="","",IF(COUNTIF(Tabelas!$A:$A,IF(E2417="",A2417,E2417))&gt;0,"sim","não"))</f>
        <v/>
      </c>
      <c r="H2417" s="7" t="str">
        <f aca="false">IF(A2417="","",IF(E2417="",A2417,E2417)&amp;"."&amp;IF(F2417="",B2417,F2417))</f>
        <v/>
      </c>
      <c r="I2417" s="7" t="str">
        <f aca="false">IF(A2417="","",IFERROR(INDEX('Campos Growths'!$F:$F,MATCH(H2417,'Campos Growths'!$A:$A,0)),""))</f>
        <v/>
      </c>
      <c r="J2417" s="7" t="str">
        <f aca="false">IF(A2417="","",IFERROR(VLOOKUP(IF(ISNUMBER(SEARCH("(",C2417)),LEFT(C2417,SEARCH("(",C2417)-1),C2417),Tipos!$A:$B,2,FALSE()),"outro"))</f>
        <v/>
      </c>
      <c r="K2417" s="7" t="str">
        <f aca="false">IF(I2417="","",IFERROR(INDEX('Campos Growths'!$L:$L,MATCH(H2417,'Campos Growths'!$A:$A,0)),""))</f>
        <v/>
      </c>
      <c r="L2417" s="7" t="str">
        <f aca="false">IF(A2417="","",IF(G2417="não","Sem tabela no Growths",IF(I2417="","Sem campo no Growths",IF(J2417=K2417,"Importa direto","Ajustar tipo"))))</f>
        <v/>
      </c>
      <c r="M2417" s="9"/>
    </row>
    <row r="2418" customFormat="false" ht="15" hidden="false" customHeight="false" outlineLevel="0" collapsed="false">
      <c r="A2418" s="7" t="str">
        <f aca="false">IF('Outro banco'!A2418="","",IF(LEFT('Outro banco'!A2418,1)="(","",'Outro banco'!A2418))</f>
        <v/>
      </c>
      <c r="B2418" s="7" t="str">
        <f aca="false">IF(A2418="","",'Outro banco'!B2418)</f>
        <v/>
      </c>
      <c r="C2418" s="7" t="str">
        <f aca="false">IF(A2418="","",'Outro banco'!C2418)</f>
        <v/>
      </c>
      <c r="D2418" s="7" t="str">
        <f aca="false">IF(A2418="","",'Outro banco'!D2418)</f>
        <v/>
      </c>
      <c r="E2418" s="9"/>
      <c r="F2418" s="9"/>
      <c r="G2418" s="7" t="str">
        <f aca="false">IF(A2418="","",IF(COUNTIF(Tabelas!$A:$A,IF(E2418="",A2418,E2418))&gt;0,"sim","não"))</f>
        <v/>
      </c>
      <c r="H2418" s="7" t="str">
        <f aca="false">IF(A2418="","",IF(E2418="",A2418,E2418)&amp;"."&amp;IF(F2418="",B2418,F2418))</f>
        <v/>
      </c>
      <c r="I2418" s="7" t="str">
        <f aca="false">IF(A2418="","",IFERROR(INDEX('Campos Growths'!$F:$F,MATCH(H2418,'Campos Growths'!$A:$A,0)),""))</f>
        <v/>
      </c>
      <c r="J2418" s="7" t="str">
        <f aca="false">IF(A2418="","",IFERROR(VLOOKUP(IF(ISNUMBER(SEARCH("(",C2418)),LEFT(C2418,SEARCH("(",C2418)-1),C2418),Tipos!$A:$B,2,FALSE()),"outro"))</f>
        <v/>
      </c>
      <c r="K2418" s="7" t="str">
        <f aca="false">IF(I2418="","",IFERROR(INDEX('Campos Growths'!$L:$L,MATCH(H2418,'Campos Growths'!$A:$A,0)),""))</f>
        <v/>
      </c>
      <c r="L2418" s="7" t="str">
        <f aca="false">IF(A2418="","",IF(G2418="não","Sem tabela no Growths",IF(I2418="","Sem campo no Growths",IF(J2418=K2418,"Importa direto","Ajustar tipo"))))</f>
        <v/>
      </c>
      <c r="M2418" s="9"/>
    </row>
    <row r="2419" customFormat="false" ht="15" hidden="false" customHeight="false" outlineLevel="0" collapsed="false">
      <c r="A2419" s="7" t="str">
        <f aca="false">IF('Outro banco'!A2419="","",IF(LEFT('Outro banco'!A2419,1)="(","",'Outro banco'!A2419))</f>
        <v/>
      </c>
      <c r="B2419" s="7" t="str">
        <f aca="false">IF(A2419="","",'Outro banco'!B2419)</f>
        <v/>
      </c>
      <c r="C2419" s="7" t="str">
        <f aca="false">IF(A2419="","",'Outro banco'!C2419)</f>
        <v/>
      </c>
      <c r="D2419" s="7" t="str">
        <f aca="false">IF(A2419="","",'Outro banco'!D2419)</f>
        <v/>
      </c>
      <c r="E2419" s="9"/>
      <c r="F2419" s="9"/>
      <c r="G2419" s="7" t="str">
        <f aca="false">IF(A2419="","",IF(COUNTIF(Tabelas!$A:$A,IF(E2419="",A2419,E2419))&gt;0,"sim","não"))</f>
        <v/>
      </c>
      <c r="H2419" s="7" t="str">
        <f aca="false">IF(A2419="","",IF(E2419="",A2419,E2419)&amp;"."&amp;IF(F2419="",B2419,F2419))</f>
        <v/>
      </c>
      <c r="I2419" s="7" t="str">
        <f aca="false">IF(A2419="","",IFERROR(INDEX('Campos Growths'!$F:$F,MATCH(H2419,'Campos Growths'!$A:$A,0)),""))</f>
        <v/>
      </c>
      <c r="J2419" s="7" t="str">
        <f aca="false">IF(A2419="","",IFERROR(VLOOKUP(IF(ISNUMBER(SEARCH("(",C2419)),LEFT(C2419,SEARCH("(",C2419)-1),C2419),Tipos!$A:$B,2,FALSE()),"outro"))</f>
        <v/>
      </c>
      <c r="K2419" s="7" t="str">
        <f aca="false">IF(I2419="","",IFERROR(INDEX('Campos Growths'!$L:$L,MATCH(H2419,'Campos Growths'!$A:$A,0)),""))</f>
        <v/>
      </c>
      <c r="L2419" s="7" t="str">
        <f aca="false">IF(A2419="","",IF(G2419="não","Sem tabela no Growths",IF(I2419="","Sem campo no Growths",IF(J2419=K2419,"Importa direto","Ajustar tipo"))))</f>
        <v/>
      </c>
      <c r="M2419" s="9"/>
    </row>
    <row r="2420" customFormat="false" ht="15" hidden="false" customHeight="false" outlineLevel="0" collapsed="false">
      <c r="A2420" s="7" t="str">
        <f aca="false">IF('Outro banco'!A2420="","",IF(LEFT('Outro banco'!A2420,1)="(","",'Outro banco'!A2420))</f>
        <v/>
      </c>
      <c r="B2420" s="7" t="str">
        <f aca="false">IF(A2420="","",'Outro banco'!B2420)</f>
        <v/>
      </c>
      <c r="C2420" s="7" t="str">
        <f aca="false">IF(A2420="","",'Outro banco'!C2420)</f>
        <v/>
      </c>
      <c r="D2420" s="7" t="str">
        <f aca="false">IF(A2420="","",'Outro banco'!D2420)</f>
        <v/>
      </c>
      <c r="E2420" s="9"/>
      <c r="F2420" s="9"/>
      <c r="G2420" s="7" t="str">
        <f aca="false">IF(A2420="","",IF(COUNTIF(Tabelas!$A:$A,IF(E2420="",A2420,E2420))&gt;0,"sim","não"))</f>
        <v/>
      </c>
      <c r="H2420" s="7" t="str">
        <f aca="false">IF(A2420="","",IF(E2420="",A2420,E2420)&amp;"."&amp;IF(F2420="",B2420,F2420))</f>
        <v/>
      </c>
      <c r="I2420" s="7" t="str">
        <f aca="false">IF(A2420="","",IFERROR(INDEX('Campos Growths'!$F:$F,MATCH(H2420,'Campos Growths'!$A:$A,0)),""))</f>
        <v/>
      </c>
      <c r="J2420" s="7" t="str">
        <f aca="false">IF(A2420="","",IFERROR(VLOOKUP(IF(ISNUMBER(SEARCH("(",C2420)),LEFT(C2420,SEARCH("(",C2420)-1),C2420),Tipos!$A:$B,2,FALSE()),"outro"))</f>
        <v/>
      </c>
      <c r="K2420" s="7" t="str">
        <f aca="false">IF(I2420="","",IFERROR(INDEX('Campos Growths'!$L:$L,MATCH(H2420,'Campos Growths'!$A:$A,0)),""))</f>
        <v/>
      </c>
      <c r="L2420" s="7" t="str">
        <f aca="false">IF(A2420="","",IF(G2420="não","Sem tabela no Growths",IF(I2420="","Sem campo no Growths",IF(J2420=K2420,"Importa direto","Ajustar tipo"))))</f>
        <v/>
      </c>
      <c r="M2420" s="9"/>
    </row>
    <row r="2421" customFormat="false" ht="15" hidden="false" customHeight="false" outlineLevel="0" collapsed="false">
      <c r="A2421" s="7" t="str">
        <f aca="false">IF('Outro banco'!A2421="","",IF(LEFT('Outro banco'!A2421,1)="(","",'Outro banco'!A2421))</f>
        <v/>
      </c>
      <c r="B2421" s="7" t="str">
        <f aca="false">IF(A2421="","",'Outro banco'!B2421)</f>
        <v/>
      </c>
      <c r="C2421" s="7" t="str">
        <f aca="false">IF(A2421="","",'Outro banco'!C2421)</f>
        <v/>
      </c>
      <c r="D2421" s="7" t="str">
        <f aca="false">IF(A2421="","",'Outro banco'!D2421)</f>
        <v/>
      </c>
      <c r="E2421" s="9"/>
      <c r="F2421" s="9"/>
      <c r="G2421" s="7" t="str">
        <f aca="false">IF(A2421="","",IF(COUNTIF(Tabelas!$A:$A,IF(E2421="",A2421,E2421))&gt;0,"sim","não"))</f>
        <v/>
      </c>
      <c r="H2421" s="7" t="str">
        <f aca="false">IF(A2421="","",IF(E2421="",A2421,E2421)&amp;"."&amp;IF(F2421="",B2421,F2421))</f>
        <v/>
      </c>
      <c r="I2421" s="7" t="str">
        <f aca="false">IF(A2421="","",IFERROR(INDEX('Campos Growths'!$F:$F,MATCH(H2421,'Campos Growths'!$A:$A,0)),""))</f>
        <v/>
      </c>
      <c r="J2421" s="7" t="str">
        <f aca="false">IF(A2421="","",IFERROR(VLOOKUP(IF(ISNUMBER(SEARCH("(",C2421)),LEFT(C2421,SEARCH("(",C2421)-1),C2421),Tipos!$A:$B,2,FALSE()),"outro"))</f>
        <v/>
      </c>
      <c r="K2421" s="7" t="str">
        <f aca="false">IF(I2421="","",IFERROR(INDEX('Campos Growths'!$L:$L,MATCH(H2421,'Campos Growths'!$A:$A,0)),""))</f>
        <v/>
      </c>
      <c r="L2421" s="7" t="str">
        <f aca="false">IF(A2421="","",IF(G2421="não","Sem tabela no Growths",IF(I2421="","Sem campo no Growths",IF(J2421=K2421,"Importa direto","Ajustar tipo"))))</f>
        <v/>
      </c>
      <c r="M2421" s="9"/>
    </row>
    <row r="2422" customFormat="false" ht="15" hidden="false" customHeight="false" outlineLevel="0" collapsed="false">
      <c r="A2422" s="7" t="str">
        <f aca="false">IF('Outro banco'!A2422="","",IF(LEFT('Outro banco'!A2422,1)="(","",'Outro banco'!A2422))</f>
        <v/>
      </c>
      <c r="B2422" s="7" t="str">
        <f aca="false">IF(A2422="","",'Outro banco'!B2422)</f>
        <v/>
      </c>
      <c r="C2422" s="7" t="str">
        <f aca="false">IF(A2422="","",'Outro banco'!C2422)</f>
        <v/>
      </c>
      <c r="D2422" s="7" t="str">
        <f aca="false">IF(A2422="","",'Outro banco'!D2422)</f>
        <v/>
      </c>
      <c r="E2422" s="9"/>
      <c r="F2422" s="9"/>
      <c r="G2422" s="7" t="str">
        <f aca="false">IF(A2422="","",IF(COUNTIF(Tabelas!$A:$A,IF(E2422="",A2422,E2422))&gt;0,"sim","não"))</f>
        <v/>
      </c>
      <c r="H2422" s="7" t="str">
        <f aca="false">IF(A2422="","",IF(E2422="",A2422,E2422)&amp;"."&amp;IF(F2422="",B2422,F2422))</f>
        <v/>
      </c>
      <c r="I2422" s="7" t="str">
        <f aca="false">IF(A2422="","",IFERROR(INDEX('Campos Growths'!$F:$F,MATCH(H2422,'Campos Growths'!$A:$A,0)),""))</f>
        <v/>
      </c>
      <c r="J2422" s="7" t="str">
        <f aca="false">IF(A2422="","",IFERROR(VLOOKUP(IF(ISNUMBER(SEARCH("(",C2422)),LEFT(C2422,SEARCH("(",C2422)-1),C2422),Tipos!$A:$B,2,FALSE()),"outro"))</f>
        <v/>
      </c>
      <c r="K2422" s="7" t="str">
        <f aca="false">IF(I2422="","",IFERROR(INDEX('Campos Growths'!$L:$L,MATCH(H2422,'Campos Growths'!$A:$A,0)),""))</f>
        <v/>
      </c>
      <c r="L2422" s="7" t="str">
        <f aca="false">IF(A2422="","",IF(G2422="não","Sem tabela no Growths",IF(I2422="","Sem campo no Growths",IF(J2422=K2422,"Importa direto","Ajustar tipo"))))</f>
        <v/>
      </c>
      <c r="M2422" s="9"/>
    </row>
    <row r="2423" customFormat="false" ht="15" hidden="false" customHeight="false" outlineLevel="0" collapsed="false">
      <c r="A2423" s="7" t="str">
        <f aca="false">IF('Outro banco'!A2423="","",IF(LEFT('Outro banco'!A2423,1)="(","",'Outro banco'!A2423))</f>
        <v/>
      </c>
      <c r="B2423" s="7" t="str">
        <f aca="false">IF(A2423="","",'Outro banco'!B2423)</f>
        <v/>
      </c>
      <c r="C2423" s="7" t="str">
        <f aca="false">IF(A2423="","",'Outro banco'!C2423)</f>
        <v/>
      </c>
      <c r="D2423" s="7" t="str">
        <f aca="false">IF(A2423="","",'Outro banco'!D2423)</f>
        <v/>
      </c>
      <c r="E2423" s="9"/>
      <c r="F2423" s="9"/>
      <c r="G2423" s="7" t="str">
        <f aca="false">IF(A2423="","",IF(COUNTIF(Tabelas!$A:$A,IF(E2423="",A2423,E2423))&gt;0,"sim","não"))</f>
        <v/>
      </c>
      <c r="H2423" s="7" t="str">
        <f aca="false">IF(A2423="","",IF(E2423="",A2423,E2423)&amp;"."&amp;IF(F2423="",B2423,F2423))</f>
        <v/>
      </c>
      <c r="I2423" s="7" t="str">
        <f aca="false">IF(A2423="","",IFERROR(INDEX('Campos Growths'!$F:$F,MATCH(H2423,'Campos Growths'!$A:$A,0)),""))</f>
        <v/>
      </c>
      <c r="J2423" s="7" t="str">
        <f aca="false">IF(A2423="","",IFERROR(VLOOKUP(IF(ISNUMBER(SEARCH("(",C2423)),LEFT(C2423,SEARCH("(",C2423)-1),C2423),Tipos!$A:$B,2,FALSE()),"outro"))</f>
        <v/>
      </c>
      <c r="K2423" s="7" t="str">
        <f aca="false">IF(I2423="","",IFERROR(INDEX('Campos Growths'!$L:$L,MATCH(H2423,'Campos Growths'!$A:$A,0)),""))</f>
        <v/>
      </c>
      <c r="L2423" s="7" t="str">
        <f aca="false">IF(A2423="","",IF(G2423="não","Sem tabela no Growths",IF(I2423="","Sem campo no Growths",IF(J2423=K2423,"Importa direto","Ajustar tipo"))))</f>
        <v/>
      </c>
      <c r="M2423" s="9"/>
    </row>
    <row r="2424" customFormat="false" ht="15" hidden="false" customHeight="false" outlineLevel="0" collapsed="false">
      <c r="A2424" s="7" t="str">
        <f aca="false">IF('Outro banco'!A2424="","",IF(LEFT('Outro banco'!A2424,1)="(","",'Outro banco'!A2424))</f>
        <v/>
      </c>
      <c r="B2424" s="7" t="str">
        <f aca="false">IF(A2424="","",'Outro banco'!B2424)</f>
        <v/>
      </c>
      <c r="C2424" s="7" t="str">
        <f aca="false">IF(A2424="","",'Outro banco'!C2424)</f>
        <v/>
      </c>
      <c r="D2424" s="7" t="str">
        <f aca="false">IF(A2424="","",'Outro banco'!D2424)</f>
        <v/>
      </c>
      <c r="E2424" s="9"/>
      <c r="F2424" s="9"/>
      <c r="G2424" s="7" t="str">
        <f aca="false">IF(A2424="","",IF(COUNTIF(Tabelas!$A:$A,IF(E2424="",A2424,E2424))&gt;0,"sim","não"))</f>
        <v/>
      </c>
      <c r="H2424" s="7" t="str">
        <f aca="false">IF(A2424="","",IF(E2424="",A2424,E2424)&amp;"."&amp;IF(F2424="",B2424,F2424))</f>
        <v/>
      </c>
      <c r="I2424" s="7" t="str">
        <f aca="false">IF(A2424="","",IFERROR(INDEX('Campos Growths'!$F:$F,MATCH(H2424,'Campos Growths'!$A:$A,0)),""))</f>
        <v/>
      </c>
      <c r="J2424" s="7" t="str">
        <f aca="false">IF(A2424="","",IFERROR(VLOOKUP(IF(ISNUMBER(SEARCH("(",C2424)),LEFT(C2424,SEARCH("(",C2424)-1),C2424),Tipos!$A:$B,2,FALSE()),"outro"))</f>
        <v/>
      </c>
      <c r="K2424" s="7" t="str">
        <f aca="false">IF(I2424="","",IFERROR(INDEX('Campos Growths'!$L:$L,MATCH(H2424,'Campos Growths'!$A:$A,0)),""))</f>
        <v/>
      </c>
      <c r="L2424" s="7" t="str">
        <f aca="false">IF(A2424="","",IF(G2424="não","Sem tabela no Growths",IF(I2424="","Sem campo no Growths",IF(J2424=K2424,"Importa direto","Ajustar tipo"))))</f>
        <v/>
      </c>
      <c r="M2424" s="9"/>
    </row>
    <row r="2425" customFormat="false" ht="15" hidden="false" customHeight="false" outlineLevel="0" collapsed="false">
      <c r="A2425" s="7" t="str">
        <f aca="false">IF('Outro banco'!A2425="","",IF(LEFT('Outro banco'!A2425,1)="(","",'Outro banco'!A2425))</f>
        <v/>
      </c>
      <c r="B2425" s="7" t="str">
        <f aca="false">IF(A2425="","",'Outro banco'!B2425)</f>
        <v/>
      </c>
      <c r="C2425" s="7" t="str">
        <f aca="false">IF(A2425="","",'Outro banco'!C2425)</f>
        <v/>
      </c>
      <c r="D2425" s="7" t="str">
        <f aca="false">IF(A2425="","",'Outro banco'!D2425)</f>
        <v/>
      </c>
      <c r="E2425" s="9"/>
      <c r="F2425" s="9"/>
      <c r="G2425" s="7" t="str">
        <f aca="false">IF(A2425="","",IF(COUNTIF(Tabelas!$A:$A,IF(E2425="",A2425,E2425))&gt;0,"sim","não"))</f>
        <v/>
      </c>
      <c r="H2425" s="7" t="str">
        <f aca="false">IF(A2425="","",IF(E2425="",A2425,E2425)&amp;"."&amp;IF(F2425="",B2425,F2425))</f>
        <v/>
      </c>
      <c r="I2425" s="7" t="str">
        <f aca="false">IF(A2425="","",IFERROR(INDEX('Campos Growths'!$F:$F,MATCH(H2425,'Campos Growths'!$A:$A,0)),""))</f>
        <v/>
      </c>
      <c r="J2425" s="7" t="str">
        <f aca="false">IF(A2425="","",IFERROR(VLOOKUP(IF(ISNUMBER(SEARCH("(",C2425)),LEFT(C2425,SEARCH("(",C2425)-1),C2425),Tipos!$A:$B,2,FALSE()),"outro"))</f>
        <v/>
      </c>
      <c r="K2425" s="7" t="str">
        <f aca="false">IF(I2425="","",IFERROR(INDEX('Campos Growths'!$L:$L,MATCH(H2425,'Campos Growths'!$A:$A,0)),""))</f>
        <v/>
      </c>
      <c r="L2425" s="7" t="str">
        <f aca="false">IF(A2425="","",IF(G2425="não","Sem tabela no Growths",IF(I2425="","Sem campo no Growths",IF(J2425=K2425,"Importa direto","Ajustar tipo"))))</f>
        <v/>
      </c>
      <c r="M2425" s="9"/>
    </row>
    <row r="2426" customFormat="false" ht="15" hidden="false" customHeight="false" outlineLevel="0" collapsed="false">
      <c r="A2426" s="7" t="str">
        <f aca="false">IF('Outro banco'!A2426="","",IF(LEFT('Outro banco'!A2426,1)="(","",'Outro banco'!A2426))</f>
        <v/>
      </c>
      <c r="B2426" s="7" t="str">
        <f aca="false">IF(A2426="","",'Outro banco'!B2426)</f>
        <v/>
      </c>
      <c r="C2426" s="7" t="str">
        <f aca="false">IF(A2426="","",'Outro banco'!C2426)</f>
        <v/>
      </c>
      <c r="D2426" s="7" t="str">
        <f aca="false">IF(A2426="","",'Outro banco'!D2426)</f>
        <v/>
      </c>
      <c r="E2426" s="9"/>
      <c r="F2426" s="9"/>
      <c r="G2426" s="7" t="str">
        <f aca="false">IF(A2426="","",IF(COUNTIF(Tabelas!$A:$A,IF(E2426="",A2426,E2426))&gt;0,"sim","não"))</f>
        <v/>
      </c>
      <c r="H2426" s="7" t="str">
        <f aca="false">IF(A2426="","",IF(E2426="",A2426,E2426)&amp;"."&amp;IF(F2426="",B2426,F2426))</f>
        <v/>
      </c>
      <c r="I2426" s="7" t="str">
        <f aca="false">IF(A2426="","",IFERROR(INDEX('Campos Growths'!$F:$F,MATCH(H2426,'Campos Growths'!$A:$A,0)),""))</f>
        <v/>
      </c>
      <c r="J2426" s="7" t="str">
        <f aca="false">IF(A2426="","",IFERROR(VLOOKUP(IF(ISNUMBER(SEARCH("(",C2426)),LEFT(C2426,SEARCH("(",C2426)-1),C2426),Tipos!$A:$B,2,FALSE()),"outro"))</f>
        <v/>
      </c>
      <c r="K2426" s="7" t="str">
        <f aca="false">IF(I2426="","",IFERROR(INDEX('Campos Growths'!$L:$L,MATCH(H2426,'Campos Growths'!$A:$A,0)),""))</f>
        <v/>
      </c>
      <c r="L2426" s="7" t="str">
        <f aca="false">IF(A2426="","",IF(G2426="não","Sem tabela no Growths",IF(I2426="","Sem campo no Growths",IF(J2426=K2426,"Importa direto","Ajustar tipo"))))</f>
        <v/>
      </c>
      <c r="M2426" s="9"/>
    </row>
    <row r="2427" customFormat="false" ht="15" hidden="false" customHeight="false" outlineLevel="0" collapsed="false">
      <c r="A2427" s="7" t="str">
        <f aca="false">IF('Outro banco'!A2427="","",IF(LEFT('Outro banco'!A2427,1)="(","",'Outro banco'!A2427))</f>
        <v/>
      </c>
      <c r="B2427" s="7" t="str">
        <f aca="false">IF(A2427="","",'Outro banco'!B2427)</f>
        <v/>
      </c>
      <c r="C2427" s="7" t="str">
        <f aca="false">IF(A2427="","",'Outro banco'!C2427)</f>
        <v/>
      </c>
      <c r="D2427" s="7" t="str">
        <f aca="false">IF(A2427="","",'Outro banco'!D2427)</f>
        <v/>
      </c>
      <c r="E2427" s="9"/>
      <c r="F2427" s="9"/>
      <c r="G2427" s="7" t="str">
        <f aca="false">IF(A2427="","",IF(COUNTIF(Tabelas!$A:$A,IF(E2427="",A2427,E2427))&gt;0,"sim","não"))</f>
        <v/>
      </c>
      <c r="H2427" s="7" t="str">
        <f aca="false">IF(A2427="","",IF(E2427="",A2427,E2427)&amp;"."&amp;IF(F2427="",B2427,F2427))</f>
        <v/>
      </c>
      <c r="I2427" s="7" t="str">
        <f aca="false">IF(A2427="","",IFERROR(INDEX('Campos Growths'!$F:$F,MATCH(H2427,'Campos Growths'!$A:$A,0)),""))</f>
        <v/>
      </c>
      <c r="J2427" s="7" t="str">
        <f aca="false">IF(A2427="","",IFERROR(VLOOKUP(IF(ISNUMBER(SEARCH("(",C2427)),LEFT(C2427,SEARCH("(",C2427)-1),C2427),Tipos!$A:$B,2,FALSE()),"outro"))</f>
        <v/>
      </c>
      <c r="K2427" s="7" t="str">
        <f aca="false">IF(I2427="","",IFERROR(INDEX('Campos Growths'!$L:$L,MATCH(H2427,'Campos Growths'!$A:$A,0)),""))</f>
        <v/>
      </c>
      <c r="L2427" s="7" t="str">
        <f aca="false">IF(A2427="","",IF(G2427="não","Sem tabela no Growths",IF(I2427="","Sem campo no Growths",IF(J2427=K2427,"Importa direto","Ajustar tipo"))))</f>
        <v/>
      </c>
      <c r="M2427" s="9"/>
    </row>
    <row r="2428" customFormat="false" ht="15" hidden="false" customHeight="false" outlineLevel="0" collapsed="false">
      <c r="A2428" s="7" t="str">
        <f aca="false">IF('Outro banco'!A2428="","",IF(LEFT('Outro banco'!A2428,1)="(","",'Outro banco'!A2428))</f>
        <v/>
      </c>
      <c r="B2428" s="7" t="str">
        <f aca="false">IF(A2428="","",'Outro banco'!B2428)</f>
        <v/>
      </c>
      <c r="C2428" s="7" t="str">
        <f aca="false">IF(A2428="","",'Outro banco'!C2428)</f>
        <v/>
      </c>
      <c r="D2428" s="7" t="str">
        <f aca="false">IF(A2428="","",'Outro banco'!D2428)</f>
        <v/>
      </c>
      <c r="E2428" s="9"/>
      <c r="F2428" s="9"/>
      <c r="G2428" s="7" t="str">
        <f aca="false">IF(A2428="","",IF(COUNTIF(Tabelas!$A:$A,IF(E2428="",A2428,E2428))&gt;0,"sim","não"))</f>
        <v/>
      </c>
      <c r="H2428" s="7" t="str">
        <f aca="false">IF(A2428="","",IF(E2428="",A2428,E2428)&amp;"."&amp;IF(F2428="",B2428,F2428))</f>
        <v/>
      </c>
      <c r="I2428" s="7" t="str">
        <f aca="false">IF(A2428="","",IFERROR(INDEX('Campos Growths'!$F:$F,MATCH(H2428,'Campos Growths'!$A:$A,0)),""))</f>
        <v/>
      </c>
      <c r="J2428" s="7" t="str">
        <f aca="false">IF(A2428="","",IFERROR(VLOOKUP(IF(ISNUMBER(SEARCH("(",C2428)),LEFT(C2428,SEARCH("(",C2428)-1),C2428),Tipos!$A:$B,2,FALSE()),"outro"))</f>
        <v/>
      </c>
      <c r="K2428" s="7" t="str">
        <f aca="false">IF(I2428="","",IFERROR(INDEX('Campos Growths'!$L:$L,MATCH(H2428,'Campos Growths'!$A:$A,0)),""))</f>
        <v/>
      </c>
      <c r="L2428" s="7" t="str">
        <f aca="false">IF(A2428="","",IF(G2428="não","Sem tabela no Growths",IF(I2428="","Sem campo no Growths",IF(J2428=K2428,"Importa direto","Ajustar tipo"))))</f>
        <v/>
      </c>
      <c r="M2428" s="9"/>
    </row>
    <row r="2429" customFormat="false" ht="15" hidden="false" customHeight="false" outlineLevel="0" collapsed="false">
      <c r="A2429" s="7" t="str">
        <f aca="false">IF('Outro banco'!A2429="","",IF(LEFT('Outro banco'!A2429,1)="(","",'Outro banco'!A2429))</f>
        <v/>
      </c>
      <c r="B2429" s="7" t="str">
        <f aca="false">IF(A2429="","",'Outro banco'!B2429)</f>
        <v/>
      </c>
      <c r="C2429" s="7" t="str">
        <f aca="false">IF(A2429="","",'Outro banco'!C2429)</f>
        <v/>
      </c>
      <c r="D2429" s="7" t="str">
        <f aca="false">IF(A2429="","",'Outro banco'!D2429)</f>
        <v/>
      </c>
      <c r="E2429" s="9"/>
      <c r="F2429" s="9"/>
      <c r="G2429" s="7" t="str">
        <f aca="false">IF(A2429="","",IF(COUNTIF(Tabelas!$A:$A,IF(E2429="",A2429,E2429))&gt;0,"sim","não"))</f>
        <v/>
      </c>
      <c r="H2429" s="7" t="str">
        <f aca="false">IF(A2429="","",IF(E2429="",A2429,E2429)&amp;"."&amp;IF(F2429="",B2429,F2429))</f>
        <v/>
      </c>
      <c r="I2429" s="7" t="str">
        <f aca="false">IF(A2429="","",IFERROR(INDEX('Campos Growths'!$F:$F,MATCH(H2429,'Campos Growths'!$A:$A,0)),""))</f>
        <v/>
      </c>
      <c r="J2429" s="7" t="str">
        <f aca="false">IF(A2429="","",IFERROR(VLOOKUP(IF(ISNUMBER(SEARCH("(",C2429)),LEFT(C2429,SEARCH("(",C2429)-1),C2429),Tipos!$A:$B,2,FALSE()),"outro"))</f>
        <v/>
      </c>
      <c r="K2429" s="7" t="str">
        <f aca="false">IF(I2429="","",IFERROR(INDEX('Campos Growths'!$L:$L,MATCH(H2429,'Campos Growths'!$A:$A,0)),""))</f>
        <v/>
      </c>
      <c r="L2429" s="7" t="str">
        <f aca="false">IF(A2429="","",IF(G2429="não","Sem tabela no Growths",IF(I2429="","Sem campo no Growths",IF(J2429=K2429,"Importa direto","Ajustar tipo"))))</f>
        <v/>
      </c>
      <c r="M2429" s="9"/>
    </row>
    <row r="2430" customFormat="false" ht="15" hidden="false" customHeight="false" outlineLevel="0" collapsed="false">
      <c r="A2430" s="7" t="str">
        <f aca="false">IF('Outro banco'!A2430="","",IF(LEFT('Outro banco'!A2430,1)="(","",'Outro banco'!A2430))</f>
        <v/>
      </c>
      <c r="B2430" s="7" t="str">
        <f aca="false">IF(A2430="","",'Outro banco'!B2430)</f>
        <v/>
      </c>
      <c r="C2430" s="7" t="str">
        <f aca="false">IF(A2430="","",'Outro banco'!C2430)</f>
        <v/>
      </c>
      <c r="D2430" s="7" t="str">
        <f aca="false">IF(A2430="","",'Outro banco'!D2430)</f>
        <v/>
      </c>
      <c r="E2430" s="9"/>
      <c r="F2430" s="9"/>
      <c r="G2430" s="7" t="str">
        <f aca="false">IF(A2430="","",IF(COUNTIF(Tabelas!$A:$A,IF(E2430="",A2430,E2430))&gt;0,"sim","não"))</f>
        <v/>
      </c>
      <c r="H2430" s="7" t="str">
        <f aca="false">IF(A2430="","",IF(E2430="",A2430,E2430)&amp;"."&amp;IF(F2430="",B2430,F2430))</f>
        <v/>
      </c>
      <c r="I2430" s="7" t="str">
        <f aca="false">IF(A2430="","",IFERROR(INDEX('Campos Growths'!$F:$F,MATCH(H2430,'Campos Growths'!$A:$A,0)),""))</f>
        <v/>
      </c>
      <c r="J2430" s="7" t="str">
        <f aca="false">IF(A2430="","",IFERROR(VLOOKUP(IF(ISNUMBER(SEARCH("(",C2430)),LEFT(C2430,SEARCH("(",C2430)-1),C2430),Tipos!$A:$B,2,FALSE()),"outro"))</f>
        <v/>
      </c>
      <c r="K2430" s="7" t="str">
        <f aca="false">IF(I2430="","",IFERROR(INDEX('Campos Growths'!$L:$L,MATCH(H2430,'Campos Growths'!$A:$A,0)),""))</f>
        <v/>
      </c>
      <c r="L2430" s="7" t="str">
        <f aca="false">IF(A2430="","",IF(G2430="não","Sem tabela no Growths",IF(I2430="","Sem campo no Growths",IF(J2430=K2430,"Importa direto","Ajustar tipo"))))</f>
        <v/>
      </c>
      <c r="M2430" s="9"/>
    </row>
    <row r="2431" customFormat="false" ht="15" hidden="false" customHeight="false" outlineLevel="0" collapsed="false">
      <c r="A2431" s="7" t="str">
        <f aca="false">IF('Outro banco'!A2431="","",IF(LEFT('Outro banco'!A2431,1)="(","",'Outro banco'!A2431))</f>
        <v/>
      </c>
      <c r="B2431" s="7" t="str">
        <f aca="false">IF(A2431="","",'Outro banco'!B2431)</f>
        <v/>
      </c>
      <c r="C2431" s="7" t="str">
        <f aca="false">IF(A2431="","",'Outro banco'!C2431)</f>
        <v/>
      </c>
      <c r="D2431" s="7" t="str">
        <f aca="false">IF(A2431="","",'Outro banco'!D2431)</f>
        <v/>
      </c>
      <c r="E2431" s="9"/>
      <c r="F2431" s="9"/>
      <c r="G2431" s="7" t="str">
        <f aca="false">IF(A2431="","",IF(COUNTIF(Tabelas!$A:$A,IF(E2431="",A2431,E2431))&gt;0,"sim","não"))</f>
        <v/>
      </c>
      <c r="H2431" s="7" t="str">
        <f aca="false">IF(A2431="","",IF(E2431="",A2431,E2431)&amp;"."&amp;IF(F2431="",B2431,F2431))</f>
        <v/>
      </c>
      <c r="I2431" s="7" t="str">
        <f aca="false">IF(A2431="","",IFERROR(INDEX('Campos Growths'!$F:$F,MATCH(H2431,'Campos Growths'!$A:$A,0)),""))</f>
        <v/>
      </c>
      <c r="J2431" s="7" t="str">
        <f aca="false">IF(A2431="","",IFERROR(VLOOKUP(IF(ISNUMBER(SEARCH("(",C2431)),LEFT(C2431,SEARCH("(",C2431)-1),C2431),Tipos!$A:$B,2,FALSE()),"outro"))</f>
        <v/>
      </c>
      <c r="K2431" s="7" t="str">
        <f aca="false">IF(I2431="","",IFERROR(INDEX('Campos Growths'!$L:$L,MATCH(H2431,'Campos Growths'!$A:$A,0)),""))</f>
        <v/>
      </c>
      <c r="L2431" s="7" t="str">
        <f aca="false">IF(A2431="","",IF(G2431="não","Sem tabela no Growths",IF(I2431="","Sem campo no Growths",IF(J2431=K2431,"Importa direto","Ajustar tipo"))))</f>
        <v/>
      </c>
      <c r="M2431" s="9"/>
    </row>
    <row r="2432" customFormat="false" ht="15" hidden="false" customHeight="false" outlineLevel="0" collapsed="false">
      <c r="A2432" s="7" t="str">
        <f aca="false">IF('Outro banco'!A2432="","",IF(LEFT('Outro banco'!A2432,1)="(","",'Outro banco'!A2432))</f>
        <v/>
      </c>
      <c r="B2432" s="7" t="str">
        <f aca="false">IF(A2432="","",'Outro banco'!B2432)</f>
        <v/>
      </c>
      <c r="C2432" s="7" t="str">
        <f aca="false">IF(A2432="","",'Outro banco'!C2432)</f>
        <v/>
      </c>
      <c r="D2432" s="7" t="str">
        <f aca="false">IF(A2432="","",'Outro banco'!D2432)</f>
        <v/>
      </c>
      <c r="E2432" s="9"/>
      <c r="F2432" s="9"/>
      <c r="G2432" s="7" t="str">
        <f aca="false">IF(A2432="","",IF(COUNTIF(Tabelas!$A:$A,IF(E2432="",A2432,E2432))&gt;0,"sim","não"))</f>
        <v/>
      </c>
      <c r="H2432" s="7" t="str">
        <f aca="false">IF(A2432="","",IF(E2432="",A2432,E2432)&amp;"."&amp;IF(F2432="",B2432,F2432))</f>
        <v/>
      </c>
      <c r="I2432" s="7" t="str">
        <f aca="false">IF(A2432="","",IFERROR(INDEX('Campos Growths'!$F:$F,MATCH(H2432,'Campos Growths'!$A:$A,0)),""))</f>
        <v/>
      </c>
      <c r="J2432" s="7" t="str">
        <f aca="false">IF(A2432="","",IFERROR(VLOOKUP(IF(ISNUMBER(SEARCH("(",C2432)),LEFT(C2432,SEARCH("(",C2432)-1),C2432),Tipos!$A:$B,2,FALSE()),"outro"))</f>
        <v/>
      </c>
      <c r="K2432" s="7" t="str">
        <f aca="false">IF(I2432="","",IFERROR(INDEX('Campos Growths'!$L:$L,MATCH(H2432,'Campos Growths'!$A:$A,0)),""))</f>
        <v/>
      </c>
      <c r="L2432" s="7" t="str">
        <f aca="false">IF(A2432="","",IF(G2432="não","Sem tabela no Growths",IF(I2432="","Sem campo no Growths",IF(J2432=K2432,"Importa direto","Ajustar tipo"))))</f>
        <v/>
      </c>
      <c r="M2432" s="9"/>
    </row>
    <row r="2433" customFormat="false" ht="15" hidden="false" customHeight="false" outlineLevel="0" collapsed="false">
      <c r="A2433" s="7" t="str">
        <f aca="false">IF('Outro banco'!A2433="","",IF(LEFT('Outro banco'!A2433,1)="(","",'Outro banco'!A2433))</f>
        <v/>
      </c>
      <c r="B2433" s="7" t="str">
        <f aca="false">IF(A2433="","",'Outro banco'!B2433)</f>
        <v/>
      </c>
      <c r="C2433" s="7" t="str">
        <f aca="false">IF(A2433="","",'Outro banco'!C2433)</f>
        <v/>
      </c>
      <c r="D2433" s="7" t="str">
        <f aca="false">IF(A2433="","",'Outro banco'!D2433)</f>
        <v/>
      </c>
      <c r="E2433" s="9"/>
      <c r="F2433" s="9"/>
      <c r="G2433" s="7" t="str">
        <f aca="false">IF(A2433="","",IF(COUNTIF(Tabelas!$A:$A,IF(E2433="",A2433,E2433))&gt;0,"sim","não"))</f>
        <v/>
      </c>
      <c r="H2433" s="7" t="str">
        <f aca="false">IF(A2433="","",IF(E2433="",A2433,E2433)&amp;"."&amp;IF(F2433="",B2433,F2433))</f>
        <v/>
      </c>
      <c r="I2433" s="7" t="str">
        <f aca="false">IF(A2433="","",IFERROR(INDEX('Campos Growths'!$F:$F,MATCH(H2433,'Campos Growths'!$A:$A,0)),""))</f>
        <v/>
      </c>
      <c r="J2433" s="7" t="str">
        <f aca="false">IF(A2433="","",IFERROR(VLOOKUP(IF(ISNUMBER(SEARCH("(",C2433)),LEFT(C2433,SEARCH("(",C2433)-1),C2433),Tipos!$A:$B,2,FALSE()),"outro"))</f>
        <v/>
      </c>
      <c r="K2433" s="7" t="str">
        <f aca="false">IF(I2433="","",IFERROR(INDEX('Campos Growths'!$L:$L,MATCH(H2433,'Campos Growths'!$A:$A,0)),""))</f>
        <v/>
      </c>
      <c r="L2433" s="7" t="str">
        <f aca="false">IF(A2433="","",IF(G2433="não","Sem tabela no Growths",IF(I2433="","Sem campo no Growths",IF(J2433=K2433,"Importa direto","Ajustar tipo"))))</f>
        <v/>
      </c>
      <c r="M2433" s="9"/>
    </row>
    <row r="2434" customFormat="false" ht="15" hidden="false" customHeight="false" outlineLevel="0" collapsed="false">
      <c r="A2434" s="7" t="str">
        <f aca="false">IF('Outro banco'!A2434="","",IF(LEFT('Outro banco'!A2434,1)="(","",'Outro banco'!A2434))</f>
        <v/>
      </c>
      <c r="B2434" s="7" t="str">
        <f aca="false">IF(A2434="","",'Outro banco'!B2434)</f>
        <v/>
      </c>
      <c r="C2434" s="7" t="str">
        <f aca="false">IF(A2434="","",'Outro banco'!C2434)</f>
        <v/>
      </c>
      <c r="D2434" s="7" t="str">
        <f aca="false">IF(A2434="","",'Outro banco'!D2434)</f>
        <v/>
      </c>
      <c r="E2434" s="9"/>
      <c r="F2434" s="9"/>
      <c r="G2434" s="7" t="str">
        <f aca="false">IF(A2434="","",IF(COUNTIF(Tabelas!$A:$A,IF(E2434="",A2434,E2434))&gt;0,"sim","não"))</f>
        <v/>
      </c>
      <c r="H2434" s="7" t="str">
        <f aca="false">IF(A2434="","",IF(E2434="",A2434,E2434)&amp;"."&amp;IF(F2434="",B2434,F2434))</f>
        <v/>
      </c>
      <c r="I2434" s="7" t="str">
        <f aca="false">IF(A2434="","",IFERROR(INDEX('Campos Growths'!$F:$F,MATCH(H2434,'Campos Growths'!$A:$A,0)),""))</f>
        <v/>
      </c>
      <c r="J2434" s="7" t="str">
        <f aca="false">IF(A2434="","",IFERROR(VLOOKUP(IF(ISNUMBER(SEARCH("(",C2434)),LEFT(C2434,SEARCH("(",C2434)-1),C2434),Tipos!$A:$B,2,FALSE()),"outro"))</f>
        <v/>
      </c>
      <c r="K2434" s="7" t="str">
        <f aca="false">IF(I2434="","",IFERROR(INDEX('Campos Growths'!$L:$L,MATCH(H2434,'Campos Growths'!$A:$A,0)),""))</f>
        <v/>
      </c>
      <c r="L2434" s="7" t="str">
        <f aca="false">IF(A2434="","",IF(G2434="não","Sem tabela no Growths",IF(I2434="","Sem campo no Growths",IF(J2434=K2434,"Importa direto","Ajustar tipo"))))</f>
        <v/>
      </c>
      <c r="M2434" s="9"/>
    </row>
    <row r="2435" customFormat="false" ht="15" hidden="false" customHeight="false" outlineLevel="0" collapsed="false">
      <c r="A2435" s="7" t="str">
        <f aca="false">IF('Outro banco'!A2435="","",IF(LEFT('Outro banco'!A2435,1)="(","",'Outro banco'!A2435))</f>
        <v/>
      </c>
      <c r="B2435" s="7" t="str">
        <f aca="false">IF(A2435="","",'Outro banco'!B2435)</f>
        <v/>
      </c>
      <c r="C2435" s="7" t="str">
        <f aca="false">IF(A2435="","",'Outro banco'!C2435)</f>
        <v/>
      </c>
      <c r="D2435" s="7" t="str">
        <f aca="false">IF(A2435="","",'Outro banco'!D2435)</f>
        <v/>
      </c>
      <c r="E2435" s="9"/>
      <c r="F2435" s="9"/>
      <c r="G2435" s="7" t="str">
        <f aca="false">IF(A2435="","",IF(COUNTIF(Tabelas!$A:$A,IF(E2435="",A2435,E2435))&gt;0,"sim","não"))</f>
        <v/>
      </c>
      <c r="H2435" s="7" t="str">
        <f aca="false">IF(A2435="","",IF(E2435="",A2435,E2435)&amp;"."&amp;IF(F2435="",B2435,F2435))</f>
        <v/>
      </c>
      <c r="I2435" s="7" t="str">
        <f aca="false">IF(A2435="","",IFERROR(INDEX('Campos Growths'!$F:$F,MATCH(H2435,'Campos Growths'!$A:$A,0)),""))</f>
        <v/>
      </c>
      <c r="J2435" s="7" t="str">
        <f aca="false">IF(A2435="","",IFERROR(VLOOKUP(IF(ISNUMBER(SEARCH("(",C2435)),LEFT(C2435,SEARCH("(",C2435)-1),C2435),Tipos!$A:$B,2,FALSE()),"outro"))</f>
        <v/>
      </c>
      <c r="K2435" s="7" t="str">
        <f aca="false">IF(I2435="","",IFERROR(INDEX('Campos Growths'!$L:$L,MATCH(H2435,'Campos Growths'!$A:$A,0)),""))</f>
        <v/>
      </c>
      <c r="L2435" s="7" t="str">
        <f aca="false">IF(A2435="","",IF(G2435="não","Sem tabela no Growths",IF(I2435="","Sem campo no Growths",IF(J2435=K2435,"Importa direto","Ajustar tipo"))))</f>
        <v/>
      </c>
      <c r="M2435" s="9"/>
    </row>
    <row r="2436" customFormat="false" ht="15" hidden="false" customHeight="false" outlineLevel="0" collapsed="false">
      <c r="A2436" s="7" t="str">
        <f aca="false">IF('Outro banco'!A2436="","",IF(LEFT('Outro banco'!A2436,1)="(","",'Outro banco'!A2436))</f>
        <v/>
      </c>
      <c r="B2436" s="7" t="str">
        <f aca="false">IF(A2436="","",'Outro banco'!B2436)</f>
        <v/>
      </c>
      <c r="C2436" s="7" t="str">
        <f aca="false">IF(A2436="","",'Outro banco'!C2436)</f>
        <v/>
      </c>
      <c r="D2436" s="7" t="str">
        <f aca="false">IF(A2436="","",'Outro banco'!D2436)</f>
        <v/>
      </c>
      <c r="E2436" s="9"/>
      <c r="F2436" s="9"/>
      <c r="G2436" s="7" t="str">
        <f aca="false">IF(A2436="","",IF(COUNTIF(Tabelas!$A:$A,IF(E2436="",A2436,E2436))&gt;0,"sim","não"))</f>
        <v/>
      </c>
      <c r="H2436" s="7" t="str">
        <f aca="false">IF(A2436="","",IF(E2436="",A2436,E2436)&amp;"."&amp;IF(F2436="",B2436,F2436))</f>
        <v/>
      </c>
      <c r="I2436" s="7" t="str">
        <f aca="false">IF(A2436="","",IFERROR(INDEX('Campos Growths'!$F:$F,MATCH(H2436,'Campos Growths'!$A:$A,0)),""))</f>
        <v/>
      </c>
      <c r="J2436" s="7" t="str">
        <f aca="false">IF(A2436="","",IFERROR(VLOOKUP(IF(ISNUMBER(SEARCH("(",C2436)),LEFT(C2436,SEARCH("(",C2436)-1),C2436),Tipos!$A:$B,2,FALSE()),"outro"))</f>
        <v/>
      </c>
      <c r="K2436" s="7" t="str">
        <f aca="false">IF(I2436="","",IFERROR(INDEX('Campos Growths'!$L:$L,MATCH(H2436,'Campos Growths'!$A:$A,0)),""))</f>
        <v/>
      </c>
      <c r="L2436" s="7" t="str">
        <f aca="false">IF(A2436="","",IF(G2436="não","Sem tabela no Growths",IF(I2436="","Sem campo no Growths",IF(J2436=K2436,"Importa direto","Ajustar tipo"))))</f>
        <v/>
      </c>
      <c r="M2436" s="9"/>
    </row>
    <row r="2437" customFormat="false" ht="15" hidden="false" customHeight="false" outlineLevel="0" collapsed="false">
      <c r="A2437" s="7" t="str">
        <f aca="false">IF('Outro banco'!A2437="","",IF(LEFT('Outro banco'!A2437,1)="(","",'Outro banco'!A2437))</f>
        <v/>
      </c>
      <c r="B2437" s="7" t="str">
        <f aca="false">IF(A2437="","",'Outro banco'!B2437)</f>
        <v/>
      </c>
      <c r="C2437" s="7" t="str">
        <f aca="false">IF(A2437="","",'Outro banco'!C2437)</f>
        <v/>
      </c>
      <c r="D2437" s="7" t="str">
        <f aca="false">IF(A2437="","",'Outro banco'!D2437)</f>
        <v/>
      </c>
      <c r="E2437" s="9"/>
      <c r="F2437" s="9"/>
      <c r="G2437" s="7" t="str">
        <f aca="false">IF(A2437="","",IF(COUNTIF(Tabelas!$A:$A,IF(E2437="",A2437,E2437))&gt;0,"sim","não"))</f>
        <v/>
      </c>
      <c r="H2437" s="7" t="str">
        <f aca="false">IF(A2437="","",IF(E2437="",A2437,E2437)&amp;"."&amp;IF(F2437="",B2437,F2437))</f>
        <v/>
      </c>
      <c r="I2437" s="7" t="str">
        <f aca="false">IF(A2437="","",IFERROR(INDEX('Campos Growths'!$F:$F,MATCH(H2437,'Campos Growths'!$A:$A,0)),""))</f>
        <v/>
      </c>
      <c r="J2437" s="7" t="str">
        <f aca="false">IF(A2437="","",IFERROR(VLOOKUP(IF(ISNUMBER(SEARCH("(",C2437)),LEFT(C2437,SEARCH("(",C2437)-1),C2437),Tipos!$A:$B,2,FALSE()),"outro"))</f>
        <v/>
      </c>
      <c r="K2437" s="7" t="str">
        <f aca="false">IF(I2437="","",IFERROR(INDEX('Campos Growths'!$L:$L,MATCH(H2437,'Campos Growths'!$A:$A,0)),""))</f>
        <v/>
      </c>
      <c r="L2437" s="7" t="str">
        <f aca="false">IF(A2437="","",IF(G2437="não","Sem tabela no Growths",IF(I2437="","Sem campo no Growths",IF(J2437=K2437,"Importa direto","Ajustar tipo"))))</f>
        <v/>
      </c>
      <c r="M2437" s="9"/>
    </row>
    <row r="2438" customFormat="false" ht="15" hidden="false" customHeight="false" outlineLevel="0" collapsed="false">
      <c r="A2438" s="7" t="str">
        <f aca="false">IF('Outro banco'!A2438="","",IF(LEFT('Outro banco'!A2438,1)="(","",'Outro banco'!A2438))</f>
        <v/>
      </c>
      <c r="B2438" s="7" t="str">
        <f aca="false">IF(A2438="","",'Outro banco'!B2438)</f>
        <v/>
      </c>
      <c r="C2438" s="7" t="str">
        <f aca="false">IF(A2438="","",'Outro banco'!C2438)</f>
        <v/>
      </c>
      <c r="D2438" s="7" t="str">
        <f aca="false">IF(A2438="","",'Outro banco'!D2438)</f>
        <v/>
      </c>
      <c r="E2438" s="9"/>
      <c r="F2438" s="9"/>
      <c r="G2438" s="7" t="str">
        <f aca="false">IF(A2438="","",IF(COUNTIF(Tabelas!$A:$A,IF(E2438="",A2438,E2438))&gt;0,"sim","não"))</f>
        <v/>
      </c>
      <c r="H2438" s="7" t="str">
        <f aca="false">IF(A2438="","",IF(E2438="",A2438,E2438)&amp;"."&amp;IF(F2438="",B2438,F2438))</f>
        <v/>
      </c>
      <c r="I2438" s="7" t="str">
        <f aca="false">IF(A2438="","",IFERROR(INDEX('Campos Growths'!$F:$F,MATCH(H2438,'Campos Growths'!$A:$A,0)),""))</f>
        <v/>
      </c>
      <c r="J2438" s="7" t="str">
        <f aca="false">IF(A2438="","",IFERROR(VLOOKUP(IF(ISNUMBER(SEARCH("(",C2438)),LEFT(C2438,SEARCH("(",C2438)-1),C2438),Tipos!$A:$B,2,FALSE()),"outro"))</f>
        <v/>
      </c>
      <c r="K2438" s="7" t="str">
        <f aca="false">IF(I2438="","",IFERROR(INDEX('Campos Growths'!$L:$L,MATCH(H2438,'Campos Growths'!$A:$A,0)),""))</f>
        <v/>
      </c>
      <c r="L2438" s="7" t="str">
        <f aca="false">IF(A2438="","",IF(G2438="não","Sem tabela no Growths",IF(I2438="","Sem campo no Growths",IF(J2438=K2438,"Importa direto","Ajustar tipo"))))</f>
        <v/>
      </c>
      <c r="M2438" s="9"/>
    </row>
    <row r="2439" customFormat="false" ht="15" hidden="false" customHeight="false" outlineLevel="0" collapsed="false">
      <c r="A2439" s="7" t="str">
        <f aca="false">IF('Outro banco'!A2439="","",IF(LEFT('Outro banco'!A2439,1)="(","",'Outro banco'!A2439))</f>
        <v/>
      </c>
      <c r="B2439" s="7" t="str">
        <f aca="false">IF(A2439="","",'Outro banco'!B2439)</f>
        <v/>
      </c>
      <c r="C2439" s="7" t="str">
        <f aca="false">IF(A2439="","",'Outro banco'!C2439)</f>
        <v/>
      </c>
      <c r="D2439" s="7" t="str">
        <f aca="false">IF(A2439="","",'Outro banco'!D2439)</f>
        <v/>
      </c>
      <c r="E2439" s="9"/>
      <c r="F2439" s="9"/>
      <c r="G2439" s="7" t="str">
        <f aca="false">IF(A2439="","",IF(COUNTIF(Tabelas!$A:$A,IF(E2439="",A2439,E2439))&gt;0,"sim","não"))</f>
        <v/>
      </c>
      <c r="H2439" s="7" t="str">
        <f aca="false">IF(A2439="","",IF(E2439="",A2439,E2439)&amp;"."&amp;IF(F2439="",B2439,F2439))</f>
        <v/>
      </c>
      <c r="I2439" s="7" t="str">
        <f aca="false">IF(A2439="","",IFERROR(INDEX('Campos Growths'!$F:$F,MATCH(H2439,'Campos Growths'!$A:$A,0)),""))</f>
        <v/>
      </c>
      <c r="J2439" s="7" t="str">
        <f aca="false">IF(A2439="","",IFERROR(VLOOKUP(IF(ISNUMBER(SEARCH("(",C2439)),LEFT(C2439,SEARCH("(",C2439)-1),C2439),Tipos!$A:$B,2,FALSE()),"outro"))</f>
        <v/>
      </c>
      <c r="K2439" s="7" t="str">
        <f aca="false">IF(I2439="","",IFERROR(INDEX('Campos Growths'!$L:$L,MATCH(H2439,'Campos Growths'!$A:$A,0)),""))</f>
        <v/>
      </c>
      <c r="L2439" s="7" t="str">
        <f aca="false">IF(A2439="","",IF(G2439="não","Sem tabela no Growths",IF(I2439="","Sem campo no Growths",IF(J2439=K2439,"Importa direto","Ajustar tipo"))))</f>
        <v/>
      </c>
      <c r="M2439" s="9"/>
    </row>
    <row r="2440" customFormat="false" ht="15" hidden="false" customHeight="false" outlineLevel="0" collapsed="false">
      <c r="A2440" s="7" t="str">
        <f aca="false">IF('Outro banco'!A2440="","",IF(LEFT('Outro banco'!A2440,1)="(","",'Outro banco'!A2440))</f>
        <v/>
      </c>
      <c r="B2440" s="7" t="str">
        <f aca="false">IF(A2440="","",'Outro banco'!B2440)</f>
        <v/>
      </c>
      <c r="C2440" s="7" t="str">
        <f aca="false">IF(A2440="","",'Outro banco'!C2440)</f>
        <v/>
      </c>
      <c r="D2440" s="7" t="str">
        <f aca="false">IF(A2440="","",'Outro banco'!D2440)</f>
        <v/>
      </c>
      <c r="E2440" s="9"/>
      <c r="F2440" s="9"/>
      <c r="G2440" s="7" t="str">
        <f aca="false">IF(A2440="","",IF(COUNTIF(Tabelas!$A:$A,IF(E2440="",A2440,E2440))&gt;0,"sim","não"))</f>
        <v/>
      </c>
      <c r="H2440" s="7" t="str">
        <f aca="false">IF(A2440="","",IF(E2440="",A2440,E2440)&amp;"."&amp;IF(F2440="",B2440,F2440))</f>
        <v/>
      </c>
      <c r="I2440" s="7" t="str">
        <f aca="false">IF(A2440="","",IFERROR(INDEX('Campos Growths'!$F:$F,MATCH(H2440,'Campos Growths'!$A:$A,0)),""))</f>
        <v/>
      </c>
      <c r="J2440" s="7" t="str">
        <f aca="false">IF(A2440="","",IFERROR(VLOOKUP(IF(ISNUMBER(SEARCH("(",C2440)),LEFT(C2440,SEARCH("(",C2440)-1),C2440),Tipos!$A:$B,2,FALSE()),"outro"))</f>
        <v/>
      </c>
      <c r="K2440" s="7" t="str">
        <f aca="false">IF(I2440="","",IFERROR(INDEX('Campos Growths'!$L:$L,MATCH(H2440,'Campos Growths'!$A:$A,0)),""))</f>
        <v/>
      </c>
      <c r="L2440" s="7" t="str">
        <f aca="false">IF(A2440="","",IF(G2440="não","Sem tabela no Growths",IF(I2440="","Sem campo no Growths",IF(J2440=K2440,"Importa direto","Ajustar tipo"))))</f>
        <v/>
      </c>
      <c r="M2440" s="9"/>
    </row>
    <row r="2441" customFormat="false" ht="15" hidden="false" customHeight="false" outlineLevel="0" collapsed="false">
      <c r="A2441" s="7" t="str">
        <f aca="false">IF('Outro banco'!A2441="","",IF(LEFT('Outro banco'!A2441,1)="(","",'Outro banco'!A2441))</f>
        <v/>
      </c>
      <c r="B2441" s="7" t="str">
        <f aca="false">IF(A2441="","",'Outro banco'!B2441)</f>
        <v/>
      </c>
      <c r="C2441" s="7" t="str">
        <f aca="false">IF(A2441="","",'Outro banco'!C2441)</f>
        <v/>
      </c>
      <c r="D2441" s="7" t="str">
        <f aca="false">IF(A2441="","",'Outro banco'!D2441)</f>
        <v/>
      </c>
      <c r="E2441" s="9"/>
      <c r="F2441" s="9"/>
      <c r="G2441" s="7" t="str">
        <f aca="false">IF(A2441="","",IF(COUNTIF(Tabelas!$A:$A,IF(E2441="",A2441,E2441))&gt;0,"sim","não"))</f>
        <v/>
      </c>
      <c r="H2441" s="7" t="str">
        <f aca="false">IF(A2441="","",IF(E2441="",A2441,E2441)&amp;"."&amp;IF(F2441="",B2441,F2441))</f>
        <v/>
      </c>
      <c r="I2441" s="7" t="str">
        <f aca="false">IF(A2441="","",IFERROR(INDEX('Campos Growths'!$F:$F,MATCH(H2441,'Campos Growths'!$A:$A,0)),""))</f>
        <v/>
      </c>
      <c r="J2441" s="7" t="str">
        <f aca="false">IF(A2441="","",IFERROR(VLOOKUP(IF(ISNUMBER(SEARCH("(",C2441)),LEFT(C2441,SEARCH("(",C2441)-1),C2441),Tipos!$A:$B,2,FALSE()),"outro"))</f>
        <v/>
      </c>
      <c r="K2441" s="7" t="str">
        <f aca="false">IF(I2441="","",IFERROR(INDEX('Campos Growths'!$L:$L,MATCH(H2441,'Campos Growths'!$A:$A,0)),""))</f>
        <v/>
      </c>
      <c r="L2441" s="7" t="str">
        <f aca="false">IF(A2441="","",IF(G2441="não","Sem tabela no Growths",IF(I2441="","Sem campo no Growths",IF(J2441=K2441,"Importa direto","Ajustar tipo"))))</f>
        <v/>
      </c>
      <c r="M2441" s="9"/>
    </row>
    <row r="2442" customFormat="false" ht="15" hidden="false" customHeight="false" outlineLevel="0" collapsed="false">
      <c r="A2442" s="7" t="str">
        <f aca="false">IF('Outro banco'!A2442="","",IF(LEFT('Outro banco'!A2442,1)="(","",'Outro banco'!A2442))</f>
        <v/>
      </c>
      <c r="B2442" s="7" t="str">
        <f aca="false">IF(A2442="","",'Outro banco'!B2442)</f>
        <v/>
      </c>
      <c r="C2442" s="7" t="str">
        <f aca="false">IF(A2442="","",'Outro banco'!C2442)</f>
        <v/>
      </c>
      <c r="D2442" s="7" t="str">
        <f aca="false">IF(A2442="","",'Outro banco'!D2442)</f>
        <v/>
      </c>
      <c r="E2442" s="9"/>
      <c r="F2442" s="9"/>
      <c r="G2442" s="7" t="str">
        <f aca="false">IF(A2442="","",IF(COUNTIF(Tabelas!$A:$A,IF(E2442="",A2442,E2442))&gt;0,"sim","não"))</f>
        <v/>
      </c>
      <c r="H2442" s="7" t="str">
        <f aca="false">IF(A2442="","",IF(E2442="",A2442,E2442)&amp;"."&amp;IF(F2442="",B2442,F2442))</f>
        <v/>
      </c>
      <c r="I2442" s="7" t="str">
        <f aca="false">IF(A2442="","",IFERROR(INDEX('Campos Growths'!$F:$F,MATCH(H2442,'Campos Growths'!$A:$A,0)),""))</f>
        <v/>
      </c>
      <c r="J2442" s="7" t="str">
        <f aca="false">IF(A2442="","",IFERROR(VLOOKUP(IF(ISNUMBER(SEARCH("(",C2442)),LEFT(C2442,SEARCH("(",C2442)-1),C2442),Tipos!$A:$B,2,FALSE()),"outro"))</f>
        <v/>
      </c>
      <c r="K2442" s="7" t="str">
        <f aca="false">IF(I2442="","",IFERROR(INDEX('Campos Growths'!$L:$L,MATCH(H2442,'Campos Growths'!$A:$A,0)),""))</f>
        <v/>
      </c>
      <c r="L2442" s="7" t="str">
        <f aca="false">IF(A2442="","",IF(G2442="não","Sem tabela no Growths",IF(I2442="","Sem campo no Growths",IF(J2442=K2442,"Importa direto","Ajustar tipo"))))</f>
        <v/>
      </c>
      <c r="M2442" s="9"/>
    </row>
    <row r="2443" customFormat="false" ht="15" hidden="false" customHeight="false" outlineLevel="0" collapsed="false">
      <c r="A2443" s="7" t="str">
        <f aca="false">IF('Outro banco'!A2443="","",IF(LEFT('Outro banco'!A2443,1)="(","",'Outro banco'!A2443))</f>
        <v/>
      </c>
      <c r="B2443" s="7" t="str">
        <f aca="false">IF(A2443="","",'Outro banco'!B2443)</f>
        <v/>
      </c>
      <c r="C2443" s="7" t="str">
        <f aca="false">IF(A2443="","",'Outro banco'!C2443)</f>
        <v/>
      </c>
      <c r="D2443" s="7" t="str">
        <f aca="false">IF(A2443="","",'Outro banco'!D2443)</f>
        <v/>
      </c>
      <c r="E2443" s="9"/>
      <c r="F2443" s="9"/>
      <c r="G2443" s="7" t="str">
        <f aca="false">IF(A2443="","",IF(COUNTIF(Tabelas!$A:$A,IF(E2443="",A2443,E2443))&gt;0,"sim","não"))</f>
        <v/>
      </c>
      <c r="H2443" s="7" t="str">
        <f aca="false">IF(A2443="","",IF(E2443="",A2443,E2443)&amp;"."&amp;IF(F2443="",B2443,F2443))</f>
        <v/>
      </c>
      <c r="I2443" s="7" t="str">
        <f aca="false">IF(A2443="","",IFERROR(INDEX('Campos Growths'!$F:$F,MATCH(H2443,'Campos Growths'!$A:$A,0)),""))</f>
        <v/>
      </c>
      <c r="J2443" s="7" t="str">
        <f aca="false">IF(A2443="","",IFERROR(VLOOKUP(IF(ISNUMBER(SEARCH("(",C2443)),LEFT(C2443,SEARCH("(",C2443)-1),C2443),Tipos!$A:$B,2,FALSE()),"outro"))</f>
        <v/>
      </c>
      <c r="K2443" s="7" t="str">
        <f aca="false">IF(I2443="","",IFERROR(INDEX('Campos Growths'!$L:$L,MATCH(H2443,'Campos Growths'!$A:$A,0)),""))</f>
        <v/>
      </c>
      <c r="L2443" s="7" t="str">
        <f aca="false">IF(A2443="","",IF(G2443="não","Sem tabela no Growths",IF(I2443="","Sem campo no Growths",IF(J2443=K2443,"Importa direto","Ajustar tipo"))))</f>
        <v/>
      </c>
      <c r="M2443" s="9"/>
    </row>
    <row r="2444" customFormat="false" ht="15" hidden="false" customHeight="false" outlineLevel="0" collapsed="false">
      <c r="A2444" s="7" t="str">
        <f aca="false">IF('Outro banco'!A2444="","",IF(LEFT('Outro banco'!A2444,1)="(","",'Outro banco'!A2444))</f>
        <v/>
      </c>
      <c r="B2444" s="7" t="str">
        <f aca="false">IF(A2444="","",'Outro banco'!B2444)</f>
        <v/>
      </c>
      <c r="C2444" s="7" t="str">
        <f aca="false">IF(A2444="","",'Outro banco'!C2444)</f>
        <v/>
      </c>
      <c r="D2444" s="7" t="str">
        <f aca="false">IF(A2444="","",'Outro banco'!D2444)</f>
        <v/>
      </c>
      <c r="E2444" s="9"/>
      <c r="F2444" s="9"/>
      <c r="G2444" s="7" t="str">
        <f aca="false">IF(A2444="","",IF(COUNTIF(Tabelas!$A:$A,IF(E2444="",A2444,E2444))&gt;0,"sim","não"))</f>
        <v/>
      </c>
      <c r="H2444" s="7" t="str">
        <f aca="false">IF(A2444="","",IF(E2444="",A2444,E2444)&amp;"."&amp;IF(F2444="",B2444,F2444))</f>
        <v/>
      </c>
      <c r="I2444" s="7" t="str">
        <f aca="false">IF(A2444="","",IFERROR(INDEX('Campos Growths'!$F:$F,MATCH(H2444,'Campos Growths'!$A:$A,0)),""))</f>
        <v/>
      </c>
      <c r="J2444" s="7" t="str">
        <f aca="false">IF(A2444="","",IFERROR(VLOOKUP(IF(ISNUMBER(SEARCH("(",C2444)),LEFT(C2444,SEARCH("(",C2444)-1),C2444),Tipos!$A:$B,2,FALSE()),"outro"))</f>
        <v/>
      </c>
      <c r="K2444" s="7" t="str">
        <f aca="false">IF(I2444="","",IFERROR(INDEX('Campos Growths'!$L:$L,MATCH(H2444,'Campos Growths'!$A:$A,0)),""))</f>
        <v/>
      </c>
      <c r="L2444" s="7" t="str">
        <f aca="false">IF(A2444="","",IF(G2444="não","Sem tabela no Growths",IF(I2444="","Sem campo no Growths",IF(J2444=K2444,"Importa direto","Ajustar tipo"))))</f>
        <v/>
      </c>
      <c r="M2444" s="9"/>
    </row>
    <row r="2445" customFormat="false" ht="15" hidden="false" customHeight="false" outlineLevel="0" collapsed="false">
      <c r="A2445" s="7" t="str">
        <f aca="false">IF('Outro banco'!A2445="","",IF(LEFT('Outro banco'!A2445,1)="(","",'Outro banco'!A2445))</f>
        <v/>
      </c>
      <c r="B2445" s="7" t="str">
        <f aca="false">IF(A2445="","",'Outro banco'!B2445)</f>
        <v/>
      </c>
      <c r="C2445" s="7" t="str">
        <f aca="false">IF(A2445="","",'Outro banco'!C2445)</f>
        <v/>
      </c>
      <c r="D2445" s="7" t="str">
        <f aca="false">IF(A2445="","",'Outro banco'!D2445)</f>
        <v/>
      </c>
      <c r="E2445" s="9"/>
      <c r="F2445" s="9"/>
      <c r="G2445" s="7" t="str">
        <f aca="false">IF(A2445="","",IF(COUNTIF(Tabelas!$A:$A,IF(E2445="",A2445,E2445))&gt;0,"sim","não"))</f>
        <v/>
      </c>
      <c r="H2445" s="7" t="str">
        <f aca="false">IF(A2445="","",IF(E2445="",A2445,E2445)&amp;"."&amp;IF(F2445="",B2445,F2445))</f>
        <v/>
      </c>
      <c r="I2445" s="7" t="str">
        <f aca="false">IF(A2445="","",IFERROR(INDEX('Campos Growths'!$F:$F,MATCH(H2445,'Campos Growths'!$A:$A,0)),""))</f>
        <v/>
      </c>
      <c r="J2445" s="7" t="str">
        <f aca="false">IF(A2445="","",IFERROR(VLOOKUP(IF(ISNUMBER(SEARCH("(",C2445)),LEFT(C2445,SEARCH("(",C2445)-1),C2445),Tipos!$A:$B,2,FALSE()),"outro"))</f>
        <v/>
      </c>
      <c r="K2445" s="7" t="str">
        <f aca="false">IF(I2445="","",IFERROR(INDEX('Campos Growths'!$L:$L,MATCH(H2445,'Campos Growths'!$A:$A,0)),""))</f>
        <v/>
      </c>
      <c r="L2445" s="7" t="str">
        <f aca="false">IF(A2445="","",IF(G2445="não","Sem tabela no Growths",IF(I2445="","Sem campo no Growths",IF(J2445=K2445,"Importa direto","Ajustar tipo"))))</f>
        <v/>
      </c>
      <c r="M2445" s="9"/>
    </row>
    <row r="2446" customFormat="false" ht="15" hidden="false" customHeight="false" outlineLevel="0" collapsed="false">
      <c r="A2446" s="7" t="str">
        <f aca="false">IF('Outro banco'!A2446="","",IF(LEFT('Outro banco'!A2446,1)="(","",'Outro banco'!A2446))</f>
        <v/>
      </c>
      <c r="B2446" s="7" t="str">
        <f aca="false">IF(A2446="","",'Outro banco'!B2446)</f>
        <v/>
      </c>
      <c r="C2446" s="7" t="str">
        <f aca="false">IF(A2446="","",'Outro banco'!C2446)</f>
        <v/>
      </c>
      <c r="D2446" s="7" t="str">
        <f aca="false">IF(A2446="","",'Outro banco'!D2446)</f>
        <v/>
      </c>
      <c r="E2446" s="9"/>
      <c r="F2446" s="9"/>
      <c r="G2446" s="7" t="str">
        <f aca="false">IF(A2446="","",IF(COUNTIF(Tabelas!$A:$A,IF(E2446="",A2446,E2446))&gt;0,"sim","não"))</f>
        <v/>
      </c>
      <c r="H2446" s="7" t="str">
        <f aca="false">IF(A2446="","",IF(E2446="",A2446,E2446)&amp;"."&amp;IF(F2446="",B2446,F2446))</f>
        <v/>
      </c>
      <c r="I2446" s="7" t="str">
        <f aca="false">IF(A2446="","",IFERROR(INDEX('Campos Growths'!$F:$F,MATCH(H2446,'Campos Growths'!$A:$A,0)),""))</f>
        <v/>
      </c>
      <c r="J2446" s="7" t="str">
        <f aca="false">IF(A2446="","",IFERROR(VLOOKUP(IF(ISNUMBER(SEARCH("(",C2446)),LEFT(C2446,SEARCH("(",C2446)-1),C2446),Tipos!$A:$B,2,FALSE()),"outro"))</f>
        <v/>
      </c>
      <c r="K2446" s="7" t="str">
        <f aca="false">IF(I2446="","",IFERROR(INDEX('Campos Growths'!$L:$L,MATCH(H2446,'Campos Growths'!$A:$A,0)),""))</f>
        <v/>
      </c>
      <c r="L2446" s="7" t="str">
        <f aca="false">IF(A2446="","",IF(G2446="não","Sem tabela no Growths",IF(I2446="","Sem campo no Growths",IF(J2446=K2446,"Importa direto","Ajustar tipo"))))</f>
        <v/>
      </c>
      <c r="M2446" s="9"/>
    </row>
    <row r="2447" customFormat="false" ht="15" hidden="false" customHeight="false" outlineLevel="0" collapsed="false">
      <c r="A2447" s="7" t="str">
        <f aca="false">IF('Outro banco'!A2447="","",IF(LEFT('Outro banco'!A2447,1)="(","",'Outro banco'!A2447))</f>
        <v/>
      </c>
      <c r="B2447" s="7" t="str">
        <f aca="false">IF(A2447="","",'Outro banco'!B2447)</f>
        <v/>
      </c>
      <c r="C2447" s="7" t="str">
        <f aca="false">IF(A2447="","",'Outro banco'!C2447)</f>
        <v/>
      </c>
      <c r="D2447" s="7" t="str">
        <f aca="false">IF(A2447="","",'Outro banco'!D2447)</f>
        <v/>
      </c>
      <c r="E2447" s="9"/>
      <c r="F2447" s="9"/>
      <c r="G2447" s="7" t="str">
        <f aca="false">IF(A2447="","",IF(COUNTIF(Tabelas!$A:$A,IF(E2447="",A2447,E2447))&gt;0,"sim","não"))</f>
        <v/>
      </c>
      <c r="H2447" s="7" t="str">
        <f aca="false">IF(A2447="","",IF(E2447="",A2447,E2447)&amp;"."&amp;IF(F2447="",B2447,F2447))</f>
        <v/>
      </c>
      <c r="I2447" s="7" t="str">
        <f aca="false">IF(A2447="","",IFERROR(INDEX('Campos Growths'!$F:$F,MATCH(H2447,'Campos Growths'!$A:$A,0)),""))</f>
        <v/>
      </c>
      <c r="J2447" s="7" t="str">
        <f aca="false">IF(A2447="","",IFERROR(VLOOKUP(IF(ISNUMBER(SEARCH("(",C2447)),LEFT(C2447,SEARCH("(",C2447)-1),C2447),Tipos!$A:$B,2,FALSE()),"outro"))</f>
        <v/>
      </c>
      <c r="K2447" s="7" t="str">
        <f aca="false">IF(I2447="","",IFERROR(INDEX('Campos Growths'!$L:$L,MATCH(H2447,'Campos Growths'!$A:$A,0)),""))</f>
        <v/>
      </c>
      <c r="L2447" s="7" t="str">
        <f aca="false">IF(A2447="","",IF(G2447="não","Sem tabela no Growths",IF(I2447="","Sem campo no Growths",IF(J2447=K2447,"Importa direto","Ajustar tipo"))))</f>
        <v/>
      </c>
      <c r="M2447" s="9"/>
    </row>
    <row r="2448" customFormat="false" ht="15" hidden="false" customHeight="false" outlineLevel="0" collapsed="false">
      <c r="A2448" s="7" t="str">
        <f aca="false">IF('Outro banco'!A2448="","",IF(LEFT('Outro banco'!A2448,1)="(","",'Outro banco'!A2448))</f>
        <v/>
      </c>
      <c r="B2448" s="7" t="str">
        <f aca="false">IF(A2448="","",'Outro banco'!B2448)</f>
        <v/>
      </c>
      <c r="C2448" s="7" t="str">
        <f aca="false">IF(A2448="","",'Outro banco'!C2448)</f>
        <v/>
      </c>
      <c r="D2448" s="7" t="str">
        <f aca="false">IF(A2448="","",'Outro banco'!D2448)</f>
        <v/>
      </c>
      <c r="E2448" s="9"/>
      <c r="F2448" s="9"/>
      <c r="G2448" s="7" t="str">
        <f aca="false">IF(A2448="","",IF(COUNTIF(Tabelas!$A:$A,IF(E2448="",A2448,E2448))&gt;0,"sim","não"))</f>
        <v/>
      </c>
      <c r="H2448" s="7" t="str">
        <f aca="false">IF(A2448="","",IF(E2448="",A2448,E2448)&amp;"."&amp;IF(F2448="",B2448,F2448))</f>
        <v/>
      </c>
      <c r="I2448" s="7" t="str">
        <f aca="false">IF(A2448="","",IFERROR(INDEX('Campos Growths'!$F:$F,MATCH(H2448,'Campos Growths'!$A:$A,0)),""))</f>
        <v/>
      </c>
      <c r="J2448" s="7" t="str">
        <f aca="false">IF(A2448="","",IFERROR(VLOOKUP(IF(ISNUMBER(SEARCH("(",C2448)),LEFT(C2448,SEARCH("(",C2448)-1),C2448),Tipos!$A:$B,2,FALSE()),"outro"))</f>
        <v/>
      </c>
      <c r="K2448" s="7" t="str">
        <f aca="false">IF(I2448="","",IFERROR(INDEX('Campos Growths'!$L:$L,MATCH(H2448,'Campos Growths'!$A:$A,0)),""))</f>
        <v/>
      </c>
      <c r="L2448" s="7" t="str">
        <f aca="false">IF(A2448="","",IF(G2448="não","Sem tabela no Growths",IF(I2448="","Sem campo no Growths",IF(J2448=K2448,"Importa direto","Ajustar tipo"))))</f>
        <v/>
      </c>
      <c r="M2448" s="9"/>
    </row>
    <row r="2449" customFormat="false" ht="15" hidden="false" customHeight="false" outlineLevel="0" collapsed="false">
      <c r="A2449" s="7" t="str">
        <f aca="false">IF('Outro banco'!A2449="","",IF(LEFT('Outro banco'!A2449,1)="(","",'Outro banco'!A2449))</f>
        <v/>
      </c>
      <c r="B2449" s="7" t="str">
        <f aca="false">IF(A2449="","",'Outro banco'!B2449)</f>
        <v/>
      </c>
      <c r="C2449" s="7" t="str">
        <f aca="false">IF(A2449="","",'Outro banco'!C2449)</f>
        <v/>
      </c>
      <c r="D2449" s="7" t="str">
        <f aca="false">IF(A2449="","",'Outro banco'!D2449)</f>
        <v/>
      </c>
      <c r="E2449" s="9"/>
      <c r="F2449" s="9"/>
      <c r="G2449" s="7" t="str">
        <f aca="false">IF(A2449="","",IF(COUNTIF(Tabelas!$A:$A,IF(E2449="",A2449,E2449))&gt;0,"sim","não"))</f>
        <v/>
      </c>
      <c r="H2449" s="7" t="str">
        <f aca="false">IF(A2449="","",IF(E2449="",A2449,E2449)&amp;"."&amp;IF(F2449="",B2449,F2449))</f>
        <v/>
      </c>
      <c r="I2449" s="7" t="str">
        <f aca="false">IF(A2449="","",IFERROR(INDEX('Campos Growths'!$F:$F,MATCH(H2449,'Campos Growths'!$A:$A,0)),""))</f>
        <v/>
      </c>
      <c r="J2449" s="7" t="str">
        <f aca="false">IF(A2449="","",IFERROR(VLOOKUP(IF(ISNUMBER(SEARCH("(",C2449)),LEFT(C2449,SEARCH("(",C2449)-1),C2449),Tipos!$A:$B,2,FALSE()),"outro"))</f>
        <v/>
      </c>
      <c r="K2449" s="7" t="str">
        <f aca="false">IF(I2449="","",IFERROR(INDEX('Campos Growths'!$L:$L,MATCH(H2449,'Campos Growths'!$A:$A,0)),""))</f>
        <v/>
      </c>
      <c r="L2449" s="7" t="str">
        <f aca="false">IF(A2449="","",IF(G2449="não","Sem tabela no Growths",IF(I2449="","Sem campo no Growths",IF(J2449=K2449,"Importa direto","Ajustar tipo"))))</f>
        <v/>
      </c>
      <c r="M2449" s="9"/>
    </row>
    <row r="2450" customFormat="false" ht="15" hidden="false" customHeight="false" outlineLevel="0" collapsed="false">
      <c r="A2450" s="7" t="str">
        <f aca="false">IF('Outro banco'!A2450="","",IF(LEFT('Outro banco'!A2450,1)="(","",'Outro banco'!A2450))</f>
        <v/>
      </c>
      <c r="B2450" s="7" t="str">
        <f aca="false">IF(A2450="","",'Outro banco'!B2450)</f>
        <v/>
      </c>
      <c r="C2450" s="7" t="str">
        <f aca="false">IF(A2450="","",'Outro banco'!C2450)</f>
        <v/>
      </c>
      <c r="D2450" s="7" t="str">
        <f aca="false">IF(A2450="","",'Outro banco'!D2450)</f>
        <v/>
      </c>
      <c r="E2450" s="9"/>
      <c r="F2450" s="9"/>
      <c r="G2450" s="7" t="str">
        <f aca="false">IF(A2450="","",IF(COUNTIF(Tabelas!$A:$A,IF(E2450="",A2450,E2450))&gt;0,"sim","não"))</f>
        <v/>
      </c>
      <c r="H2450" s="7" t="str">
        <f aca="false">IF(A2450="","",IF(E2450="",A2450,E2450)&amp;"."&amp;IF(F2450="",B2450,F2450))</f>
        <v/>
      </c>
      <c r="I2450" s="7" t="str">
        <f aca="false">IF(A2450="","",IFERROR(INDEX('Campos Growths'!$F:$F,MATCH(H2450,'Campos Growths'!$A:$A,0)),""))</f>
        <v/>
      </c>
      <c r="J2450" s="7" t="str">
        <f aca="false">IF(A2450="","",IFERROR(VLOOKUP(IF(ISNUMBER(SEARCH("(",C2450)),LEFT(C2450,SEARCH("(",C2450)-1),C2450),Tipos!$A:$B,2,FALSE()),"outro"))</f>
        <v/>
      </c>
      <c r="K2450" s="7" t="str">
        <f aca="false">IF(I2450="","",IFERROR(INDEX('Campos Growths'!$L:$L,MATCH(H2450,'Campos Growths'!$A:$A,0)),""))</f>
        <v/>
      </c>
      <c r="L2450" s="7" t="str">
        <f aca="false">IF(A2450="","",IF(G2450="não","Sem tabela no Growths",IF(I2450="","Sem campo no Growths",IF(J2450=K2450,"Importa direto","Ajustar tipo"))))</f>
        <v/>
      </c>
      <c r="M2450" s="9"/>
    </row>
    <row r="2451" customFormat="false" ht="15" hidden="false" customHeight="false" outlineLevel="0" collapsed="false">
      <c r="A2451" s="7" t="str">
        <f aca="false">IF('Outro banco'!A2451="","",IF(LEFT('Outro banco'!A2451,1)="(","",'Outro banco'!A2451))</f>
        <v/>
      </c>
      <c r="B2451" s="7" t="str">
        <f aca="false">IF(A2451="","",'Outro banco'!B2451)</f>
        <v/>
      </c>
      <c r="C2451" s="7" t="str">
        <f aca="false">IF(A2451="","",'Outro banco'!C2451)</f>
        <v/>
      </c>
      <c r="D2451" s="7" t="str">
        <f aca="false">IF(A2451="","",'Outro banco'!D2451)</f>
        <v/>
      </c>
      <c r="E2451" s="9"/>
      <c r="F2451" s="9"/>
      <c r="G2451" s="7" t="str">
        <f aca="false">IF(A2451="","",IF(COUNTIF(Tabelas!$A:$A,IF(E2451="",A2451,E2451))&gt;0,"sim","não"))</f>
        <v/>
      </c>
      <c r="H2451" s="7" t="str">
        <f aca="false">IF(A2451="","",IF(E2451="",A2451,E2451)&amp;"."&amp;IF(F2451="",B2451,F2451))</f>
        <v/>
      </c>
      <c r="I2451" s="7" t="str">
        <f aca="false">IF(A2451="","",IFERROR(INDEX('Campos Growths'!$F:$F,MATCH(H2451,'Campos Growths'!$A:$A,0)),""))</f>
        <v/>
      </c>
      <c r="J2451" s="7" t="str">
        <f aca="false">IF(A2451="","",IFERROR(VLOOKUP(IF(ISNUMBER(SEARCH("(",C2451)),LEFT(C2451,SEARCH("(",C2451)-1),C2451),Tipos!$A:$B,2,FALSE()),"outro"))</f>
        <v/>
      </c>
      <c r="K2451" s="7" t="str">
        <f aca="false">IF(I2451="","",IFERROR(INDEX('Campos Growths'!$L:$L,MATCH(H2451,'Campos Growths'!$A:$A,0)),""))</f>
        <v/>
      </c>
      <c r="L2451" s="7" t="str">
        <f aca="false">IF(A2451="","",IF(G2451="não","Sem tabela no Growths",IF(I2451="","Sem campo no Growths",IF(J2451=K2451,"Importa direto","Ajustar tipo"))))</f>
        <v/>
      </c>
      <c r="M2451" s="9"/>
    </row>
    <row r="2452" customFormat="false" ht="15" hidden="false" customHeight="false" outlineLevel="0" collapsed="false">
      <c r="A2452" s="7" t="str">
        <f aca="false">IF('Outro banco'!A2452="","",IF(LEFT('Outro banco'!A2452,1)="(","",'Outro banco'!A2452))</f>
        <v/>
      </c>
      <c r="B2452" s="7" t="str">
        <f aca="false">IF(A2452="","",'Outro banco'!B2452)</f>
        <v/>
      </c>
      <c r="C2452" s="7" t="str">
        <f aca="false">IF(A2452="","",'Outro banco'!C2452)</f>
        <v/>
      </c>
      <c r="D2452" s="7" t="str">
        <f aca="false">IF(A2452="","",'Outro banco'!D2452)</f>
        <v/>
      </c>
      <c r="E2452" s="9"/>
      <c r="F2452" s="9"/>
      <c r="G2452" s="7" t="str">
        <f aca="false">IF(A2452="","",IF(COUNTIF(Tabelas!$A:$A,IF(E2452="",A2452,E2452))&gt;0,"sim","não"))</f>
        <v/>
      </c>
      <c r="H2452" s="7" t="str">
        <f aca="false">IF(A2452="","",IF(E2452="",A2452,E2452)&amp;"."&amp;IF(F2452="",B2452,F2452))</f>
        <v/>
      </c>
      <c r="I2452" s="7" t="str">
        <f aca="false">IF(A2452="","",IFERROR(INDEX('Campos Growths'!$F:$F,MATCH(H2452,'Campos Growths'!$A:$A,0)),""))</f>
        <v/>
      </c>
      <c r="J2452" s="7" t="str">
        <f aca="false">IF(A2452="","",IFERROR(VLOOKUP(IF(ISNUMBER(SEARCH("(",C2452)),LEFT(C2452,SEARCH("(",C2452)-1),C2452),Tipos!$A:$B,2,FALSE()),"outro"))</f>
        <v/>
      </c>
      <c r="K2452" s="7" t="str">
        <f aca="false">IF(I2452="","",IFERROR(INDEX('Campos Growths'!$L:$L,MATCH(H2452,'Campos Growths'!$A:$A,0)),""))</f>
        <v/>
      </c>
      <c r="L2452" s="7" t="str">
        <f aca="false">IF(A2452="","",IF(G2452="não","Sem tabela no Growths",IF(I2452="","Sem campo no Growths",IF(J2452=K2452,"Importa direto","Ajustar tipo"))))</f>
        <v/>
      </c>
      <c r="M2452" s="9"/>
    </row>
    <row r="2453" customFormat="false" ht="15" hidden="false" customHeight="false" outlineLevel="0" collapsed="false">
      <c r="A2453" s="7" t="str">
        <f aca="false">IF('Outro banco'!A2453="","",IF(LEFT('Outro banco'!A2453,1)="(","",'Outro banco'!A2453))</f>
        <v/>
      </c>
      <c r="B2453" s="7" t="str">
        <f aca="false">IF(A2453="","",'Outro banco'!B2453)</f>
        <v/>
      </c>
      <c r="C2453" s="7" t="str">
        <f aca="false">IF(A2453="","",'Outro banco'!C2453)</f>
        <v/>
      </c>
      <c r="D2453" s="7" t="str">
        <f aca="false">IF(A2453="","",'Outro banco'!D2453)</f>
        <v/>
      </c>
      <c r="E2453" s="9"/>
      <c r="F2453" s="9"/>
      <c r="G2453" s="7" t="str">
        <f aca="false">IF(A2453="","",IF(COUNTIF(Tabelas!$A:$A,IF(E2453="",A2453,E2453))&gt;0,"sim","não"))</f>
        <v/>
      </c>
      <c r="H2453" s="7" t="str">
        <f aca="false">IF(A2453="","",IF(E2453="",A2453,E2453)&amp;"."&amp;IF(F2453="",B2453,F2453))</f>
        <v/>
      </c>
      <c r="I2453" s="7" t="str">
        <f aca="false">IF(A2453="","",IFERROR(INDEX('Campos Growths'!$F:$F,MATCH(H2453,'Campos Growths'!$A:$A,0)),""))</f>
        <v/>
      </c>
      <c r="J2453" s="7" t="str">
        <f aca="false">IF(A2453="","",IFERROR(VLOOKUP(IF(ISNUMBER(SEARCH("(",C2453)),LEFT(C2453,SEARCH("(",C2453)-1),C2453),Tipos!$A:$B,2,FALSE()),"outro"))</f>
        <v/>
      </c>
      <c r="K2453" s="7" t="str">
        <f aca="false">IF(I2453="","",IFERROR(INDEX('Campos Growths'!$L:$L,MATCH(H2453,'Campos Growths'!$A:$A,0)),""))</f>
        <v/>
      </c>
      <c r="L2453" s="7" t="str">
        <f aca="false">IF(A2453="","",IF(G2453="não","Sem tabela no Growths",IF(I2453="","Sem campo no Growths",IF(J2453=K2453,"Importa direto","Ajustar tipo"))))</f>
        <v/>
      </c>
      <c r="M2453" s="9"/>
    </row>
    <row r="2454" customFormat="false" ht="15" hidden="false" customHeight="false" outlineLevel="0" collapsed="false">
      <c r="A2454" s="7" t="str">
        <f aca="false">IF('Outro banco'!A2454="","",IF(LEFT('Outro banco'!A2454,1)="(","",'Outro banco'!A2454))</f>
        <v/>
      </c>
      <c r="B2454" s="7" t="str">
        <f aca="false">IF(A2454="","",'Outro banco'!B2454)</f>
        <v/>
      </c>
      <c r="C2454" s="7" t="str">
        <f aca="false">IF(A2454="","",'Outro banco'!C2454)</f>
        <v/>
      </c>
      <c r="D2454" s="7" t="str">
        <f aca="false">IF(A2454="","",'Outro banco'!D2454)</f>
        <v/>
      </c>
      <c r="E2454" s="9"/>
      <c r="F2454" s="9"/>
      <c r="G2454" s="7" t="str">
        <f aca="false">IF(A2454="","",IF(COUNTIF(Tabelas!$A:$A,IF(E2454="",A2454,E2454))&gt;0,"sim","não"))</f>
        <v/>
      </c>
      <c r="H2454" s="7" t="str">
        <f aca="false">IF(A2454="","",IF(E2454="",A2454,E2454)&amp;"."&amp;IF(F2454="",B2454,F2454))</f>
        <v/>
      </c>
      <c r="I2454" s="7" t="str">
        <f aca="false">IF(A2454="","",IFERROR(INDEX('Campos Growths'!$F:$F,MATCH(H2454,'Campos Growths'!$A:$A,0)),""))</f>
        <v/>
      </c>
      <c r="J2454" s="7" t="str">
        <f aca="false">IF(A2454="","",IFERROR(VLOOKUP(IF(ISNUMBER(SEARCH("(",C2454)),LEFT(C2454,SEARCH("(",C2454)-1),C2454),Tipos!$A:$B,2,FALSE()),"outro"))</f>
        <v/>
      </c>
      <c r="K2454" s="7" t="str">
        <f aca="false">IF(I2454="","",IFERROR(INDEX('Campos Growths'!$L:$L,MATCH(H2454,'Campos Growths'!$A:$A,0)),""))</f>
        <v/>
      </c>
      <c r="L2454" s="7" t="str">
        <f aca="false">IF(A2454="","",IF(G2454="não","Sem tabela no Growths",IF(I2454="","Sem campo no Growths",IF(J2454=K2454,"Importa direto","Ajustar tipo"))))</f>
        <v/>
      </c>
      <c r="M2454" s="9"/>
    </row>
    <row r="2455" customFormat="false" ht="15" hidden="false" customHeight="false" outlineLevel="0" collapsed="false">
      <c r="A2455" s="7" t="str">
        <f aca="false">IF('Outro banco'!A2455="","",IF(LEFT('Outro banco'!A2455,1)="(","",'Outro banco'!A2455))</f>
        <v/>
      </c>
      <c r="B2455" s="7" t="str">
        <f aca="false">IF(A2455="","",'Outro banco'!B2455)</f>
        <v/>
      </c>
      <c r="C2455" s="7" t="str">
        <f aca="false">IF(A2455="","",'Outro banco'!C2455)</f>
        <v/>
      </c>
      <c r="D2455" s="7" t="str">
        <f aca="false">IF(A2455="","",'Outro banco'!D2455)</f>
        <v/>
      </c>
      <c r="E2455" s="9"/>
      <c r="F2455" s="9"/>
      <c r="G2455" s="7" t="str">
        <f aca="false">IF(A2455="","",IF(COUNTIF(Tabelas!$A:$A,IF(E2455="",A2455,E2455))&gt;0,"sim","não"))</f>
        <v/>
      </c>
      <c r="H2455" s="7" t="str">
        <f aca="false">IF(A2455="","",IF(E2455="",A2455,E2455)&amp;"."&amp;IF(F2455="",B2455,F2455))</f>
        <v/>
      </c>
      <c r="I2455" s="7" t="str">
        <f aca="false">IF(A2455="","",IFERROR(INDEX('Campos Growths'!$F:$F,MATCH(H2455,'Campos Growths'!$A:$A,0)),""))</f>
        <v/>
      </c>
      <c r="J2455" s="7" t="str">
        <f aca="false">IF(A2455="","",IFERROR(VLOOKUP(IF(ISNUMBER(SEARCH("(",C2455)),LEFT(C2455,SEARCH("(",C2455)-1),C2455),Tipos!$A:$B,2,FALSE()),"outro"))</f>
        <v/>
      </c>
      <c r="K2455" s="7" t="str">
        <f aca="false">IF(I2455="","",IFERROR(INDEX('Campos Growths'!$L:$L,MATCH(H2455,'Campos Growths'!$A:$A,0)),""))</f>
        <v/>
      </c>
      <c r="L2455" s="7" t="str">
        <f aca="false">IF(A2455="","",IF(G2455="não","Sem tabela no Growths",IF(I2455="","Sem campo no Growths",IF(J2455=K2455,"Importa direto","Ajustar tipo"))))</f>
        <v/>
      </c>
      <c r="M2455" s="9"/>
    </row>
    <row r="2456" customFormat="false" ht="15" hidden="false" customHeight="false" outlineLevel="0" collapsed="false">
      <c r="A2456" s="7" t="str">
        <f aca="false">IF('Outro banco'!A2456="","",IF(LEFT('Outro banco'!A2456,1)="(","",'Outro banco'!A2456))</f>
        <v/>
      </c>
      <c r="B2456" s="7" t="str">
        <f aca="false">IF(A2456="","",'Outro banco'!B2456)</f>
        <v/>
      </c>
      <c r="C2456" s="7" t="str">
        <f aca="false">IF(A2456="","",'Outro banco'!C2456)</f>
        <v/>
      </c>
      <c r="D2456" s="7" t="str">
        <f aca="false">IF(A2456="","",'Outro banco'!D2456)</f>
        <v/>
      </c>
      <c r="E2456" s="9"/>
      <c r="F2456" s="9"/>
      <c r="G2456" s="7" t="str">
        <f aca="false">IF(A2456="","",IF(COUNTIF(Tabelas!$A:$A,IF(E2456="",A2456,E2456))&gt;0,"sim","não"))</f>
        <v/>
      </c>
      <c r="H2456" s="7" t="str">
        <f aca="false">IF(A2456="","",IF(E2456="",A2456,E2456)&amp;"."&amp;IF(F2456="",B2456,F2456))</f>
        <v/>
      </c>
      <c r="I2456" s="7" t="str">
        <f aca="false">IF(A2456="","",IFERROR(INDEX('Campos Growths'!$F:$F,MATCH(H2456,'Campos Growths'!$A:$A,0)),""))</f>
        <v/>
      </c>
      <c r="J2456" s="7" t="str">
        <f aca="false">IF(A2456="","",IFERROR(VLOOKUP(IF(ISNUMBER(SEARCH("(",C2456)),LEFT(C2456,SEARCH("(",C2456)-1),C2456),Tipos!$A:$B,2,FALSE()),"outro"))</f>
        <v/>
      </c>
      <c r="K2456" s="7" t="str">
        <f aca="false">IF(I2456="","",IFERROR(INDEX('Campos Growths'!$L:$L,MATCH(H2456,'Campos Growths'!$A:$A,0)),""))</f>
        <v/>
      </c>
      <c r="L2456" s="7" t="str">
        <f aca="false">IF(A2456="","",IF(G2456="não","Sem tabela no Growths",IF(I2456="","Sem campo no Growths",IF(J2456=K2456,"Importa direto","Ajustar tipo"))))</f>
        <v/>
      </c>
      <c r="M2456" s="9"/>
    </row>
    <row r="2457" customFormat="false" ht="15" hidden="false" customHeight="false" outlineLevel="0" collapsed="false">
      <c r="A2457" s="7" t="str">
        <f aca="false">IF('Outro banco'!A2457="","",IF(LEFT('Outro banco'!A2457,1)="(","",'Outro banco'!A2457))</f>
        <v/>
      </c>
      <c r="B2457" s="7" t="str">
        <f aca="false">IF(A2457="","",'Outro banco'!B2457)</f>
        <v/>
      </c>
      <c r="C2457" s="7" t="str">
        <f aca="false">IF(A2457="","",'Outro banco'!C2457)</f>
        <v/>
      </c>
      <c r="D2457" s="7" t="str">
        <f aca="false">IF(A2457="","",'Outro banco'!D2457)</f>
        <v/>
      </c>
      <c r="E2457" s="9"/>
      <c r="F2457" s="9"/>
      <c r="G2457" s="7" t="str">
        <f aca="false">IF(A2457="","",IF(COUNTIF(Tabelas!$A:$A,IF(E2457="",A2457,E2457))&gt;0,"sim","não"))</f>
        <v/>
      </c>
      <c r="H2457" s="7" t="str">
        <f aca="false">IF(A2457="","",IF(E2457="",A2457,E2457)&amp;"."&amp;IF(F2457="",B2457,F2457))</f>
        <v/>
      </c>
      <c r="I2457" s="7" t="str">
        <f aca="false">IF(A2457="","",IFERROR(INDEX('Campos Growths'!$F:$F,MATCH(H2457,'Campos Growths'!$A:$A,0)),""))</f>
        <v/>
      </c>
      <c r="J2457" s="7" t="str">
        <f aca="false">IF(A2457="","",IFERROR(VLOOKUP(IF(ISNUMBER(SEARCH("(",C2457)),LEFT(C2457,SEARCH("(",C2457)-1),C2457),Tipos!$A:$B,2,FALSE()),"outro"))</f>
        <v/>
      </c>
      <c r="K2457" s="7" t="str">
        <f aca="false">IF(I2457="","",IFERROR(INDEX('Campos Growths'!$L:$L,MATCH(H2457,'Campos Growths'!$A:$A,0)),""))</f>
        <v/>
      </c>
      <c r="L2457" s="7" t="str">
        <f aca="false">IF(A2457="","",IF(G2457="não","Sem tabela no Growths",IF(I2457="","Sem campo no Growths",IF(J2457=K2457,"Importa direto","Ajustar tipo"))))</f>
        <v/>
      </c>
      <c r="M2457" s="9"/>
    </row>
    <row r="2458" customFormat="false" ht="15" hidden="false" customHeight="false" outlineLevel="0" collapsed="false">
      <c r="A2458" s="7" t="str">
        <f aca="false">IF('Outro banco'!A2458="","",IF(LEFT('Outro banco'!A2458,1)="(","",'Outro banco'!A2458))</f>
        <v/>
      </c>
      <c r="B2458" s="7" t="str">
        <f aca="false">IF(A2458="","",'Outro banco'!B2458)</f>
        <v/>
      </c>
      <c r="C2458" s="7" t="str">
        <f aca="false">IF(A2458="","",'Outro banco'!C2458)</f>
        <v/>
      </c>
      <c r="D2458" s="7" t="str">
        <f aca="false">IF(A2458="","",'Outro banco'!D2458)</f>
        <v/>
      </c>
      <c r="E2458" s="9"/>
      <c r="F2458" s="9"/>
      <c r="G2458" s="7" t="str">
        <f aca="false">IF(A2458="","",IF(COUNTIF(Tabelas!$A:$A,IF(E2458="",A2458,E2458))&gt;0,"sim","não"))</f>
        <v/>
      </c>
      <c r="H2458" s="7" t="str">
        <f aca="false">IF(A2458="","",IF(E2458="",A2458,E2458)&amp;"."&amp;IF(F2458="",B2458,F2458))</f>
        <v/>
      </c>
      <c r="I2458" s="7" t="str">
        <f aca="false">IF(A2458="","",IFERROR(INDEX('Campos Growths'!$F:$F,MATCH(H2458,'Campos Growths'!$A:$A,0)),""))</f>
        <v/>
      </c>
      <c r="J2458" s="7" t="str">
        <f aca="false">IF(A2458="","",IFERROR(VLOOKUP(IF(ISNUMBER(SEARCH("(",C2458)),LEFT(C2458,SEARCH("(",C2458)-1),C2458),Tipos!$A:$B,2,FALSE()),"outro"))</f>
        <v/>
      </c>
      <c r="K2458" s="7" t="str">
        <f aca="false">IF(I2458="","",IFERROR(INDEX('Campos Growths'!$L:$L,MATCH(H2458,'Campos Growths'!$A:$A,0)),""))</f>
        <v/>
      </c>
      <c r="L2458" s="7" t="str">
        <f aca="false">IF(A2458="","",IF(G2458="não","Sem tabela no Growths",IF(I2458="","Sem campo no Growths",IF(J2458=K2458,"Importa direto","Ajustar tipo"))))</f>
        <v/>
      </c>
      <c r="M2458" s="9"/>
    </row>
    <row r="2459" customFormat="false" ht="15" hidden="false" customHeight="false" outlineLevel="0" collapsed="false">
      <c r="A2459" s="7" t="str">
        <f aca="false">IF('Outro banco'!A2459="","",IF(LEFT('Outro banco'!A2459,1)="(","",'Outro banco'!A2459))</f>
        <v/>
      </c>
      <c r="B2459" s="7" t="str">
        <f aca="false">IF(A2459="","",'Outro banco'!B2459)</f>
        <v/>
      </c>
      <c r="C2459" s="7" t="str">
        <f aca="false">IF(A2459="","",'Outro banco'!C2459)</f>
        <v/>
      </c>
      <c r="D2459" s="7" t="str">
        <f aca="false">IF(A2459="","",'Outro banco'!D2459)</f>
        <v/>
      </c>
      <c r="E2459" s="9"/>
      <c r="F2459" s="9"/>
      <c r="G2459" s="7" t="str">
        <f aca="false">IF(A2459="","",IF(COUNTIF(Tabelas!$A:$A,IF(E2459="",A2459,E2459))&gt;0,"sim","não"))</f>
        <v/>
      </c>
      <c r="H2459" s="7" t="str">
        <f aca="false">IF(A2459="","",IF(E2459="",A2459,E2459)&amp;"."&amp;IF(F2459="",B2459,F2459))</f>
        <v/>
      </c>
      <c r="I2459" s="7" t="str">
        <f aca="false">IF(A2459="","",IFERROR(INDEX('Campos Growths'!$F:$F,MATCH(H2459,'Campos Growths'!$A:$A,0)),""))</f>
        <v/>
      </c>
      <c r="J2459" s="7" t="str">
        <f aca="false">IF(A2459="","",IFERROR(VLOOKUP(IF(ISNUMBER(SEARCH("(",C2459)),LEFT(C2459,SEARCH("(",C2459)-1),C2459),Tipos!$A:$B,2,FALSE()),"outro"))</f>
        <v/>
      </c>
      <c r="K2459" s="7" t="str">
        <f aca="false">IF(I2459="","",IFERROR(INDEX('Campos Growths'!$L:$L,MATCH(H2459,'Campos Growths'!$A:$A,0)),""))</f>
        <v/>
      </c>
      <c r="L2459" s="7" t="str">
        <f aca="false">IF(A2459="","",IF(G2459="não","Sem tabela no Growths",IF(I2459="","Sem campo no Growths",IF(J2459=K2459,"Importa direto","Ajustar tipo"))))</f>
        <v/>
      </c>
      <c r="M2459" s="9"/>
    </row>
    <row r="2460" customFormat="false" ht="15" hidden="false" customHeight="false" outlineLevel="0" collapsed="false">
      <c r="A2460" s="7" t="str">
        <f aca="false">IF('Outro banco'!A2460="","",IF(LEFT('Outro banco'!A2460,1)="(","",'Outro banco'!A2460))</f>
        <v/>
      </c>
      <c r="B2460" s="7" t="str">
        <f aca="false">IF(A2460="","",'Outro banco'!B2460)</f>
        <v/>
      </c>
      <c r="C2460" s="7" t="str">
        <f aca="false">IF(A2460="","",'Outro banco'!C2460)</f>
        <v/>
      </c>
      <c r="D2460" s="7" t="str">
        <f aca="false">IF(A2460="","",'Outro banco'!D2460)</f>
        <v/>
      </c>
      <c r="E2460" s="9"/>
      <c r="F2460" s="9"/>
      <c r="G2460" s="7" t="str">
        <f aca="false">IF(A2460="","",IF(COUNTIF(Tabelas!$A:$A,IF(E2460="",A2460,E2460))&gt;0,"sim","não"))</f>
        <v/>
      </c>
      <c r="H2460" s="7" t="str">
        <f aca="false">IF(A2460="","",IF(E2460="",A2460,E2460)&amp;"."&amp;IF(F2460="",B2460,F2460))</f>
        <v/>
      </c>
      <c r="I2460" s="7" t="str">
        <f aca="false">IF(A2460="","",IFERROR(INDEX('Campos Growths'!$F:$F,MATCH(H2460,'Campos Growths'!$A:$A,0)),""))</f>
        <v/>
      </c>
      <c r="J2460" s="7" t="str">
        <f aca="false">IF(A2460="","",IFERROR(VLOOKUP(IF(ISNUMBER(SEARCH("(",C2460)),LEFT(C2460,SEARCH("(",C2460)-1),C2460),Tipos!$A:$B,2,FALSE()),"outro"))</f>
        <v/>
      </c>
      <c r="K2460" s="7" t="str">
        <f aca="false">IF(I2460="","",IFERROR(INDEX('Campos Growths'!$L:$L,MATCH(H2460,'Campos Growths'!$A:$A,0)),""))</f>
        <v/>
      </c>
      <c r="L2460" s="7" t="str">
        <f aca="false">IF(A2460="","",IF(G2460="não","Sem tabela no Growths",IF(I2460="","Sem campo no Growths",IF(J2460=K2460,"Importa direto","Ajustar tipo"))))</f>
        <v/>
      </c>
      <c r="M2460" s="9"/>
    </row>
    <row r="2461" customFormat="false" ht="15" hidden="false" customHeight="false" outlineLevel="0" collapsed="false">
      <c r="A2461" s="7" t="str">
        <f aca="false">IF('Outro banco'!A2461="","",IF(LEFT('Outro banco'!A2461,1)="(","",'Outro banco'!A2461))</f>
        <v/>
      </c>
      <c r="B2461" s="7" t="str">
        <f aca="false">IF(A2461="","",'Outro banco'!B2461)</f>
        <v/>
      </c>
      <c r="C2461" s="7" t="str">
        <f aca="false">IF(A2461="","",'Outro banco'!C2461)</f>
        <v/>
      </c>
      <c r="D2461" s="7" t="str">
        <f aca="false">IF(A2461="","",'Outro banco'!D2461)</f>
        <v/>
      </c>
      <c r="E2461" s="9"/>
      <c r="F2461" s="9"/>
      <c r="G2461" s="7" t="str">
        <f aca="false">IF(A2461="","",IF(COUNTIF(Tabelas!$A:$A,IF(E2461="",A2461,E2461))&gt;0,"sim","não"))</f>
        <v/>
      </c>
      <c r="H2461" s="7" t="str">
        <f aca="false">IF(A2461="","",IF(E2461="",A2461,E2461)&amp;"."&amp;IF(F2461="",B2461,F2461))</f>
        <v/>
      </c>
      <c r="I2461" s="7" t="str">
        <f aca="false">IF(A2461="","",IFERROR(INDEX('Campos Growths'!$F:$F,MATCH(H2461,'Campos Growths'!$A:$A,0)),""))</f>
        <v/>
      </c>
      <c r="J2461" s="7" t="str">
        <f aca="false">IF(A2461="","",IFERROR(VLOOKUP(IF(ISNUMBER(SEARCH("(",C2461)),LEFT(C2461,SEARCH("(",C2461)-1),C2461),Tipos!$A:$B,2,FALSE()),"outro"))</f>
        <v/>
      </c>
      <c r="K2461" s="7" t="str">
        <f aca="false">IF(I2461="","",IFERROR(INDEX('Campos Growths'!$L:$L,MATCH(H2461,'Campos Growths'!$A:$A,0)),""))</f>
        <v/>
      </c>
      <c r="L2461" s="7" t="str">
        <f aca="false">IF(A2461="","",IF(G2461="não","Sem tabela no Growths",IF(I2461="","Sem campo no Growths",IF(J2461=K2461,"Importa direto","Ajustar tipo"))))</f>
        <v/>
      </c>
      <c r="M2461" s="9"/>
    </row>
    <row r="2462" customFormat="false" ht="15" hidden="false" customHeight="false" outlineLevel="0" collapsed="false">
      <c r="A2462" s="7" t="str">
        <f aca="false">IF('Outro banco'!A2462="","",IF(LEFT('Outro banco'!A2462,1)="(","",'Outro banco'!A2462))</f>
        <v/>
      </c>
      <c r="B2462" s="7" t="str">
        <f aca="false">IF(A2462="","",'Outro banco'!B2462)</f>
        <v/>
      </c>
      <c r="C2462" s="7" t="str">
        <f aca="false">IF(A2462="","",'Outro banco'!C2462)</f>
        <v/>
      </c>
      <c r="D2462" s="7" t="str">
        <f aca="false">IF(A2462="","",'Outro banco'!D2462)</f>
        <v/>
      </c>
      <c r="E2462" s="9"/>
      <c r="F2462" s="9"/>
      <c r="G2462" s="7" t="str">
        <f aca="false">IF(A2462="","",IF(COUNTIF(Tabelas!$A:$A,IF(E2462="",A2462,E2462))&gt;0,"sim","não"))</f>
        <v/>
      </c>
      <c r="H2462" s="7" t="str">
        <f aca="false">IF(A2462="","",IF(E2462="",A2462,E2462)&amp;"."&amp;IF(F2462="",B2462,F2462))</f>
        <v/>
      </c>
      <c r="I2462" s="7" t="str">
        <f aca="false">IF(A2462="","",IFERROR(INDEX('Campos Growths'!$F:$F,MATCH(H2462,'Campos Growths'!$A:$A,0)),""))</f>
        <v/>
      </c>
      <c r="J2462" s="7" t="str">
        <f aca="false">IF(A2462="","",IFERROR(VLOOKUP(IF(ISNUMBER(SEARCH("(",C2462)),LEFT(C2462,SEARCH("(",C2462)-1),C2462),Tipos!$A:$B,2,FALSE()),"outro"))</f>
        <v/>
      </c>
      <c r="K2462" s="7" t="str">
        <f aca="false">IF(I2462="","",IFERROR(INDEX('Campos Growths'!$L:$L,MATCH(H2462,'Campos Growths'!$A:$A,0)),""))</f>
        <v/>
      </c>
      <c r="L2462" s="7" t="str">
        <f aca="false">IF(A2462="","",IF(G2462="não","Sem tabela no Growths",IF(I2462="","Sem campo no Growths",IF(J2462=K2462,"Importa direto","Ajustar tipo"))))</f>
        <v/>
      </c>
      <c r="M2462" s="9"/>
    </row>
    <row r="2463" customFormat="false" ht="15" hidden="false" customHeight="false" outlineLevel="0" collapsed="false">
      <c r="A2463" s="7" t="str">
        <f aca="false">IF('Outro banco'!A2463="","",IF(LEFT('Outro banco'!A2463,1)="(","",'Outro banco'!A2463))</f>
        <v/>
      </c>
      <c r="B2463" s="7" t="str">
        <f aca="false">IF(A2463="","",'Outro banco'!B2463)</f>
        <v/>
      </c>
      <c r="C2463" s="7" t="str">
        <f aca="false">IF(A2463="","",'Outro banco'!C2463)</f>
        <v/>
      </c>
      <c r="D2463" s="7" t="str">
        <f aca="false">IF(A2463="","",'Outro banco'!D2463)</f>
        <v/>
      </c>
      <c r="E2463" s="9"/>
      <c r="F2463" s="9"/>
      <c r="G2463" s="7" t="str">
        <f aca="false">IF(A2463="","",IF(COUNTIF(Tabelas!$A:$A,IF(E2463="",A2463,E2463))&gt;0,"sim","não"))</f>
        <v/>
      </c>
      <c r="H2463" s="7" t="str">
        <f aca="false">IF(A2463="","",IF(E2463="",A2463,E2463)&amp;"."&amp;IF(F2463="",B2463,F2463))</f>
        <v/>
      </c>
      <c r="I2463" s="7" t="str">
        <f aca="false">IF(A2463="","",IFERROR(INDEX('Campos Growths'!$F:$F,MATCH(H2463,'Campos Growths'!$A:$A,0)),""))</f>
        <v/>
      </c>
      <c r="J2463" s="7" t="str">
        <f aca="false">IF(A2463="","",IFERROR(VLOOKUP(IF(ISNUMBER(SEARCH("(",C2463)),LEFT(C2463,SEARCH("(",C2463)-1),C2463),Tipos!$A:$B,2,FALSE()),"outro"))</f>
        <v/>
      </c>
      <c r="K2463" s="7" t="str">
        <f aca="false">IF(I2463="","",IFERROR(INDEX('Campos Growths'!$L:$L,MATCH(H2463,'Campos Growths'!$A:$A,0)),""))</f>
        <v/>
      </c>
      <c r="L2463" s="7" t="str">
        <f aca="false">IF(A2463="","",IF(G2463="não","Sem tabela no Growths",IF(I2463="","Sem campo no Growths",IF(J2463=K2463,"Importa direto","Ajustar tipo"))))</f>
        <v/>
      </c>
      <c r="M2463" s="9"/>
    </row>
    <row r="2464" customFormat="false" ht="15" hidden="false" customHeight="false" outlineLevel="0" collapsed="false">
      <c r="A2464" s="7" t="str">
        <f aca="false">IF('Outro banco'!A2464="","",IF(LEFT('Outro banco'!A2464,1)="(","",'Outro banco'!A2464))</f>
        <v/>
      </c>
      <c r="B2464" s="7" t="str">
        <f aca="false">IF(A2464="","",'Outro banco'!B2464)</f>
        <v/>
      </c>
      <c r="C2464" s="7" t="str">
        <f aca="false">IF(A2464="","",'Outro banco'!C2464)</f>
        <v/>
      </c>
      <c r="D2464" s="7" t="str">
        <f aca="false">IF(A2464="","",'Outro banco'!D2464)</f>
        <v/>
      </c>
      <c r="E2464" s="9"/>
      <c r="F2464" s="9"/>
      <c r="G2464" s="7" t="str">
        <f aca="false">IF(A2464="","",IF(COUNTIF(Tabelas!$A:$A,IF(E2464="",A2464,E2464))&gt;0,"sim","não"))</f>
        <v/>
      </c>
      <c r="H2464" s="7" t="str">
        <f aca="false">IF(A2464="","",IF(E2464="",A2464,E2464)&amp;"."&amp;IF(F2464="",B2464,F2464))</f>
        <v/>
      </c>
      <c r="I2464" s="7" t="str">
        <f aca="false">IF(A2464="","",IFERROR(INDEX('Campos Growths'!$F:$F,MATCH(H2464,'Campos Growths'!$A:$A,0)),""))</f>
        <v/>
      </c>
      <c r="J2464" s="7" t="str">
        <f aca="false">IF(A2464="","",IFERROR(VLOOKUP(IF(ISNUMBER(SEARCH("(",C2464)),LEFT(C2464,SEARCH("(",C2464)-1),C2464),Tipos!$A:$B,2,FALSE()),"outro"))</f>
        <v/>
      </c>
      <c r="K2464" s="7" t="str">
        <f aca="false">IF(I2464="","",IFERROR(INDEX('Campos Growths'!$L:$L,MATCH(H2464,'Campos Growths'!$A:$A,0)),""))</f>
        <v/>
      </c>
      <c r="L2464" s="7" t="str">
        <f aca="false">IF(A2464="","",IF(G2464="não","Sem tabela no Growths",IF(I2464="","Sem campo no Growths",IF(J2464=K2464,"Importa direto","Ajustar tipo"))))</f>
        <v/>
      </c>
      <c r="M2464" s="9"/>
    </row>
    <row r="2465" customFormat="false" ht="15" hidden="false" customHeight="false" outlineLevel="0" collapsed="false">
      <c r="A2465" s="7" t="str">
        <f aca="false">IF('Outro banco'!A2465="","",IF(LEFT('Outro banco'!A2465,1)="(","",'Outro banco'!A2465))</f>
        <v/>
      </c>
      <c r="B2465" s="7" t="str">
        <f aca="false">IF(A2465="","",'Outro banco'!B2465)</f>
        <v/>
      </c>
      <c r="C2465" s="7" t="str">
        <f aca="false">IF(A2465="","",'Outro banco'!C2465)</f>
        <v/>
      </c>
      <c r="D2465" s="7" t="str">
        <f aca="false">IF(A2465="","",'Outro banco'!D2465)</f>
        <v/>
      </c>
      <c r="E2465" s="9"/>
      <c r="F2465" s="9"/>
      <c r="G2465" s="7" t="str">
        <f aca="false">IF(A2465="","",IF(COUNTIF(Tabelas!$A:$A,IF(E2465="",A2465,E2465))&gt;0,"sim","não"))</f>
        <v/>
      </c>
      <c r="H2465" s="7" t="str">
        <f aca="false">IF(A2465="","",IF(E2465="",A2465,E2465)&amp;"."&amp;IF(F2465="",B2465,F2465))</f>
        <v/>
      </c>
      <c r="I2465" s="7" t="str">
        <f aca="false">IF(A2465="","",IFERROR(INDEX('Campos Growths'!$F:$F,MATCH(H2465,'Campos Growths'!$A:$A,0)),""))</f>
        <v/>
      </c>
      <c r="J2465" s="7" t="str">
        <f aca="false">IF(A2465="","",IFERROR(VLOOKUP(IF(ISNUMBER(SEARCH("(",C2465)),LEFT(C2465,SEARCH("(",C2465)-1),C2465),Tipos!$A:$B,2,FALSE()),"outro"))</f>
        <v/>
      </c>
      <c r="K2465" s="7" t="str">
        <f aca="false">IF(I2465="","",IFERROR(INDEX('Campos Growths'!$L:$L,MATCH(H2465,'Campos Growths'!$A:$A,0)),""))</f>
        <v/>
      </c>
      <c r="L2465" s="7" t="str">
        <f aca="false">IF(A2465="","",IF(G2465="não","Sem tabela no Growths",IF(I2465="","Sem campo no Growths",IF(J2465=K2465,"Importa direto","Ajustar tipo"))))</f>
        <v/>
      </c>
      <c r="M2465" s="9"/>
    </row>
    <row r="2466" customFormat="false" ht="15" hidden="false" customHeight="false" outlineLevel="0" collapsed="false">
      <c r="A2466" s="7" t="str">
        <f aca="false">IF('Outro banco'!A2466="","",IF(LEFT('Outro banco'!A2466,1)="(","",'Outro banco'!A2466))</f>
        <v/>
      </c>
      <c r="B2466" s="7" t="str">
        <f aca="false">IF(A2466="","",'Outro banco'!B2466)</f>
        <v/>
      </c>
      <c r="C2466" s="7" t="str">
        <f aca="false">IF(A2466="","",'Outro banco'!C2466)</f>
        <v/>
      </c>
      <c r="D2466" s="7" t="str">
        <f aca="false">IF(A2466="","",'Outro banco'!D2466)</f>
        <v/>
      </c>
      <c r="E2466" s="9"/>
      <c r="F2466" s="9"/>
      <c r="G2466" s="7" t="str">
        <f aca="false">IF(A2466="","",IF(COUNTIF(Tabelas!$A:$A,IF(E2466="",A2466,E2466))&gt;0,"sim","não"))</f>
        <v/>
      </c>
      <c r="H2466" s="7" t="str">
        <f aca="false">IF(A2466="","",IF(E2466="",A2466,E2466)&amp;"."&amp;IF(F2466="",B2466,F2466))</f>
        <v/>
      </c>
      <c r="I2466" s="7" t="str">
        <f aca="false">IF(A2466="","",IFERROR(INDEX('Campos Growths'!$F:$F,MATCH(H2466,'Campos Growths'!$A:$A,0)),""))</f>
        <v/>
      </c>
      <c r="J2466" s="7" t="str">
        <f aca="false">IF(A2466="","",IFERROR(VLOOKUP(IF(ISNUMBER(SEARCH("(",C2466)),LEFT(C2466,SEARCH("(",C2466)-1),C2466),Tipos!$A:$B,2,FALSE()),"outro"))</f>
        <v/>
      </c>
      <c r="K2466" s="7" t="str">
        <f aca="false">IF(I2466="","",IFERROR(INDEX('Campos Growths'!$L:$L,MATCH(H2466,'Campos Growths'!$A:$A,0)),""))</f>
        <v/>
      </c>
      <c r="L2466" s="7" t="str">
        <f aca="false">IF(A2466="","",IF(G2466="não","Sem tabela no Growths",IF(I2466="","Sem campo no Growths",IF(J2466=K2466,"Importa direto","Ajustar tipo"))))</f>
        <v/>
      </c>
      <c r="M2466" s="9"/>
    </row>
    <row r="2467" customFormat="false" ht="15" hidden="false" customHeight="false" outlineLevel="0" collapsed="false">
      <c r="A2467" s="7" t="str">
        <f aca="false">IF('Outro banco'!A2467="","",IF(LEFT('Outro banco'!A2467,1)="(","",'Outro banco'!A2467))</f>
        <v/>
      </c>
      <c r="B2467" s="7" t="str">
        <f aca="false">IF(A2467="","",'Outro banco'!B2467)</f>
        <v/>
      </c>
      <c r="C2467" s="7" t="str">
        <f aca="false">IF(A2467="","",'Outro banco'!C2467)</f>
        <v/>
      </c>
      <c r="D2467" s="7" t="str">
        <f aca="false">IF(A2467="","",'Outro banco'!D2467)</f>
        <v/>
      </c>
      <c r="E2467" s="9"/>
      <c r="F2467" s="9"/>
      <c r="G2467" s="7" t="str">
        <f aca="false">IF(A2467="","",IF(COUNTIF(Tabelas!$A:$A,IF(E2467="",A2467,E2467))&gt;0,"sim","não"))</f>
        <v/>
      </c>
      <c r="H2467" s="7" t="str">
        <f aca="false">IF(A2467="","",IF(E2467="",A2467,E2467)&amp;"."&amp;IF(F2467="",B2467,F2467))</f>
        <v/>
      </c>
      <c r="I2467" s="7" t="str">
        <f aca="false">IF(A2467="","",IFERROR(INDEX('Campos Growths'!$F:$F,MATCH(H2467,'Campos Growths'!$A:$A,0)),""))</f>
        <v/>
      </c>
      <c r="J2467" s="7" t="str">
        <f aca="false">IF(A2467="","",IFERROR(VLOOKUP(IF(ISNUMBER(SEARCH("(",C2467)),LEFT(C2467,SEARCH("(",C2467)-1),C2467),Tipos!$A:$B,2,FALSE()),"outro"))</f>
        <v/>
      </c>
      <c r="K2467" s="7" t="str">
        <f aca="false">IF(I2467="","",IFERROR(INDEX('Campos Growths'!$L:$L,MATCH(H2467,'Campos Growths'!$A:$A,0)),""))</f>
        <v/>
      </c>
      <c r="L2467" s="7" t="str">
        <f aca="false">IF(A2467="","",IF(G2467="não","Sem tabela no Growths",IF(I2467="","Sem campo no Growths",IF(J2467=K2467,"Importa direto","Ajustar tipo"))))</f>
        <v/>
      </c>
      <c r="M2467" s="9"/>
    </row>
    <row r="2468" customFormat="false" ht="15" hidden="false" customHeight="false" outlineLevel="0" collapsed="false">
      <c r="A2468" s="7" t="str">
        <f aca="false">IF('Outro banco'!A2468="","",IF(LEFT('Outro banco'!A2468,1)="(","",'Outro banco'!A2468))</f>
        <v/>
      </c>
      <c r="B2468" s="7" t="str">
        <f aca="false">IF(A2468="","",'Outro banco'!B2468)</f>
        <v/>
      </c>
      <c r="C2468" s="7" t="str">
        <f aca="false">IF(A2468="","",'Outro banco'!C2468)</f>
        <v/>
      </c>
      <c r="D2468" s="7" t="str">
        <f aca="false">IF(A2468="","",'Outro banco'!D2468)</f>
        <v/>
      </c>
      <c r="E2468" s="9"/>
      <c r="F2468" s="9"/>
      <c r="G2468" s="7" t="str">
        <f aca="false">IF(A2468="","",IF(COUNTIF(Tabelas!$A:$A,IF(E2468="",A2468,E2468))&gt;0,"sim","não"))</f>
        <v/>
      </c>
      <c r="H2468" s="7" t="str">
        <f aca="false">IF(A2468="","",IF(E2468="",A2468,E2468)&amp;"."&amp;IF(F2468="",B2468,F2468))</f>
        <v/>
      </c>
      <c r="I2468" s="7" t="str">
        <f aca="false">IF(A2468="","",IFERROR(INDEX('Campos Growths'!$F:$F,MATCH(H2468,'Campos Growths'!$A:$A,0)),""))</f>
        <v/>
      </c>
      <c r="J2468" s="7" t="str">
        <f aca="false">IF(A2468="","",IFERROR(VLOOKUP(IF(ISNUMBER(SEARCH("(",C2468)),LEFT(C2468,SEARCH("(",C2468)-1),C2468),Tipos!$A:$B,2,FALSE()),"outro"))</f>
        <v/>
      </c>
      <c r="K2468" s="7" t="str">
        <f aca="false">IF(I2468="","",IFERROR(INDEX('Campos Growths'!$L:$L,MATCH(H2468,'Campos Growths'!$A:$A,0)),""))</f>
        <v/>
      </c>
      <c r="L2468" s="7" t="str">
        <f aca="false">IF(A2468="","",IF(G2468="não","Sem tabela no Growths",IF(I2468="","Sem campo no Growths",IF(J2468=K2468,"Importa direto","Ajustar tipo"))))</f>
        <v/>
      </c>
      <c r="M2468" s="9"/>
    </row>
    <row r="2469" customFormat="false" ht="15" hidden="false" customHeight="false" outlineLevel="0" collapsed="false">
      <c r="A2469" s="7" t="str">
        <f aca="false">IF('Outro banco'!A2469="","",IF(LEFT('Outro banco'!A2469,1)="(","",'Outro banco'!A2469))</f>
        <v/>
      </c>
      <c r="B2469" s="7" t="str">
        <f aca="false">IF(A2469="","",'Outro banco'!B2469)</f>
        <v/>
      </c>
      <c r="C2469" s="7" t="str">
        <f aca="false">IF(A2469="","",'Outro banco'!C2469)</f>
        <v/>
      </c>
      <c r="D2469" s="7" t="str">
        <f aca="false">IF(A2469="","",'Outro banco'!D2469)</f>
        <v/>
      </c>
      <c r="E2469" s="9"/>
      <c r="F2469" s="9"/>
      <c r="G2469" s="7" t="str">
        <f aca="false">IF(A2469="","",IF(COUNTIF(Tabelas!$A:$A,IF(E2469="",A2469,E2469))&gt;0,"sim","não"))</f>
        <v/>
      </c>
      <c r="H2469" s="7" t="str">
        <f aca="false">IF(A2469="","",IF(E2469="",A2469,E2469)&amp;"."&amp;IF(F2469="",B2469,F2469))</f>
        <v/>
      </c>
      <c r="I2469" s="7" t="str">
        <f aca="false">IF(A2469="","",IFERROR(INDEX('Campos Growths'!$F:$F,MATCH(H2469,'Campos Growths'!$A:$A,0)),""))</f>
        <v/>
      </c>
      <c r="J2469" s="7" t="str">
        <f aca="false">IF(A2469="","",IFERROR(VLOOKUP(IF(ISNUMBER(SEARCH("(",C2469)),LEFT(C2469,SEARCH("(",C2469)-1),C2469),Tipos!$A:$B,2,FALSE()),"outro"))</f>
        <v/>
      </c>
      <c r="K2469" s="7" t="str">
        <f aca="false">IF(I2469="","",IFERROR(INDEX('Campos Growths'!$L:$L,MATCH(H2469,'Campos Growths'!$A:$A,0)),""))</f>
        <v/>
      </c>
      <c r="L2469" s="7" t="str">
        <f aca="false">IF(A2469="","",IF(G2469="não","Sem tabela no Growths",IF(I2469="","Sem campo no Growths",IF(J2469=K2469,"Importa direto","Ajustar tipo"))))</f>
        <v/>
      </c>
      <c r="M2469" s="9"/>
    </row>
    <row r="2470" customFormat="false" ht="15" hidden="false" customHeight="false" outlineLevel="0" collapsed="false">
      <c r="A2470" s="7" t="str">
        <f aca="false">IF('Outro banco'!A2470="","",IF(LEFT('Outro banco'!A2470,1)="(","",'Outro banco'!A2470))</f>
        <v/>
      </c>
      <c r="B2470" s="7" t="str">
        <f aca="false">IF(A2470="","",'Outro banco'!B2470)</f>
        <v/>
      </c>
      <c r="C2470" s="7" t="str">
        <f aca="false">IF(A2470="","",'Outro banco'!C2470)</f>
        <v/>
      </c>
      <c r="D2470" s="7" t="str">
        <f aca="false">IF(A2470="","",'Outro banco'!D2470)</f>
        <v/>
      </c>
      <c r="E2470" s="9"/>
      <c r="F2470" s="9"/>
      <c r="G2470" s="7" t="str">
        <f aca="false">IF(A2470="","",IF(COUNTIF(Tabelas!$A:$A,IF(E2470="",A2470,E2470))&gt;0,"sim","não"))</f>
        <v/>
      </c>
      <c r="H2470" s="7" t="str">
        <f aca="false">IF(A2470="","",IF(E2470="",A2470,E2470)&amp;"."&amp;IF(F2470="",B2470,F2470))</f>
        <v/>
      </c>
      <c r="I2470" s="7" t="str">
        <f aca="false">IF(A2470="","",IFERROR(INDEX('Campos Growths'!$F:$F,MATCH(H2470,'Campos Growths'!$A:$A,0)),""))</f>
        <v/>
      </c>
      <c r="J2470" s="7" t="str">
        <f aca="false">IF(A2470="","",IFERROR(VLOOKUP(IF(ISNUMBER(SEARCH("(",C2470)),LEFT(C2470,SEARCH("(",C2470)-1),C2470),Tipos!$A:$B,2,FALSE()),"outro"))</f>
        <v/>
      </c>
      <c r="K2470" s="7" t="str">
        <f aca="false">IF(I2470="","",IFERROR(INDEX('Campos Growths'!$L:$L,MATCH(H2470,'Campos Growths'!$A:$A,0)),""))</f>
        <v/>
      </c>
      <c r="L2470" s="7" t="str">
        <f aca="false">IF(A2470="","",IF(G2470="não","Sem tabela no Growths",IF(I2470="","Sem campo no Growths",IF(J2470=K2470,"Importa direto","Ajustar tipo"))))</f>
        <v/>
      </c>
      <c r="M2470" s="9"/>
    </row>
    <row r="2471" customFormat="false" ht="15" hidden="false" customHeight="false" outlineLevel="0" collapsed="false">
      <c r="A2471" s="7" t="str">
        <f aca="false">IF('Outro banco'!A2471="","",IF(LEFT('Outro banco'!A2471,1)="(","",'Outro banco'!A2471))</f>
        <v/>
      </c>
      <c r="B2471" s="7" t="str">
        <f aca="false">IF(A2471="","",'Outro banco'!B2471)</f>
        <v/>
      </c>
      <c r="C2471" s="7" t="str">
        <f aca="false">IF(A2471="","",'Outro banco'!C2471)</f>
        <v/>
      </c>
      <c r="D2471" s="7" t="str">
        <f aca="false">IF(A2471="","",'Outro banco'!D2471)</f>
        <v/>
      </c>
      <c r="E2471" s="9"/>
      <c r="F2471" s="9"/>
      <c r="G2471" s="7" t="str">
        <f aca="false">IF(A2471="","",IF(COUNTIF(Tabelas!$A:$A,IF(E2471="",A2471,E2471))&gt;0,"sim","não"))</f>
        <v/>
      </c>
      <c r="H2471" s="7" t="str">
        <f aca="false">IF(A2471="","",IF(E2471="",A2471,E2471)&amp;"."&amp;IF(F2471="",B2471,F2471))</f>
        <v/>
      </c>
      <c r="I2471" s="7" t="str">
        <f aca="false">IF(A2471="","",IFERROR(INDEX('Campos Growths'!$F:$F,MATCH(H2471,'Campos Growths'!$A:$A,0)),""))</f>
        <v/>
      </c>
      <c r="J2471" s="7" t="str">
        <f aca="false">IF(A2471="","",IFERROR(VLOOKUP(IF(ISNUMBER(SEARCH("(",C2471)),LEFT(C2471,SEARCH("(",C2471)-1),C2471),Tipos!$A:$B,2,FALSE()),"outro"))</f>
        <v/>
      </c>
      <c r="K2471" s="7" t="str">
        <f aca="false">IF(I2471="","",IFERROR(INDEX('Campos Growths'!$L:$L,MATCH(H2471,'Campos Growths'!$A:$A,0)),""))</f>
        <v/>
      </c>
      <c r="L2471" s="7" t="str">
        <f aca="false">IF(A2471="","",IF(G2471="não","Sem tabela no Growths",IF(I2471="","Sem campo no Growths",IF(J2471=K2471,"Importa direto","Ajustar tipo"))))</f>
        <v/>
      </c>
      <c r="M2471" s="9"/>
    </row>
    <row r="2472" customFormat="false" ht="15" hidden="false" customHeight="false" outlineLevel="0" collapsed="false">
      <c r="A2472" s="7" t="str">
        <f aca="false">IF('Outro banco'!A2472="","",IF(LEFT('Outro banco'!A2472,1)="(","",'Outro banco'!A2472))</f>
        <v/>
      </c>
      <c r="B2472" s="7" t="str">
        <f aca="false">IF(A2472="","",'Outro banco'!B2472)</f>
        <v/>
      </c>
      <c r="C2472" s="7" t="str">
        <f aca="false">IF(A2472="","",'Outro banco'!C2472)</f>
        <v/>
      </c>
      <c r="D2472" s="7" t="str">
        <f aca="false">IF(A2472="","",'Outro banco'!D2472)</f>
        <v/>
      </c>
      <c r="E2472" s="9"/>
      <c r="F2472" s="9"/>
      <c r="G2472" s="7" t="str">
        <f aca="false">IF(A2472="","",IF(COUNTIF(Tabelas!$A:$A,IF(E2472="",A2472,E2472))&gt;0,"sim","não"))</f>
        <v/>
      </c>
      <c r="H2472" s="7" t="str">
        <f aca="false">IF(A2472="","",IF(E2472="",A2472,E2472)&amp;"."&amp;IF(F2472="",B2472,F2472))</f>
        <v/>
      </c>
      <c r="I2472" s="7" t="str">
        <f aca="false">IF(A2472="","",IFERROR(INDEX('Campos Growths'!$F:$F,MATCH(H2472,'Campos Growths'!$A:$A,0)),""))</f>
        <v/>
      </c>
      <c r="J2472" s="7" t="str">
        <f aca="false">IF(A2472="","",IFERROR(VLOOKUP(IF(ISNUMBER(SEARCH("(",C2472)),LEFT(C2472,SEARCH("(",C2472)-1),C2472),Tipos!$A:$B,2,FALSE()),"outro"))</f>
        <v/>
      </c>
      <c r="K2472" s="7" t="str">
        <f aca="false">IF(I2472="","",IFERROR(INDEX('Campos Growths'!$L:$L,MATCH(H2472,'Campos Growths'!$A:$A,0)),""))</f>
        <v/>
      </c>
      <c r="L2472" s="7" t="str">
        <f aca="false">IF(A2472="","",IF(G2472="não","Sem tabela no Growths",IF(I2472="","Sem campo no Growths",IF(J2472=K2472,"Importa direto","Ajustar tipo"))))</f>
        <v/>
      </c>
      <c r="M2472" s="9"/>
    </row>
    <row r="2473" customFormat="false" ht="15" hidden="false" customHeight="false" outlineLevel="0" collapsed="false">
      <c r="A2473" s="7" t="str">
        <f aca="false">IF('Outro banco'!A2473="","",IF(LEFT('Outro banco'!A2473,1)="(","",'Outro banco'!A2473))</f>
        <v/>
      </c>
      <c r="B2473" s="7" t="str">
        <f aca="false">IF(A2473="","",'Outro banco'!B2473)</f>
        <v/>
      </c>
      <c r="C2473" s="7" t="str">
        <f aca="false">IF(A2473="","",'Outro banco'!C2473)</f>
        <v/>
      </c>
      <c r="D2473" s="7" t="str">
        <f aca="false">IF(A2473="","",'Outro banco'!D2473)</f>
        <v/>
      </c>
      <c r="E2473" s="9"/>
      <c r="F2473" s="9"/>
      <c r="G2473" s="7" t="str">
        <f aca="false">IF(A2473="","",IF(COUNTIF(Tabelas!$A:$A,IF(E2473="",A2473,E2473))&gt;0,"sim","não"))</f>
        <v/>
      </c>
      <c r="H2473" s="7" t="str">
        <f aca="false">IF(A2473="","",IF(E2473="",A2473,E2473)&amp;"."&amp;IF(F2473="",B2473,F2473))</f>
        <v/>
      </c>
      <c r="I2473" s="7" t="str">
        <f aca="false">IF(A2473="","",IFERROR(INDEX('Campos Growths'!$F:$F,MATCH(H2473,'Campos Growths'!$A:$A,0)),""))</f>
        <v/>
      </c>
      <c r="J2473" s="7" t="str">
        <f aca="false">IF(A2473="","",IFERROR(VLOOKUP(IF(ISNUMBER(SEARCH("(",C2473)),LEFT(C2473,SEARCH("(",C2473)-1),C2473),Tipos!$A:$B,2,FALSE()),"outro"))</f>
        <v/>
      </c>
      <c r="K2473" s="7" t="str">
        <f aca="false">IF(I2473="","",IFERROR(INDEX('Campos Growths'!$L:$L,MATCH(H2473,'Campos Growths'!$A:$A,0)),""))</f>
        <v/>
      </c>
      <c r="L2473" s="7" t="str">
        <f aca="false">IF(A2473="","",IF(G2473="não","Sem tabela no Growths",IF(I2473="","Sem campo no Growths",IF(J2473=K2473,"Importa direto","Ajustar tipo"))))</f>
        <v/>
      </c>
      <c r="M2473" s="9"/>
    </row>
    <row r="2474" customFormat="false" ht="15" hidden="false" customHeight="false" outlineLevel="0" collapsed="false">
      <c r="A2474" s="7" t="str">
        <f aca="false">IF('Outro banco'!A2474="","",IF(LEFT('Outro banco'!A2474,1)="(","",'Outro banco'!A2474))</f>
        <v/>
      </c>
      <c r="B2474" s="7" t="str">
        <f aca="false">IF(A2474="","",'Outro banco'!B2474)</f>
        <v/>
      </c>
      <c r="C2474" s="7" t="str">
        <f aca="false">IF(A2474="","",'Outro banco'!C2474)</f>
        <v/>
      </c>
      <c r="D2474" s="7" t="str">
        <f aca="false">IF(A2474="","",'Outro banco'!D2474)</f>
        <v/>
      </c>
      <c r="E2474" s="9"/>
      <c r="F2474" s="9"/>
      <c r="G2474" s="7" t="str">
        <f aca="false">IF(A2474="","",IF(COUNTIF(Tabelas!$A:$A,IF(E2474="",A2474,E2474))&gt;0,"sim","não"))</f>
        <v/>
      </c>
      <c r="H2474" s="7" t="str">
        <f aca="false">IF(A2474="","",IF(E2474="",A2474,E2474)&amp;"."&amp;IF(F2474="",B2474,F2474))</f>
        <v/>
      </c>
      <c r="I2474" s="7" t="str">
        <f aca="false">IF(A2474="","",IFERROR(INDEX('Campos Growths'!$F:$F,MATCH(H2474,'Campos Growths'!$A:$A,0)),""))</f>
        <v/>
      </c>
      <c r="J2474" s="7" t="str">
        <f aca="false">IF(A2474="","",IFERROR(VLOOKUP(IF(ISNUMBER(SEARCH("(",C2474)),LEFT(C2474,SEARCH("(",C2474)-1),C2474),Tipos!$A:$B,2,FALSE()),"outro"))</f>
        <v/>
      </c>
      <c r="K2474" s="7" t="str">
        <f aca="false">IF(I2474="","",IFERROR(INDEX('Campos Growths'!$L:$L,MATCH(H2474,'Campos Growths'!$A:$A,0)),""))</f>
        <v/>
      </c>
      <c r="L2474" s="7" t="str">
        <f aca="false">IF(A2474="","",IF(G2474="não","Sem tabela no Growths",IF(I2474="","Sem campo no Growths",IF(J2474=K2474,"Importa direto","Ajustar tipo"))))</f>
        <v/>
      </c>
      <c r="M2474" s="9"/>
    </row>
    <row r="2475" customFormat="false" ht="15" hidden="false" customHeight="false" outlineLevel="0" collapsed="false">
      <c r="A2475" s="7" t="str">
        <f aca="false">IF('Outro banco'!A2475="","",IF(LEFT('Outro banco'!A2475,1)="(","",'Outro banco'!A2475))</f>
        <v/>
      </c>
      <c r="B2475" s="7" t="str">
        <f aca="false">IF(A2475="","",'Outro banco'!B2475)</f>
        <v/>
      </c>
      <c r="C2475" s="7" t="str">
        <f aca="false">IF(A2475="","",'Outro banco'!C2475)</f>
        <v/>
      </c>
      <c r="D2475" s="7" t="str">
        <f aca="false">IF(A2475="","",'Outro banco'!D2475)</f>
        <v/>
      </c>
      <c r="E2475" s="9"/>
      <c r="F2475" s="9"/>
      <c r="G2475" s="7" t="str">
        <f aca="false">IF(A2475="","",IF(COUNTIF(Tabelas!$A:$A,IF(E2475="",A2475,E2475))&gt;0,"sim","não"))</f>
        <v/>
      </c>
      <c r="H2475" s="7" t="str">
        <f aca="false">IF(A2475="","",IF(E2475="",A2475,E2475)&amp;"."&amp;IF(F2475="",B2475,F2475))</f>
        <v/>
      </c>
      <c r="I2475" s="7" t="str">
        <f aca="false">IF(A2475="","",IFERROR(INDEX('Campos Growths'!$F:$F,MATCH(H2475,'Campos Growths'!$A:$A,0)),""))</f>
        <v/>
      </c>
      <c r="J2475" s="7" t="str">
        <f aca="false">IF(A2475="","",IFERROR(VLOOKUP(IF(ISNUMBER(SEARCH("(",C2475)),LEFT(C2475,SEARCH("(",C2475)-1),C2475),Tipos!$A:$B,2,FALSE()),"outro"))</f>
        <v/>
      </c>
      <c r="K2475" s="7" t="str">
        <f aca="false">IF(I2475="","",IFERROR(INDEX('Campos Growths'!$L:$L,MATCH(H2475,'Campos Growths'!$A:$A,0)),""))</f>
        <v/>
      </c>
      <c r="L2475" s="7" t="str">
        <f aca="false">IF(A2475="","",IF(G2475="não","Sem tabela no Growths",IF(I2475="","Sem campo no Growths",IF(J2475=K2475,"Importa direto","Ajustar tipo"))))</f>
        <v/>
      </c>
      <c r="M2475" s="9"/>
    </row>
    <row r="2476" customFormat="false" ht="15" hidden="false" customHeight="false" outlineLevel="0" collapsed="false">
      <c r="A2476" s="7" t="str">
        <f aca="false">IF('Outro banco'!A2476="","",IF(LEFT('Outro banco'!A2476,1)="(","",'Outro banco'!A2476))</f>
        <v/>
      </c>
      <c r="B2476" s="7" t="str">
        <f aca="false">IF(A2476="","",'Outro banco'!B2476)</f>
        <v/>
      </c>
      <c r="C2476" s="7" t="str">
        <f aca="false">IF(A2476="","",'Outro banco'!C2476)</f>
        <v/>
      </c>
      <c r="D2476" s="7" t="str">
        <f aca="false">IF(A2476="","",'Outro banco'!D2476)</f>
        <v/>
      </c>
      <c r="E2476" s="9"/>
      <c r="F2476" s="9"/>
      <c r="G2476" s="7" t="str">
        <f aca="false">IF(A2476="","",IF(COUNTIF(Tabelas!$A:$A,IF(E2476="",A2476,E2476))&gt;0,"sim","não"))</f>
        <v/>
      </c>
      <c r="H2476" s="7" t="str">
        <f aca="false">IF(A2476="","",IF(E2476="",A2476,E2476)&amp;"."&amp;IF(F2476="",B2476,F2476))</f>
        <v/>
      </c>
      <c r="I2476" s="7" t="str">
        <f aca="false">IF(A2476="","",IFERROR(INDEX('Campos Growths'!$F:$F,MATCH(H2476,'Campos Growths'!$A:$A,0)),""))</f>
        <v/>
      </c>
      <c r="J2476" s="7" t="str">
        <f aca="false">IF(A2476="","",IFERROR(VLOOKUP(IF(ISNUMBER(SEARCH("(",C2476)),LEFT(C2476,SEARCH("(",C2476)-1),C2476),Tipos!$A:$B,2,FALSE()),"outro"))</f>
        <v/>
      </c>
      <c r="K2476" s="7" t="str">
        <f aca="false">IF(I2476="","",IFERROR(INDEX('Campos Growths'!$L:$L,MATCH(H2476,'Campos Growths'!$A:$A,0)),""))</f>
        <v/>
      </c>
      <c r="L2476" s="7" t="str">
        <f aca="false">IF(A2476="","",IF(G2476="não","Sem tabela no Growths",IF(I2476="","Sem campo no Growths",IF(J2476=K2476,"Importa direto","Ajustar tipo"))))</f>
        <v/>
      </c>
      <c r="M2476" s="9"/>
    </row>
    <row r="2477" customFormat="false" ht="15" hidden="false" customHeight="false" outlineLevel="0" collapsed="false">
      <c r="A2477" s="7" t="str">
        <f aca="false">IF('Outro banco'!A2477="","",IF(LEFT('Outro banco'!A2477,1)="(","",'Outro banco'!A2477))</f>
        <v/>
      </c>
      <c r="B2477" s="7" t="str">
        <f aca="false">IF(A2477="","",'Outro banco'!B2477)</f>
        <v/>
      </c>
      <c r="C2477" s="7" t="str">
        <f aca="false">IF(A2477="","",'Outro banco'!C2477)</f>
        <v/>
      </c>
      <c r="D2477" s="7" t="str">
        <f aca="false">IF(A2477="","",'Outro banco'!D2477)</f>
        <v/>
      </c>
      <c r="E2477" s="9"/>
      <c r="F2477" s="9"/>
      <c r="G2477" s="7" t="str">
        <f aca="false">IF(A2477="","",IF(COUNTIF(Tabelas!$A:$A,IF(E2477="",A2477,E2477))&gt;0,"sim","não"))</f>
        <v/>
      </c>
      <c r="H2477" s="7" t="str">
        <f aca="false">IF(A2477="","",IF(E2477="",A2477,E2477)&amp;"."&amp;IF(F2477="",B2477,F2477))</f>
        <v/>
      </c>
      <c r="I2477" s="7" t="str">
        <f aca="false">IF(A2477="","",IFERROR(INDEX('Campos Growths'!$F:$F,MATCH(H2477,'Campos Growths'!$A:$A,0)),""))</f>
        <v/>
      </c>
      <c r="J2477" s="7" t="str">
        <f aca="false">IF(A2477="","",IFERROR(VLOOKUP(IF(ISNUMBER(SEARCH("(",C2477)),LEFT(C2477,SEARCH("(",C2477)-1),C2477),Tipos!$A:$B,2,FALSE()),"outro"))</f>
        <v/>
      </c>
      <c r="K2477" s="7" t="str">
        <f aca="false">IF(I2477="","",IFERROR(INDEX('Campos Growths'!$L:$L,MATCH(H2477,'Campos Growths'!$A:$A,0)),""))</f>
        <v/>
      </c>
      <c r="L2477" s="7" t="str">
        <f aca="false">IF(A2477="","",IF(G2477="não","Sem tabela no Growths",IF(I2477="","Sem campo no Growths",IF(J2477=K2477,"Importa direto","Ajustar tipo"))))</f>
        <v/>
      </c>
      <c r="M2477" s="9"/>
    </row>
    <row r="2478" customFormat="false" ht="15" hidden="false" customHeight="false" outlineLevel="0" collapsed="false">
      <c r="A2478" s="7" t="str">
        <f aca="false">IF('Outro banco'!A2478="","",IF(LEFT('Outro banco'!A2478,1)="(","",'Outro banco'!A2478))</f>
        <v/>
      </c>
      <c r="B2478" s="7" t="str">
        <f aca="false">IF(A2478="","",'Outro banco'!B2478)</f>
        <v/>
      </c>
      <c r="C2478" s="7" t="str">
        <f aca="false">IF(A2478="","",'Outro banco'!C2478)</f>
        <v/>
      </c>
      <c r="D2478" s="7" t="str">
        <f aca="false">IF(A2478="","",'Outro banco'!D2478)</f>
        <v/>
      </c>
      <c r="E2478" s="9"/>
      <c r="F2478" s="9"/>
      <c r="G2478" s="7" t="str">
        <f aca="false">IF(A2478="","",IF(COUNTIF(Tabelas!$A:$A,IF(E2478="",A2478,E2478))&gt;0,"sim","não"))</f>
        <v/>
      </c>
      <c r="H2478" s="7" t="str">
        <f aca="false">IF(A2478="","",IF(E2478="",A2478,E2478)&amp;"."&amp;IF(F2478="",B2478,F2478))</f>
        <v/>
      </c>
      <c r="I2478" s="7" t="str">
        <f aca="false">IF(A2478="","",IFERROR(INDEX('Campos Growths'!$F:$F,MATCH(H2478,'Campos Growths'!$A:$A,0)),""))</f>
        <v/>
      </c>
      <c r="J2478" s="7" t="str">
        <f aca="false">IF(A2478="","",IFERROR(VLOOKUP(IF(ISNUMBER(SEARCH("(",C2478)),LEFT(C2478,SEARCH("(",C2478)-1),C2478),Tipos!$A:$B,2,FALSE()),"outro"))</f>
        <v/>
      </c>
      <c r="K2478" s="7" t="str">
        <f aca="false">IF(I2478="","",IFERROR(INDEX('Campos Growths'!$L:$L,MATCH(H2478,'Campos Growths'!$A:$A,0)),""))</f>
        <v/>
      </c>
      <c r="L2478" s="7" t="str">
        <f aca="false">IF(A2478="","",IF(G2478="não","Sem tabela no Growths",IF(I2478="","Sem campo no Growths",IF(J2478=K2478,"Importa direto","Ajustar tipo"))))</f>
        <v/>
      </c>
      <c r="M2478" s="9"/>
    </row>
    <row r="2479" customFormat="false" ht="15" hidden="false" customHeight="false" outlineLevel="0" collapsed="false">
      <c r="A2479" s="7" t="str">
        <f aca="false">IF('Outro banco'!A2479="","",IF(LEFT('Outro banco'!A2479,1)="(","",'Outro banco'!A2479))</f>
        <v/>
      </c>
      <c r="B2479" s="7" t="str">
        <f aca="false">IF(A2479="","",'Outro banco'!B2479)</f>
        <v/>
      </c>
      <c r="C2479" s="7" t="str">
        <f aca="false">IF(A2479="","",'Outro banco'!C2479)</f>
        <v/>
      </c>
      <c r="D2479" s="7" t="str">
        <f aca="false">IF(A2479="","",'Outro banco'!D2479)</f>
        <v/>
      </c>
      <c r="E2479" s="9"/>
      <c r="F2479" s="9"/>
      <c r="G2479" s="7" t="str">
        <f aca="false">IF(A2479="","",IF(COUNTIF(Tabelas!$A:$A,IF(E2479="",A2479,E2479))&gt;0,"sim","não"))</f>
        <v/>
      </c>
      <c r="H2479" s="7" t="str">
        <f aca="false">IF(A2479="","",IF(E2479="",A2479,E2479)&amp;"."&amp;IF(F2479="",B2479,F2479))</f>
        <v/>
      </c>
      <c r="I2479" s="7" t="str">
        <f aca="false">IF(A2479="","",IFERROR(INDEX('Campos Growths'!$F:$F,MATCH(H2479,'Campos Growths'!$A:$A,0)),""))</f>
        <v/>
      </c>
      <c r="J2479" s="7" t="str">
        <f aca="false">IF(A2479="","",IFERROR(VLOOKUP(IF(ISNUMBER(SEARCH("(",C2479)),LEFT(C2479,SEARCH("(",C2479)-1),C2479),Tipos!$A:$B,2,FALSE()),"outro"))</f>
        <v/>
      </c>
      <c r="K2479" s="7" t="str">
        <f aca="false">IF(I2479="","",IFERROR(INDEX('Campos Growths'!$L:$L,MATCH(H2479,'Campos Growths'!$A:$A,0)),""))</f>
        <v/>
      </c>
      <c r="L2479" s="7" t="str">
        <f aca="false">IF(A2479="","",IF(G2479="não","Sem tabela no Growths",IF(I2479="","Sem campo no Growths",IF(J2479=K2479,"Importa direto","Ajustar tipo"))))</f>
        <v/>
      </c>
      <c r="M2479" s="9"/>
    </row>
    <row r="2480" customFormat="false" ht="15" hidden="false" customHeight="false" outlineLevel="0" collapsed="false">
      <c r="A2480" s="7" t="str">
        <f aca="false">IF('Outro banco'!A2480="","",IF(LEFT('Outro banco'!A2480,1)="(","",'Outro banco'!A2480))</f>
        <v/>
      </c>
      <c r="B2480" s="7" t="str">
        <f aca="false">IF(A2480="","",'Outro banco'!B2480)</f>
        <v/>
      </c>
      <c r="C2480" s="7" t="str">
        <f aca="false">IF(A2480="","",'Outro banco'!C2480)</f>
        <v/>
      </c>
      <c r="D2480" s="7" t="str">
        <f aca="false">IF(A2480="","",'Outro banco'!D2480)</f>
        <v/>
      </c>
      <c r="E2480" s="9"/>
      <c r="F2480" s="9"/>
      <c r="G2480" s="7" t="str">
        <f aca="false">IF(A2480="","",IF(COUNTIF(Tabelas!$A:$A,IF(E2480="",A2480,E2480))&gt;0,"sim","não"))</f>
        <v/>
      </c>
      <c r="H2480" s="7" t="str">
        <f aca="false">IF(A2480="","",IF(E2480="",A2480,E2480)&amp;"."&amp;IF(F2480="",B2480,F2480))</f>
        <v/>
      </c>
      <c r="I2480" s="7" t="str">
        <f aca="false">IF(A2480="","",IFERROR(INDEX('Campos Growths'!$F:$F,MATCH(H2480,'Campos Growths'!$A:$A,0)),""))</f>
        <v/>
      </c>
      <c r="J2480" s="7" t="str">
        <f aca="false">IF(A2480="","",IFERROR(VLOOKUP(IF(ISNUMBER(SEARCH("(",C2480)),LEFT(C2480,SEARCH("(",C2480)-1),C2480),Tipos!$A:$B,2,FALSE()),"outro"))</f>
        <v/>
      </c>
      <c r="K2480" s="7" t="str">
        <f aca="false">IF(I2480="","",IFERROR(INDEX('Campos Growths'!$L:$L,MATCH(H2480,'Campos Growths'!$A:$A,0)),""))</f>
        <v/>
      </c>
      <c r="L2480" s="7" t="str">
        <f aca="false">IF(A2480="","",IF(G2480="não","Sem tabela no Growths",IF(I2480="","Sem campo no Growths",IF(J2480=K2480,"Importa direto","Ajustar tipo"))))</f>
        <v/>
      </c>
      <c r="M2480" s="9"/>
    </row>
    <row r="2481" customFormat="false" ht="15" hidden="false" customHeight="false" outlineLevel="0" collapsed="false">
      <c r="A2481" s="7" t="str">
        <f aca="false">IF('Outro banco'!A2481="","",IF(LEFT('Outro banco'!A2481,1)="(","",'Outro banco'!A2481))</f>
        <v/>
      </c>
      <c r="B2481" s="7" t="str">
        <f aca="false">IF(A2481="","",'Outro banco'!B2481)</f>
        <v/>
      </c>
      <c r="C2481" s="7" t="str">
        <f aca="false">IF(A2481="","",'Outro banco'!C2481)</f>
        <v/>
      </c>
      <c r="D2481" s="7" t="str">
        <f aca="false">IF(A2481="","",'Outro banco'!D2481)</f>
        <v/>
      </c>
      <c r="E2481" s="9"/>
      <c r="F2481" s="9"/>
      <c r="G2481" s="7" t="str">
        <f aca="false">IF(A2481="","",IF(COUNTIF(Tabelas!$A:$A,IF(E2481="",A2481,E2481))&gt;0,"sim","não"))</f>
        <v/>
      </c>
      <c r="H2481" s="7" t="str">
        <f aca="false">IF(A2481="","",IF(E2481="",A2481,E2481)&amp;"."&amp;IF(F2481="",B2481,F2481))</f>
        <v/>
      </c>
      <c r="I2481" s="7" t="str">
        <f aca="false">IF(A2481="","",IFERROR(INDEX('Campos Growths'!$F:$F,MATCH(H2481,'Campos Growths'!$A:$A,0)),""))</f>
        <v/>
      </c>
      <c r="J2481" s="7" t="str">
        <f aca="false">IF(A2481="","",IFERROR(VLOOKUP(IF(ISNUMBER(SEARCH("(",C2481)),LEFT(C2481,SEARCH("(",C2481)-1),C2481),Tipos!$A:$B,2,FALSE()),"outro"))</f>
        <v/>
      </c>
      <c r="K2481" s="7" t="str">
        <f aca="false">IF(I2481="","",IFERROR(INDEX('Campos Growths'!$L:$L,MATCH(H2481,'Campos Growths'!$A:$A,0)),""))</f>
        <v/>
      </c>
      <c r="L2481" s="7" t="str">
        <f aca="false">IF(A2481="","",IF(G2481="não","Sem tabela no Growths",IF(I2481="","Sem campo no Growths",IF(J2481=K2481,"Importa direto","Ajustar tipo"))))</f>
        <v/>
      </c>
      <c r="M2481" s="9"/>
    </row>
    <row r="2482" customFormat="false" ht="15" hidden="false" customHeight="false" outlineLevel="0" collapsed="false">
      <c r="A2482" s="7" t="str">
        <f aca="false">IF('Outro banco'!A2482="","",IF(LEFT('Outro banco'!A2482,1)="(","",'Outro banco'!A2482))</f>
        <v/>
      </c>
      <c r="B2482" s="7" t="str">
        <f aca="false">IF(A2482="","",'Outro banco'!B2482)</f>
        <v/>
      </c>
      <c r="C2482" s="7" t="str">
        <f aca="false">IF(A2482="","",'Outro banco'!C2482)</f>
        <v/>
      </c>
      <c r="D2482" s="7" t="str">
        <f aca="false">IF(A2482="","",'Outro banco'!D2482)</f>
        <v/>
      </c>
      <c r="E2482" s="9"/>
      <c r="F2482" s="9"/>
      <c r="G2482" s="7" t="str">
        <f aca="false">IF(A2482="","",IF(COUNTIF(Tabelas!$A:$A,IF(E2482="",A2482,E2482))&gt;0,"sim","não"))</f>
        <v/>
      </c>
      <c r="H2482" s="7" t="str">
        <f aca="false">IF(A2482="","",IF(E2482="",A2482,E2482)&amp;"."&amp;IF(F2482="",B2482,F2482))</f>
        <v/>
      </c>
      <c r="I2482" s="7" t="str">
        <f aca="false">IF(A2482="","",IFERROR(INDEX('Campos Growths'!$F:$F,MATCH(H2482,'Campos Growths'!$A:$A,0)),""))</f>
        <v/>
      </c>
      <c r="J2482" s="7" t="str">
        <f aca="false">IF(A2482="","",IFERROR(VLOOKUP(IF(ISNUMBER(SEARCH("(",C2482)),LEFT(C2482,SEARCH("(",C2482)-1),C2482),Tipos!$A:$B,2,FALSE()),"outro"))</f>
        <v/>
      </c>
      <c r="K2482" s="7" t="str">
        <f aca="false">IF(I2482="","",IFERROR(INDEX('Campos Growths'!$L:$L,MATCH(H2482,'Campos Growths'!$A:$A,0)),""))</f>
        <v/>
      </c>
      <c r="L2482" s="7" t="str">
        <f aca="false">IF(A2482="","",IF(G2482="não","Sem tabela no Growths",IF(I2482="","Sem campo no Growths",IF(J2482=K2482,"Importa direto","Ajustar tipo"))))</f>
        <v/>
      </c>
      <c r="M2482" s="9"/>
    </row>
    <row r="2483" customFormat="false" ht="15" hidden="false" customHeight="false" outlineLevel="0" collapsed="false">
      <c r="A2483" s="7" t="str">
        <f aca="false">IF('Outro banco'!A2483="","",IF(LEFT('Outro banco'!A2483,1)="(","",'Outro banco'!A2483))</f>
        <v/>
      </c>
      <c r="B2483" s="7" t="str">
        <f aca="false">IF(A2483="","",'Outro banco'!B2483)</f>
        <v/>
      </c>
      <c r="C2483" s="7" t="str">
        <f aca="false">IF(A2483="","",'Outro banco'!C2483)</f>
        <v/>
      </c>
      <c r="D2483" s="7" t="str">
        <f aca="false">IF(A2483="","",'Outro banco'!D2483)</f>
        <v/>
      </c>
      <c r="E2483" s="9"/>
      <c r="F2483" s="9"/>
      <c r="G2483" s="7" t="str">
        <f aca="false">IF(A2483="","",IF(COUNTIF(Tabelas!$A:$A,IF(E2483="",A2483,E2483))&gt;0,"sim","não"))</f>
        <v/>
      </c>
      <c r="H2483" s="7" t="str">
        <f aca="false">IF(A2483="","",IF(E2483="",A2483,E2483)&amp;"."&amp;IF(F2483="",B2483,F2483))</f>
        <v/>
      </c>
      <c r="I2483" s="7" t="str">
        <f aca="false">IF(A2483="","",IFERROR(INDEX('Campos Growths'!$F:$F,MATCH(H2483,'Campos Growths'!$A:$A,0)),""))</f>
        <v/>
      </c>
      <c r="J2483" s="7" t="str">
        <f aca="false">IF(A2483="","",IFERROR(VLOOKUP(IF(ISNUMBER(SEARCH("(",C2483)),LEFT(C2483,SEARCH("(",C2483)-1),C2483),Tipos!$A:$B,2,FALSE()),"outro"))</f>
        <v/>
      </c>
      <c r="K2483" s="7" t="str">
        <f aca="false">IF(I2483="","",IFERROR(INDEX('Campos Growths'!$L:$L,MATCH(H2483,'Campos Growths'!$A:$A,0)),""))</f>
        <v/>
      </c>
      <c r="L2483" s="7" t="str">
        <f aca="false">IF(A2483="","",IF(G2483="não","Sem tabela no Growths",IF(I2483="","Sem campo no Growths",IF(J2483=K2483,"Importa direto","Ajustar tipo"))))</f>
        <v/>
      </c>
      <c r="M2483" s="9"/>
    </row>
    <row r="2484" customFormat="false" ht="15" hidden="false" customHeight="false" outlineLevel="0" collapsed="false">
      <c r="A2484" s="7" t="str">
        <f aca="false">IF('Outro banco'!A2484="","",IF(LEFT('Outro banco'!A2484,1)="(","",'Outro banco'!A2484))</f>
        <v/>
      </c>
      <c r="B2484" s="7" t="str">
        <f aca="false">IF(A2484="","",'Outro banco'!B2484)</f>
        <v/>
      </c>
      <c r="C2484" s="7" t="str">
        <f aca="false">IF(A2484="","",'Outro banco'!C2484)</f>
        <v/>
      </c>
      <c r="D2484" s="7" t="str">
        <f aca="false">IF(A2484="","",'Outro banco'!D2484)</f>
        <v/>
      </c>
      <c r="E2484" s="9"/>
      <c r="F2484" s="9"/>
      <c r="G2484" s="7" t="str">
        <f aca="false">IF(A2484="","",IF(COUNTIF(Tabelas!$A:$A,IF(E2484="",A2484,E2484))&gt;0,"sim","não"))</f>
        <v/>
      </c>
      <c r="H2484" s="7" t="str">
        <f aca="false">IF(A2484="","",IF(E2484="",A2484,E2484)&amp;"."&amp;IF(F2484="",B2484,F2484))</f>
        <v/>
      </c>
      <c r="I2484" s="7" t="str">
        <f aca="false">IF(A2484="","",IFERROR(INDEX('Campos Growths'!$F:$F,MATCH(H2484,'Campos Growths'!$A:$A,0)),""))</f>
        <v/>
      </c>
      <c r="J2484" s="7" t="str">
        <f aca="false">IF(A2484="","",IFERROR(VLOOKUP(IF(ISNUMBER(SEARCH("(",C2484)),LEFT(C2484,SEARCH("(",C2484)-1),C2484),Tipos!$A:$B,2,FALSE()),"outro"))</f>
        <v/>
      </c>
      <c r="K2484" s="7" t="str">
        <f aca="false">IF(I2484="","",IFERROR(INDEX('Campos Growths'!$L:$L,MATCH(H2484,'Campos Growths'!$A:$A,0)),""))</f>
        <v/>
      </c>
      <c r="L2484" s="7" t="str">
        <f aca="false">IF(A2484="","",IF(G2484="não","Sem tabela no Growths",IF(I2484="","Sem campo no Growths",IF(J2484=K2484,"Importa direto","Ajustar tipo"))))</f>
        <v/>
      </c>
      <c r="M2484" s="9"/>
    </row>
    <row r="2485" customFormat="false" ht="15" hidden="false" customHeight="false" outlineLevel="0" collapsed="false">
      <c r="A2485" s="7" t="str">
        <f aca="false">IF('Outro banco'!A2485="","",IF(LEFT('Outro banco'!A2485,1)="(","",'Outro banco'!A2485))</f>
        <v/>
      </c>
      <c r="B2485" s="7" t="str">
        <f aca="false">IF(A2485="","",'Outro banco'!B2485)</f>
        <v/>
      </c>
      <c r="C2485" s="7" t="str">
        <f aca="false">IF(A2485="","",'Outro banco'!C2485)</f>
        <v/>
      </c>
      <c r="D2485" s="7" t="str">
        <f aca="false">IF(A2485="","",'Outro banco'!D2485)</f>
        <v/>
      </c>
      <c r="E2485" s="9"/>
      <c r="F2485" s="9"/>
      <c r="G2485" s="7" t="str">
        <f aca="false">IF(A2485="","",IF(COUNTIF(Tabelas!$A:$A,IF(E2485="",A2485,E2485))&gt;0,"sim","não"))</f>
        <v/>
      </c>
      <c r="H2485" s="7" t="str">
        <f aca="false">IF(A2485="","",IF(E2485="",A2485,E2485)&amp;"."&amp;IF(F2485="",B2485,F2485))</f>
        <v/>
      </c>
      <c r="I2485" s="7" t="str">
        <f aca="false">IF(A2485="","",IFERROR(INDEX('Campos Growths'!$F:$F,MATCH(H2485,'Campos Growths'!$A:$A,0)),""))</f>
        <v/>
      </c>
      <c r="J2485" s="7" t="str">
        <f aca="false">IF(A2485="","",IFERROR(VLOOKUP(IF(ISNUMBER(SEARCH("(",C2485)),LEFT(C2485,SEARCH("(",C2485)-1),C2485),Tipos!$A:$B,2,FALSE()),"outro"))</f>
        <v/>
      </c>
      <c r="K2485" s="7" t="str">
        <f aca="false">IF(I2485="","",IFERROR(INDEX('Campos Growths'!$L:$L,MATCH(H2485,'Campos Growths'!$A:$A,0)),""))</f>
        <v/>
      </c>
      <c r="L2485" s="7" t="str">
        <f aca="false">IF(A2485="","",IF(G2485="não","Sem tabela no Growths",IF(I2485="","Sem campo no Growths",IF(J2485=K2485,"Importa direto","Ajustar tipo"))))</f>
        <v/>
      </c>
      <c r="M2485" s="9"/>
    </row>
    <row r="2486" customFormat="false" ht="15" hidden="false" customHeight="false" outlineLevel="0" collapsed="false">
      <c r="A2486" s="7" t="str">
        <f aca="false">IF('Outro banco'!A2486="","",IF(LEFT('Outro banco'!A2486,1)="(","",'Outro banco'!A2486))</f>
        <v/>
      </c>
      <c r="B2486" s="7" t="str">
        <f aca="false">IF(A2486="","",'Outro banco'!B2486)</f>
        <v/>
      </c>
      <c r="C2486" s="7" t="str">
        <f aca="false">IF(A2486="","",'Outro banco'!C2486)</f>
        <v/>
      </c>
      <c r="D2486" s="7" t="str">
        <f aca="false">IF(A2486="","",'Outro banco'!D2486)</f>
        <v/>
      </c>
      <c r="E2486" s="9"/>
      <c r="F2486" s="9"/>
      <c r="G2486" s="7" t="str">
        <f aca="false">IF(A2486="","",IF(COUNTIF(Tabelas!$A:$A,IF(E2486="",A2486,E2486))&gt;0,"sim","não"))</f>
        <v/>
      </c>
      <c r="H2486" s="7" t="str">
        <f aca="false">IF(A2486="","",IF(E2486="",A2486,E2486)&amp;"."&amp;IF(F2486="",B2486,F2486))</f>
        <v/>
      </c>
      <c r="I2486" s="7" t="str">
        <f aca="false">IF(A2486="","",IFERROR(INDEX('Campos Growths'!$F:$F,MATCH(H2486,'Campos Growths'!$A:$A,0)),""))</f>
        <v/>
      </c>
      <c r="J2486" s="7" t="str">
        <f aca="false">IF(A2486="","",IFERROR(VLOOKUP(IF(ISNUMBER(SEARCH("(",C2486)),LEFT(C2486,SEARCH("(",C2486)-1),C2486),Tipos!$A:$B,2,FALSE()),"outro"))</f>
        <v/>
      </c>
      <c r="K2486" s="7" t="str">
        <f aca="false">IF(I2486="","",IFERROR(INDEX('Campos Growths'!$L:$L,MATCH(H2486,'Campos Growths'!$A:$A,0)),""))</f>
        <v/>
      </c>
      <c r="L2486" s="7" t="str">
        <f aca="false">IF(A2486="","",IF(G2486="não","Sem tabela no Growths",IF(I2486="","Sem campo no Growths",IF(J2486=K2486,"Importa direto","Ajustar tipo"))))</f>
        <v/>
      </c>
      <c r="M2486" s="9"/>
    </row>
    <row r="2487" customFormat="false" ht="15" hidden="false" customHeight="false" outlineLevel="0" collapsed="false">
      <c r="A2487" s="7" t="str">
        <f aca="false">IF('Outro banco'!A2487="","",IF(LEFT('Outro banco'!A2487,1)="(","",'Outro banco'!A2487))</f>
        <v/>
      </c>
      <c r="B2487" s="7" t="str">
        <f aca="false">IF(A2487="","",'Outro banco'!B2487)</f>
        <v/>
      </c>
      <c r="C2487" s="7" t="str">
        <f aca="false">IF(A2487="","",'Outro banco'!C2487)</f>
        <v/>
      </c>
      <c r="D2487" s="7" t="str">
        <f aca="false">IF(A2487="","",'Outro banco'!D2487)</f>
        <v/>
      </c>
      <c r="E2487" s="9"/>
      <c r="F2487" s="9"/>
      <c r="G2487" s="7" t="str">
        <f aca="false">IF(A2487="","",IF(COUNTIF(Tabelas!$A:$A,IF(E2487="",A2487,E2487))&gt;0,"sim","não"))</f>
        <v/>
      </c>
      <c r="H2487" s="7" t="str">
        <f aca="false">IF(A2487="","",IF(E2487="",A2487,E2487)&amp;"."&amp;IF(F2487="",B2487,F2487))</f>
        <v/>
      </c>
      <c r="I2487" s="7" t="str">
        <f aca="false">IF(A2487="","",IFERROR(INDEX('Campos Growths'!$F:$F,MATCH(H2487,'Campos Growths'!$A:$A,0)),""))</f>
        <v/>
      </c>
      <c r="J2487" s="7" t="str">
        <f aca="false">IF(A2487="","",IFERROR(VLOOKUP(IF(ISNUMBER(SEARCH("(",C2487)),LEFT(C2487,SEARCH("(",C2487)-1),C2487),Tipos!$A:$B,2,FALSE()),"outro"))</f>
        <v/>
      </c>
      <c r="K2487" s="7" t="str">
        <f aca="false">IF(I2487="","",IFERROR(INDEX('Campos Growths'!$L:$L,MATCH(H2487,'Campos Growths'!$A:$A,0)),""))</f>
        <v/>
      </c>
      <c r="L2487" s="7" t="str">
        <f aca="false">IF(A2487="","",IF(G2487="não","Sem tabela no Growths",IF(I2487="","Sem campo no Growths",IF(J2487=K2487,"Importa direto","Ajustar tipo"))))</f>
        <v/>
      </c>
      <c r="M2487" s="9"/>
    </row>
    <row r="2488" customFormat="false" ht="15" hidden="false" customHeight="false" outlineLevel="0" collapsed="false">
      <c r="A2488" s="7" t="str">
        <f aca="false">IF('Outro banco'!A2488="","",IF(LEFT('Outro banco'!A2488,1)="(","",'Outro banco'!A2488))</f>
        <v/>
      </c>
      <c r="B2488" s="7" t="str">
        <f aca="false">IF(A2488="","",'Outro banco'!B2488)</f>
        <v/>
      </c>
      <c r="C2488" s="7" t="str">
        <f aca="false">IF(A2488="","",'Outro banco'!C2488)</f>
        <v/>
      </c>
      <c r="D2488" s="7" t="str">
        <f aca="false">IF(A2488="","",'Outro banco'!D2488)</f>
        <v/>
      </c>
      <c r="E2488" s="9"/>
      <c r="F2488" s="9"/>
      <c r="G2488" s="7" t="str">
        <f aca="false">IF(A2488="","",IF(COUNTIF(Tabelas!$A:$A,IF(E2488="",A2488,E2488))&gt;0,"sim","não"))</f>
        <v/>
      </c>
      <c r="H2488" s="7" t="str">
        <f aca="false">IF(A2488="","",IF(E2488="",A2488,E2488)&amp;"."&amp;IF(F2488="",B2488,F2488))</f>
        <v/>
      </c>
      <c r="I2488" s="7" t="str">
        <f aca="false">IF(A2488="","",IFERROR(INDEX('Campos Growths'!$F:$F,MATCH(H2488,'Campos Growths'!$A:$A,0)),""))</f>
        <v/>
      </c>
      <c r="J2488" s="7" t="str">
        <f aca="false">IF(A2488="","",IFERROR(VLOOKUP(IF(ISNUMBER(SEARCH("(",C2488)),LEFT(C2488,SEARCH("(",C2488)-1),C2488),Tipos!$A:$B,2,FALSE()),"outro"))</f>
        <v/>
      </c>
      <c r="K2488" s="7" t="str">
        <f aca="false">IF(I2488="","",IFERROR(INDEX('Campos Growths'!$L:$L,MATCH(H2488,'Campos Growths'!$A:$A,0)),""))</f>
        <v/>
      </c>
      <c r="L2488" s="7" t="str">
        <f aca="false">IF(A2488="","",IF(G2488="não","Sem tabela no Growths",IF(I2488="","Sem campo no Growths",IF(J2488=K2488,"Importa direto","Ajustar tipo"))))</f>
        <v/>
      </c>
      <c r="M2488" s="9"/>
    </row>
    <row r="2489" customFormat="false" ht="15" hidden="false" customHeight="false" outlineLevel="0" collapsed="false">
      <c r="A2489" s="7" t="str">
        <f aca="false">IF('Outro banco'!A2489="","",IF(LEFT('Outro banco'!A2489,1)="(","",'Outro banco'!A2489))</f>
        <v/>
      </c>
      <c r="B2489" s="7" t="str">
        <f aca="false">IF(A2489="","",'Outro banco'!B2489)</f>
        <v/>
      </c>
      <c r="C2489" s="7" t="str">
        <f aca="false">IF(A2489="","",'Outro banco'!C2489)</f>
        <v/>
      </c>
      <c r="D2489" s="7" t="str">
        <f aca="false">IF(A2489="","",'Outro banco'!D2489)</f>
        <v/>
      </c>
      <c r="E2489" s="9"/>
      <c r="F2489" s="9"/>
      <c r="G2489" s="7" t="str">
        <f aca="false">IF(A2489="","",IF(COUNTIF(Tabelas!$A:$A,IF(E2489="",A2489,E2489))&gt;0,"sim","não"))</f>
        <v/>
      </c>
      <c r="H2489" s="7" t="str">
        <f aca="false">IF(A2489="","",IF(E2489="",A2489,E2489)&amp;"."&amp;IF(F2489="",B2489,F2489))</f>
        <v/>
      </c>
      <c r="I2489" s="7" t="str">
        <f aca="false">IF(A2489="","",IFERROR(INDEX('Campos Growths'!$F:$F,MATCH(H2489,'Campos Growths'!$A:$A,0)),""))</f>
        <v/>
      </c>
      <c r="J2489" s="7" t="str">
        <f aca="false">IF(A2489="","",IFERROR(VLOOKUP(IF(ISNUMBER(SEARCH("(",C2489)),LEFT(C2489,SEARCH("(",C2489)-1),C2489),Tipos!$A:$B,2,FALSE()),"outro"))</f>
        <v/>
      </c>
      <c r="K2489" s="7" t="str">
        <f aca="false">IF(I2489="","",IFERROR(INDEX('Campos Growths'!$L:$L,MATCH(H2489,'Campos Growths'!$A:$A,0)),""))</f>
        <v/>
      </c>
      <c r="L2489" s="7" t="str">
        <f aca="false">IF(A2489="","",IF(G2489="não","Sem tabela no Growths",IF(I2489="","Sem campo no Growths",IF(J2489=K2489,"Importa direto","Ajustar tipo"))))</f>
        <v/>
      </c>
      <c r="M2489" s="9"/>
    </row>
    <row r="2490" customFormat="false" ht="15" hidden="false" customHeight="false" outlineLevel="0" collapsed="false">
      <c r="A2490" s="7" t="str">
        <f aca="false">IF('Outro banco'!A2490="","",IF(LEFT('Outro banco'!A2490,1)="(","",'Outro banco'!A2490))</f>
        <v/>
      </c>
      <c r="B2490" s="7" t="str">
        <f aca="false">IF(A2490="","",'Outro banco'!B2490)</f>
        <v/>
      </c>
      <c r="C2490" s="7" t="str">
        <f aca="false">IF(A2490="","",'Outro banco'!C2490)</f>
        <v/>
      </c>
      <c r="D2490" s="7" t="str">
        <f aca="false">IF(A2490="","",'Outro banco'!D2490)</f>
        <v/>
      </c>
      <c r="E2490" s="9"/>
      <c r="F2490" s="9"/>
      <c r="G2490" s="7" t="str">
        <f aca="false">IF(A2490="","",IF(COUNTIF(Tabelas!$A:$A,IF(E2490="",A2490,E2490))&gt;0,"sim","não"))</f>
        <v/>
      </c>
      <c r="H2490" s="7" t="str">
        <f aca="false">IF(A2490="","",IF(E2490="",A2490,E2490)&amp;"."&amp;IF(F2490="",B2490,F2490))</f>
        <v/>
      </c>
      <c r="I2490" s="7" t="str">
        <f aca="false">IF(A2490="","",IFERROR(INDEX('Campos Growths'!$F:$F,MATCH(H2490,'Campos Growths'!$A:$A,0)),""))</f>
        <v/>
      </c>
      <c r="J2490" s="7" t="str">
        <f aca="false">IF(A2490="","",IFERROR(VLOOKUP(IF(ISNUMBER(SEARCH("(",C2490)),LEFT(C2490,SEARCH("(",C2490)-1),C2490),Tipos!$A:$B,2,FALSE()),"outro"))</f>
        <v/>
      </c>
      <c r="K2490" s="7" t="str">
        <f aca="false">IF(I2490="","",IFERROR(INDEX('Campos Growths'!$L:$L,MATCH(H2490,'Campos Growths'!$A:$A,0)),""))</f>
        <v/>
      </c>
      <c r="L2490" s="7" t="str">
        <f aca="false">IF(A2490="","",IF(G2490="não","Sem tabela no Growths",IF(I2490="","Sem campo no Growths",IF(J2490=K2490,"Importa direto","Ajustar tipo"))))</f>
        <v/>
      </c>
      <c r="M2490" s="9"/>
    </row>
    <row r="2491" customFormat="false" ht="15" hidden="false" customHeight="false" outlineLevel="0" collapsed="false">
      <c r="A2491" s="7" t="str">
        <f aca="false">IF('Outro banco'!A2491="","",IF(LEFT('Outro banco'!A2491,1)="(","",'Outro banco'!A2491))</f>
        <v/>
      </c>
      <c r="B2491" s="7" t="str">
        <f aca="false">IF(A2491="","",'Outro banco'!B2491)</f>
        <v/>
      </c>
      <c r="C2491" s="7" t="str">
        <f aca="false">IF(A2491="","",'Outro banco'!C2491)</f>
        <v/>
      </c>
      <c r="D2491" s="7" t="str">
        <f aca="false">IF(A2491="","",'Outro banco'!D2491)</f>
        <v/>
      </c>
      <c r="E2491" s="9"/>
      <c r="F2491" s="9"/>
      <c r="G2491" s="7" t="str">
        <f aca="false">IF(A2491="","",IF(COUNTIF(Tabelas!$A:$A,IF(E2491="",A2491,E2491))&gt;0,"sim","não"))</f>
        <v/>
      </c>
      <c r="H2491" s="7" t="str">
        <f aca="false">IF(A2491="","",IF(E2491="",A2491,E2491)&amp;"."&amp;IF(F2491="",B2491,F2491))</f>
        <v/>
      </c>
      <c r="I2491" s="7" t="str">
        <f aca="false">IF(A2491="","",IFERROR(INDEX('Campos Growths'!$F:$F,MATCH(H2491,'Campos Growths'!$A:$A,0)),""))</f>
        <v/>
      </c>
      <c r="J2491" s="7" t="str">
        <f aca="false">IF(A2491="","",IFERROR(VLOOKUP(IF(ISNUMBER(SEARCH("(",C2491)),LEFT(C2491,SEARCH("(",C2491)-1),C2491),Tipos!$A:$B,2,FALSE()),"outro"))</f>
        <v/>
      </c>
      <c r="K2491" s="7" t="str">
        <f aca="false">IF(I2491="","",IFERROR(INDEX('Campos Growths'!$L:$L,MATCH(H2491,'Campos Growths'!$A:$A,0)),""))</f>
        <v/>
      </c>
      <c r="L2491" s="7" t="str">
        <f aca="false">IF(A2491="","",IF(G2491="não","Sem tabela no Growths",IF(I2491="","Sem campo no Growths",IF(J2491=K2491,"Importa direto","Ajustar tipo"))))</f>
        <v/>
      </c>
      <c r="M2491" s="9"/>
    </row>
    <row r="2492" customFormat="false" ht="15" hidden="false" customHeight="false" outlineLevel="0" collapsed="false">
      <c r="A2492" s="7" t="str">
        <f aca="false">IF('Outro banco'!A2492="","",IF(LEFT('Outro banco'!A2492,1)="(","",'Outro banco'!A2492))</f>
        <v/>
      </c>
      <c r="B2492" s="7" t="str">
        <f aca="false">IF(A2492="","",'Outro banco'!B2492)</f>
        <v/>
      </c>
      <c r="C2492" s="7" t="str">
        <f aca="false">IF(A2492="","",'Outro banco'!C2492)</f>
        <v/>
      </c>
      <c r="D2492" s="7" t="str">
        <f aca="false">IF(A2492="","",'Outro banco'!D2492)</f>
        <v/>
      </c>
      <c r="E2492" s="9"/>
      <c r="F2492" s="9"/>
      <c r="G2492" s="7" t="str">
        <f aca="false">IF(A2492="","",IF(COUNTIF(Tabelas!$A:$A,IF(E2492="",A2492,E2492))&gt;0,"sim","não"))</f>
        <v/>
      </c>
      <c r="H2492" s="7" t="str">
        <f aca="false">IF(A2492="","",IF(E2492="",A2492,E2492)&amp;"."&amp;IF(F2492="",B2492,F2492))</f>
        <v/>
      </c>
      <c r="I2492" s="7" t="str">
        <f aca="false">IF(A2492="","",IFERROR(INDEX('Campos Growths'!$F:$F,MATCH(H2492,'Campos Growths'!$A:$A,0)),""))</f>
        <v/>
      </c>
      <c r="J2492" s="7" t="str">
        <f aca="false">IF(A2492="","",IFERROR(VLOOKUP(IF(ISNUMBER(SEARCH("(",C2492)),LEFT(C2492,SEARCH("(",C2492)-1),C2492),Tipos!$A:$B,2,FALSE()),"outro"))</f>
        <v/>
      </c>
      <c r="K2492" s="7" t="str">
        <f aca="false">IF(I2492="","",IFERROR(INDEX('Campos Growths'!$L:$L,MATCH(H2492,'Campos Growths'!$A:$A,0)),""))</f>
        <v/>
      </c>
      <c r="L2492" s="7" t="str">
        <f aca="false">IF(A2492="","",IF(G2492="não","Sem tabela no Growths",IF(I2492="","Sem campo no Growths",IF(J2492=K2492,"Importa direto","Ajustar tipo"))))</f>
        <v/>
      </c>
      <c r="M2492" s="9"/>
    </row>
    <row r="2493" customFormat="false" ht="15" hidden="false" customHeight="false" outlineLevel="0" collapsed="false">
      <c r="A2493" s="7" t="str">
        <f aca="false">IF('Outro banco'!A2493="","",IF(LEFT('Outro banco'!A2493,1)="(","",'Outro banco'!A2493))</f>
        <v/>
      </c>
      <c r="B2493" s="7" t="str">
        <f aca="false">IF(A2493="","",'Outro banco'!B2493)</f>
        <v/>
      </c>
      <c r="C2493" s="7" t="str">
        <f aca="false">IF(A2493="","",'Outro banco'!C2493)</f>
        <v/>
      </c>
      <c r="D2493" s="7" t="str">
        <f aca="false">IF(A2493="","",'Outro banco'!D2493)</f>
        <v/>
      </c>
      <c r="E2493" s="9"/>
      <c r="F2493" s="9"/>
      <c r="G2493" s="7" t="str">
        <f aca="false">IF(A2493="","",IF(COUNTIF(Tabelas!$A:$A,IF(E2493="",A2493,E2493))&gt;0,"sim","não"))</f>
        <v/>
      </c>
      <c r="H2493" s="7" t="str">
        <f aca="false">IF(A2493="","",IF(E2493="",A2493,E2493)&amp;"."&amp;IF(F2493="",B2493,F2493))</f>
        <v/>
      </c>
      <c r="I2493" s="7" t="str">
        <f aca="false">IF(A2493="","",IFERROR(INDEX('Campos Growths'!$F:$F,MATCH(H2493,'Campos Growths'!$A:$A,0)),""))</f>
        <v/>
      </c>
      <c r="J2493" s="7" t="str">
        <f aca="false">IF(A2493="","",IFERROR(VLOOKUP(IF(ISNUMBER(SEARCH("(",C2493)),LEFT(C2493,SEARCH("(",C2493)-1),C2493),Tipos!$A:$B,2,FALSE()),"outro"))</f>
        <v/>
      </c>
      <c r="K2493" s="7" t="str">
        <f aca="false">IF(I2493="","",IFERROR(INDEX('Campos Growths'!$L:$L,MATCH(H2493,'Campos Growths'!$A:$A,0)),""))</f>
        <v/>
      </c>
      <c r="L2493" s="7" t="str">
        <f aca="false">IF(A2493="","",IF(G2493="não","Sem tabela no Growths",IF(I2493="","Sem campo no Growths",IF(J2493=K2493,"Importa direto","Ajustar tipo"))))</f>
        <v/>
      </c>
      <c r="M2493" s="9"/>
    </row>
    <row r="2494" customFormat="false" ht="15" hidden="false" customHeight="false" outlineLevel="0" collapsed="false">
      <c r="A2494" s="7" t="str">
        <f aca="false">IF('Outro banco'!A2494="","",IF(LEFT('Outro banco'!A2494,1)="(","",'Outro banco'!A2494))</f>
        <v/>
      </c>
      <c r="B2494" s="7" t="str">
        <f aca="false">IF(A2494="","",'Outro banco'!B2494)</f>
        <v/>
      </c>
      <c r="C2494" s="7" t="str">
        <f aca="false">IF(A2494="","",'Outro banco'!C2494)</f>
        <v/>
      </c>
      <c r="D2494" s="7" t="str">
        <f aca="false">IF(A2494="","",'Outro banco'!D2494)</f>
        <v/>
      </c>
      <c r="E2494" s="9"/>
      <c r="F2494" s="9"/>
      <c r="G2494" s="7" t="str">
        <f aca="false">IF(A2494="","",IF(COUNTIF(Tabelas!$A:$A,IF(E2494="",A2494,E2494))&gt;0,"sim","não"))</f>
        <v/>
      </c>
      <c r="H2494" s="7" t="str">
        <f aca="false">IF(A2494="","",IF(E2494="",A2494,E2494)&amp;"."&amp;IF(F2494="",B2494,F2494))</f>
        <v/>
      </c>
      <c r="I2494" s="7" t="str">
        <f aca="false">IF(A2494="","",IFERROR(INDEX('Campos Growths'!$F:$F,MATCH(H2494,'Campos Growths'!$A:$A,0)),""))</f>
        <v/>
      </c>
      <c r="J2494" s="7" t="str">
        <f aca="false">IF(A2494="","",IFERROR(VLOOKUP(IF(ISNUMBER(SEARCH("(",C2494)),LEFT(C2494,SEARCH("(",C2494)-1),C2494),Tipos!$A:$B,2,FALSE()),"outro"))</f>
        <v/>
      </c>
      <c r="K2494" s="7" t="str">
        <f aca="false">IF(I2494="","",IFERROR(INDEX('Campos Growths'!$L:$L,MATCH(H2494,'Campos Growths'!$A:$A,0)),""))</f>
        <v/>
      </c>
      <c r="L2494" s="7" t="str">
        <f aca="false">IF(A2494="","",IF(G2494="não","Sem tabela no Growths",IF(I2494="","Sem campo no Growths",IF(J2494=K2494,"Importa direto","Ajustar tipo"))))</f>
        <v/>
      </c>
      <c r="M2494" s="9"/>
    </row>
    <row r="2495" customFormat="false" ht="15" hidden="false" customHeight="false" outlineLevel="0" collapsed="false">
      <c r="A2495" s="7" t="str">
        <f aca="false">IF('Outro banco'!A2495="","",IF(LEFT('Outro banco'!A2495,1)="(","",'Outro banco'!A2495))</f>
        <v/>
      </c>
      <c r="B2495" s="7" t="str">
        <f aca="false">IF(A2495="","",'Outro banco'!B2495)</f>
        <v/>
      </c>
      <c r="C2495" s="7" t="str">
        <f aca="false">IF(A2495="","",'Outro banco'!C2495)</f>
        <v/>
      </c>
      <c r="D2495" s="7" t="str">
        <f aca="false">IF(A2495="","",'Outro banco'!D2495)</f>
        <v/>
      </c>
      <c r="E2495" s="9"/>
      <c r="F2495" s="9"/>
      <c r="G2495" s="7" t="str">
        <f aca="false">IF(A2495="","",IF(COUNTIF(Tabelas!$A:$A,IF(E2495="",A2495,E2495))&gt;0,"sim","não"))</f>
        <v/>
      </c>
      <c r="H2495" s="7" t="str">
        <f aca="false">IF(A2495="","",IF(E2495="",A2495,E2495)&amp;"."&amp;IF(F2495="",B2495,F2495))</f>
        <v/>
      </c>
      <c r="I2495" s="7" t="str">
        <f aca="false">IF(A2495="","",IFERROR(INDEX('Campos Growths'!$F:$F,MATCH(H2495,'Campos Growths'!$A:$A,0)),""))</f>
        <v/>
      </c>
      <c r="J2495" s="7" t="str">
        <f aca="false">IF(A2495="","",IFERROR(VLOOKUP(IF(ISNUMBER(SEARCH("(",C2495)),LEFT(C2495,SEARCH("(",C2495)-1),C2495),Tipos!$A:$B,2,FALSE()),"outro"))</f>
        <v/>
      </c>
      <c r="K2495" s="7" t="str">
        <f aca="false">IF(I2495="","",IFERROR(INDEX('Campos Growths'!$L:$L,MATCH(H2495,'Campos Growths'!$A:$A,0)),""))</f>
        <v/>
      </c>
      <c r="L2495" s="7" t="str">
        <f aca="false">IF(A2495="","",IF(G2495="não","Sem tabela no Growths",IF(I2495="","Sem campo no Growths",IF(J2495=K2495,"Importa direto","Ajustar tipo"))))</f>
        <v/>
      </c>
      <c r="M2495" s="9"/>
    </row>
    <row r="2496" customFormat="false" ht="15" hidden="false" customHeight="false" outlineLevel="0" collapsed="false">
      <c r="A2496" s="7" t="str">
        <f aca="false">IF('Outro banco'!A2496="","",IF(LEFT('Outro banco'!A2496,1)="(","",'Outro banco'!A2496))</f>
        <v/>
      </c>
      <c r="B2496" s="7" t="str">
        <f aca="false">IF(A2496="","",'Outro banco'!B2496)</f>
        <v/>
      </c>
      <c r="C2496" s="7" t="str">
        <f aca="false">IF(A2496="","",'Outro banco'!C2496)</f>
        <v/>
      </c>
      <c r="D2496" s="7" t="str">
        <f aca="false">IF(A2496="","",'Outro banco'!D2496)</f>
        <v/>
      </c>
      <c r="E2496" s="9"/>
      <c r="F2496" s="9"/>
      <c r="G2496" s="7" t="str">
        <f aca="false">IF(A2496="","",IF(COUNTIF(Tabelas!$A:$A,IF(E2496="",A2496,E2496))&gt;0,"sim","não"))</f>
        <v/>
      </c>
      <c r="H2496" s="7" t="str">
        <f aca="false">IF(A2496="","",IF(E2496="",A2496,E2496)&amp;"."&amp;IF(F2496="",B2496,F2496))</f>
        <v/>
      </c>
      <c r="I2496" s="7" t="str">
        <f aca="false">IF(A2496="","",IFERROR(INDEX('Campos Growths'!$F:$F,MATCH(H2496,'Campos Growths'!$A:$A,0)),""))</f>
        <v/>
      </c>
      <c r="J2496" s="7" t="str">
        <f aca="false">IF(A2496="","",IFERROR(VLOOKUP(IF(ISNUMBER(SEARCH("(",C2496)),LEFT(C2496,SEARCH("(",C2496)-1),C2496),Tipos!$A:$B,2,FALSE()),"outro"))</f>
        <v/>
      </c>
      <c r="K2496" s="7" t="str">
        <f aca="false">IF(I2496="","",IFERROR(INDEX('Campos Growths'!$L:$L,MATCH(H2496,'Campos Growths'!$A:$A,0)),""))</f>
        <v/>
      </c>
      <c r="L2496" s="7" t="str">
        <f aca="false">IF(A2496="","",IF(G2496="não","Sem tabela no Growths",IF(I2496="","Sem campo no Growths",IF(J2496=K2496,"Importa direto","Ajustar tipo"))))</f>
        <v/>
      </c>
      <c r="M2496" s="9"/>
    </row>
    <row r="2497" customFormat="false" ht="15" hidden="false" customHeight="false" outlineLevel="0" collapsed="false">
      <c r="A2497" s="7" t="str">
        <f aca="false">IF('Outro banco'!A2497="","",IF(LEFT('Outro banco'!A2497,1)="(","",'Outro banco'!A2497))</f>
        <v/>
      </c>
      <c r="B2497" s="7" t="str">
        <f aca="false">IF(A2497="","",'Outro banco'!B2497)</f>
        <v/>
      </c>
      <c r="C2497" s="7" t="str">
        <f aca="false">IF(A2497="","",'Outro banco'!C2497)</f>
        <v/>
      </c>
      <c r="D2497" s="7" t="str">
        <f aca="false">IF(A2497="","",'Outro banco'!D2497)</f>
        <v/>
      </c>
      <c r="E2497" s="9"/>
      <c r="F2497" s="9"/>
      <c r="G2497" s="7" t="str">
        <f aca="false">IF(A2497="","",IF(COUNTIF(Tabelas!$A:$A,IF(E2497="",A2497,E2497))&gt;0,"sim","não"))</f>
        <v/>
      </c>
      <c r="H2497" s="7" t="str">
        <f aca="false">IF(A2497="","",IF(E2497="",A2497,E2497)&amp;"."&amp;IF(F2497="",B2497,F2497))</f>
        <v/>
      </c>
      <c r="I2497" s="7" t="str">
        <f aca="false">IF(A2497="","",IFERROR(INDEX('Campos Growths'!$F:$F,MATCH(H2497,'Campos Growths'!$A:$A,0)),""))</f>
        <v/>
      </c>
      <c r="J2497" s="7" t="str">
        <f aca="false">IF(A2497="","",IFERROR(VLOOKUP(IF(ISNUMBER(SEARCH("(",C2497)),LEFT(C2497,SEARCH("(",C2497)-1),C2497),Tipos!$A:$B,2,FALSE()),"outro"))</f>
        <v/>
      </c>
      <c r="K2497" s="7" t="str">
        <f aca="false">IF(I2497="","",IFERROR(INDEX('Campos Growths'!$L:$L,MATCH(H2497,'Campos Growths'!$A:$A,0)),""))</f>
        <v/>
      </c>
      <c r="L2497" s="7" t="str">
        <f aca="false">IF(A2497="","",IF(G2497="não","Sem tabela no Growths",IF(I2497="","Sem campo no Growths",IF(J2497=K2497,"Importa direto","Ajustar tipo"))))</f>
        <v/>
      </c>
      <c r="M2497" s="9"/>
    </row>
    <row r="2498" customFormat="false" ht="15" hidden="false" customHeight="false" outlineLevel="0" collapsed="false">
      <c r="A2498" s="7" t="str">
        <f aca="false">IF('Outro banco'!A2498="","",IF(LEFT('Outro banco'!A2498,1)="(","",'Outro banco'!A2498))</f>
        <v/>
      </c>
      <c r="B2498" s="7" t="str">
        <f aca="false">IF(A2498="","",'Outro banco'!B2498)</f>
        <v/>
      </c>
      <c r="C2498" s="7" t="str">
        <f aca="false">IF(A2498="","",'Outro banco'!C2498)</f>
        <v/>
      </c>
      <c r="D2498" s="7" t="str">
        <f aca="false">IF(A2498="","",'Outro banco'!D2498)</f>
        <v/>
      </c>
      <c r="E2498" s="9"/>
      <c r="F2498" s="9"/>
      <c r="G2498" s="7" t="str">
        <f aca="false">IF(A2498="","",IF(COUNTIF(Tabelas!$A:$A,IF(E2498="",A2498,E2498))&gt;0,"sim","não"))</f>
        <v/>
      </c>
      <c r="H2498" s="7" t="str">
        <f aca="false">IF(A2498="","",IF(E2498="",A2498,E2498)&amp;"."&amp;IF(F2498="",B2498,F2498))</f>
        <v/>
      </c>
      <c r="I2498" s="7" t="str">
        <f aca="false">IF(A2498="","",IFERROR(INDEX('Campos Growths'!$F:$F,MATCH(H2498,'Campos Growths'!$A:$A,0)),""))</f>
        <v/>
      </c>
      <c r="J2498" s="7" t="str">
        <f aca="false">IF(A2498="","",IFERROR(VLOOKUP(IF(ISNUMBER(SEARCH("(",C2498)),LEFT(C2498,SEARCH("(",C2498)-1),C2498),Tipos!$A:$B,2,FALSE()),"outro"))</f>
        <v/>
      </c>
      <c r="K2498" s="7" t="str">
        <f aca="false">IF(I2498="","",IFERROR(INDEX('Campos Growths'!$L:$L,MATCH(H2498,'Campos Growths'!$A:$A,0)),""))</f>
        <v/>
      </c>
      <c r="L2498" s="7" t="str">
        <f aca="false">IF(A2498="","",IF(G2498="não","Sem tabela no Growths",IF(I2498="","Sem campo no Growths",IF(J2498=K2498,"Importa direto","Ajustar tipo"))))</f>
        <v/>
      </c>
      <c r="M2498" s="9"/>
    </row>
    <row r="2499" customFormat="false" ht="15" hidden="false" customHeight="false" outlineLevel="0" collapsed="false">
      <c r="A2499" s="7" t="str">
        <f aca="false">IF('Outro banco'!A2499="","",IF(LEFT('Outro banco'!A2499,1)="(","",'Outro banco'!A2499))</f>
        <v/>
      </c>
      <c r="B2499" s="7" t="str">
        <f aca="false">IF(A2499="","",'Outro banco'!B2499)</f>
        <v/>
      </c>
      <c r="C2499" s="7" t="str">
        <f aca="false">IF(A2499="","",'Outro banco'!C2499)</f>
        <v/>
      </c>
      <c r="D2499" s="7" t="str">
        <f aca="false">IF(A2499="","",'Outro banco'!D2499)</f>
        <v/>
      </c>
      <c r="E2499" s="9"/>
      <c r="F2499" s="9"/>
      <c r="G2499" s="7" t="str">
        <f aca="false">IF(A2499="","",IF(COUNTIF(Tabelas!$A:$A,IF(E2499="",A2499,E2499))&gt;0,"sim","não"))</f>
        <v/>
      </c>
      <c r="H2499" s="7" t="str">
        <f aca="false">IF(A2499="","",IF(E2499="",A2499,E2499)&amp;"."&amp;IF(F2499="",B2499,F2499))</f>
        <v/>
      </c>
      <c r="I2499" s="7" t="str">
        <f aca="false">IF(A2499="","",IFERROR(INDEX('Campos Growths'!$F:$F,MATCH(H2499,'Campos Growths'!$A:$A,0)),""))</f>
        <v/>
      </c>
      <c r="J2499" s="7" t="str">
        <f aca="false">IF(A2499="","",IFERROR(VLOOKUP(IF(ISNUMBER(SEARCH("(",C2499)),LEFT(C2499,SEARCH("(",C2499)-1),C2499),Tipos!$A:$B,2,FALSE()),"outro"))</f>
        <v/>
      </c>
      <c r="K2499" s="7" t="str">
        <f aca="false">IF(I2499="","",IFERROR(INDEX('Campos Growths'!$L:$L,MATCH(H2499,'Campos Growths'!$A:$A,0)),""))</f>
        <v/>
      </c>
      <c r="L2499" s="7" t="str">
        <f aca="false">IF(A2499="","",IF(G2499="não","Sem tabela no Growths",IF(I2499="","Sem campo no Growths",IF(J2499=K2499,"Importa direto","Ajustar tipo"))))</f>
        <v/>
      </c>
      <c r="M2499" s="9"/>
    </row>
    <row r="2500" customFormat="false" ht="15" hidden="false" customHeight="false" outlineLevel="0" collapsed="false">
      <c r="A2500" s="7" t="str">
        <f aca="false">IF('Outro banco'!A2500="","",IF(LEFT('Outro banco'!A2500,1)="(","",'Outro banco'!A2500))</f>
        <v/>
      </c>
      <c r="B2500" s="7" t="str">
        <f aca="false">IF(A2500="","",'Outro banco'!B2500)</f>
        <v/>
      </c>
      <c r="C2500" s="7" t="str">
        <f aca="false">IF(A2500="","",'Outro banco'!C2500)</f>
        <v/>
      </c>
      <c r="D2500" s="7" t="str">
        <f aca="false">IF(A2500="","",'Outro banco'!D2500)</f>
        <v/>
      </c>
      <c r="E2500" s="9"/>
      <c r="F2500" s="9"/>
      <c r="G2500" s="7" t="str">
        <f aca="false">IF(A2500="","",IF(COUNTIF(Tabelas!$A:$A,IF(E2500="",A2500,E2500))&gt;0,"sim","não"))</f>
        <v/>
      </c>
      <c r="H2500" s="7" t="str">
        <f aca="false">IF(A2500="","",IF(E2500="",A2500,E2500)&amp;"."&amp;IF(F2500="",B2500,F2500))</f>
        <v/>
      </c>
      <c r="I2500" s="7" t="str">
        <f aca="false">IF(A2500="","",IFERROR(INDEX('Campos Growths'!$F:$F,MATCH(H2500,'Campos Growths'!$A:$A,0)),""))</f>
        <v/>
      </c>
      <c r="J2500" s="7" t="str">
        <f aca="false">IF(A2500="","",IFERROR(VLOOKUP(IF(ISNUMBER(SEARCH("(",C2500)),LEFT(C2500,SEARCH("(",C2500)-1),C2500),Tipos!$A:$B,2,FALSE()),"outro"))</f>
        <v/>
      </c>
      <c r="K2500" s="7" t="str">
        <f aca="false">IF(I2500="","",IFERROR(INDEX('Campos Growths'!$L:$L,MATCH(H2500,'Campos Growths'!$A:$A,0)),""))</f>
        <v/>
      </c>
      <c r="L2500" s="7" t="str">
        <f aca="false">IF(A2500="","",IF(G2500="não","Sem tabela no Growths",IF(I2500="","Sem campo no Growths",IF(J2500=K2500,"Importa direto","Ajustar tipo"))))</f>
        <v/>
      </c>
      <c r="M2500" s="9"/>
    </row>
    <row r="2501" customFormat="false" ht="15" hidden="false" customHeight="false" outlineLevel="0" collapsed="false">
      <c r="A2501" s="7" t="str">
        <f aca="false">IF('Outro banco'!A2501="","",IF(LEFT('Outro banco'!A2501,1)="(","",'Outro banco'!A2501))</f>
        <v/>
      </c>
      <c r="B2501" s="7" t="str">
        <f aca="false">IF(A2501="","",'Outro banco'!B2501)</f>
        <v/>
      </c>
      <c r="C2501" s="7" t="str">
        <f aca="false">IF(A2501="","",'Outro banco'!C2501)</f>
        <v/>
      </c>
      <c r="D2501" s="7" t="str">
        <f aca="false">IF(A2501="","",'Outro banco'!D2501)</f>
        <v/>
      </c>
      <c r="E2501" s="9"/>
      <c r="F2501" s="9"/>
      <c r="G2501" s="7" t="str">
        <f aca="false">IF(A2501="","",IF(COUNTIF(Tabelas!$A:$A,IF(E2501="",A2501,E2501))&gt;0,"sim","não"))</f>
        <v/>
      </c>
      <c r="H2501" s="7" t="str">
        <f aca="false">IF(A2501="","",IF(E2501="",A2501,E2501)&amp;"."&amp;IF(F2501="",B2501,F2501))</f>
        <v/>
      </c>
      <c r="I2501" s="7" t="str">
        <f aca="false">IF(A2501="","",IFERROR(INDEX('Campos Growths'!$F:$F,MATCH(H2501,'Campos Growths'!$A:$A,0)),""))</f>
        <v/>
      </c>
      <c r="J2501" s="7" t="str">
        <f aca="false">IF(A2501="","",IFERROR(VLOOKUP(IF(ISNUMBER(SEARCH("(",C2501)),LEFT(C2501,SEARCH("(",C2501)-1),C2501),Tipos!$A:$B,2,FALSE()),"outro"))</f>
        <v/>
      </c>
      <c r="K2501" s="7" t="str">
        <f aca="false">IF(I2501="","",IFERROR(INDEX('Campos Growths'!$L:$L,MATCH(H2501,'Campos Growths'!$A:$A,0)),""))</f>
        <v/>
      </c>
      <c r="L2501" s="7" t="str">
        <f aca="false">IF(A2501="","",IF(G2501="não","Sem tabela no Growths",IF(I2501="","Sem campo no Growths",IF(J2501=K2501,"Importa direto","Ajustar tipo"))))</f>
        <v/>
      </c>
      <c r="M2501" s="9"/>
    </row>
    <row r="2502" customFormat="false" ht="15" hidden="false" customHeight="false" outlineLevel="0" collapsed="false">
      <c r="A2502" s="7" t="str">
        <f aca="false">IF('Outro banco'!A2502="","",IF(LEFT('Outro banco'!A2502,1)="(","",'Outro banco'!A2502))</f>
        <v/>
      </c>
      <c r="B2502" s="7" t="str">
        <f aca="false">IF(A2502="","",'Outro banco'!B2502)</f>
        <v/>
      </c>
      <c r="C2502" s="7" t="str">
        <f aca="false">IF(A2502="","",'Outro banco'!C2502)</f>
        <v/>
      </c>
      <c r="D2502" s="7" t="str">
        <f aca="false">IF(A2502="","",'Outro banco'!D2502)</f>
        <v/>
      </c>
      <c r="E2502" s="9"/>
      <c r="F2502" s="9"/>
      <c r="G2502" s="7" t="str">
        <f aca="false">IF(A2502="","",IF(COUNTIF(Tabelas!$A:$A,IF(E2502="",A2502,E2502))&gt;0,"sim","não"))</f>
        <v/>
      </c>
      <c r="H2502" s="7" t="str">
        <f aca="false">IF(A2502="","",IF(E2502="",A2502,E2502)&amp;"."&amp;IF(F2502="",B2502,F2502))</f>
        <v/>
      </c>
      <c r="I2502" s="7" t="str">
        <f aca="false">IF(A2502="","",IFERROR(INDEX('Campos Growths'!$F:$F,MATCH(H2502,'Campos Growths'!$A:$A,0)),""))</f>
        <v/>
      </c>
      <c r="J2502" s="7" t="str">
        <f aca="false">IF(A2502="","",IFERROR(VLOOKUP(IF(ISNUMBER(SEARCH("(",C2502)),LEFT(C2502,SEARCH("(",C2502)-1),C2502),Tipos!$A:$B,2,FALSE()),"outro"))</f>
        <v/>
      </c>
      <c r="K2502" s="7" t="str">
        <f aca="false">IF(I2502="","",IFERROR(INDEX('Campos Growths'!$L:$L,MATCH(H2502,'Campos Growths'!$A:$A,0)),""))</f>
        <v/>
      </c>
      <c r="L2502" s="7" t="str">
        <f aca="false">IF(A2502="","",IF(G2502="não","Sem tabela no Growths",IF(I2502="","Sem campo no Growths",IF(J2502=K2502,"Importa direto","Ajustar tipo"))))</f>
        <v/>
      </c>
      <c r="M2502" s="9"/>
    </row>
    <row r="2503" customFormat="false" ht="15" hidden="false" customHeight="false" outlineLevel="0" collapsed="false">
      <c r="A2503" s="7" t="str">
        <f aca="false">IF('Outro banco'!A2503="","",IF(LEFT('Outro banco'!A2503,1)="(","",'Outro banco'!A2503))</f>
        <v/>
      </c>
      <c r="B2503" s="7" t="str">
        <f aca="false">IF(A2503="","",'Outro banco'!B2503)</f>
        <v/>
      </c>
      <c r="C2503" s="7" t="str">
        <f aca="false">IF(A2503="","",'Outro banco'!C2503)</f>
        <v/>
      </c>
      <c r="D2503" s="7" t="str">
        <f aca="false">IF(A2503="","",'Outro banco'!D2503)</f>
        <v/>
      </c>
      <c r="E2503" s="9"/>
      <c r="F2503" s="9"/>
      <c r="G2503" s="7" t="str">
        <f aca="false">IF(A2503="","",IF(COUNTIF(Tabelas!$A:$A,IF(E2503="",A2503,E2503))&gt;0,"sim","não"))</f>
        <v/>
      </c>
      <c r="H2503" s="7" t="str">
        <f aca="false">IF(A2503="","",IF(E2503="",A2503,E2503)&amp;"."&amp;IF(F2503="",B2503,F2503))</f>
        <v/>
      </c>
      <c r="I2503" s="7" t="str">
        <f aca="false">IF(A2503="","",IFERROR(INDEX('Campos Growths'!$F:$F,MATCH(H2503,'Campos Growths'!$A:$A,0)),""))</f>
        <v/>
      </c>
      <c r="J2503" s="7" t="str">
        <f aca="false">IF(A2503="","",IFERROR(VLOOKUP(IF(ISNUMBER(SEARCH("(",C2503)),LEFT(C2503,SEARCH("(",C2503)-1),C2503),Tipos!$A:$B,2,FALSE()),"outro"))</f>
        <v/>
      </c>
      <c r="K2503" s="7" t="str">
        <f aca="false">IF(I2503="","",IFERROR(INDEX('Campos Growths'!$L:$L,MATCH(H2503,'Campos Growths'!$A:$A,0)),""))</f>
        <v/>
      </c>
      <c r="L2503" s="7" t="str">
        <f aca="false">IF(A2503="","",IF(G2503="não","Sem tabela no Growths",IF(I2503="","Sem campo no Growths",IF(J2503=K2503,"Importa direto","Ajustar tipo"))))</f>
        <v/>
      </c>
      <c r="M2503" s="9"/>
    </row>
    <row r="2504" customFormat="false" ht="15" hidden="false" customHeight="false" outlineLevel="0" collapsed="false">
      <c r="A2504" s="7" t="str">
        <f aca="false">IF('Outro banco'!A2504="","",IF(LEFT('Outro banco'!A2504,1)="(","",'Outro banco'!A2504))</f>
        <v/>
      </c>
      <c r="B2504" s="7" t="str">
        <f aca="false">IF(A2504="","",'Outro banco'!B2504)</f>
        <v/>
      </c>
      <c r="C2504" s="7" t="str">
        <f aca="false">IF(A2504="","",'Outro banco'!C2504)</f>
        <v/>
      </c>
      <c r="D2504" s="7" t="str">
        <f aca="false">IF(A2504="","",'Outro banco'!D2504)</f>
        <v/>
      </c>
      <c r="E2504" s="9"/>
      <c r="F2504" s="9"/>
      <c r="G2504" s="7" t="str">
        <f aca="false">IF(A2504="","",IF(COUNTIF(Tabelas!$A:$A,IF(E2504="",A2504,E2504))&gt;0,"sim","não"))</f>
        <v/>
      </c>
      <c r="H2504" s="7" t="str">
        <f aca="false">IF(A2504="","",IF(E2504="",A2504,E2504)&amp;"."&amp;IF(F2504="",B2504,F2504))</f>
        <v/>
      </c>
      <c r="I2504" s="7" t="str">
        <f aca="false">IF(A2504="","",IFERROR(INDEX('Campos Growths'!$F:$F,MATCH(H2504,'Campos Growths'!$A:$A,0)),""))</f>
        <v/>
      </c>
      <c r="J2504" s="7" t="str">
        <f aca="false">IF(A2504="","",IFERROR(VLOOKUP(IF(ISNUMBER(SEARCH("(",C2504)),LEFT(C2504,SEARCH("(",C2504)-1),C2504),Tipos!$A:$B,2,FALSE()),"outro"))</f>
        <v/>
      </c>
      <c r="K2504" s="7" t="str">
        <f aca="false">IF(I2504="","",IFERROR(INDEX('Campos Growths'!$L:$L,MATCH(H2504,'Campos Growths'!$A:$A,0)),""))</f>
        <v/>
      </c>
      <c r="L2504" s="7" t="str">
        <f aca="false">IF(A2504="","",IF(G2504="não","Sem tabela no Growths",IF(I2504="","Sem campo no Growths",IF(J2504=K2504,"Importa direto","Ajustar tipo"))))</f>
        <v/>
      </c>
      <c r="M2504" s="9"/>
    </row>
    <row r="2505" customFormat="false" ht="15" hidden="false" customHeight="false" outlineLevel="0" collapsed="false">
      <c r="A2505" s="7" t="str">
        <f aca="false">IF('Outro banco'!A2505="","",IF(LEFT('Outro banco'!A2505,1)="(","",'Outro banco'!A2505))</f>
        <v/>
      </c>
      <c r="B2505" s="7" t="str">
        <f aca="false">IF(A2505="","",'Outro banco'!B2505)</f>
        <v/>
      </c>
      <c r="C2505" s="7" t="str">
        <f aca="false">IF(A2505="","",'Outro banco'!C2505)</f>
        <v/>
      </c>
      <c r="D2505" s="7" t="str">
        <f aca="false">IF(A2505="","",'Outro banco'!D2505)</f>
        <v/>
      </c>
      <c r="E2505" s="9"/>
      <c r="F2505" s="9"/>
      <c r="G2505" s="7" t="str">
        <f aca="false">IF(A2505="","",IF(COUNTIF(Tabelas!$A:$A,IF(E2505="",A2505,E2505))&gt;0,"sim","não"))</f>
        <v/>
      </c>
      <c r="H2505" s="7" t="str">
        <f aca="false">IF(A2505="","",IF(E2505="",A2505,E2505)&amp;"."&amp;IF(F2505="",B2505,F2505))</f>
        <v/>
      </c>
      <c r="I2505" s="7" t="str">
        <f aca="false">IF(A2505="","",IFERROR(INDEX('Campos Growths'!$F:$F,MATCH(H2505,'Campos Growths'!$A:$A,0)),""))</f>
        <v/>
      </c>
      <c r="J2505" s="7" t="str">
        <f aca="false">IF(A2505="","",IFERROR(VLOOKUP(IF(ISNUMBER(SEARCH("(",C2505)),LEFT(C2505,SEARCH("(",C2505)-1),C2505),Tipos!$A:$B,2,FALSE()),"outro"))</f>
        <v/>
      </c>
      <c r="K2505" s="7" t="str">
        <f aca="false">IF(I2505="","",IFERROR(INDEX('Campos Growths'!$L:$L,MATCH(H2505,'Campos Growths'!$A:$A,0)),""))</f>
        <v/>
      </c>
      <c r="L2505" s="7" t="str">
        <f aca="false">IF(A2505="","",IF(G2505="não","Sem tabela no Growths",IF(I2505="","Sem campo no Growths",IF(J2505=K2505,"Importa direto","Ajustar tipo"))))</f>
        <v/>
      </c>
      <c r="M2505" s="9"/>
    </row>
    <row r="2506" customFormat="false" ht="15" hidden="false" customHeight="false" outlineLevel="0" collapsed="false">
      <c r="A2506" s="7" t="str">
        <f aca="false">IF('Outro banco'!A2506="","",IF(LEFT('Outro banco'!A2506,1)="(","",'Outro banco'!A2506))</f>
        <v/>
      </c>
      <c r="B2506" s="7" t="str">
        <f aca="false">IF(A2506="","",'Outro banco'!B2506)</f>
        <v/>
      </c>
      <c r="C2506" s="7" t="str">
        <f aca="false">IF(A2506="","",'Outro banco'!C2506)</f>
        <v/>
      </c>
      <c r="D2506" s="7" t="str">
        <f aca="false">IF(A2506="","",'Outro banco'!D2506)</f>
        <v/>
      </c>
      <c r="E2506" s="9"/>
      <c r="F2506" s="9"/>
      <c r="G2506" s="7" t="str">
        <f aca="false">IF(A2506="","",IF(COUNTIF(Tabelas!$A:$A,IF(E2506="",A2506,E2506))&gt;0,"sim","não"))</f>
        <v/>
      </c>
      <c r="H2506" s="7" t="str">
        <f aca="false">IF(A2506="","",IF(E2506="",A2506,E2506)&amp;"."&amp;IF(F2506="",B2506,F2506))</f>
        <v/>
      </c>
      <c r="I2506" s="7" t="str">
        <f aca="false">IF(A2506="","",IFERROR(INDEX('Campos Growths'!$F:$F,MATCH(H2506,'Campos Growths'!$A:$A,0)),""))</f>
        <v/>
      </c>
      <c r="J2506" s="7" t="str">
        <f aca="false">IF(A2506="","",IFERROR(VLOOKUP(IF(ISNUMBER(SEARCH("(",C2506)),LEFT(C2506,SEARCH("(",C2506)-1),C2506),Tipos!$A:$B,2,FALSE()),"outro"))</f>
        <v/>
      </c>
      <c r="K2506" s="7" t="str">
        <f aca="false">IF(I2506="","",IFERROR(INDEX('Campos Growths'!$L:$L,MATCH(H2506,'Campos Growths'!$A:$A,0)),""))</f>
        <v/>
      </c>
      <c r="L2506" s="7" t="str">
        <f aca="false">IF(A2506="","",IF(G2506="não","Sem tabela no Growths",IF(I2506="","Sem campo no Growths",IF(J2506=K2506,"Importa direto","Ajustar tipo"))))</f>
        <v/>
      </c>
      <c r="M2506" s="9"/>
    </row>
    <row r="2507" customFormat="false" ht="15" hidden="false" customHeight="false" outlineLevel="0" collapsed="false">
      <c r="A2507" s="7" t="str">
        <f aca="false">IF('Outro banco'!A2507="","",IF(LEFT('Outro banco'!A2507,1)="(","",'Outro banco'!A2507))</f>
        <v/>
      </c>
      <c r="B2507" s="7" t="str">
        <f aca="false">IF(A2507="","",'Outro banco'!B2507)</f>
        <v/>
      </c>
      <c r="C2507" s="7" t="str">
        <f aca="false">IF(A2507="","",'Outro banco'!C2507)</f>
        <v/>
      </c>
      <c r="D2507" s="7" t="str">
        <f aca="false">IF(A2507="","",'Outro banco'!D2507)</f>
        <v/>
      </c>
      <c r="E2507" s="9"/>
      <c r="F2507" s="9"/>
      <c r="G2507" s="7" t="str">
        <f aca="false">IF(A2507="","",IF(COUNTIF(Tabelas!$A:$A,IF(E2507="",A2507,E2507))&gt;0,"sim","não"))</f>
        <v/>
      </c>
      <c r="H2507" s="7" t="str">
        <f aca="false">IF(A2507="","",IF(E2507="",A2507,E2507)&amp;"."&amp;IF(F2507="",B2507,F2507))</f>
        <v/>
      </c>
      <c r="I2507" s="7" t="str">
        <f aca="false">IF(A2507="","",IFERROR(INDEX('Campos Growths'!$F:$F,MATCH(H2507,'Campos Growths'!$A:$A,0)),""))</f>
        <v/>
      </c>
      <c r="J2507" s="7" t="str">
        <f aca="false">IF(A2507="","",IFERROR(VLOOKUP(IF(ISNUMBER(SEARCH("(",C2507)),LEFT(C2507,SEARCH("(",C2507)-1),C2507),Tipos!$A:$B,2,FALSE()),"outro"))</f>
        <v/>
      </c>
      <c r="K2507" s="7" t="str">
        <f aca="false">IF(I2507="","",IFERROR(INDEX('Campos Growths'!$L:$L,MATCH(H2507,'Campos Growths'!$A:$A,0)),""))</f>
        <v/>
      </c>
      <c r="L2507" s="7" t="str">
        <f aca="false">IF(A2507="","",IF(G2507="não","Sem tabela no Growths",IF(I2507="","Sem campo no Growths",IF(J2507=K2507,"Importa direto","Ajustar tipo"))))</f>
        <v/>
      </c>
      <c r="M2507" s="9"/>
    </row>
    <row r="2508" customFormat="false" ht="15" hidden="false" customHeight="false" outlineLevel="0" collapsed="false">
      <c r="A2508" s="7" t="str">
        <f aca="false">IF('Outro banco'!A2508="","",IF(LEFT('Outro banco'!A2508,1)="(","",'Outro banco'!A2508))</f>
        <v/>
      </c>
      <c r="B2508" s="7" t="str">
        <f aca="false">IF(A2508="","",'Outro banco'!B2508)</f>
        <v/>
      </c>
      <c r="C2508" s="7" t="str">
        <f aca="false">IF(A2508="","",'Outro banco'!C2508)</f>
        <v/>
      </c>
      <c r="D2508" s="7" t="str">
        <f aca="false">IF(A2508="","",'Outro banco'!D2508)</f>
        <v/>
      </c>
      <c r="E2508" s="9"/>
      <c r="F2508" s="9"/>
      <c r="G2508" s="7" t="str">
        <f aca="false">IF(A2508="","",IF(COUNTIF(Tabelas!$A:$A,IF(E2508="",A2508,E2508))&gt;0,"sim","não"))</f>
        <v/>
      </c>
      <c r="H2508" s="7" t="str">
        <f aca="false">IF(A2508="","",IF(E2508="",A2508,E2508)&amp;"."&amp;IF(F2508="",B2508,F2508))</f>
        <v/>
      </c>
      <c r="I2508" s="7" t="str">
        <f aca="false">IF(A2508="","",IFERROR(INDEX('Campos Growths'!$F:$F,MATCH(H2508,'Campos Growths'!$A:$A,0)),""))</f>
        <v/>
      </c>
      <c r="J2508" s="7" t="str">
        <f aca="false">IF(A2508="","",IFERROR(VLOOKUP(IF(ISNUMBER(SEARCH("(",C2508)),LEFT(C2508,SEARCH("(",C2508)-1),C2508),Tipos!$A:$B,2,FALSE()),"outro"))</f>
        <v/>
      </c>
      <c r="K2508" s="7" t="str">
        <f aca="false">IF(I2508="","",IFERROR(INDEX('Campos Growths'!$L:$L,MATCH(H2508,'Campos Growths'!$A:$A,0)),""))</f>
        <v/>
      </c>
      <c r="L2508" s="7" t="str">
        <f aca="false">IF(A2508="","",IF(G2508="não","Sem tabela no Growths",IF(I2508="","Sem campo no Growths",IF(J2508=K2508,"Importa direto","Ajustar tipo"))))</f>
        <v/>
      </c>
      <c r="M2508" s="9"/>
    </row>
    <row r="2509" customFormat="false" ht="15" hidden="false" customHeight="false" outlineLevel="0" collapsed="false">
      <c r="A2509" s="7" t="str">
        <f aca="false">IF('Outro banco'!A2509="","",IF(LEFT('Outro banco'!A2509,1)="(","",'Outro banco'!A2509))</f>
        <v/>
      </c>
      <c r="B2509" s="7" t="str">
        <f aca="false">IF(A2509="","",'Outro banco'!B2509)</f>
        <v/>
      </c>
      <c r="C2509" s="7" t="str">
        <f aca="false">IF(A2509="","",'Outro banco'!C2509)</f>
        <v/>
      </c>
      <c r="D2509" s="7" t="str">
        <f aca="false">IF(A2509="","",'Outro banco'!D2509)</f>
        <v/>
      </c>
      <c r="E2509" s="9"/>
      <c r="F2509" s="9"/>
      <c r="G2509" s="7" t="str">
        <f aca="false">IF(A2509="","",IF(COUNTIF(Tabelas!$A:$A,IF(E2509="",A2509,E2509))&gt;0,"sim","não"))</f>
        <v/>
      </c>
      <c r="H2509" s="7" t="str">
        <f aca="false">IF(A2509="","",IF(E2509="",A2509,E2509)&amp;"."&amp;IF(F2509="",B2509,F2509))</f>
        <v/>
      </c>
      <c r="I2509" s="7" t="str">
        <f aca="false">IF(A2509="","",IFERROR(INDEX('Campos Growths'!$F:$F,MATCH(H2509,'Campos Growths'!$A:$A,0)),""))</f>
        <v/>
      </c>
      <c r="J2509" s="7" t="str">
        <f aca="false">IF(A2509="","",IFERROR(VLOOKUP(IF(ISNUMBER(SEARCH("(",C2509)),LEFT(C2509,SEARCH("(",C2509)-1),C2509),Tipos!$A:$B,2,FALSE()),"outro"))</f>
        <v/>
      </c>
      <c r="K2509" s="7" t="str">
        <f aca="false">IF(I2509="","",IFERROR(INDEX('Campos Growths'!$L:$L,MATCH(H2509,'Campos Growths'!$A:$A,0)),""))</f>
        <v/>
      </c>
      <c r="L2509" s="7" t="str">
        <f aca="false">IF(A2509="","",IF(G2509="não","Sem tabela no Growths",IF(I2509="","Sem campo no Growths",IF(J2509=K2509,"Importa direto","Ajustar tipo"))))</f>
        <v/>
      </c>
      <c r="M2509" s="9"/>
    </row>
    <row r="2510" customFormat="false" ht="15" hidden="false" customHeight="false" outlineLevel="0" collapsed="false">
      <c r="A2510" s="7" t="str">
        <f aca="false">IF('Outro banco'!A2510="","",IF(LEFT('Outro banco'!A2510,1)="(","",'Outro banco'!A2510))</f>
        <v/>
      </c>
      <c r="B2510" s="7" t="str">
        <f aca="false">IF(A2510="","",'Outro banco'!B2510)</f>
        <v/>
      </c>
      <c r="C2510" s="7" t="str">
        <f aca="false">IF(A2510="","",'Outro banco'!C2510)</f>
        <v/>
      </c>
      <c r="D2510" s="7" t="str">
        <f aca="false">IF(A2510="","",'Outro banco'!D2510)</f>
        <v/>
      </c>
      <c r="E2510" s="9"/>
      <c r="F2510" s="9"/>
      <c r="G2510" s="7" t="str">
        <f aca="false">IF(A2510="","",IF(COUNTIF(Tabelas!$A:$A,IF(E2510="",A2510,E2510))&gt;0,"sim","não"))</f>
        <v/>
      </c>
      <c r="H2510" s="7" t="str">
        <f aca="false">IF(A2510="","",IF(E2510="",A2510,E2510)&amp;"."&amp;IF(F2510="",B2510,F2510))</f>
        <v/>
      </c>
      <c r="I2510" s="7" t="str">
        <f aca="false">IF(A2510="","",IFERROR(INDEX('Campos Growths'!$F:$F,MATCH(H2510,'Campos Growths'!$A:$A,0)),""))</f>
        <v/>
      </c>
      <c r="J2510" s="7" t="str">
        <f aca="false">IF(A2510="","",IFERROR(VLOOKUP(IF(ISNUMBER(SEARCH("(",C2510)),LEFT(C2510,SEARCH("(",C2510)-1),C2510),Tipos!$A:$B,2,FALSE()),"outro"))</f>
        <v/>
      </c>
      <c r="K2510" s="7" t="str">
        <f aca="false">IF(I2510="","",IFERROR(INDEX('Campos Growths'!$L:$L,MATCH(H2510,'Campos Growths'!$A:$A,0)),""))</f>
        <v/>
      </c>
      <c r="L2510" s="7" t="str">
        <f aca="false">IF(A2510="","",IF(G2510="não","Sem tabela no Growths",IF(I2510="","Sem campo no Growths",IF(J2510=K2510,"Importa direto","Ajustar tipo"))))</f>
        <v/>
      </c>
      <c r="M2510" s="9"/>
    </row>
    <row r="2511" customFormat="false" ht="15" hidden="false" customHeight="false" outlineLevel="0" collapsed="false">
      <c r="A2511" s="7" t="str">
        <f aca="false">IF('Outro banco'!A2511="","",IF(LEFT('Outro banco'!A2511,1)="(","",'Outro banco'!A2511))</f>
        <v/>
      </c>
      <c r="B2511" s="7" t="str">
        <f aca="false">IF(A2511="","",'Outro banco'!B2511)</f>
        <v/>
      </c>
      <c r="C2511" s="7" t="str">
        <f aca="false">IF(A2511="","",'Outro banco'!C2511)</f>
        <v/>
      </c>
      <c r="D2511" s="7" t="str">
        <f aca="false">IF(A2511="","",'Outro banco'!D2511)</f>
        <v/>
      </c>
      <c r="E2511" s="9"/>
      <c r="F2511" s="9"/>
      <c r="G2511" s="7" t="str">
        <f aca="false">IF(A2511="","",IF(COUNTIF(Tabelas!$A:$A,IF(E2511="",A2511,E2511))&gt;0,"sim","não"))</f>
        <v/>
      </c>
      <c r="H2511" s="7" t="str">
        <f aca="false">IF(A2511="","",IF(E2511="",A2511,E2511)&amp;"."&amp;IF(F2511="",B2511,F2511))</f>
        <v/>
      </c>
      <c r="I2511" s="7" t="str">
        <f aca="false">IF(A2511="","",IFERROR(INDEX('Campos Growths'!$F:$F,MATCH(H2511,'Campos Growths'!$A:$A,0)),""))</f>
        <v/>
      </c>
      <c r="J2511" s="7" t="str">
        <f aca="false">IF(A2511="","",IFERROR(VLOOKUP(IF(ISNUMBER(SEARCH("(",C2511)),LEFT(C2511,SEARCH("(",C2511)-1),C2511),Tipos!$A:$B,2,FALSE()),"outro"))</f>
        <v/>
      </c>
      <c r="K2511" s="7" t="str">
        <f aca="false">IF(I2511="","",IFERROR(INDEX('Campos Growths'!$L:$L,MATCH(H2511,'Campos Growths'!$A:$A,0)),""))</f>
        <v/>
      </c>
      <c r="L2511" s="7" t="str">
        <f aca="false">IF(A2511="","",IF(G2511="não","Sem tabela no Growths",IF(I2511="","Sem campo no Growths",IF(J2511=K2511,"Importa direto","Ajustar tipo"))))</f>
        <v/>
      </c>
      <c r="M2511" s="9"/>
    </row>
    <row r="2512" customFormat="false" ht="15" hidden="false" customHeight="false" outlineLevel="0" collapsed="false">
      <c r="A2512" s="7" t="str">
        <f aca="false">IF('Outro banco'!A2512="","",IF(LEFT('Outro banco'!A2512,1)="(","",'Outro banco'!A2512))</f>
        <v/>
      </c>
      <c r="B2512" s="7" t="str">
        <f aca="false">IF(A2512="","",'Outro banco'!B2512)</f>
        <v/>
      </c>
      <c r="C2512" s="7" t="str">
        <f aca="false">IF(A2512="","",'Outro banco'!C2512)</f>
        <v/>
      </c>
      <c r="D2512" s="7" t="str">
        <f aca="false">IF(A2512="","",'Outro banco'!D2512)</f>
        <v/>
      </c>
      <c r="E2512" s="9"/>
      <c r="F2512" s="9"/>
      <c r="G2512" s="7" t="str">
        <f aca="false">IF(A2512="","",IF(COUNTIF(Tabelas!$A:$A,IF(E2512="",A2512,E2512))&gt;0,"sim","não"))</f>
        <v/>
      </c>
      <c r="H2512" s="7" t="str">
        <f aca="false">IF(A2512="","",IF(E2512="",A2512,E2512)&amp;"."&amp;IF(F2512="",B2512,F2512))</f>
        <v/>
      </c>
      <c r="I2512" s="7" t="str">
        <f aca="false">IF(A2512="","",IFERROR(INDEX('Campos Growths'!$F:$F,MATCH(H2512,'Campos Growths'!$A:$A,0)),""))</f>
        <v/>
      </c>
      <c r="J2512" s="7" t="str">
        <f aca="false">IF(A2512="","",IFERROR(VLOOKUP(IF(ISNUMBER(SEARCH("(",C2512)),LEFT(C2512,SEARCH("(",C2512)-1),C2512),Tipos!$A:$B,2,FALSE()),"outro"))</f>
        <v/>
      </c>
      <c r="K2512" s="7" t="str">
        <f aca="false">IF(I2512="","",IFERROR(INDEX('Campos Growths'!$L:$L,MATCH(H2512,'Campos Growths'!$A:$A,0)),""))</f>
        <v/>
      </c>
      <c r="L2512" s="7" t="str">
        <f aca="false">IF(A2512="","",IF(G2512="não","Sem tabela no Growths",IF(I2512="","Sem campo no Growths",IF(J2512=K2512,"Importa direto","Ajustar tipo"))))</f>
        <v/>
      </c>
      <c r="M2512" s="9"/>
    </row>
    <row r="2513" customFormat="false" ht="15" hidden="false" customHeight="false" outlineLevel="0" collapsed="false">
      <c r="A2513" s="7" t="str">
        <f aca="false">IF('Outro banco'!A2513="","",IF(LEFT('Outro banco'!A2513,1)="(","",'Outro banco'!A2513))</f>
        <v/>
      </c>
      <c r="B2513" s="7" t="str">
        <f aca="false">IF(A2513="","",'Outro banco'!B2513)</f>
        <v/>
      </c>
      <c r="C2513" s="7" t="str">
        <f aca="false">IF(A2513="","",'Outro banco'!C2513)</f>
        <v/>
      </c>
      <c r="D2513" s="7" t="str">
        <f aca="false">IF(A2513="","",'Outro banco'!D2513)</f>
        <v/>
      </c>
      <c r="E2513" s="9"/>
      <c r="F2513" s="9"/>
      <c r="G2513" s="7" t="str">
        <f aca="false">IF(A2513="","",IF(COUNTIF(Tabelas!$A:$A,IF(E2513="",A2513,E2513))&gt;0,"sim","não"))</f>
        <v/>
      </c>
      <c r="H2513" s="7" t="str">
        <f aca="false">IF(A2513="","",IF(E2513="",A2513,E2513)&amp;"."&amp;IF(F2513="",B2513,F2513))</f>
        <v/>
      </c>
      <c r="I2513" s="7" t="str">
        <f aca="false">IF(A2513="","",IFERROR(INDEX('Campos Growths'!$F:$F,MATCH(H2513,'Campos Growths'!$A:$A,0)),""))</f>
        <v/>
      </c>
      <c r="J2513" s="7" t="str">
        <f aca="false">IF(A2513="","",IFERROR(VLOOKUP(IF(ISNUMBER(SEARCH("(",C2513)),LEFT(C2513,SEARCH("(",C2513)-1),C2513),Tipos!$A:$B,2,FALSE()),"outro"))</f>
        <v/>
      </c>
      <c r="K2513" s="7" t="str">
        <f aca="false">IF(I2513="","",IFERROR(INDEX('Campos Growths'!$L:$L,MATCH(H2513,'Campos Growths'!$A:$A,0)),""))</f>
        <v/>
      </c>
      <c r="L2513" s="7" t="str">
        <f aca="false">IF(A2513="","",IF(G2513="não","Sem tabela no Growths",IF(I2513="","Sem campo no Growths",IF(J2513=K2513,"Importa direto","Ajustar tipo"))))</f>
        <v/>
      </c>
      <c r="M2513" s="9"/>
    </row>
    <row r="2514" customFormat="false" ht="15" hidden="false" customHeight="false" outlineLevel="0" collapsed="false">
      <c r="A2514" s="7" t="str">
        <f aca="false">IF('Outro banco'!A2514="","",IF(LEFT('Outro banco'!A2514,1)="(","",'Outro banco'!A2514))</f>
        <v/>
      </c>
      <c r="B2514" s="7" t="str">
        <f aca="false">IF(A2514="","",'Outro banco'!B2514)</f>
        <v/>
      </c>
      <c r="C2514" s="7" t="str">
        <f aca="false">IF(A2514="","",'Outro banco'!C2514)</f>
        <v/>
      </c>
      <c r="D2514" s="7" t="str">
        <f aca="false">IF(A2514="","",'Outro banco'!D2514)</f>
        <v/>
      </c>
      <c r="E2514" s="9"/>
      <c r="F2514" s="9"/>
      <c r="G2514" s="7" t="str">
        <f aca="false">IF(A2514="","",IF(COUNTIF(Tabelas!$A:$A,IF(E2514="",A2514,E2514))&gt;0,"sim","não"))</f>
        <v/>
      </c>
      <c r="H2514" s="7" t="str">
        <f aca="false">IF(A2514="","",IF(E2514="",A2514,E2514)&amp;"."&amp;IF(F2514="",B2514,F2514))</f>
        <v/>
      </c>
      <c r="I2514" s="7" t="str">
        <f aca="false">IF(A2514="","",IFERROR(INDEX('Campos Growths'!$F:$F,MATCH(H2514,'Campos Growths'!$A:$A,0)),""))</f>
        <v/>
      </c>
      <c r="J2514" s="7" t="str">
        <f aca="false">IF(A2514="","",IFERROR(VLOOKUP(IF(ISNUMBER(SEARCH("(",C2514)),LEFT(C2514,SEARCH("(",C2514)-1),C2514),Tipos!$A:$B,2,FALSE()),"outro"))</f>
        <v/>
      </c>
      <c r="K2514" s="7" t="str">
        <f aca="false">IF(I2514="","",IFERROR(INDEX('Campos Growths'!$L:$L,MATCH(H2514,'Campos Growths'!$A:$A,0)),""))</f>
        <v/>
      </c>
      <c r="L2514" s="7" t="str">
        <f aca="false">IF(A2514="","",IF(G2514="não","Sem tabela no Growths",IF(I2514="","Sem campo no Growths",IF(J2514=K2514,"Importa direto","Ajustar tipo"))))</f>
        <v/>
      </c>
      <c r="M2514" s="9"/>
    </row>
    <row r="2515" customFormat="false" ht="15" hidden="false" customHeight="false" outlineLevel="0" collapsed="false">
      <c r="A2515" s="7" t="str">
        <f aca="false">IF('Outro banco'!A2515="","",IF(LEFT('Outro banco'!A2515,1)="(","",'Outro banco'!A2515))</f>
        <v/>
      </c>
      <c r="B2515" s="7" t="str">
        <f aca="false">IF(A2515="","",'Outro banco'!B2515)</f>
        <v/>
      </c>
      <c r="C2515" s="7" t="str">
        <f aca="false">IF(A2515="","",'Outro banco'!C2515)</f>
        <v/>
      </c>
      <c r="D2515" s="7" t="str">
        <f aca="false">IF(A2515="","",'Outro banco'!D2515)</f>
        <v/>
      </c>
      <c r="E2515" s="9"/>
      <c r="F2515" s="9"/>
      <c r="G2515" s="7" t="str">
        <f aca="false">IF(A2515="","",IF(COUNTIF(Tabelas!$A:$A,IF(E2515="",A2515,E2515))&gt;0,"sim","não"))</f>
        <v/>
      </c>
      <c r="H2515" s="7" t="str">
        <f aca="false">IF(A2515="","",IF(E2515="",A2515,E2515)&amp;"."&amp;IF(F2515="",B2515,F2515))</f>
        <v/>
      </c>
      <c r="I2515" s="7" t="str">
        <f aca="false">IF(A2515="","",IFERROR(INDEX('Campos Growths'!$F:$F,MATCH(H2515,'Campos Growths'!$A:$A,0)),""))</f>
        <v/>
      </c>
      <c r="J2515" s="7" t="str">
        <f aca="false">IF(A2515="","",IFERROR(VLOOKUP(IF(ISNUMBER(SEARCH("(",C2515)),LEFT(C2515,SEARCH("(",C2515)-1),C2515),Tipos!$A:$B,2,FALSE()),"outro"))</f>
        <v/>
      </c>
      <c r="K2515" s="7" t="str">
        <f aca="false">IF(I2515="","",IFERROR(INDEX('Campos Growths'!$L:$L,MATCH(H2515,'Campos Growths'!$A:$A,0)),""))</f>
        <v/>
      </c>
      <c r="L2515" s="7" t="str">
        <f aca="false">IF(A2515="","",IF(G2515="não","Sem tabela no Growths",IF(I2515="","Sem campo no Growths",IF(J2515=K2515,"Importa direto","Ajustar tipo"))))</f>
        <v/>
      </c>
      <c r="M2515" s="9"/>
    </row>
    <row r="2516" customFormat="false" ht="15" hidden="false" customHeight="false" outlineLevel="0" collapsed="false">
      <c r="A2516" s="7" t="str">
        <f aca="false">IF('Outro banco'!A2516="","",IF(LEFT('Outro banco'!A2516,1)="(","",'Outro banco'!A2516))</f>
        <v/>
      </c>
      <c r="B2516" s="7" t="str">
        <f aca="false">IF(A2516="","",'Outro banco'!B2516)</f>
        <v/>
      </c>
      <c r="C2516" s="7" t="str">
        <f aca="false">IF(A2516="","",'Outro banco'!C2516)</f>
        <v/>
      </c>
      <c r="D2516" s="7" t="str">
        <f aca="false">IF(A2516="","",'Outro banco'!D2516)</f>
        <v/>
      </c>
      <c r="E2516" s="9"/>
      <c r="F2516" s="9"/>
      <c r="G2516" s="7" t="str">
        <f aca="false">IF(A2516="","",IF(COUNTIF(Tabelas!$A:$A,IF(E2516="",A2516,E2516))&gt;0,"sim","não"))</f>
        <v/>
      </c>
      <c r="H2516" s="7" t="str">
        <f aca="false">IF(A2516="","",IF(E2516="",A2516,E2516)&amp;"."&amp;IF(F2516="",B2516,F2516))</f>
        <v/>
      </c>
      <c r="I2516" s="7" t="str">
        <f aca="false">IF(A2516="","",IFERROR(INDEX('Campos Growths'!$F:$F,MATCH(H2516,'Campos Growths'!$A:$A,0)),""))</f>
        <v/>
      </c>
      <c r="J2516" s="7" t="str">
        <f aca="false">IF(A2516="","",IFERROR(VLOOKUP(IF(ISNUMBER(SEARCH("(",C2516)),LEFT(C2516,SEARCH("(",C2516)-1),C2516),Tipos!$A:$B,2,FALSE()),"outro"))</f>
        <v/>
      </c>
      <c r="K2516" s="7" t="str">
        <f aca="false">IF(I2516="","",IFERROR(INDEX('Campos Growths'!$L:$L,MATCH(H2516,'Campos Growths'!$A:$A,0)),""))</f>
        <v/>
      </c>
      <c r="L2516" s="7" t="str">
        <f aca="false">IF(A2516="","",IF(G2516="não","Sem tabela no Growths",IF(I2516="","Sem campo no Growths",IF(J2516=K2516,"Importa direto","Ajustar tipo"))))</f>
        <v/>
      </c>
      <c r="M2516" s="9"/>
    </row>
    <row r="2517" customFormat="false" ht="15" hidden="false" customHeight="false" outlineLevel="0" collapsed="false">
      <c r="A2517" s="7" t="str">
        <f aca="false">IF('Outro banco'!A2517="","",IF(LEFT('Outro banco'!A2517,1)="(","",'Outro banco'!A2517))</f>
        <v/>
      </c>
      <c r="B2517" s="7" t="str">
        <f aca="false">IF(A2517="","",'Outro banco'!B2517)</f>
        <v/>
      </c>
      <c r="C2517" s="7" t="str">
        <f aca="false">IF(A2517="","",'Outro banco'!C2517)</f>
        <v/>
      </c>
      <c r="D2517" s="7" t="str">
        <f aca="false">IF(A2517="","",'Outro banco'!D2517)</f>
        <v/>
      </c>
      <c r="E2517" s="9"/>
      <c r="F2517" s="9"/>
      <c r="G2517" s="7" t="str">
        <f aca="false">IF(A2517="","",IF(COUNTIF(Tabelas!$A:$A,IF(E2517="",A2517,E2517))&gt;0,"sim","não"))</f>
        <v/>
      </c>
      <c r="H2517" s="7" t="str">
        <f aca="false">IF(A2517="","",IF(E2517="",A2517,E2517)&amp;"."&amp;IF(F2517="",B2517,F2517))</f>
        <v/>
      </c>
      <c r="I2517" s="7" t="str">
        <f aca="false">IF(A2517="","",IFERROR(INDEX('Campos Growths'!$F:$F,MATCH(H2517,'Campos Growths'!$A:$A,0)),""))</f>
        <v/>
      </c>
      <c r="J2517" s="7" t="str">
        <f aca="false">IF(A2517="","",IFERROR(VLOOKUP(IF(ISNUMBER(SEARCH("(",C2517)),LEFT(C2517,SEARCH("(",C2517)-1),C2517),Tipos!$A:$B,2,FALSE()),"outro"))</f>
        <v/>
      </c>
      <c r="K2517" s="7" t="str">
        <f aca="false">IF(I2517="","",IFERROR(INDEX('Campos Growths'!$L:$L,MATCH(H2517,'Campos Growths'!$A:$A,0)),""))</f>
        <v/>
      </c>
      <c r="L2517" s="7" t="str">
        <f aca="false">IF(A2517="","",IF(G2517="não","Sem tabela no Growths",IF(I2517="","Sem campo no Growths",IF(J2517=K2517,"Importa direto","Ajustar tipo"))))</f>
        <v/>
      </c>
      <c r="M2517" s="9"/>
    </row>
    <row r="2518" customFormat="false" ht="15" hidden="false" customHeight="false" outlineLevel="0" collapsed="false">
      <c r="A2518" s="7" t="str">
        <f aca="false">IF('Outro banco'!A2518="","",IF(LEFT('Outro banco'!A2518,1)="(","",'Outro banco'!A2518))</f>
        <v/>
      </c>
      <c r="B2518" s="7" t="str">
        <f aca="false">IF(A2518="","",'Outro banco'!B2518)</f>
        <v/>
      </c>
      <c r="C2518" s="7" t="str">
        <f aca="false">IF(A2518="","",'Outro banco'!C2518)</f>
        <v/>
      </c>
      <c r="D2518" s="7" t="str">
        <f aca="false">IF(A2518="","",'Outro banco'!D2518)</f>
        <v/>
      </c>
      <c r="E2518" s="9"/>
      <c r="F2518" s="9"/>
      <c r="G2518" s="7" t="str">
        <f aca="false">IF(A2518="","",IF(COUNTIF(Tabelas!$A:$A,IF(E2518="",A2518,E2518))&gt;0,"sim","não"))</f>
        <v/>
      </c>
      <c r="H2518" s="7" t="str">
        <f aca="false">IF(A2518="","",IF(E2518="",A2518,E2518)&amp;"."&amp;IF(F2518="",B2518,F2518))</f>
        <v/>
      </c>
      <c r="I2518" s="7" t="str">
        <f aca="false">IF(A2518="","",IFERROR(INDEX('Campos Growths'!$F:$F,MATCH(H2518,'Campos Growths'!$A:$A,0)),""))</f>
        <v/>
      </c>
      <c r="J2518" s="7" t="str">
        <f aca="false">IF(A2518="","",IFERROR(VLOOKUP(IF(ISNUMBER(SEARCH("(",C2518)),LEFT(C2518,SEARCH("(",C2518)-1),C2518),Tipos!$A:$B,2,FALSE()),"outro"))</f>
        <v/>
      </c>
      <c r="K2518" s="7" t="str">
        <f aca="false">IF(I2518="","",IFERROR(INDEX('Campos Growths'!$L:$L,MATCH(H2518,'Campos Growths'!$A:$A,0)),""))</f>
        <v/>
      </c>
      <c r="L2518" s="7" t="str">
        <f aca="false">IF(A2518="","",IF(G2518="não","Sem tabela no Growths",IF(I2518="","Sem campo no Growths",IF(J2518=K2518,"Importa direto","Ajustar tipo"))))</f>
        <v/>
      </c>
      <c r="M2518" s="9"/>
    </row>
    <row r="2519" customFormat="false" ht="15" hidden="false" customHeight="false" outlineLevel="0" collapsed="false">
      <c r="A2519" s="7" t="str">
        <f aca="false">IF('Outro banco'!A2519="","",IF(LEFT('Outro banco'!A2519,1)="(","",'Outro banco'!A2519))</f>
        <v/>
      </c>
      <c r="B2519" s="7" t="str">
        <f aca="false">IF(A2519="","",'Outro banco'!B2519)</f>
        <v/>
      </c>
      <c r="C2519" s="7" t="str">
        <f aca="false">IF(A2519="","",'Outro banco'!C2519)</f>
        <v/>
      </c>
      <c r="D2519" s="7" t="str">
        <f aca="false">IF(A2519="","",'Outro banco'!D2519)</f>
        <v/>
      </c>
      <c r="E2519" s="9"/>
      <c r="F2519" s="9"/>
      <c r="G2519" s="7" t="str">
        <f aca="false">IF(A2519="","",IF(COUNTIF(Tabelas!$A:$A,IF(E2519="",A2519,E2519))&gt;0,"sim","não"))</f>
        <v/>
      </c>
      <c r="H2519" s="7" t="str">
        <f aca="false">IF(A2519="","",IF(E2519="",A2519,E2519)&amp;"."&amp;IF(F2519="",B2519,F2519))</f>
        <v/>
      </c>
      <c r="I2519" s="7" t="str">
        <f aca="false">IF(A2519="","",IFERROR(INDEX('Campos Growths'!$F:$F,MATCH(H2519,'Campos Growths'!$A:$A,0)),""))</f>
        <v/>
      </c>
      <c r="J2519" s="7" t="str">
        <f aca="false">IF(A2519="","",IFERROR(VLOOKUP(IF(ISNUMBER(SEARCH("(",C2519)),LEFT(C2519,SEARCH("(",C2519)-1),C2519),Tipos!$A:$B,2,FALSE()),"outro"))</f>
        <v/>
      </c>
      <c r="K2519" s="7" t="str">
        <f aca="false">IF(I2519="","",IFERROR(INDEX('Campos Growths'!$L:$L,MATCH(H2519,'Campos Growths'!$A:$A,0)),""))</f>
        <v/>
      </c>
      <c r="L2519" s="7" t="str">
        <f aca="false">IF(A2519="","",IF(G2519="não","Sem tabela no Growths",IF(I2519="","Sem campo no Growths",IF(J2519=K2519,"Importa direto","Ajustar tipo"))))</f>
        <v/>
      </c>
      <c r="M2519" s="9"/>
    </row>
    <row r="2520" customFormat="false" ht="15" hidden="false" customHeight="false" outlineLevel="0" collapsed="false">
      <c r="A2520" s="7" t="str">
        <f aca="false">IF('Outro banco'!A2520="","",IF(LEFT('Outro banco'!A2520,1)="(","",'Outro banco'!A2520))</f>
        <v/>
      </c>
      <c r="B2520" s="7" t="str">
        <f aca="false">IF(A2520="","",'Outro banco'!B2520)</f>
        <v/>
      </c>
      <c r="C2520" s="7" t="str">
        <f aca="false">IF(A2520="","",'Outro banco'!C2520)</f>
        <v/>
      </c>
      <c r="D2520" s="7" t="str">
        <f aca="false">IF(A2520="","",'Outro banco'!D2520)</f>
        <v/>
      </c>
      <c r="E2520" s="9"/>
      <c r="F2520" s="9"/>
      <c r="G2520" s="7" t="str">
        <f aca="false">IF(A2520="","",IF(COUNTIF(Tabelas!$A:$A,IF(E2520="",A2520,E2520))&gt;0,"sim","não"))</f>
        <v/>
      </c>
      <c r="H2520" s="7" t="str">
        <f aca="false">IF(A2520="","",IF(E2520="",A2520,E2520)&amp;"."&amp;IF(F2520="",B2520,F2520))</f>
        <v/>
      </c>
      <c r="I2520" s="7" t="str">
        <f aca="false">IF(A2520="","",IFERROR(INDEX('Campos Growths'!$F:$F,MATCH(H2520,'Campos Growths'!$A:$A,0)),""))</f>
        <v/>
      </c>
      <c r="J2520" s="7" t="str">
        <f aca="false">IF(A2520="","",IFERROR(VLOOKUP(IF(ISNUMBER(SEARCH("(",C2520)),LEFT(C2520,SEARCH("(",C2520)-1),C2520),Tipos!$A:$B,2,FALSE()),"outro"))</f>
        <v/>
      </c>
      <c r="K2520" s="7" t="str">
        <f aca="false">IF(I2520="","",IFERROR(INDEX('Campos Growths'!$L:$L,MATCH(H2520,'Campos Growths'!$A:$A,0)),""))</f>
        <v/>
      </c>
      <c r="L2520" s="7" t="str">
        <f aca="false">IF(A2520="","",IF(G2520="não","Sem tabela no Growths",IF(I2520="","Sem campo no Growths",IF(J2520=K2520,"Importa direto","Ajustar tipo"))))</f>
        <v/>
      </c>
      <c r="M2520" s="9"/>
    </row>
    <row r="2521" customFormat="false" ht="15" hidden="false" customHeight="false" outlineLevel="0" collapsed="false">
      <c r="A2521" s="7" t="str">
        <f aca="false">IF('Outro banco'!A2521="","",IF(LEFT('Outro banco'!A2521,1)="(","",'Outro banco'!A2521))</f>
        <v/>
      </c>
      <c r="B2521" s="7" t="str">
        <f aca="false">IF(A2521="","",'Outro banco'!B2521)</f>
        <v/>
      </c>
      <c r="C2521" s="7" t="str">
        <f aca="false">IF(A2521="","",'Outro banco'!C2521)</f>
        <v/>
      </c>
      <c r="D2521" s="7" t="str">
        <f aca="false">IF(A2521="","",'Outro banco'!D2521)</f>
        <v/>
      </c>
      <c r="E2521" s="9"/>
      <c r="F2521" s="9"/>
      <c r="G2521" s="7" t="str">
        <f aca="false">IF(A2521="","",IF(COUNTIF(Tabelas!$A:$A,IF(E2521="",A2521,E2521))&gt;0,"sim","não"))</f>
        <v/>
      </c>
      <c r="H2521" s="7" t="str">
        <f aca="false">IF(A2521="","",IF(E2521="",A2521,E2521)&amp;"."&amp;IF(F2521="",B2521,F2521))</f>
        <v/>
      </c>
      <c r="I2521" s="7" t="str">
        <f aca="false">IF(A2521="","",IFERROR(INDEX('Campos Growths'!$F:$F,MATCH(H2521,'Campos Growths'!$A:$A,0)),""))</f>
        <v/>
      </c>
      <c r="J2521" s="7" t="str">
        <f aca="false">IF(A2521="","",IFERROR(VLOOKUP(IF(ISNUMBER(SEARCH("(",C2521)),LEFT(C2521,SEARCH("(",C2521)-1),C2521),Tipos!$A:$B,2,FALSE()),"outro"))</f>
        <v/>
      </c>
      <c r="K2521" s="7" t="str">
        <f aca="false">IF(I2521="","",IFERROR(INDEX('Campos Growths'!$L:$L,MATCH(H2521,'Campos Growths'!$A:$A,0)),""))</f>
        <v/>
      </c>
      <c r="L2521" s="7" t="str">
        <f aca="false">IF(A2521="","",IF(G2521="não","Sem tabela no Growths",IF(I2521="","Sem campo no Growths",IF(J2521=K2521,"Importa direto","Ajustar tipo"))))</f>
        <v/>
      </c>
      <c r="M2521" s="9"/>
    </row>
    <row r="2522" customFormat="false" ht="15" hidden="false" customHeight="false" outlineLevel="0" collapsed="false">
      <c r="A2522" s="7" t="str">
        <f aca="false">IF('Outro banco'!A2522="","",IF(LEFT('Outro banco'!A2522,1)="(","",'Outro banco'!A2522))</f>
        <v/>
      </c>
      <c r="B2522" s="7" t="str">
        <f aca="false">IF(A2522="","",'Outro banco'!B2522)</f>
        <v/>
      </c>
      <c r="C2522" s="7" t="str">
        <f aca="false">IF(A2522="","",'Outro banco'!C2522)</f>
        <v/>
      </c>
      <c r="D2522" s="7" t="str">
        <f aca="false">IF(A2522="","",'Outro banco'!D2522)</f>
        <v/>
      </c>
      <c r="E2522" s="9"/>
      <c r="F2522" s="9"/>
      <c r="G2522" s="7" t="str">
        <f aca="false">IF(A2522="","",IF(COUNTIF(Tabelas!$A:$A,IF(E2522="",A2522,E2522))&gt;0,"sim","não"))</f>
        <v/>
      </c>
      <c r="H2522" s="7" t="str">
        <f aca="false">IF(A2522="","",IF(E2522="",A2522,E2522)&amp;"."&amp;IF(F2522="",B2522,F2522))</f>
        <v/>
      </c>
      <c r="I2522" s="7" t="str">
        <f aca="false">IF(A2522="","",IFERROR(INDEX('Campos Growths'!$F:$F,MATCH(H2522,'Campos Growths'!$A:$A,0)),""))</f>
        <v/>
      </c>
      <c r="J2522" s="7" t="str">
        <f aca="false">IF(A2522="","",IFERROR(VLOOKUP(IF(ISNUMBER(SEARCH("(",C2522)),LEFT(C2522,SEARCH("(",C2522)-1),C2522),Tipos!$A:$B,2,FALSE()),"outro"))</f>
        <v/>
      </c>
      <c r="K2522" s="7" t="str">
        <f aca="false">IF(I2522="","",IFERROR(INDEX('Campos Growths'!$L:$L,MATCH(H2522,'Campos Growths'!$A:$A,0)),""))</f>
        <v/>
      </c>
      <c r="L2522" s="7" t="str">
        <f aca="false">IF(A2522="","",IF(G2522="não","Sem tabela no Growths",IF(I2522="","Sem campo no Growths",IF(J2522=K2522,"Importa direto","Ajustar tipo"))))</f>
        <v/>
      </c>
      <c r="M2522" s="9"/>
    </row>
    <row r="2523" customFormat="false" ht="15" hidden="false" customHeight="false" outlineLevel="0" collapsed="false">
      <c r="A2523" s="7" t="str">
        <f aca="false">IF('Outro banco'!A2523="","",IF(LEFT('Outro banco'!A2523,1)="(","",'Outro banco'!A2523))</f>
        <v/>
      </c>
      <c r="B2523" s="7" t="str">
        <f aca="false">IF(A2523="","",'Outro banco'!B2523)</f>
        <v/>
      </c>
      <c r="C2523" s="7" t="str">
        <f aca="false">IF(A2523="","",'Outro banco'!C2523)</f>
        <v/>
      </c>
      <c r="D2523" s="7" t="str">
        <f aca="false">IF(A2523="","",'Outro banco'!D2523)</f>
        <v/>
      </c>
      <c r="E2523" s="9"/>
      <c r="F2523" s="9"/>
      <c r="G2523" s="7" t="str">
        <f aca="false">IF(A2523="","",IF(COUNTIF(Tabelas!$A:$A,IF(E2523="",A2523,E2523))&gt;0,"sim","não"))</f>
        <v/>
      </c>
      <c r="H2523" s="7" t="str">
        <f aca="false">IF(A2523="","",IF(E2523="",A2523,E2523)&amp;"."&amp;IF(F2523="",B2523,F2523))</f>
        <v/>
      </c>
      <c r="I2523" s="7" t="str">
        <f aca="false">IF(A2523="","",IFERROR(INDEX('Campos Growths'!$F:$F,MATCH(H2523,'Campos Growths'!$A:$A,0)),""))</f>
        <v/>
      </c>
      <c r="J2523" s="7" t="str">
        <f aca="false">IF(A2523="","",IFERROR(VLOOKUP(IF(ISNUMBER(SEARCH("(",C2523)),LEFT(C2523,SEARCH("(",C2523)-1),C2523),Tipos!$A:$B,2,FALSE()),"outro"))</f>
        <v/>
      </c>
      <c r="K2523" s="7" t="str">
        <f aca="false">IF(I2523="","",IFERROR(INDEX('Campos Growths'!$L:$L,MATCH(H2523,'Campos Growths'!$A:$A,0)),""))</f>
        <v/>
      </c>
      <c r="L2523" s="7" t="str">
        <f aca="false">IF(A2523="","",IF(G2523="não","Sem tabela no Growths",IF(I2523="","Sem campo no Growths",IF(J2523=K2523,"Importa direto","Ajustar tipo"))))</f>
        <v/>
      </c>
      <c r="M2523" s="9"/>
    </row>
    <row r="2524" customFormat="false" ht="15" hidden="false" customHeight="false" outlineLevel="0" collapsed="false">
      <c r="A2524" s="7" t="str">
        <f aca="false">IF('Outro banco'!A2524="","",IF(LEFT('Outro banco'!A2524,1)="(","",'Outro banco'!A2524))</f>
        <v/>
      </c>
      <c r="B2524" s="7" t="str">
        <f aca="false">IF(A2524="","",'Outro banco'!B2524)</f>
        <v/>
      </c>
      <c r="C2524" s="7" t="str">
        <f aca="false">IF(A2524="","",'Outro banco'!C2524)</f>
        <v/>
      </c>
      <c r="D2524" s="7" t="str">
        <f aca="false">IF(A2524="","",'Outro banco'!D2524)</f>
        <v/>
      </c>
      <c r="E2524" s="9"/>
      <c r="F2524" s="9"/>
      <c r="G2524" s="7" t="str">
        <f aca="false">IF(A2524="","",IF(COUNTIF(Tabelas!$A:$A,IF(E2524="",A2524,E2524))&gt;0,"sim","não"))</f>
        <v/>
      </c>
      <c r="H2524" s="7" t="str">
        <f aca="false">IF(A2524="","",IF(E2524="",A2524,E2524)&amp;"."&amp;IF(F2524="",B2524,F2524))</f>
        <v/>
      </c>
      <c r="I2524" s="7" t="str">
        <f aca="false">IF(A2524="","",IFERROR(INDEX('Campos Growths'!$F:$F,MATCH(H2524,'Campos Growths'!$A:$A,0)),""))</f>
        <v/>
      </c>
      <c r="J2524" s="7" t="str">
        <f aca="false">IF(A2524="","",IFERROR(VLOOKUP(IF(ISNUMBER(SEARCH("(",C2524)),LEFT(C2524,SEARCH("(",C2524)-1),C2524),Tipos!$A:$B,2,FALSE()),"outro"))</f>
        <v/>
      </c>
      <c r="K2524" s="7" t="str">
        <f aca="false">IF(I2524="","",IFERROR(INDEX('Campos Growths'!$L:$L,MATCH(H2524,'Campos Growths'!$A:$A,0)),""))</f>
        <v/>
      </c>
      <c r="L2524" s="7" t="str">
        <f aca="false">IF(A2524="","",IF(G2524="não","Sem tabela no Growths",IF(I2524="","Sem campo no Growths",IF(J2524=K2524,"Importa direto","Ajustar tipo"))))</f>
        <v/>
      </c>
      <c r="M2524" s="9"/>
    </row>
    <row r="2525" customFormat="false" ht="15" hidden="false" customHeight="false" outlineLevel="0" collapsed="false">
      <c r="A2525" s="7" t="str">
        <f aca="false">IF('Outro banco'!A2525="","",IF(LEFT('Outro banco'!A2525,1)="(","",'Outro banco'!A2525))</f>
        <v/>
      </c>
      <c r="B2525" s="7" t="str">
        <f aca="false">IF(A2525="","",'Outro banco'!B2525)</f>
        <v/>
      </c>
      <c r="C2525" s="7" t="str">
        <f aca="false">IF(A2525="","",'Outro banco'!C2525)</f>
        <v/>
      </c>
      <c r="D2525" s="7" t="str">
        <f aca="false">IF(A2525="","",'Outro banco'!D2525)</f>
        <v/>
      </c>
      <c r="E2525" s="9"/>
      <c r="F2525" s="9"/>
      <c r="G2525" s="7" t="str">
        <f aca="false">IF(A2525="","",IF(COUNTIF(Tabelas!$A:$A,IF(E2525="",A2525,E2525))&gt;0,"sim","não"))</f>
        <v/>
      </c>
      <c r="H2525" s="7" t="str">
        <f aca="false">IF(A2525="","",IF(E2525="",A2525,E2525)&amp;"."&amp;IF(F2525="",B2525,F2525))</f>
        <v/>
      </c>
      <c r="I2525" s="7" t="str">
        <f aca="false">IF(A2525="","",IFERROR(INDEX('Campos Growths'!$F:$F,MATCH(H2525,'Campos Growths'!$A:$A,0)),""))</f>
        <v/>
      </c>
      <c r="J2525" s="7" t="str">
        <f aca="false">IF(A2525="","",IFERROR(VLOOKUP(IF(ISNUMBER(SEARCH("(",C2525)),LEFT(C2525,SEARCH("(",C2525)-1),C2525),Tipos!$A:$B,2,FALSE()),"outro"))</f>
        <v/>
      </c>
      <c r="K2525" s="7" t="str">
        <f aca="false">IF(I2525="","",IFERROR(INDEX('Campos Growths'!$L:$L,MATCH(H2525,'Campos Growths'!$A:$A,0)),""))</f>
        <v/>
      </c>
      <c r="L2525" s="7" t="str">
        <f aca="false">IF(A2525="","",IF(G2525="não","Sem tabela no Growths",IF(I2525="","Sem campo no Growths",IF(J2525=K2525,"Importa direto","Ajustar tipo"))))</f>
        <v/>
      </c>
      <c r="M2525" s="9"/>
    </row>
    <row r="2526" customFormat="false" ht="15" hidden="false" customHeight="false" outlineLevel="0" collapsed="false">
      <c r="A2526" s="7" t="str">
        <f aca="false">IF('Outro banco'!A2526="","",IF(LEFT('Outro banco'!A2526,1)="(","",'Outro banco'!A2526))</f>
        <v/>
      </c>
      <c r="B2526" s="7" t="str">
        <f aca="false">IF(A2526="","",'Outro banco'!B2526)</f>
        <v/>
      </c>
      <c r="C2526" s="7" t="str">
        <f aca="false">IF(A2526="","",'Outro banco'!C2526)</f>
        <v/>
      </c>
      <c r="D2526" s="7" t="str">
        <f aca="false">IF(A2526="","",'Outro banco'!D2526)</f>
        <v/>
      </c>
      <c r="E2526" s="9"/>
      <c r="F2526" s="9"/>
      <c r="G2526" s="7" t="str">
        <f aca="false">IF(A2526="","",IF(COUNTIF(Tabelas!$A:$A,IF(E2526="",A2526,E2526))&gt;0,"sim","não"))</f>
        <v/>
      </c>
      <c r="H2526" s="7" t="str">
        <f aca="false">IF(A2526="","",IF(E2526="",A2526,E2526)&amp;"."&amp;IF(F2526="",B2526,F2526))</f>
        <v/>
      </c>
      <c r="I2526" s="7" t="str">
        <f aca="false">IF(A2526="","",IFERROR(INDEX('Campos Growths'!$F:$F,MATCH(H2526,'Campos Growths'!$A:$A,0)),""))</f>
        <v/>
      </c>
      <c r="J2526" s="7" t="str">
        <f aca="false">IF(A2526="","",IFERROR(VLOOKUP(IF(ISNUMBER(SEARCH("(",C2526)),LEFT(C2526,SEARCH("(",C2526)-1),C2526),Tipos!$A:$B,2,FALSE()),"outro"))</f>
        <v/>
      </c>
      <c r="K2526" s="7" t="str">
        <f aca="false">IF(I2526="","",IFERROR(INDEX('Campos Growths'!$L:$L,MATCH(H2526,'Campos Growths'!$A:$A,0)),""))</f>
        <v/>
      </c>
      <c r="L2526" s="7" t="str">
        <f aca="false">IF(A2526="","",IF(G2526="não","Sem tabela no Growths",IF(I2526="","Sem campo no Growths",IF(J2526=K2526,"Importa direto","Ajustar tipo"))))</f>
        <v/>
      </c>
      <c r="M2526" s="9"/>
    </row>
    <row r="2527" customFormat="false" ht="15" hidden="false" customHeight="false" outlineLevel="0" collapsed="false">
      <c r="A2527" s="7" t="str">
        <f aca="false">IF('Outro banco'!A2527="","",IF(LEFT('Outro banco'!A2527,1)="(","",'Outro banco'!A2527))</f>
        <v/>
      </c>
      <c r="B2527" s="7" t="str">
        <f aca="false">IF(A2527="","",'Outro banco'!B2527)</f>
        <v/>
      </c>
      <c r="C2527" s="7" t="str">
        <f aca="false">IF(A2527="","",'Outro banco'!C2527)</f>
        <v/>
      </c>
      <c r="D2527" s="7" t="str">
        <f aca="false">IF(A2527="","",'Outro banco'!D2527)</f>
        <v/>
      </c>
      <c r="E2527" s="9"/>
      <c r="F2527" s="9"/>
      <c r="G2527" s="7" t="str">
        <f aca="false">IF(A2527="","",IF(COUNTIF(Tabelas!$A:$A,IF(E2527="",A2527,E2527))&gt;0,"sim","não"))</f>
        <v/>
      </c>
      <c r="H2527" s="7" t="str">
        <f aca="false">IF(A2527="","",IF(E2527="",A2527,E2527)&amp;"."&amp;IF(F2527="",B2527,F2527))</f>
        <v/>
      </c>
      <c r="I2527" s="7" t="str">
        <f aca="false">IF(A2527="","",IFERROR(INDEX('Campos Growths'!$F:$F,MATCH(H2527,'Campos Growths'!$A:$A,0)),""))</f>
        <v/>
      </c>
      <c r="J2527" s="7" t="str">
        <f aca="false">IF(A2527="","",IFERROR(VLOOKUP(IF(ISNUMBER(SEARCH("(",C2527)),LEFT(C2527,SEARCH("(",C2527)-1),C2527),Tipos!$A:$B,2,FALSE()),"outro"))</f>
        <v/>
      </c>
      <c r="K2527" s="7" t="str">
        <f aca="false">IF(I2527="","",IFERROR(INDEX('Campos Growths'!$L:$L,MATCH(H2527,'Campos Growths'!$A:$A,0)),""))</f>
        <v/>
      </c>
      <c r="L2527" s="7" t="str">
        <f aca="false">IF(A2527="","",IF(G2527="não","Sem tabela no Growths",IF(I2527="","Sem campo no Growths",IF(J2527=K2527,"Importa direto","Ajustar tipo"))))</f>
        <v/>
      </c>
      <c r="M2527" s="9"/>
    </row>
    <row r="2528" customFormat="false" ht="15" hidden="false" customHeight="false" outlineLevel="0" collapsed="false">
      <c r="A2528" s="7" t="str">
        <f aca="false">IF('Outro banco'!A2528="","",IF(LEFT('Outro banco'!A2528,1)="(","",'Outro banco'!A2528))</f>
        <v/>
      </c>
      <c r="B2528" s="7" t="str">
        <f aca="false">IF(A2528="","",'Outro banco'!B2528)</f>
        <v/>
      </c>
      <c r="C2528" s="7" t="str">
        <f aca="false">IF(A2528="","",'Outro banco'!C2528)</f>
        <v/>
      </c>
      <c r="D2528" s="7" t="str">
        <f aca="false">IF(A2528="","",'Outro banco'!D2528)</f>
        <v/>
      </c>
      <c r="E2528" s="9"/>
      <c r="F2528" s="9"/>
      <c r="G2528" s="7" t="str">
        <f aca="false">IF(A2528="","",IF(COUNTIF(Tabelas!$A:$A,IF(E2528="",A2528,E2528))&gt;0,"sim","não"))</f>
        <v/>
      </c>
      <c r="H2528" s="7" t="str">
        <f aca="false">IF(A2528="","",IF(E2528="",A2528,E2528)&amp;"."&amp;IF(F2528="",B2528,F2528))</f>
        <v/>
      </c>
      <c r="I2528" s="7" t="str">
        <f aca="false">IF(A2528="","",IFERROR(INDEX('Campos Growths'!$F:$F,MATCH(H2528,'Campos Growths'!$A:$A,0)),""))</f>
        <v/>
      </c>
      <c r="J2528" s="7" t="str">
        <f aca="false">IF(A2528="","",IFERROR(VLOOKUP(IF(ISNUMBER(SEARCH("(",C2528)),LEFT(C2528,SEARCH("(",C2528)-1),C2528),Tipos!$A:$B,2,FALSE()),"outro"))</f>
        <v/>
      </c>
      <c r="K2528" s="7" t="str">
        <f aca="false">IF(I2528="","",IFERROR(INDEX('Campos Growths'!$L:$L,MATCH(H2528,'Campos Growths'!$A:$A,0)),""))</f>
        <v/>
      </c>
      <c r="L2528" s="7" t="str">
        <f aca="false">IF(A2528="","",IF(G2528="não","Sem tabela no Growths",IF(I2528="","Sem campo no Growths",IF(J2528=K2528,"Importa direto","Ajustar tipo"))))</f>
        <v/>
      </c>
      <c r="M2528" s="9"/>
    </row>
    <row r="2529" customFormat="false" ht="15" hidden="false" customHeight="false" outlineLevel="0" collapsed="false">
      <c r="A2529" s="7" t="str">
        <f aca="false">IF('Outro banco'!A2529="","",IF(LEFT('Outro banco'!A2529,1)="(","",'Outro banco'!A2529))</f>
        <v/>
      </c>
      <c r="B2529" s="7" t="str">
        <f aca="false">IF(A2529="","",'Outro banco'!B2529)</f>
        <v/>
      </c>
      <c r="C2529" s="7" t="str">
        <f aca="false">IF(A2529="","",'Outro banco'!C2529)</f>
        <v/>
      </c>
      <c r="D2529" s="7" t="str">
        <f aca="false">IF(A2529="","",'Outro banco'!D2529)</f>
        <v/>
      </c>
      <c r="E2529" s="9"/>
      <c r="F2529" s="9"/>
      <c r="G2529" s="7" t="str">
        <f aca="false">IF(A2529="","",IF(COUNTIF(Tabelas!$A:$A,IF(E2529="",A2529,E2529))&gt;0,"sim","não"))</f>
        <v/>
      </c>
      <c r="H2529" s="7" t="str">
        <f aca="false">IF(A2529="","",IF(E2529="",A2529,E2529)&amp;"."&amp;IF(F2529="",B2529,F2529))</f>
        <v/>
      </c>
      <c r="I2529" s="7" t="str">
        <f aca="false">IF(A2529="","",IFERROR(INDEX('Campos Growths'!$F:$F,MATCH(H2529,'Campos Growths'!$A:$A,0)),""))</f>
        <v/>
      </c>
      <c r="J2529" s="7" t="str">
        <f aca="false">IF(A2529="","",IFERROR(VLOOKUP(IF(ISNUMBER(SEARCH("(",C2529)),LEFT(C2529,SEARCH("(",C2529)-1),C2529),Tipos!$A:$B,2,FALSE()),"outro"))</f>
        <v/>
      </c>
      <c r="K2529" s="7" t="str">
        <f aca="false">IF(I2529="","",IFERROR(INDEX('Campos Growths'!$L:$L,MATCH(H2529,'Campos Growths'!$A:$A,0)),""))</f>
        <v/>
      </c>
      <c r="L2529" s="7" t="str">
        <f aca="false">IF(A2529="","",IF(G2529="não","Sem tabela no Growths",IF(I2529="","Sem campo no Growths",IF(J2529=K2529,"Importa direto","Ajustar tipo"))))</f>
        <v/>
      </c>
      <c r="M2529" s="9"/>
    </row>
    <row r="2530" customFormat="false" ht="15" hidden="false" customHeight="false" outlineLevel="0" collapsed="false">
      <c r="A2530" s="7" t="str">
        <f aca="false">IF('Outro banco'!A2530="","",IF(LEFT('Outro banco'!A2530,1)="(","",'Outro banco'!A2530))</f>
        <v/>
      </c>
      <c r="B2530" s="7" t="str">
        <f aca="false">IF(A2530="","",'Outro banco'!B2530)</f>
        <v/>
      </c>
      <c r="C2530" s="7" t="str">
        <f aca="false">IF(A2530="","",'Outro banco'!C2530)</f>
        <v/>
      </c>
      <c r="D2530" s="7" t="str">
        <f aca="false">IF(A2530="","",'Outro banco'!D2530)</f>
        <v/>
      </c>
      <c r="E2530" s="9"/>
      <c r="F2530" s="9"/>
      <c r="G2530" s="7" t="str">
        <f aca="false">IF(A2530="","",IF(COUNTIF(Tabelas!$A:$A,IF(E2530="",A2530,E2530))&gt;0,"sim","não"))</f>
        <v/>
      </c>
      <c r="H2530" s="7" t="str">
        <f aca="false">IF(A2530="","",IF(E2530="",A2530,E2530)&amp;"."&amp;IF(F2530="",B2530,F2530))</f>
        <v/>
      </c>
      <c r="I2530" s="7" t="str">
        <f aca="false">IF(A2530="","",IFERROR(INDEX('Campos Growths'!$F:$F,MATCH(H2530,'Campos Growths'!$A:$A,0)),""))</f>
        <v/>
      </c>
      <c r="J2530" s="7" t="str">
        <f aca="false">IF(A2530="","",IFERROR(VLOOKUP(IF(ISNUMBER(SEARCH("(",C2530)),LEFT(C2530,SEARCH("(",C2530)-1),C2530),Tipos!$A:$B,2,FALSE()),"outro"))</f>
        <v/>
      </c>
      <c r="K2530" s="7" t="str">
        <f aca="false">IF(I2530="","",IFERROR(INDEX('Campos Growths'!$L:$L,MATCH(H2530,'Campos Growths'!$A:$A,0)),""))</f>
        <v/>
      </c>
      <c r="L2530" s="7" t="str">
        <f aca="false">IF(A2530="","",IF(G2530="não","Sem tabela no Growths",IF(I2530="","Sem campo no Growths",IF(J2530=K2530,"Importa direto","Ajustar tipo"))))</f>
        <v/>
      </c>
      <c r="M2530" s="9"/>
    </row>
    <row r="2531" customFormat="false" ht="15" hidden="false" customHeight="false" outlineLevel="0" collapsed="false">
      <c r="A2531" s="7" t="str">
        <f aca="false">IF('Outro banco'!A2531="","",IF(LEFT('Outro banco'!A2531,1)="(","",'Outro banco'!A2531))</f>
        <v/>
      </c>
      <c r="B2531" s="7" t="str">
        <f aca="false">IF(A2531="","",'Outro banco'!B2531)</f>
        <v/>
      </c>
      <c r="C2531" s="7" t="str">
        <f aca="false">IF(A2531="","",'Outro banco'!C2531)</f>
        <v/>
      </c>
      <c r="D2531" s="7" t="str">
        <f aca="false">IF(A2531="","",'Outro banco'!D2531)</f>
        <v/>
      </c>
      <c r="E2531" s="9"/>
      <c r="F2531" s="9"/>
      <c r="G2531" s="7" t="str">
        <f aca="false">IF(A2531="","",IF(COUNTIF(Tabelas!$A:$A,IF(E2531="",A2531,E2531))&gt;0,"sim","não"))</f>
        <v/>
      </c>
      <c r="H2531" s="7" t="str">
        <f aca="false">IF(A2531="","",IF(E2531="",A2531,E2531)&amp;"."&amp;IF(F2531="",B2531,F2531))</f>
        <v/>
      </c>
      <c r="I2531" s="7" t="str">
        <f aca="false">IF(A2531="","",IFERROR(INDEX('Campos Growths'!$F:$F,MATCH(H2531,'Campos Growths'!$A:$A,0)),""))</f>
        <v/>
      </c>
      <c r="J2531" s="7" t="str">
        <f aca="false">IF(A2531="","",IFERROR(VLOOKUP(IF(ISNUMBER(SEARCH("(",C2531)),LEFT(C2531,SEARCH("(",C2531)-1),C2531),Tipos!$A:$B,2,FALSE()),"outro"))</f>
        <v/>
      </c>
      <c r="K2531" s="7" t="str">
        <f aca="false">IF(I2531="","",IFERROR(INDEX('Campos Growths'!$L:$L,MATCH(H2531,'Campos Growths'!$A:$A,0)),""))</f>
        <v/>
      </c>
      <c r="L2531" s="7" t="str">
        <f aca="false">IF(A2531="","",IF(G2531="não","Sem tabela no Growths",IF(I2531="","Sem campo no Growths",IF(J2531=K2531,"Importa direto","Ajustar tipo"))))</f>
        <v/>
      </c>
      <c r="M2531" s="9"/>
    </row>
    <row r="2532" customFormat="false" ht="15" hidden="false" customHeight="false" outlineLevel="0" collapsed="false">
      <c r="A2532" s="7" t="str">
        <f aca="false">IF('Outro banco'!A2532="","",IF(LEFT('Outro banco'!A2532,1)="(","",'Outro banco'!A2532))</f>
        <v/>
      </c>
      <c r="B2532" s="7" t="str">
        <f aca="false">IF(A2532="","",'Outro banco'!B2532)</f>
        <v/>
      </c>
      <c r="C2532" s="7" t="str">
        <f aca="false">IF(A2532="","",'Outro banco'!C2532)</f>
        <v/>
      </c>
      <c r="D2532" s="7" t="str">
        <f aca="false">IF(A2532="","",'Outro banco'!D2532)</f>
        <v/>
      </c>
      <c r="E2532" s="9"/>
      <c r="F2532" s="9"/>
      <c r="G2532" s="7" t="str">
        <f aca="false">IF(A2532="","",IF(COUNTIF(Tabelas!$A:$A,IF(E2532="",A2532,E2532))&gt;0,"sim","não"))</f>
        <v/>
      </c>
      <c r="H2532" s="7" t="str">
        <f aca="false">IF(A2532="","",IF(E2532="",A2532,E2532)&amp;"."&amp;IF(F2532="",B2532,F2532))</f>
        <v/>
      </c>
      <c r="I2532" s="7" t="str">
        <f aca="false">IF(A2532="","",IFERROR(INDEX('Campos Growths'!$F:$F,MATCH(H2532,'Campos Growths'!$A:$A,0)),""))</f>
        <v/>
      </c>
      <c r="J2532" s="7" t="str">
        <f aca="false">IF(A2532="","",IFERROR(VLOOKUP(IF(ISNUMBER(SEARCH("(",C2532)),LEFT(C2532,SEARCH("(",C2532)-1),C2532),Tipos!$A:$B,2,FALSE()),"outro"))</f>
        <v/>
      </c>
      <c r="K2532" s="7" t="str">
        <f aca="false">IF(I2532="","",IFERROR(INDEX('Campos Growths'!$L:$L,MATCH(H2532,'Campos Growths'!$A:$A,0)),""))</f>
        <v/>
      </c>
      <c r="L2532" s="7" t="str">
        <f aca="false">IF(A2532="","",IF(G2532="não","Sem tabela no Growths",IF(I2532="","Sem campo no Growths",IF(J2532=K2532,"Importa direto","Ajustar tipo"))))</f>
        <v/>
      </c>
      <c r="M2532" s="9"/>
    </row>
    <row r="2533" customFormat="false" ht="15" hidden="false" customHeight="false" outlineLevel="0" collapsed="false">
      <c r="A2533" s="7" t="str">
        <f aca="false">IF('Outro banco'!A2533="","",IF(LEFT('Outro banco'!A2533,1)="(","",'Outro banco'!A2533))</f>
        <v/>
      </c>
      <c r="B2533" s="7" t="str">
        <f aca="false">IF(A2533="","",'Outro banco'!B2533)</f>
        <v/>
      </c>
      <c r="C2533" s="7" t="str">
        <f aca="false">IF(A2533="","",'Outro banco'!C2533)</f>
        <v/>
      </c>
      <c r="D2533" s="7" t="str">
        <f aca="false">IF(A2533="","",'Outro banco'!D2533)</f>
        <v/>
      </c>
      <c r="E2533" s="9"/>
      <c r="F2533" s="9"/>
      <c r="G2533" s="7" t="str">
        <f aca="false">IF(A2533="","",IF(COUNTIF(Tabelas!$A:$A,IF(E2533="",A2533,E2533))&gt;0,"sim","não"))</f>
        <v/>
      </c>
      <c r="H2533" s="7" t="str">
        <f aca="false">IF(A2533="","",IF(E2533="",A2533,E2533)&amp;"."&amp;IF(F2533="",B2533,F2533))</f>
        <v/>
      </c>
      <c r="I2533" s="7" t="str">
        <f aca="false">IF(A2533="","",IFERROR(INDEX('Campos Growths'!$F:$F,MATCH(H2533,'Campos Growths'!$A:$A,0)),""))</f>
        <v/>
      </c>
      <c r="J2533" s="7" t="str">
        <f aca="false">IF(A2533="","",IFERROR(VLOOKUP(IF(ISNUMBER(SEARCH("(",C2533)),LEFT(C2533,SEARCH("(",C2533)-1),C2533),Tipos!$A:$B,2,FALSE()),"outro"))</f>
        <v/>
      </c>
      <c r="K2533" s="7" t="str">
        <f aca="false">IF(I2533="","",IFERROR(INDEX('Campos Growths'!$L:$L,MATCH(H2533,'Campos Growths'!$A:$A,0)),""))</f>
        <v/>
      </c>
      <c r="L2533" s="7" t="str">
        <f aca="false">IF(A2533="","",IF(G2533="não","Sem tabela no Growths",IF(I2533="","Sem campo no Growths",IF(J2533=K2533,"Importa direto","Ajustar tipo"))))</f>
        <v/>
      </c>
      <c r="M2533" s="9"/>
    </row>
    <row r="2534" customFormat="false" ht="15" hidden="false" customHeight="false" outlineLevel="0" collapsed="false">
      <c r="A2534" s="7" t="str">
        <f aca="false">IF('Outro banco'!A2534="","",IF(LEFT('Outro banco'!A2534,1)="(","",'Outro banco'!A2534))</f>
        <v/>
      </c>
      <c r="B2534" s="7" t="str">
        <f aca="false">IF(A2534="","",'Outro banco'!B2534)</f>
        <v/>
      </c>
      <c r="C2534" s="7" t="str">
        <f aca="false">IF(A2534="","",'Outro banco'!C2534)</f>
        <v/>
      </c>
      <c r="D2534" s="7" t="str">
        <f aca="false">IF(A2534="","",'Outro banco'!D2534)</f>
        <v/>
      </c>
      <c r="E2534" s="9"/>
      <c r="F2534" s="9"/>
      <c r="G2534" s="7" t="str">
        <f aca="false">IF(A2534="","",IF(COUNTIF(Tabelas!$A:$A,IF(E2534="",A2534,E2534))&gt;0,"sim","não"))</f>
        <v/>
      </c>
      <c r="H2534" s="7" t="str">
        <f aca="false">IF(A2534="","",IF(E2534="",A2534,E2534)&amp;"."&amp;IF(F2534="",B2534,F2534))</f>
        <v/>
      </c>
      <c r="I2534" s="7" t="str">
        <f aca="false">IF(A2534="","",IFERROR(INDEX('Campos Growths'!$F:$F,MATCH(H2534,'Campos Growths'!$A:$A,0)),""))</f>
        <v/>
      </c>
      <c r="J2534" s="7" t="str">
        <f aca="false">IF(A2534="","",IFERROR(VLOOKUP(IF(ISNUMBER(SEARCH("(",C2534)),LEFT(C2534,SEARCH("(",C2534)-1),C2534),Tipos!$A:$B,2,FALSE()),"outro"))</f>
        <v/>
      </c>
      <c r="K2534" s="7" t="str">
        <f aca="false">IF(I2534="","",IFERROR(INDEX('Campos Growths'!$L:$L,MATCH(H2534,'Campos Growths'!$A:$A,0)),""))</f>
        <v/>
      </c>
      <c r="L2534" s="7" t="str">
        <f aca="false">IF(A2534="","",IF(G2534="não","Sem tabela no Growths",IF(I2534="","Sem campo no Growths",IF(J2534=K2534,"Importa direto","Ajustar tipo"))))</f>
        <v/>
      </c>
      <c r="M2534" s="9"/>
    </row>
    <row r="2535" customFormat="false" ht="15" hidden="false" customHeight="false" outlineLevel="0" collapsed="false">
      <c r="A2535" s="7" t="str">
        <f aca="false">IF('Outro banco'!A2535="","",IF(LEFT('Outro banco'!A2535,1)="(","",'Outro banco'!A2535))</f>
        <v/>
      </c>
      <c r="B2535" s="7" t="str">
        <f aca="false">IF(A2535="","",'Outro banco'!B2535)</f>
        <v/>
      </c>
      <c r="C2535" s="7" t="str">
        <f aca="false">IF(A2535="","",'Outro banco'!C2535)</f>
        <v/>
      </c>
      <c r="D2535" s="7" t="str">
        <f aca="false">IF(A2535="","",'Outro banco'!D2535)</f>
        <v/>
      </c>
      <c r="E2535" s="9"/>
      <c r="F2535" s="9"/>
      <c r="G2535" s="7" t="str">
        <f aca="false">IF(A2535="","",IF(COUNTIF(Tabelas!$A:$A,IF(E2535="",A2535,E2535))&gt;0,"sim","não"))</f>
        <v/>
      </c>
      <c r="H2535" s="7" t="str">
        <f aca="false">IF(A2535="","",IF(E2535="",A2535,E2535)&amp;"."&amp;IF(F2535="",B2535,F2535))</f>
        <v/>
      </c>
      <c r="I2535" s="7" t="str">
        <f aca="false">IF(A2535="","",IFERROR(INDEX('Campos Growths'!$F:$F,MATCH(H2535,'Campos Growths'!$A:$A,0)),""))</f>
        <v/>
      </c>
      <c r="J2535" s="7" t="str">
        <f aca="false">IF(A2535="","",IFERROR(VLOOKUP(IF(ISNUMBER(SEARCH("(",C2535)),LEFT(C2535,SEARCH("(",C2535)-1),C2535),Tipos!$A:$B,2,FALSE()),"outro"))</f>
        <v/>
      </c>
      <c r="K2535" s="7" t="str">
        <f aca="false">IF(I2535="","",IFERROR(INDEX('Campos Growths'!$L:$L,MATCH(H2535,'Campos Growths'!$A:$A,0)),""))</f>
        <v/>
      </c>
      <c r="L2535" s="7" t="str">
        <f aca="false">IF(A2535="","",IF(G2535="não","Sem tabela no Growths",IF(I2535="","Sem campo no Growths",IF(J2535=K2535,"Importa direto","Ajustar tipo"))))</f>
        <v/>
      </c>
      <c r="M2535" s="9"/>
    </row>
    <row r="2536" customFormat="false" ht="15" hidden="false" customHeight="false" outlineLevel="0" collapsed="false">
      <c r="A2536" s="7" t="str">
        <f aca="false">IF('Outro banco'!A2536="","",IF(LEFT('Outro banco'!A2536,1)="(","",'Outro banco'!A2536))</f>
        <v/>
      </c>
      <c r="B2536" s="7" t="str">
        <f aca="false">IF(A2536="","",'Outro banco'!B2536)</f>
        <v/>
      </c>
      <c r="C2536" s="7" t="str">
        <f aca="false">IF(A2536="","",'Outro banco'!C2536)</f>
        <v/>
      </c>
      <c r="D2536" s="7" t="str">
        <f aca="false">IF(A2536="","",'Outro banco'!D2536)</f>
        <v/>
      </c>
      <c r="E2536" s="9"/>
      <c r="F2536" s="9"/>
      <c r="G2536" s="7" t="str">
        <f aca="false">IF(A2536="","",IF(COUNTIF(Tabelas!$A:$A,IF(E2536="",A2536,E2536))&gt;0,"sim","não"))</f>
        <v/>
      </c>
      <c r="H2536" s="7" t="str">
        <f aca="false">IF(A2536="","",IF(E2536="",A2536,E2536)&amp;"."&amp;IF(F2536="",B2536,F2536))</f>
        <v/>
      </c>
      <c r="I2536" s="7" t="str">
        <f aca="false">IF(A2536="","",IFERROR(INDEX('Campos Growths'!$F:$F,MATCH(H2536,'Campos Growths'!$A:$A,0)),""))</f>
        <v/>
      </c>
      <c r="J2536" s="7" t="str">
        <f aca="false">IF(A2536="","",IFERROR(VLOOKUP(IF(ISNUMBER(SEARCH("(",C2536)),LEFT(C2536,SEARCH("(",C2536)-1),C2536),Tipos!$A:$B,2,FALSE()),"outro"))</f>
        <v/>
      </c>
      <c r="K2536" s="7" t="str">
        <f aca="false">IF(I2536="","",IFERROR(INDEX('Campos Growths'!$L:$L,MATCH(H2536,'Campos Growths'!$A:$A,0)),""))</f>
        <v/>
      </c>
      <c r="L2536" s="7" t="str">
        <f aca="false">IF(A2536="","",IF(G2536="não","Sem tabela no Growths",IF(I2536="","Sem campo no Growths",IF(J2536=K2536,"Importa direto","Ajustar tipo"))))</f>
        <v/>
      </c>
      <c r="M2536" s="9"/>
    </row>
    <row r="2537" customFormat="false" ht="15" hidden="false" customHeight="false" outlineLevel="0" collapsed="false">
      <c r="A2537" s="7" t="str">
        <f aca="false">IF('Outro banco'!A2537="","",IF(LEFT('Outro banco'!A2537,1)="(","",'Outro banco'!A2537))</f>
        <v/>
      </c>
      <c r="B2537" s="7" t="str">
        <f aca="false">IF(A2537="","",'Outro banco'!B2537)</f>
        <v/>
      </c>
      <c r="C2537" s="7" t="str">
        <f aca="false">IF(A2537="","",'Outro banco'!C2537)</f>
        <v/>
      </c>
      <c r="D2537" s="7" t="str">
        <f aca="false">IF(A2537="","",'Outro banco'!D2537)</f>
        <v/>
      </c>
      <c r="E2537" s="9"/>
      <c r="F2537" s="9"/>
      <c r="G2537" s="7" t="str">
        <f aca="false">IF(A2537="","",IF(COUNTIF(Tabelas!$A:$A,IF(E2537="",A2537,E2537))&gt;0,"sim","não"))</f>
        <v/>
      </c>
      <c r="H2537" s="7" t="str">
        <f aca="false">IF(A2537="","",IF(E2537="",A2537,E2537)&amp;"."&amp;IF(F2537="",B2537,F2537))</f>
        <v/>
      </c>
      <c r="I2537" s="7" t="str">
        <f aca="false">IF(A2537="","",IFERROR(INDEX('Campos Growths'!$F:$F,MATCH(H2537,'Campos Growths'!$A:$A,0)),""))</f>
        <v/>
      </c>
      <c r="J2537" s="7" t="str">
        <f aca="false">IF(A2537="","",IFERROR(VLOOKUP(IF(ISNUMBER(SEARCH("(",C2537)),LEFT(C2537,SEARCH("(",C2537)-1),C2537),Tipos!$A:$B,2,FALSE()),"outro"))</f>
        <v/>
      </c>
      <c r="K2537" s="7" t="str">
        <f aca="false">IF(I2537="","",IFERROR(INDEX('Campos Growths'!$L:$L,MATCH(H2537,'Campos Growths'!$A:$A,0)),""))</f>
        <v/>
      </c>
      <c r="L2537" s="7" t="str">
        <f aca="false">IF(A2537="","",IF(G2537="não","Sem tabela no Growths",IF(I2537="","Sem campo no Growths",IF(J2537=K2537,"Importa direto","Ajustar tipo"))))</f>
        <v/>
      </c>
      <c r="M2537" s="9"/>
    </row>
    <row r="2538" customFormat="false" ht="15" hidden="false" customHeight="false" outlineLevel="0" collapsed="false">
      <c r="A2538" s="7" t="str">
        <f aca="false">IF('Outro banco'!A2538="","",IF(LEFT('Outro banco'!A2538,1)="(","",'Outro banco'!A2538))</f>
        <v/>
      </c>
      <c r="B2538" s="7" t="str">
        <f aca="false">IF(A2538="","",'Outro banco'!B2538)</f>
        <v/>
      </c>
      <c r="C2538" s="7" t="str">
        <f aca="false">IF(A2538="","",'Outro banco'!C2538)</f>
        <v/>
      </c>
      <c r="D2538" s="7" t="str">
        <f aca="false">IF(A2538="","",'Outro banco'!D2538)</f>
        <v/>
      </c>
      <c r="E2538" s="9"/>
      <c r="F2538" s="9"/>
      <c r="G2538" s="7" t="str">
        <f aca="false">IF(A2538="","",IF(COUNTIF(Tabelas!$A:$A,IF(E2538="",A2538,E2538))&gt;0,"sim","não"))</f>
        <v/>
      </c>
      <c r="H2538" s="7" t="str">
        <f aca="false">IF(A2538="","",IF(E2538="",A2538,E2538)&amp;"."&amp;IF(F2538="",B2538,F2538))</f>
        <v/>
      </c>
      <c r="I2538" s="7" t="str">
        <f aca="false">IF(A2538="","",IFERROR(INDEX('Campos Growths'!$F:$F,MATCH(H2538,'Campos Growths'!$A:$A,0)),""))</f>
        <v/>
      </c>
      <c r="J2538" s="7" t="str">
        <f aca="false">IF(A2538="","",IFERROR(VLOOKUP(IF(ISNUMBER(SEARCH("(",C2538)),LEFT(C2538,SEARCH("(",C2538)-1),C2538),Tipos!$A:$B,2,FALSE()),"outro"))</f>
        <v/>
      </c>
      <c r="K2538" s="7" t="str">
        <f aca="false">IF(I2538="","",IFERROR(INDEX('Campos Growths'!$L:$L,MATCH(H2538,'Campos Growths'!$A:$A,0)),""))</f>
        <v/>
      </c>
      <c r="L2538" s="7" t="str">
        <f aca="false">IF(A2538="","",IF(G2538="não","Sem tabela no Growths",IF(I2538="","Sem campo no Growths",IF(J2538=K2538,"Importa direto","Ajustar tipo"))))</f>
        <v/>
      </c>
      <c r="M2538" s="9"/>
    </row>
    <row r="2539" customFormat="false" ht="15" hidden="false" customHeight="false" outlineLevel="0" collapsed="false">
      <c r="A2539" s="7" t="str">
        <f aca="false">IF('Outro banco'!A2539="","",IF(LEFT('Outro banco'!A2539,1)="(","",'Outro banco'!A2539))</f>
        <v/>
      </c>
      <c r="B2539" s="7" t="str">
        <f aca="false">IF(A2539="","",'Outro banco'!B2539)</f>
        <v/>
      </c>
      <c r="C2539" s="7" t="str">
        <f aca="false">IF(A2539="","",'Outro banco'!C2539)</f>
        <v/>
      </c>
      <c r="D2539" s="7" t="str">
        <f aca="false">IF(A2539="","",'Outro banco'!D2539)</f>
        <v/>
      </c>
      <c r="E2539" s="9"/>
      <c r="F2539" s="9"/>
      <c r="G2539" s="7" t="str">
        <f aca="false">IF(A2539="","",IF(COUNTIF(Tabelas!$A:$A,IF(E2539="",A2539,E2539))&gt;0,"sim","não"))</f>
        <v/>
      </c>
      <c r="H2539" s="7" t="str">
        <f aca="false">IF(A2539="","",IF(E2539="",A2539,E2539)&amp;"."&amp;IF(F2539="",B2539,F2539))</f>
        <v/>
      </c>
      <c r="I2539" s="7" t="str">
        <f aca="false">IF(A2539="","",IFERROR(INDEX('Campos Growths'!$F:$F,MATCH(H2539,'Campos Growths'!$A:$A,0)),""))</f>
        <v/>
      </c>
      <c r="J2539" s="7" t="str">
        <f aca="false">IF(A2539="","",IFERROR(VLOOKUP(IF(ISNUMBER(SEARCH("(",C2539)),LEFT(C2539,SEARCH("(",C2539)-1),C2539),Tipos!$A:$B,2,FALSE()),"outro"))</f>
        <v/>
      </c>
      <c r="K2539" s="7" t="str">
        <f aca="false">IF(I2539="","",IFERROR(INDEX('Campos Growths'!$L:$L,MATCH(H2539,'Campos Growths'!$A:$A,0)),""))</f>
        <v/>
      </c>
      <c r="L2539" s="7" t="str">
        <f aca="false">IF(A2539="","",IF(G2539="não","Sem tabela no Growths",IF(I2539="","Sem campo no Growths",IF(J2539=K2539,"Importa direto","Ajustar tipo"))))</f>
        <v/>
      </c>
      <c r="M2539" s="9"/>
    </row>
    <row r="2540" customFormat="false" ht="15" hidden="false" customHeight="false" outlineLevel="0" collapsed="false">
      <c r="A2540" s="7" t="str">
        <f aca="false">IF('Outro banco'!A2540="","",IF(LEFT('Outro banco'!A2540,1)="(","",'Outro banco'!A2540))</f>
        <v/>
      </c>
      <c r="B2540" s="7" t="str">
        <f aca="false">IF(A2540="","",'Outro banco'!B2540)</f>
        <v/>
      </c>
      <c r="C2540" s="7" t="str">
        <f aca="false">IF(A2540="","",'Outro banco'!C2540)</f>
        <v/>
      </c>
      <c r="D2540" s="7" t="str">
        <f aca="false">IF(A2540="","",'Outro banco'!D2540)</f>
        <v/>
      </c>
      <c r="E2540" s="9"/>
      <c r="F2540" s="9"/>
      <c r="G2540" s="7" t="str">
        <f aca="false">IF(A2540="","",IF(COUNTIF(Tabelas!$A:$A,IF(E2540="",A2540,E2540))&gt;0,"sim","não"))</f>
        <v/>
      </c>
      <c r="H2540" s="7" t="str">
        <f aca="false">IF(A2540="","",IF(E2540="",A2540,E2540)&amp;"."&amp;IF(F2540="",B2540,F2540))</f>
        <v/>
      </c>
      <c r="I2540" s="7" t="str">
        <f aca="false">IF(A2540="","",IFERROR(INDEX('Campos Growths'!$F:$F,MATCH(H2540,'Campos Growths'!$A:$A,0)),""))</f>
        <v/>
      </c>
      <c r="J2540" s="7" t="str">
        <f aca="false">IF(A2540="","",IFERROR(VLOOKUP(IF(ISNUMBER(SEARCH("(",C2540)),LEFT(C2540,SEARCH("(",C2540)-1),C2540),Tipos!$A:$B,2,FALSE()),"outro"))</f>
        <v/>
      </c>
      <c r="K2540" s="7" t="str">
        <f aca="false">IF(I2540="","",IFERROR(INDEX('Campos Growths'!$L:$L,MATCH(H2540,'Campos Growths'!$A:$A,0)),""))</f>
        <v/>
      </c>
      <c r="L2540" s="7" t="str">
        <f aca="false">IF(A2540="","",IF(G2540="não","Sem tabela no Growths",IF(I2540="","Sem campo no Growths",IF(J2540=K2540,"Importa direto","Ajustar tipo"))))</f>
        <v/>
      </c>
      <c r="M2540" s="9"/>
    </row>
    <row r="2541" customFormat="false" ht="15" hidden="false" customHeight="false" outlineLevel="0" collapsed="false">
      <c r="A2541" s="7" t="str">
        <f aca="false">IF('Outro banco'!A2541="","",IF(LEFT('Outro banco'!A2541,1)="(","",'Outro banco'!A2541))</f>
        <v/>
      </c>
      <c r="B2541" s="7" t="str">
        <f aca="false">IF(A2541="","",'Outro banco'!B2541)</f>
        <v/>
      </c>
      <c r="C2541" s="7" t="str">
        <f aca="false">IF(A2541="","",'Outro banco'!C2541)</f>
        <v/>
      </c>
      <c r="D2541" s="7" t="str">
        <f aca="false">IF(A2541="","",'Outro banco'!D2541)</f>
        <v/>
      </c>
      <c r="E2541" s="9"/>
      <c r="F2541" s="9"/>
      <c r="G2541" s="7" t="str">
        <f aca="false">IF(A2541="","",IF(COUNTIF(Tabelas!$A:$A,IF(E2541="",A2541,E2541))&gt;0,"sim","não"))</f>
        <v/>
      </c>
      <c r="H2541" s="7" t="str">
        <f aca="false">IF(A2541="","",IF(E2541="",A2541,E2541)&amp;"."&amp;IF(F2541="",B2541,F2541))</f>
        <v/>
      </c>
      <c r="I2541" s="7" t="str">
        <f aca="false">IF(A2541="","",IFERROR(INDEX('Campos Growths'!$F:$F,MATCH(H2541,'Campos Growths'!$A:$A,0)),""))</f>
        <v/>
      </c>
      <c r="J2541" s="7" t="str">
        <f aca="false">IF(A2541="","",IFERROR(VLOOKUP(IF(ISNUMBER(SEARCH("(",C2541)),LEFT(C2541,SEARCH("(",C2541)-1),C2541),Tipos!$A:$B,2,FALSE()),"outro"))</f>
        <v/>
      </c>
      <c r="K2541" s="7" t="str">
        <f aca="false">IF(I2541="","",IFERROR(INDEX('Campos Growths'!$L:$L,MATCH(H2541,'Campos Growths'!$A:$A,0)),""))</f>
        <v/>
      </c>
      <c r="L2541" s="7" t="str">
        <f aca="false">IF(A2541="","",IF(G2541="não","Sem tabela no Growths",IF(I2541="","Sem campo no Growths",IF(J2541=K2541,"Importa direto","Ajustar tipo"))))</f>
        <v/>
      </c>
      <c r="M2541" s="9"/>
    </row>
    <row r="2542" customFormat="false" ht="15" hidden="false" customHeight="false" outlineLevel="0" collapsed="false">
      <c r="A2542" s="7" t="str">
        <f aca="false">IF('Outro banco'!A2542="","",IF(LEFT('Outro banco'!A2542,1)="(","",'Outro banco'!A2542))</f>
        <v/>
      </c>
      <c r="B2542" s="7" t="str">
        <f aca="false">IF(A2542="","",'Outro banco'!B2542)</f>
        <v/>
      </c>
      <c r="C2542" s="7" t="str">
        <f aca="false">IF(A2542="","",'Outro banco'!C2542)</f>
        <v/>
      </c>
      <c r="D2542" s="7" t="str">
        <f aca="false">IF(A2542="","",'Outro banco'!D2542)</f>
        <v/>
      </c>
      <c r="E2542" s="9"/>
      <c r="F2542" s="9"/>
      <c r="G2542" s="7" t="str">
        <f aca="false">IF(A2542="","",IF(COUNTIF(Tabelas!$A:$A,IF(E2542="",A2542,E2542))&gt;0,"sim","não"))</f>
        <v/>
      </c>
      <c r="H2542" s="7" t="str">
        <f aca="false">IF(A2542="","",IF(E2542="",A2542,E2542)&amp;"."&amp;IF(F2542="",B2542,F2542))</f>
        <v/>
      </c>
      <c r="I2542" s="7" t="str">
        <f aca="false">IF(A2542="","",IFERROR(INDEX('Campos Growths'!$F:$F,MATCH(H2542,'Campos Growths'!$A:$A,0)),""))</f>
        <v/>
      </c>
      <c r="J2542" s="7" t="str">
        <f aca="false">IF(A2542="","",IFERROR(VLOOKUP(IF(ISNUMBER(SEARCH("(",C2542)),LEFT(C2542,SEARCH("(",C2542)-1),C2542),Tipos!$A:$B,2,FALSE()),"outro"))</f>
        <v/>
      </c>
      <c r="K2542" s="7" t="str">
        <f aca="false">IF(I2542="","",IFERROR(INDEX('Campos Growths'!$L:$L,MATCH(H2542,'Campos Growths'!$A:$A,0)),""))</f>
        <v/>
      </c>
      <c r="L2542" s="7" t="str">
        <f aca="false">IF(A2542="","",IF(G2542="não","Sem tabela no Growths",IF(I2542="","Sem campo no Growths",IF(J2542=K2542,"Importa direto","Ajustar tipo"))))</f>
        <v/>
      </c>
      <c r="M2542" s="9"/>
    </row>
    <row r="2543" customFormat="false" ht="15" hidden="false" customHeight="false" outlineLevel="0" collapsed="false">
      <c r="A2543" s="7" t="str">
        <f aca="false">IF('Outro banco'!A2543="","",IF(LEFT('Outro banco'!A2543,1)="(","",'Outro banco'!A2543))</f>
        <v/>
      </c>
      <c r="B2543" s="7" t="str">
        <f aca="false">IF(A2543="","",'Outro banco'!B2543)</f>
        <v/>
      </c>
      <c r="C2543" s="7" t="str">
        <f aca="false">IF(A2543="","",'Outro banco'!C2543)</f>
        <v/>
      </c>
      <c r="D2543" s="7" t="str">
        <f aca="false">IF(A2543="","",'Outro banco'!D2543)</f>
        <v/>
      </c>
      <c r="E2543" s="9"/>
      <c r="F2543" s="9"/>
      <c r="G2543" s="7" t="str">
        <f aca="false">IF(A2543="","",IF(COUNTIF(Tabelas!$A:$A,IF(E2543="",A2543,E2543))&gt;0,"sim","não"))</f>
        <v/>
      </c>
      <c r="H2543" s="7" t="str">
        <f aca="false">IF(A2543="","",IF(E2543="",A2543,E2543)&amp;"."&amp;IF(F2543="",B2543,F2543))</f>
        <v/>
      </c>
      <c r="I2543" s="7" t="str">
        <f aca="false">IF(A2543="","",IFERROR(INDEX('Campos Growths'!$F:$F,MATCH(H2543,'Campos Growths'!$A:$A,0)),""))</f>
        <v/>
      </c>
      <c r="J2543" s="7" t="str">
        <f aca="false">IF(A2543="","",IFERROR(VLOOKUP(IF(ISNUMBER(SEARCH("(",C2543)),LEFT(C2543,SEARCH("(",C2543)-1),C2543),Tipos!$A:$B,2,FALSE()),"outro"))</f>
        <v/>
      </c>
      <c r="K2543" s="7" t="str">
        <f aca="false">IF(I2543="","",IFERROR(INDEX('Campos Growths'!$L:$L,MATCH(H2543,'Campos Growths'!$A:$A,0)),""))</f>
        <v/>
      </c>
      <c r="L2543" s="7" t="str">
        <f aca="false">IF(A2543="","",IF(G2543="não","Sem tabela no Growths",IF(I2543="","Sem campo no Growths",IF(J2543=K2543,"Importa direto","Ajustar tipo"))))</f>
        <v/>
      </c>
      <c r="M2543" s="9"/>
    </row>
    <row r="2544" customFormat="false" ht="15" hidden="false" customHeight="false" outlineLevel="0" collapsed="false">
      <c r="A2544" s="7" t="str">
        <f aca="false">IF('Outro banco'!A2544="","",IF(LEFT('Outro banco'!A2544,1)="(","",'Outro banco'!A2544))</f>
        <v/>
      </c>
      <c r="B2544" s="7" t="str">
        <f aca="false">IF(A2544="","",'Outro banco'!B2544)</f>
        <v/>
      </c>
      <c r="C2544" s="7" t="str">
        <f aca="false">IF(A2544="","",'Outro banco'!C2544)</f>
        <v/>
      </c>
      <c r="D2544" s="7" t="str">
        <f aca="false">IF(A2544="","",'Outro banco'!D2544)</f>
        <v/>
      </c>
      <c r="E2544" s="9"/>
      <c r="F2544" s="9"/>
      <c r="G2544" s="7" t="str">
        <f aca="false">IF(A2544="","",IF(COUNTIF(Tabelas!$A:$A,IF(E2544="",A2544,E2544))&gt;0,"sim","não"))</f>
        <v/>
      </c>
      <c r="H2544" s="7" t="str">
        <f aca="false">IF(A2544="","",IF(E2544="",A2544,E2544)&amp;"."&amp;IF(F2544="",B2544,F2544))</f>
        <v/>
      </c>
      <c r="I2544" s="7" t="str">
        <f aca="false">IF(A2544="","",IFERROR(INDEX('Campos Growths'!$F:$F,MATCH(H2544,'Campos Growths'!$A:$A,0)),""))</f>
        <v/>
      </c>
      <c r="J2544" s="7" t="str">
        <f aca="false">IF(A2544="","",IFERROR(VLOOKUP(IF(ISNUMBER(SEARCH("(",C2544)),LEFT(C2544,SEARCH("(",C2544)-1),C2544),Tipos!$A:$B,2,FALSE()),"outro"))</f>
        <v/>
      </c>
      <c r="K2544" s="7" t="str">
        <f aca="false">IF(I2544="","",IFERROR(INDEX('Campos Growths'!$L:$L,MATCH(H2544,'Campos Growths'!$A:$A,0)),""))</f>
        <v/>
      </c>
      <c r="L2544" s="7" t="str">
        <f aca="false">IF(A2544="","",IF(G2544="não","Sem tabela no Growths",IF(I2544="","Sem campo no Growths",IF(J2544=K2544,"Importa direto","Ajustar tipo"))))</f>
        <v/>
      </c>
      <c r="M2544" s="9"/>
    </row>
    <row r="2545" customFormat="false" ht="15" hidden="false" customHeight="false" outlineLevel="0" collapsed="false">
      <c r="A2545" s="7" t="str">
        <f aca="false">IF('Outro banco'!A2545="","",IF(LEFT('Outro banco'!A2545,1)="(","",'Outro banco'!A2545))</f>
        <v/>
      </c>
      <c r="B2545" s="7" t="str">
        <f aca="false">IF(A2545="","",'Outro banco'!B2545)</f>
        <v/>
      </c>
      <c r="C2545" s="7" t="str">
        <f aca="false">IF(A2545="","",'Outro banco'!C2545)</f>
        <v/>
      </c>
      <c r="D2545" s="7" t="str">
        <f aca="false">IF(A2545="","",'Outro banco'!D2545)</f>
        <v/>
      </c>
      <c r="E2545" s="9"/>
      <c r="F2545" s="9"/>
      <c r="G2545" s="7" t="str">
        <f aca="false">IF(A2545="","",IF(COUNTIF(Tabelas!$A:$A,IF(E2545="",A2545,E2545))&gt;0,"sim","não"))</f>
        <v/>
      </c>
      <c r="H2545" s="7" t="str">
        <f aca="false">IF(A2545="","",IF(E2545="",A2545,E2545)&amp;"."&amp;IF(F2545="",B2545,F2545))</f>
        <v/>
      </c>
      <c r="I2545" s="7" t="str">
        <f aca="false">IF(A2545="","",IFERROR(INDEX('Campos Growths'!$F:$F,MATCH(H2545,'Campos Growths'!$A:$A,0)),""))</f>
        <v/>
      </c>
      <c r="J2545" s="7" t="str">
        <f aca="false">IF(A2545="","",IFERROR(VLOOKUP(IF(ISNUMBER(SEARCH("(",C2545)),LEFT(C2545,SEARCH("(",C2545)-1),C2545),Tipos!$A:$B,2,FALSE()),"outro"))</f>
        <v/>
      </c>
      <c r="K2545" s="7" t="str">
        <f aca="false">IF(I2545="","",IFERROR(INDEX('Campos Growths'!$L:$L,MATCH(H2545,'Campos Growths'!$A:$A,0)),""))</f>
        <v/>
      </c>
      <c r="L2545" s="7" t="str">
        <f aca="false">IF(A2545="","",IF(G2545="não","Sem tabela no Growths",IF(I2545="","Sem campo no Growths",IF(J2545=K2545,"Importa direto","Ajustar tipo"))))</f>
        <v/>
      </c>
      <c r="M2545" s="9"/>
    </row>
    <row r="2546" customFormat="false" ht="15" hidden="false" customHeight="false" outlineLevel="0" collapsed="false">
      <c r="A2546" s="7" t="str">
        <f aca="false">IF('Outro banco'!A2546="","",IF(LEFT('Outro banco'!A2546,1)="(","",'Outro banco'!A2546))</f>
        <v/>
      </c>
      <c r="B2546" s="7" t="str">
        <f aca="false">IF(A2546="","",'Outro banco'!B2546)</f>
        <v/>
      </c>
      <c r="C2546" s="7" t="str">
        <f aca="false">IF(A2546="","",'Outro banco'!C2546)</f>
        <v/>
      </c>
      <c r="D2546" s="7" t="str">
        <f aca="false">IF(A2546="","",'Outro banco'!D2546)</f>
        <v/>
      </c>
      <c r="E2546" s="9"/>
      <c r="F2546" s="9"/>
      <c r="G2546" s="7" t="str">
        <f aca="false">IF(A2546="","",IF(COUNTIF(Tabelas!$A:$A,IF(E2546="",A2546,E2546))&gt;0,"sim","não"))</f>
        <v/>
      </c>
      <c r="H2546" s="7" t="str">
        <f aca="false">IF(A2546="","",IF(E2546="",A2546,E2546)&amp;"."&amp;IF(F2546="",B2546,F2546))</f>
        <v/>
      </c>
      <c r="I2546" s="7" t="str">
        <f aca="false">IF(A2546="","",IFERROR(INDEX('Campos Growths'!$F:$F,MATCH(H2546,'Campos Growths'!$A:$A,0)),""))</f>
        <v/>
      </c>
      <c r="J2546" s="7" t="str">
        <f aca="false">IF(A2546="","",IFERROR(VLOOKUP(IF(ISNUMBER(SEARCH("(",C2546)),LEFT(C2546,SEARCH("(",C2546)-1),C2546),Tipos!$A:$B,2,FALSE()),"outro"))</f>
        <v/>
      </c>
      <c r="K2546" s="7" t="str">
        <f aca="false">IF(I2546="","",IFERROR(INDEX('Campos Growths'!$L:$L,MATCH(H2546,'Campos Growths'!$A:$A,0)),""))</f>
        <v/>
      </c>
      <c r="L2546" s="7" t="str">
        <f aca="false">IF(A2546="","",IF(G2546="não","Sem tabela no Growths",IF(I2546="","Sem campo no Growths",IF(J2546=K2546,"Importa direto","Ajustar tipo"))))</f>
        <v/>
      </c>
      <c r="M2546" s="9"/>
    </row>
    <row r="2547" customFormat="false" ht="15" hidden="false" customHeight="false" outlineLevel="0" collapsed="false">
      <c r="A2547" s="7" t="str">
        <f aca="false">IF('Outro banco'!A2547="","",IF(LEFT('Outro banco'!A2547,1)="(","",'Outro banco'!A2547))</f>
        <v/>
      </c>
      <c r="B2547" s="7" t="str">
        <f aca="false">IF(A2547="","",'Outro banco'!B2547)</f>
        <v/>
      </c>
      <c r="C2547" s="7" t="str">
        <f aca="false">IF(A2547="","",'Outro banco'!C2547)</f>
        <v/>
      </c>
      <c r="D2547" s="7" t="str">
        <f aca="false">IF(A2547="","",'Outro banco'!D2547)</f>
        <v/>
      </c>
      <c r="E2547" s="9"/>
      <c r="F2547" s="9"/>
      <c r="G2547" s="7" t="str">
        <f aca="false">IF(A2547="","",IF(COUNTIF(Tabelas!$A:$A,IF(E2547="",A2547,E2547))&gt;0,"sim","não"))</f>
        <v/>
      </c>
      <c r="H2547" s="7" t="str">
        <f aca="false">IF(A2547="","",IF(E2547="",A2547,E2547)&amp;"."&amp;IF(F2547="",B2547,F2547))</f>
        <v/>
      </c>
      <c r="I2547" s="7" t="str">
        <f aca="false">IF(A2547="","",IFERROR(INDEX('Campos Growths'!$F:$F,MATCH(H2547,'Campos Growths'!$A:$A,0)),""))</f>
        <v/>
      </c>
      <c r="J2547" s="7" t="str">
        <f aca="false">IF(A2547="","",IFERROR(VLOOKUP(IF(ISNUMBER(SEARCH("(",C2547)),LEFT(C2547,SEARCH("(",C2547)-1),C2547),Tipos!$A:$B,2,FALSE()),"outro"))</f>
        <v/>
      </c>
      <c r="K2547" s="7" t="str">
        <f aca="false">IF(I2547="","",IFERROR(INDEX('Campos Growths'!$L:$L,MATCH(H2547,'Campos Growths'!$A:$A,0)),""))</f>
        <v/>
      </c>
      <c r="L2547" s="7" t="str">
        <f aca="false">IF(A2547="","",IF(G2547="não","Sem tabela no Growths",IF(I2547="","Sem campo no Growths",IF(J2547=K2547,"Importa direto","Ajustar tipo"))))</f>
        <v/>
      </c>
      <c r="M2547" s="9"/>
    </row>
    <row r="2548" customFormat="false" ht="15" hidden="false" customHeight="false" outlineLevel="0" collapsed="false">
      <c r="A2548" s="7" t="str">
        <f aca="false">IF('Outro banco'!A2548="","",IF(LEFT('Outro banco'!A2548,1)="(","",'Outro banco'!A2548))</f>
        <v/>
      </c>
      <c r="B2548" s="7" t="str">
        <f aca="false">IF(A2548="","",'Outro banco'!B2548)</f>
        <v/>
      </c>
      <c r="C2548" s="7" t="str">
        <f aca="false">IF(A2548="","",'Outro banco'!C2548)</f>
        <v/>
      </c>
      <c r="D2548" s="7" t="str">
        <f aca="false">IF(A2548="","",'Outro banco'!D2548)</f>
        <v/>
      </c>
      <c r="E2548" s="9"/>
      <c r="F2548" s="9"/>
      <c r="G2548" s="7" t="str">
        <f aca="false">IF(A2548="","",IF(COUNTIF(Tabelas!$A:$A,IF(E2548="",A2548,E2548))&gt;0,"sim","não"))</f>
        <v/>
      </c>
      <c r="H2548" s="7" t="str">
        <f aca="false">IF(A2548="","",IF(E2548="",A2548,E2548)&amp;"."&amp;IF(F2548="",B2548,F2548))</f>
        <v/>
      </c>
      <c r="I2548" s="7" t="str">
        <f aca="false">IF(A2548="","",IFERROR(INDEX('Campos Growths'!$F:$F,MATCH(H2548,'Campos Growths'!$A:$A,0)),""))</f>
        <v/>
      </c>
      <c r="J2548" s="7" t="str">
        <f aca="false">IF(A2548="","",IFERROR(VLOOKUP(IF(ISNUMBER(SEARCH("(",C2548)),LEFT(C2548,SEARCH("(",C2548)-1),C2548),Tipos!$A:$B,2,FALSE()),"outro"))</f>
        <v/>
      </c>
      <c r="K2548" s="7" t="str">
        <f aca="false">IF(I2548="","",IFERROR(INDEX('Campos Growths'!$L:$L,MATCH(H2548,'Campos Growths'!$A:$A,0)),""))</f>
        <v/>
      </c>
      <c r="L2548" s="7" t="str">
        <f aca="false">IF(A2548="","",IF(G2548="não","Sem tabela no Growths",IF(I2548="","Sem campo no Growths",IF(J2548=K2548,"Importa direto","Ajustar tipo"))))</f>
        <v/>
      </c>
      <c r="M2548" s="9"/>
    </row>
    <row r="2549" customFormat="false" ht="15" hidden="false" customHeight="false" outlineLevel="0" collapsed="false">
      <c r="A2549" s="7" t="str">
        <f aca="false">IF('Outro banco'!A2549="","",IF(LEFT('Outro banco'!A2549,1)="(","",'Outro banco'!A2549))</f>
        <v/>
      </c>
      <c r="B2549" s="7" t="str">
        <f aca="false">IF(A2549="","",'Outro banco'!B2549)</f>
        <v/>
      </c>
      <c r="C2549" s="7" t="str">
        <f aca="false">IF(A2549="","",'Outro banco'!C2549)</f>
        <v/>
      </c>
      <c r="D2549" s="7" t="str">
        <f aca="false">IF(A2549="","",'Outro banco'!D2549)</f>
        <v/>
      </c>
      <c r="E2549" s="9"/>
      <c r="F2549" s="9"/>
      <c r="G2549" s="7" t="str">
        <f aca="false">IF(A2549="","",IF(COUNTIF(Tabelas!$A:$A,IF(E2549="",A2549,E2549))&gt;0,"sim","não"))</f>
        <v/>
      </c>
      <c r="H2549" s="7" t="str">
        <f aca="false">IF(A2549="","",IF(E2549="",A2549,E2549)&amp;"."&amp;IF(F2549="",B2549,F2549))</f>
        <v/>
      </c>
      <c r="I2549" s="7" t="str">
        <f aca="false">IF(A2549="","",IFERROR(INDEX('Campos Growths'!$F:$F,MATCH(H2549,'Campos Growths'!$A:$A,0)),""))</f>
        <v/>
      </c>
      <c r="J2549" s="7" t="str">
        <f aca="false">IF(A2549="","",IFERROR(VLOOKUP(IF(ISNUMBER(SEARCH("(",C2549)),LEFT(C2549,SEARCH("(",C2549)-1),C2549),Tipos!$A:$B,2,FALSE()),"outro"))</f>
        <v/>
      </c>
      <c r="K2549" s="7" t="str">
        <f aca="false">IF(I2549="","",IFERROR(INDEX('Campos Growths'!$L:$L,MATCH(H2549,'Campos Growths'!$A:$A,0)),""))</f>
        <v/>
      </c>
      <c r="L2549" s="7" t="str">
        <f aca="false">IF(A2549="","",IF(G2549="não","Sem tabela no Growths",IF(I2549="","Sem campo no Growths",IF(J2549=K2549,"Importa direto","Ajustar tipo"))))</f>
        <v/>
      </c>
      <c r="M2549" s="9"/>
    </row>
    <row r="2550" customFormat="false" ht="15" hidden="false" customHeight="false" outlineLevel="0" collapsed="false">
      <c r="A2550" s="7" t="str">
        <f aca="false">IF('Outro banco'!A2550="","",IF(LEFT('Outro banco'!A2550,1)="(","",'Outro banco'!A2550))</f>
        <v/>
      </c>
      <c r="B2550" s="7" t="str">
        <f aca="false">IF(A2550="","",'Outro banco'!B2550)</f>
        <v/>
      </c>
      <c r="C2550" s="7" t="str">
        <f aca="false">IF(A2550="","",'Outro banco'!C2550)</f>
        <v/>
      </c>
      <c r="D2550" s="7" t="str">
        <f aca="false">IF(A2550="","",'Outro banco'!D2550)</f>
        <v/>
      </c>
      <c r="E2550" s="9"/>
      <c r="F2550" s="9"/>
      <c r="G2550" s="7" t="str">
        <f aca="false">IF(A2550="","",IF(COUNTIF(Tabelas!$A:$A,IF(E2550="",A2550,E2550))&gt;0,"sim","não"))</f>
        <v/>
      </c>
      <c r="H2550" s="7" t="str">
        <f aca="false">IF(A2550="","",IF(E2550="",A2550,E2550)&amp;"."&amp;IF(F2550="",B2550,F2550))</f>
        <v/>
      </c>
      <c r="I2550" s="7" t="str">
        <f aca="false">IF(A2550="","",IFERROR(INDEX('Campos Growths'!$F:$F,MATCH(H2550,'Campos Growths'!$A:$A,0)),""))</f>
        <v/>
      </c>
      <c r="J2550" s="7" t="str">
        <f aca="false">IF(A2550="","",IFERROR(VLOOKUP(IF(ISNUMBER(SEARCH("(",C2550)),LEFT(C2550,SEARCH("(",C2550)-1),C2550),Tipos!$A:$B,2,FALSE()),"outro"))</f>
        <v/>
      </c>
      <c r="K2550" s="7" t="str">
        <f aca="false">IF(I2550="","",IFERROR(INDEX('Campos Growths'!$L:$L,MATCH(H2550,'Campos Growths'!$A:$A,0)),""))</f>
        <v/>
      </c>
      <c r="L2550" s="7" t="str">
        <f aca="false">IF(A2550="","",IF(G2550="não","Sem tabela no Growths",IF(I2550="","Sem campo no Growths",IF(J2550=K2550,"Importa direto","Ajustar tipo"))))</f>
        <v/>
      </c>
      <c r="M2550" s="9"/>
    </row>
    <row r="2551" customFormat="false" ht="15" hidden="false" customHeight="false" outlineLevel="0" collapsed="false">
      <c r="A2551" s="7" t="str">
        <f aca="false">IF('Outro banco'!A2551="","",IF(LEFT('Outro banco'!A2551,1)="(","",'Outro banco'!A2551))</f>
        <v/>
      </c>
      <c r="B2551" s="7" t="str">
        <f aca="false">IF(A2551="","",'Outro banco'!B2551)</f>
        <v/>
      </c>
      <c r="C2551" s="7" t="str">
        <f aca="false">IF(A2551="","",'Outro banco'!C2551)</f>
        <v/>
      </c>
      <c r="D2551" s="7" t="str">
        <f aca="false">IF(A2551="","",'Outro banco'!D2551)</f>
        <v/>
      </c>
      <c r="E2551" s="9"/>
      <c r="F2551" s="9"/>
      <c r="G2551" s="7" t="str">
        <f aca="false">IF(A2551="","",IF(COUNTIF(Tabelas!$A:$A,IF(E2551="",A2551,E2551))&gt;0,"sim","não"))</f>
        <v/>
      </c>
      <c r="H2551" s="7" t="str">
        <f aca="false">IF(A2551="","",IF(E2551="",A2551,E2551)&amp;"."&amp;IF(F2551="",B2551,F2551))</f>
        <v/>
      </c>
      <c r="I2551" s="7" t="str">
        <f aca="false">IF(A2551="","",IFERROR(INDEX('Campos Growths'!$F:$F,MATCH(H2551,'Campos Growths'!$A:$A,0)),""))</f>
        <v/>
      </c>
      <c r="J2551" s="7" t="str">
        <f aca="false">IF(A2551="","",IFERROR(VLOOKUP(IF(ISNUMBER(SEARCH("(",C2551)),LEFT(C2551,SEARCH("(",C2551)-1),C2551),Tipos!$A:$B,2,FALSE()),"outro"))</f>
        <v/>
      </c>
      <c r="K2551" s="7" t="str">
        <f aca="false">IF(I2551="","",IFERROR(INDEX('Campos Growths'!$L:$L,MATCH(H2551,'Campos Growths'!$A:$A,0)),""))</f>
        <v/>
      </c>
      <c r="L2551" s="7" t="str">
        <f aca="false">IF(A2551="","",IF(G2551="não","Sem tabela no Growths",IF(I2551="","Sem campo no Growths",IF(J2551=K2551,"Importa direto","Ajustar tipo"))))</f>
        <v/>
      </c>
      <c r="M2551" s="9"/>
    </row>
    <row r="2552" customFormat="false" ht="15" hidden="false" customHeight="false" outlineLevel="0" collapsed="false">
      <c r="A2552" s="7" t="str">
        <f aca="false">IF('Outro banco'!A2552="","",IF(LEFT('Outro banco'!A2552,1)="(","",'Outro banco'!A2552))</f>
        <v/>
      </c>
      <c r="B2552" s="7" t="str">
        <f aca="false">IF(A2552="","",'Outro banco'!B2552)</f>
        <v/>
      </c>
      <c r="C2552" s="7" t="str">
        <f aca="false">IF(A2552="","",'Outro banco'!C2552)</f>
        <v/>
      </c>
      <c r="D2552" s="7" t="str">
        <f aca="false">IF(A2552="","",'Outro banco'!D2552)</f>
        <v/>
      </c>
      <c r="E2552" s="9"/>
      <c r="F2552" s="9"/>
      <c r="G2552" s="7" t="str">
        <f aca="false">IF(A2552="","",IF(COUNTIF(Tabelas!$A:$A,IF(E2552="",A2552,E2552))&gt;0,"sim","não"))</f>
        <v/>
      </c>
      <c r="H2552" s="7" t="str">
        <f aca="false">IF(A2552="","",IF(E2552="",A2552,E2552)&amp;"."&amp;IF(F2552="",B2552,F2552))</f>
        <v/>
      </c>
      <c r="I2552" s="7" t="str">
        <f aca="false">IF(A2552="","",IFERROR(INDEX('Campos Growths'!$F:$F,MATCH(H2552,'Campos Growths'!$A:$A,0)),""))</f>
        <v/>
      </c>
      <c r="J2552" s="7" t="str">
        <f aca="false">IF(A2552="","",IFERROR(VLOOKUP(IF(ISNUMBER(SEARCH("(",C2552)),LEFT(C2552,SEARCH("(",C2552)-1),C2552),Tipos!$A:$B,2,FALSE()),"outro"))</f>
        <v/>
      </c>
      <c r="K2552" s="7" t="str">
        <f aca="false">IF(I2552="","",IFERROR(INDEX('Campos Growths'!$L:$L,MATCH(H2552,'Campos Growths'!$A:$A,0)),""))</f>
        <v/>
      </c>
      <c r="L2552" s="7" t="str">
        <f aca="false">IF(A2552="","",IF(G2552="não","Sem tabela no Growths",IF(I2552="","Sem campo no Growths",IF(J2552=K2552,"Importa direto","Ajustar tipo"))))</f>
        <v/>
      </c>
      <c r="M2552" s="9"/>
    </row>
    <row r="2553" customFormat="false" ht="15" hidden="false" customHeight="false" outlineLevel="0" collapsed="false">
      <c r="A2553" s="7" t="str">
        <f aca="false">IF('Outro banco'!A2553="","",IF(LEFT('Outro banco'!A2553,1)="(","",'Outro banco'!A2553))</f>
        <v/>
      </c>
      <c r="B2553" s="7" t="str">
        <f aca="false">IF(A2553="","",'Outro banco'!B2553)</f>
        <v/>
      </c>
      <c r="C2553" s="7" t="str">
        <f aca="false">IF(A2553="","",'Outro banco'!C2553)</f>
        <v/>
      </c>
      <c r="D2553" s="7" t="str">
        <f aca="false">IF(A2553="","",'Outro banco'!D2553)</f>
        <v/>
      </c>
      <c r="E2553" s="9"/>
      <c r="F2553" s="9"/>
      <c r="G2553" s="7" t="str">
        <f aca="false">IF(A2553="","",IF(COUNTIF(Tabelas!$A:$A,IF(E2553="",A2553,E2553))&gt;0,"sim","não"))</f>
        <v/>
      </c>
      <c r="H2553" s="7" t="str">
        <f aca="false">IF(A2553="","",IF(E2553="",A2553,E2553)&amp;"."&amp;IF(F2553="",B2553,F2553))</f>
        <v/>
      </c>
      <c r="I2553" s="7" t="str">
        <f aca="false">IF(A2553="","",IFERROR(INDEX('Campos Growths'!$F:$F,MATCH(H2553,'Campos Growths'!$A:$A,0)),""))</f>
        <v/>
      </c>
      <c r="J2553" s="7" t="str">
        <f aca="false">IF(A2553="","",IFERROR(VLOOKUP(IF(ISNUMBER(SEARCH("(",C2553)),LEFT(C2553,SEARCH("(",C2553)-1),C2553),Tipos!$A:$B,2,FALSE()),"outro"))</f>
        <v/>
      </c>
      <c r="K2553" s="7" t="str">
        <f aca="false">IF(I2553="","",IFERROR(INDEX('Campos Growths'!$L:$L,MATCH(H2553,'Campos Growths'!$A:$A,0)),""))</f>
        <v/>
      </c>
      <c r="L2553" s="7" t="str">
        <f aca="false">IF(A2553="","",IF(G2553="não","Sem tabela no Growths",IF(I2553="","Sem campo no Growths",IF(J2553=K2553,"Importa direto","Ajustar tipo"))))</f>
        <v/>
      </c>
      <c r="M2553" s="9"/>
    </row>
    <row r="2554" customFormat="false" ht="15" hidden="false" customHeight="false" outlineLevel="0" collapsed="false">
      <c r="A2554" s="7" t="str">
        <f aca="false">IF('Outro banco'!A2554="","",IF(LEFT('Outro banco'!A2554,1)="(","",'Outro banco'!A2554))</f>
        <v/>
      </c>
      <c r="B2554" s="7" t="str">
        <f aca="false">IF(A2554="","",'Outro banco'!B2554)</f>
        <v/>
      </c>
      <c r="C2554" s="7" t="str">
        <f aca="false">IF(A2554="","",'Outro banco'!C2554)</f>
        <v/>
      </c>
      <c r="D2554" s="7" t="str">
        <f aca="false">IF(A2554="","",'Outro banco'!D2554)</f>
        <v/>
      </c>
      <c r="E2554" s="9"/>
      <c r="F2554" s="9"/>
      <c r="G2554" s="7" t="str">
        <f aca="false">IF(A2554="","",IF(COUNTIF(Tabelas!$A:$A,IF(E2554="",A2554,E2554))&gt;0,"sim","não"))</f>
        <v/>
      </c>
      <c r="H2554" s="7" t="str">
        <f aca="false">IF(A2554="","",IF(E2554="",A2554,E2554)&amp;"."&amp;IF(F2554="",B2554,F2554))</f>
        <v/>
      </c>
      <c r="I2554" s="7" t="str">
        <f aca="false">IF(A2554="","",IFERROR(INDEX('Campos Growths'!$F:$F,MATCH(H2554,'Campos Growths'!$A:$A,0)),""))</f>
        <v/>
      </c>
      <c r="J2554" s="7" t="str">
        <f aca="false">IF(A2554="","",IFERROR(VLOOKUP(IF(ISNUMBER(SEARCH("(",C2554)),LEFT(C2554,SEARCH("(",C2554)-1),C2554),Tipos!$A:$B,2,FALSE()),"outro"))</f>
        <v/>
      </c>
      <c r="K2554" s="7" t="str">
        <f aca="false">IF(I2554="","",IFERROR(INDEX('Campos Growths'!$L:$L,MATCH(H2554,'Campos Growths'!$A:$A,0)),""))</f>
        <v/>
      </c>
      <c r="L2554" s="7" t="str">
        <f aca="false">IF(A2554="","",IF(G2554="não","Sem tabela no Growths",IF(I2554="","Sem campo no Growths",IF(J2554=K2554,"Importa direto","Ajustar tipo"))))</f>
        <v/>
      </c>
      <c r="M2554" s="9"/>
    </row>
    <row r="2555" customFormat="false" ht="15" hidden="false" customHeight="false" outlineLevel="0" collapsed="false">
      <c r="A2555" s="7" t="str">
        <f aca="false">IF('Outro banco'!A2555="","",IF(LEFT('Outro banco'!A2555,1)="(","",'Outro banco'!A2555))</f>
        <v/>
      </c>
      <c r="B2555" s="7" t="str">
        <f aca="false">IF(A2555="","",'Outro banco'!B2555)</f>
        <v/>
      </c>
      <c r="C2555" s="7" t="str">
        <f aca="false">IF(A2555="","",'Outro banco'!C2555)</f>
        <v/>
      </c>
      <c r="D2555" s="7" t="str">
        <f aca="false">IF(A2555="","",'Outro banco'!D2555)</f>
        <v/>
      </c>
      <c r="E2555" s="9"/>
      <c r="F2555" s="9"/>
      <c r="G2555" s="7" t="str">
        <f aca="false">IF(A2555="","",IF(COUNTIF(Tabelas!$A:$A,IF(E2555="",A2555,E2555))&gt;0,"sim","não"))</f>
        <v/>
      </c>
      <c r="H2555" s="7" t="str">
        <f aca="false">IF(A2555="","",IF(E2555="",A2555,E2555)&amp;"."&amp;IF(F2555="",B2555,F2555))</f>
        <v/>
      </c>
      <c r="I2555" s="7" t="str">
        <f aca="false">IF(A2555="","",IFERROR(INDEX('Campos Growths'!$F:$F,MATCH(H2555,'Campos Growths'!$A:$A,0)),""))</f>
        <v/>
      </c>
      <c r="J2555" s="7" t="str">
        <f aca="false">IF(A2555="","",IFERROR(VLOOKUP(IF(ISNUMBER(SEARCH("(",C2555)),LEFT(C2555,SEARCH("(",C2555)-1),C2555),Tipos!$A:$B,2,FALSE()),"outro"))</f>
        <v/>
      </c>
      <c r="K2555" s="7" t="str">
        <f aca="false">IF(I2555="","",IFERROR(INDEX('Campos Growths'!$L:$L,MATCH(H2555,'Campos Growths'!$A:$A,0)),""))</f>
        <v/>
      </c>
      <c r="L2555" s="7" t="str">
        <f aca="false">IF(A2555="","",IF(G2555="não","Sem tabela no Growths",IF(I2555="","Sem campo no Growths",IF(J2555=K2555,"Importa direto","Ajustar tipo"))))</f>
        <v/>
      </c>
      <c r="M2555" s="9"/>
    </row>
    <row r="2556" customFormat="false" ht="15" hidden="false" customHeight="false" outlineLevel="0" collapsed="false">
      <c r="A2556" s="7" t="str">
        <f aca="false">IF('Outro banco'!A2556="","",IF(LEFT('Outro banco'!A2556,1)="(","",'Outro banco'!A2556))</f>
        <v/>
      </c>
      <c r="B2556" s="7" t="str">
        <f aca="false">IF(A2556="","",'Outro banco'!B2556)</f>
        <v/>
      </c>
      <c r="C2556" s="7" t="str">
        <f aca="false">IF(A2556="","",'Outro banco'!C2556)</f>
        <v/>
      </c>
      <c r="D2556" s="7" t="str">
        <f aca="false">IF(A2556="","",'Outro banco'!D2556)</f>
        <v/>
      </c>
      <c r="E2556" s="9"/>
      <c r="F2556" s="9"/>
      <c r="G2556" s="7" t="str">
        <f aca="false">IF(A2556="","",IF(COUNTIF(Tabelas!$A:$A,IF(E2556="",A2556,E2556))&gt;0,"sim","não"))</f>
        <v/>
      </c>
      <c r="H2556" s="7" t="str">
        <f aca="false">IF(A2556="","",IF(E2556="",A2556,E2556)&amp;"."&amp;IF(F2556="",B2556,F2556))</f>
        <v/>
      </c>
      <c r="I2556" s="7" t="str">
        <f aca="false">IF(A2556="","",IFERROR(INDEX('Campos Growths'!$F:$F,MATCH(H2556,'Campos Growths'!$A:$A,0)),""))</f>
        <v/>
      </c>
      <c r="J2556" s="7" t="str">
        <f aca="false">IF(A2556="","",IFERROR(VLOOKUP(IF(ISNUMBER(SEARCH("(",C2556)),LEFT(C2556,SEARCH("(",C2556)-1),C2556),Tipos!$A:$B,2,FALSE()),"outro"))</f>
        <v/>
      </c>
      <c r="K2556" s="7" t="str">
        <f aca="false">IF(I2556="","",IFERROR(INDEX('Campos Growths'!$L:$L,MATCH(H2556,'Campos Growths'!$A:$A,0)),""))</f>
        <v/>
      </c>
      <c r="L2556" s="7" t="str">
        <f aca="false">IF(A2556="","",IF(G2556="não","Sem tabela no Growths",IF(I2556="","Sem campo no Growths",IF(J2556=K2556,"Importa direto","Ajustar tipo"))))</f>
        <v/>
      </c>
      <c r="M2556" s="9"/>
    </row>
    <row r="2557" customFormat="false" ht="15" hidden="false" customHeight="false" outlineLevel="0" collapsed="false">
      <c r="A2557" s="7" t="str">
        <f aca="false">IF('Outro banco'!A2557="","",IF(LEFT('Outro banco'!A2557,1)="(","",'Outro banco'!A2557))</f>
        <v/>
      </c>
      <c r="B2557" s="7" t="str">
        <f aca="false">IF(A2557="","",'Outro banco'!B2557)</f>
        <v/>
      </c>
      <c r="C2557" s="7" t="str">
        <f aca="false">IF(A2557="","",'Outro banco'!C2557)</f>
        <v/>
      </c>
      <c r="D2557" s="7" t="str">
        <f aca="false">IF(A2557="","",'Outro banco'!D2557)</f>
        <v/>
      </c>
      <c r="E2557" s="9"/>
      <c r="F2557" s="9"/>
      <c r="G2557" s="7" t="str">
        <f aca="false">IF(A2557="","",IF(COUNTIF(Tabelas!$A:$A,IF(E2557="",A2557,E2557))&gt;0,"sim","não"))</f>
        <v/>
      </c>
      <c r="H2557" s="7" t="str">
        <f aca="false">IF(A2557="","",IF(E2557="",A2557,E2557)&amp;"."&amp;IF(F2557="",B2557,F2557))</f>
        <v/>
      </c>
      <c r="I2557" s="7" t="str">
        <f aca="false">IF(A2557="","",IFERROR(INDEX('Campos Growths'!$F:$F,MATCH(H2557,'Campos Growths'!$A:$A,0)),""))</f>
        <v/>
      </c>
      <c r="J2557" s="7" t="str">
        <f aca="false">IF(A2557="","",IFERROR(VLOOKUP(IF(ISNUMBER(SEARCH("(",C2557)),LEFT(C2557,SEARCH("(",C2557)-1),C2557),Tipos!$A:$B,2,FALSE()),"outro"))</f>
        <v/>
      </c>
      <c r="K2557" s="7" t="str">
        <f aca="false">IF(I2557="","",IFERROR(INDEX('Campos Growths'!$L:$L,MATCH(H2557,'Campos Growths'!$A:$A,0)),""))</f>
        <v/>
      </c>
      <c r="L2557" s="7" t="str">
        <f aca="false">IF(A2557="","",IF(G2557="não","Sem tabela no Growths",IF(I2557="","Sem campo no Growths",IF(J2557=K2557,"Importa direto","Ajustar tipo"))))</f>
        <v/>
      </c>
      <c r="M2557" s="9"/>
    </row>
    <row r="2558" customFormat="false" ht="15" hidden="false" customHeight="false" outlineLevel="0" collapsed="false">
      <c r="A2558" s="7" t="str">
        <f aca="false">IF('Outro banco'!A2558="","",IF(LEFT('Outro banco'!A2558,1)="(","",'Outro banco'!A2558))</f>
        <v/>
      </c>
      <c r="B2558" s="7" t="str">
        <f aca="false">IF(A2558="","",'Outro banco'!B2558)</f>
        <v/>
      </c>
      <c r="C2558" s="7" t="str">
        <f aca="false">IF(A2558="","",'Outro banco'!C2558)</f>
        <v/>
      </c>
      <c r="D2558" s="7" t="str">
        <f aca="false">IF(A2558="","",'Outro banco'!D2558)</f>
        <v/>
      </c>
      <c r="E2558" s="9"/>
      <c r="F2558" s="9"/>
      <c r="G2558" s="7" t="str">
        <f aca="false">IF(A2558="","",IF(COUNTIF(Tabelas!$A:$A,IF(E2558="",A2558,E2558))&gt;0,"sim","não"))</f>
        <v/>
      </c>
      <c r="H2558" s="7" t="str">
        <f aca="false">IF(A2558="","",IF(E2558="",A2558,E2558)&amp;"."&amp;IF(F2558="",B2558,F2558))</f>
        <v/>
      </c>
      <c r="I2558" s="7" t="str">
        <f aca="false">IF(A2558="","",IFERROR(INDEX('Campos Growths'!$F:$F,MATCH(H2558,'Campos Growths'!$A:$A,0)),""))</f>
        <v/>
      </c>
      <c r="J2558" s="7" t="str">
        <f aca="false">IF(A2558="","",IFERROR(VLOOKUP(IF(ISNUMBER(SEARCH("(",C2558)),LEFT(C2558,SEARCH("(",C2558)-1),C2558),Tipos!$A:$B,2,FALSE()),"outro"))</f>
        <v/>
      </c>
      <c r="K2558" s="7" t="str">
        <f aca="false">IF(I2558="","",IFERROR(INDEX('Campos Growths'!$L:$L,MATCH(H2558,'Campos Growths'!$A:$A,0)),""))</f>
        <v/>
      </c>
      <c r="L2558" s="7" t="str">
        <f aca="false">IF(A2558="","",IF(G2558="não","Sem tabela no Growths",IF(I2558="","Sem campo no Growths",IF(J2558=K2558,"Importa direto","Ajustar tipo"))))</f>
        <v/>
      </c>
      <c r="M2558" s="9"/>
    </row>
    <row r="2559" customFormat="false" ht="15" hidden="false" customHeight="false" outlineLevel="0" collapsed="false">
      <c r="A2559" s="7" t="str">
        <f aca="false">IF('Outro banco'!A2559="","",IF(LEFT('Outro banco'!A2559,1)="(","",'Outro banco'!A2559))</f>
        <v/>
      </c>
      <c r="B2559" s="7" t="str">
        <f aca="false">IF(A2559="","",'Outro banco'!B2559)</f>
        <v/>
      </c>
      <c r="C2559" s="7" t="str">
        <f aca="false">IF(A2559="","",'Outro banco'!C2559)</f>
        <v/>
      </c>
      <c r="D2559" s="7" t="str">
        <f aca="false">IF(A2559="","",'Outro banco'!D2559)</f>
        <v/>
      </c>
      <c r="E2559" s="9"/>
      <c r="F2559" s="9"/>
      <c r="G2559" s="7" t="str">
        <f aca="false">IF(A2559="","",IF(COUNTIF(Tabelas!$A:$A,IF(E2559="",A2559,E2559))&gt;0,"sim","não"))</f>
        <v/>
      </c>
      <c r="H2559" s="7" t="str">
        <f aca="false">IF(A2559="","",IF(E2559="",A2559,E2559)&amp;"."&amp;IF(F2559="",B2559,F2559))</f>
        <v/>
      </c>
      <c r="I2559" s="7" t="str">
        <f aca="false">IF(A2559="","",IFERROR(INDEX('Campos Growths'!$F:$F,MATCH(H2559,'Campos Growths'!$A:$A,0)),""))</f>
        <v/>
      </c>
      <c r="J2559" s="7" t="str">
        <f aca="false">IF(A2559="","",IFERROR(VLOOKUP(IF(ISNUMBER(SEARCH("(",C2559)),LEFT(C2559,SEARCH("(",C2559)-1),C2559),Tipos!$A:$B,2,FALSE()),"outro"))</f>
        <v/>
      </c>
      <c r="K2559" s="7" t="str">
        <f aca="false">IF(I2559="","",IFERROR(INDEX('Campos Growths'!$L:$L,MATCH(H2559,'Campos Growths'!$A:$A,0)),""))</f>
        <v/>
      </c>
      <c r="L2559" s="7" t="str">
        <f aca="false">IF(A2559="","",IF(G2559="não","Sem tabela no Growths",IF(I2559="","Sem campo no Growths",IF(J2559=K2559,"Importa direto","Ajustar tipo"))))</f>
        <v/>
      </c>
      <c r="M2559" s="9"/>
    </row>
    <row r="2560" customFormat="false" ht="15" hidden="false" customHeight="false" outlineLevel="0" collapsed="false">
      <c r="A2560" s="7" t="str">
        <f aca="false">IF('Outro banco'!A2560="","",IF(LEFT('Outro banco'!A2560,1)="(","",'Outro banco'!A2560))</f>
        <v/>
      </c>
      <c r="B2560" s="7" t="str">
        <f aca="false">IF(A2560="","",'Outro banco'!B2560)</f>
        <v/>
      </c>
      <c r="C2560" s="7" t="str">
        <f aca="false">IF(A2560="","",'Outro banco'!C2560)</f>
        <v/>
      </c>
      <c r="D2560" s="7" t="str">
        <f aca="false">IF(A2560="","",'Outro banco'!D2560)</f>
        <v/>
      </c>
      <c r="E2560" s="9"/>
      <c r="F2560" s="9"/>
      <c r="G2560" s="7" t="str">
        <f aca="false">IF(A2560="","",IF(COUNTIF(Tabelas!$A:$A,IF(E2560="",A2560,E2560))&gt;0,"sim","não"))</f>
        <v/>
      </c>
      <c r="H2560" s="7" t="str">
        <f aca="false">IF(A2560="","",IF(E2560="",A2560,E2560)&amp;"."&amp;IF(F2560="",B2560,F2560))</f>
        <v/>
      </c>
      <c r="I2560" s="7" t="str">
        <f aca="false">IF(A2560="","",IFERROR(INDEX('Campos Growths'!$F:$F,MATCH(H2560,'Campos Growths'!$A:$A,0)),""))</f>
        <v/>
      </c>
      <c r="J2560" s="7" t="str">
        <f aca="false">IF(A2560="","",IFERROR(VLOOKUP(IF(ISNUMBER(SEARCH("(",C2560)),LEFT(C2560,SEARCH("(",C2560)-1),C2560),Tipos!$A:$B,2,FALSE()),"outro"))</f>
        <v/>
      </c>
      <c r="K2560" s="7" t="str">
        <f aca="false">IF(I2560="","",IFERROR(INDEX('Campos Growths'!$L:$L,MATCH(H2560,'Campos Growths'!$A:$A,0)),""))</f>
        <v/>
      </c>
      <c r="L2560" s="7" t="str">
        <f aca="false">IF(A2560="","",IF(G2560="não","Sem tabela no Growths",IF(I2560="","Sem campo no Growths",IF(J2560=K2560,"Importa direto","Ajustar tipo"))))</f>
        <v/>
      </c>
      <c r="M2560" s="9"/>
    </row>
    <row r="2561" customFormat="false" ht="15" hidden="false" customHeight="false" outlineLevel="0" collapsed="false">
      <c r="A2561" s="7" t="str">
        <f aca="false">IF('Outro banco'!A2561="","",IF(LEFT('Outro banco'!A2561,1)="(","",'Outro banco'!A2561))</f>
        <v/>
      </c>
      <c r="B2561" s="7" t="str">
        <f aca="false">IF(A2561="","",'Outro banco'!B2561)</f>
        <v/>
      </c>
      <c r="C2561" s="7" t="str">
        <f aca="false">IF(A2561="","",'Outro banco'!C2561)</f>
        <v/>
      </c>
      <c r="D2561" s="7" t="str">
        <f aca="false">IF(A2561="","",'Outro banco'!D2561)</f>
        <v/>
      </c>
      <c r="E2561" s="9"/>
      <c r="F2561" s="9"/>
      <c r="G2561" s="7" t="str">
        <f aca="false">IF(A2561="","",IF(COUNTIF(Tabelas!$A:$A,IF(E2561="",A2561,E2561))&gt;0,"sim","não"))</f>
        <v/>
      </c>
      <c r="H2561" s="7" t="str">
        <f aca="false">IF(A2561="","",IF(E2561="",A2561,E2561)&amp;"."&amp;IF(F2561="",B2561,F2561))</f>
        <v/>
      </c>
      <c r="I2561" s="7" t="str">
        <f aca="false">IF(A2561="","",IFERROR(INDEX('Campos Growths'!$F:$F,MATCH(H2561,'Campos Growths'!$A:$A,0)),""))</f>
        <v/>
      </c>
      <c r="J2561" s="7" t="str">
        <f aca="false">IF(A2561="","",IFERROR(VLOOKUP(IF(ISNUMBER(SEARCH("(",C2561)),LEFT(C2561,SEARCH("(",C2561)-1),C2561),Tipos!$A:$B,2,FALSE()),"outro"))</f>
        <v/>
      </c>
      <c r="K2561" s="7" t="str">
        <f aca="false">IF(I2561="","",IFERROR(INDEX('Campos Growths'!$L:$L,MATCH(H2561,'Campos Growths'!$A:$A,0)),""))</f>
        <v/>
      </c>
      <c r="L2561" s="7" t="str">
        <f aca="false">IF(A2561="","",IF(G2561="não","Sem tabela no Growths",IF(I2561="","Sem campo no Growths",IF(J2561=K2561,"Importa direto","Ajustar tipo"))))</f>
        <v/>
      </c>
      <c r="M2561" s="9"/>
    </row>
    <row r="2562" customFormat="false" ht="15" hidden="false" customHeight="false" outlineLevel="0" collapsed="false">
      <c r="A2562" s="7" t="str">
        <f aca="false">IF('Outro banco'!A2562="","",IF(LEFT('Outro banco'!A2562,1)="(","",'Outro banco'!A2562))</f>
        <v/>
      </c>
      <c r="B2562" s="7" t="str">
        <f aca="false">IF(A2562="","",'Outro banco'!B2562)</f>
        <v/>
      </c>
      <c r="C2562" s="7" t="str">
        <f aca="false">IF(A2562="","",'Outro banco'!C2562)</f>
        <v/>
      </c>
      <c r="D2562" s="7" t="str">
        <f aca="false">IF(A2562="","",'Outro banco'!D2562)</f>
        <v/>
      </c>
      <c r="E2562" s="9"/>
      <c r="F2562" s="9"/>
      <c r="G2562" s="7" t="str">
        <f aca="false">IF(A2562="","",IF(COUNTIF(Tabelas!$A:$A,IF(E2562="",A2562,E2562))&gt;0,"sim","não"))</f>
        <v/>
      </c>
      <c r="H2562" s="7" t="str">
        <f aca="false">IF(A2562="","",IF(E2562="",A2562,E2562)&amp;"."&amp;IF(F2562="",B2562,F2562))</f>
        <v/>
      </c>
      <c r="I2562" s="7" t="str">
        <f aca="false">IF(A2562="","",IFERROR(INDEX('Campos Growths'!$F:$F,MATCH(H2562,'Campos Growths'!$A:$A,0)),""))</f>
        <v/>
      </c>
      <c r="J2562" s="7" t="str">
        <f aca="false">IF(A2562="","",IFERROR(VLOOKUP(IF(ISNUMBER(SEARCH("(",C2562)),LEFT(C2562,SEARCH("(",C2562)-1),C2562),Tipos!$A:$B,2,FALSE()),"outro"))</f>
        <v/>
      </c>
      <c r="K2562" s="7" t="str">
        <f aca="false">IF(I2562="","",IFERROR(INDEX('Campos Growths'!$L:$L,MATCH(H2562,'Campos Growths'!$A:$A,0)),""))</f>
        <v/>
      </c>
      <c r="L2562" s="7" t="str">
        <f aca="false">IF(A2562="","",IF(G2562="não","Sem tabela no Growths",IF(I2562="","Sem campo no Growths",IF(J2562=K2562,"Importa direto","Ajustar tipo"))))</f>
        <v/>
      </c>
      <c r="M2562" s="9"/>
    </row>
    <row r="2563" customFormat="false" ht="15" hidden="false" customHeight="false" outlineLevel="0" collapsed="false">
      <c r="A2563" s="7" t="str">
        <f aca="false">IF('Outro banco'!A2563="","",IF(LEFT('Outro banco'!A2563,1)="(","",'Outro banco'!A2563))</f>
        <v/>
      </c>
      <c r="B2563" s="7" t="str">
        <f aca="false">IF(A2563="","",'Outro banco'!B2563)</f>
        <v/>
      </c>
      <c r="C2563" s="7" t="str">
        <f aca="false">IF(A2563="","",'Outro banco'!C2563)</f>
        <v/>
      </c>
      <c r="D2563" s="7" t="str">
        <f aca="false">IF(A2563="","",'Outro banco'!D2563)</f>
        <v/>
      </c>
      <c r="E2563" s="9"/>
      <c r="F2563" s="9"/>
      <c r="G2563" s="7" t="str">
        <f aca="false">IF(A2563="","",IF(COUNTIF(Tabelas!$A:$A,IF(E2563="",A2563,E2563))&gt;0,"sim","não"))</f>
        <v/>
      </c>
      <c r="H2563" s="7" t="str">
        <f aca="false">IF(A2563="","",IF(E2563="",A2563,E2563)&amp;"."&amp;IF(F2563="",B2563,F2563))</f>
        <v/>
      </c>
      <c r="I2563" s="7" t="str">
        <f aca="false">IF(A2563="","",IFERROR(INDEX('Campos Growths'!$F:$F,MATCH(H2563,'Campos Growths'!$A:$A,0)),""))</f>
        <v/>
      </c>
      <c r="J2563" s="7" t="str">
        <f aca="false">IF(A2563="","",IFERROR(VLOOKUP(IF(ISNUMBER(SEARCH("(",C2563)),LEFT(C2563,SEARCH("(",C2563)-1),C2563),Tipos!$A:$B,2,FALSE()),"outro"))</f>
        <v/>
      </c>
      <c r="K2563" s="7" t="str">
        <f aca="false">IF(I2563="","",IFERROR(INDEX('Campos Growths'!$L:$L,MATCH(H2563,'Campos Growths'!$A:$A,0)),""))</f>
        <v/>
      </c>
      <c r="L2563" s="7" t="str">
        <f aca="false">IF(A2563="","",IF(G2563="não","Sem tabela no Growths",IF(I2563="","Sem campo no Growths",IF(J2563=K2563,"Importa direto","Ajustar tipo"))))</f>
        <v/>
      </c>
      <c r="M2563" s="9"/>
    </row>
    <row r="2564" customFormat="false" ht="15" hidden="false" customHeight="false" outlineLevel="0" collapsed="false">
      <c r="A2564" s="7" t="str">
        <f aca="false">IF('Outro banco'!A2564="","",IF(LEFT('Outro banco'!A2564,1)="(","",'Outro banco'!A2564))</f>
        <v/>
      </c>
      <c r="B2564" s="7" t="str">
        <f aca="false">IF(A2564="","",'Outro banco'!B2564)</f>
        <v/>
      </c>
      <c r="C2564" s="7" t="str">
        <f aca="false">IF(A2564="","",'Outro banco'!C2564)</f>
        <v/>
      </c>
      <c r="D2564" s="7" t="str">
        <f aca="false">IF(A2564="","",'Outro banco'!D2564)</f>
        <v/>
      </c>
      <c r="E2564" s="9"/>
      <c r="F2564" s="9"/>
      <c r="G2564" s="7" t="str">
        <f aca="false">IF(A2564="","",IF(COUNTIF(Tabelas!$A:$A,IF(E2564="",A2564,E2564))&gt;0,"sim","não"))</f>
        <v/>
      </c>
      <c r="H2564" s="7" t="str">
        <f aca="false">IF(A2564="","",IF(E2564="",A2564,E2564)&amp;"."&amp;IF(F2564="",B2564,F2564))</f>
        <v/>
      </c>
      <c r="I2564" s="7" t="str">
        <f aca="false">IF(A2564="","",IFERROR(INDEX('Campos Growths'!$F:$F,MATCH(H2564,'Campos Growths'!$A:$A,0)),""))</f>
        <v/>
      </c>
      <c r="J2564" s="7" t="str">
        <f aca="false">IF(A2564="","",IFERROR(VLOOKUP(IF(ISNUMBER(SEARCH("(",C2564)),LEFT(C2564,SEARCH("(",C2564)-1),C2564),Tipos!$A:$B,2,FALSE()),"outro"))</f>
        <v/>
      </c>
      <c r="K2564" s="7" t="str">
        <f aca="false">IF(I2564="","",IFERROR(INDEX('Campos Growths'!$L:$L,MATCH(H2564,'Campos Growths'!$A:$A,0)),""))</f>
        <v/>
      </c>
      <c r="L2564" s="7" t="str">
        <f aca="false">IF(A2564="","",IF(G2564="não","Sem tabela no Growths",IF(I2564="","Sem campo no Growths",IF(J2564=K2564,"Importa direto","Ajustar tipo"))))</f>
        <v/>
      </c>
      <c r="M2564" s="9"/>
    </row>
    <row r="2565" customFormat="false" ht="15" hidden="false" customHeight="false" outlineLevel="0" collapsed="false">
      <c r="A2565" s="7" t="str">
        <f aca="false">IF('Outro banco'!A2565="","",IF(LEFT('Outro banco'!A2565,1)="(","",'Outro banco'!A2565))</f>
        <v/>
      </c>
      <c r="B2565" s="7" t="str">
        <f aca="false">IF(A2565="","",'Outro banco'!B2565)</f>
        <v/>
      </c>
      <c r="C2565" s="7" t="str">
        <f aca="false">IF(A2565="","",'Outro banco'!C2565)</f>
        <v/>
      </c>
      <c r="D2565" s="7" t="str">
        <f aca="false">IF(A2565="","",'Outro banco'!D2565)</f>
        <v/>
      </c>
      <c r="E2565" s="9"/>
      <c r="F2565" s="9"/>
      <c r="G2565" s="7" t="str">
        <f aca="false">IF(A2565="","",IF(COUNTIF(Tabelas!$A:$A,IF(E2565="",A2565,E2565))&gt;0,"sim","não"))</f>
        <v/>
      </c>
      <c r="H2565" s="7" t="str">
        <f aca="false">IF(A2565="","",IF(E2565="",A2565,E2565)&amp;"."&amp;IF(F2565="",B2565,F2565))</f>
        <v/>
      </c>
      <c r="I2565" s="7" t="str">
        <f aca="false">IF(A2565="","",IFERROR(INDEX('Campos Growths'!$F:$F,MATCH(H2565,'Campos Growths'!$A:$A,0)),""))</f>
        <v/>
      </c>
      <c r="J2565" s="7" t="str">
        <f aca="false">IF(A2565="","",IFERROR(VLOOKUP(IF(ISNUMBER(SEARCH("(",C2565)),LEFT(C2565,SEARCH("(",C2565)-1),C2565),Tipos!$A:$B,2,FALSE()),"outro"))</f>
        <v/>
      </c>
      <c r="K2565" s="7" t="str">
        <f aca="false">IF(I2565="","",IFERROR(INDEX('Campos Growths'!$L:$L,MATCH(H2565,'Campos Growths'!$A:$A,0)),""))</f>
        <v/>
      </c>
      <c r="L2565" s="7" t="str">
        <f aca="false">IF(A2565="","",IF(G2565="não","Sem tabela no Growths",IF(I2565="","Sem campo no Growths",IF(J2565=K2565,"Importa direto","Ajustar tipo"))))</f>
        <v/>
      </c>
      <c r="M2565" s="9"/>
    </row>
    <row r="2566" customFormat="false" ht="15" hidden="false" customHeight="false" outlineLevel="0" collapsed="false">
      <c r="A2566" s="7" t="str">
        <f aca="false">IF('Outro banco'!A2566="","",IF(LEFT('Outro banco'!A2566,1)="(","",'Outro banco'!A2566))</f>
        <v/>
      </c>
      <c r="B2566" s="7" t="str">
        <f aca="false">IF(A2566="","",'Outro banco'!B2566)</f>
        <v/>
      </c>
      <c r="C2566" s="7" t="str">
        <f aca="false">IF(A2566="","",'Outro banco'!C2566)</f>
        <v/>
      </c>
      <c r="D2566" s="7" t="str">
        <f aca="false">IF(A2566="","",'Outro banco'!D2566)</f>
        <v/>
      </c>
      <c r="E2566" s="9"/>
      <c r="F2566" s="9"/>
      <c r="G2566" s="7" t="str">
        <f aca="false">IF(A2566="","",IF(COUNTIF(Tabelas!$A:$A,IF(E2566="",A2566,E2566))&gt;0,"sim","não"))</f>
        <v/>
      </c>
      <c r="H2566" s="7" t="str">
        <f aca="false">IF(A2566="","",IF(E2566="",A2566,E2566)&amp;"."&amp;IF(F2566="",B2566,F2566))</f>
        <v/>
      </c>
      <c r="I2566" s="7" t="str">
        <f aca="false">IF(A2566="","",IFERROR(INDEX('Campos Growths'!$F:$F,MATCH(H2566,'Campos Growths'!$A:$A,0)),""))</f>
        <v/>
      </c>
      <c r="J2566" s="7" t="str">
        <f aca="false">IF(A2566="","",IFERROR(VLOOKUP(IF(ISNUMBER(SEARCH("(",C2566)),LEFT(C2566,SEARCH("(",C2566)-1),C2566),Tipos!$A:$B,2,FALSE()),"outro"))</f>
        <v/>
      </c>
      <c r="K2566" s="7" t="str">
        <f aca="false">IF(I2566="","",IFERROR(INDEX('Campos Growths'!$L:$L,MATCH(H2566,'Campos Growths'!$A:$A,0)),""))</f>
        <v/>
      </c>
      <c r="L2566" s="7" t="str">
        <f aca="false">IF(A2566="","",IF(G2566="não","Sem tabela no Growths",IF(I2566="","Sem campo no Growths",IF(J2566=K2566,"Importa direto","Ajustar tipo"))))</f>
        <v/>
      </c>
      <c r="M2566" s="9"/>
    </row>
    <row r="2567" customFormat="false" ht="15" hidden="false" customHeight="false" outlineLevel="0" collapsed="false">
      <c r="A2567" s="7" t="str">
        <f aca="false">IF('Outro banco'!A2567="","",IF(LEFT('Outro banco'!A2567,1)="(","",'Outro banco'!A2567))</f>
        <v/>
      </c>
      <c r="B2567" s="7" t="str">
        <f aca="false">IF(A2567="","",'Outro banco'!B2567)</f>
        <v/>
      </c>
      <c r="C2567" s="7" t="str">
        <f aca="false">IF(A2567="","",'Outro banco'!C2567)</f>
        <v/>
      </c>
      <c r="D2567" s="7" t="str">
        <f aca="false">IF(A2567="","",'Outro banco'!D2567)</f>
        <v/>
      </c>
      <c r="E2567" s="9"/>
      <c r="F2567" s="9"/>
      <c r="G2567" s="7" t="str">
        <f aca="false">IF(A2567="","",IF(COUNTIF(Tabelas!$A:$A,IF(E2567="",A2567,E2567))&gt;0,"sim","não"))</f>
        <v/>
      </c>
      <c r="H2567" s="7" t="str">
        <f aca="false">IF(A2567="","",IF(E2567="",A2567,E2567)&amp;"."&amp;IF(F2567="",B2567,F2567))</f>
        <v/>
      </c>
      <c r="I2567" s="7" t="str">
        <f aca="false">IF(A2567="","",IFERROR(INDEX('Campos Growths'!$F:$F,MATCH(H2567,'Campos Growths'!$A:$A,0)),""))</f>
        <v/>
      </c>
      <c r="J2567" s="7" t="str">
        <f aca="false">IF(A2567="","",IFERROR(VLOOKUP(IF(ISNUMBER(SEARCH("(",C2567)),LEFT(C2567,SEARCH("(",C2567)-1),C2567),Tipos!$A:$B,2,FALSE()),"outro"))</f>
        <v/>
      </c>
      <c r="K2567" s="7" t="str">
        <f aca="false">IF(I2567="","",IFERROR(INDEX('Campos Growths'!$L:$L,MATCH(H2567,'Campos Growths'!$A:$A,0)),""))</f>
        <v/>
      </c>
      <c r="L2567" s="7" t="str">
        <f aca="false">IF(A2567="","",IF(G2567="não","Sem tabela no Growths",IF(I2567="","Sem campo no Growths",IF(J2567=K2567,"Importa direto","Ajustar tipo"))))</f>
        <v/>
      </c>
      <c r="M2567" s="9"/>
    </row>
    <row r="2568" customFormat="false" ht="15" hidden="false" customHeight="false" outlineLevel="0" collapsed="false">
      <c r="A2568" s="7" t="str">
        <f aca="false">IF('Outro banco'!A2568="","",IF(LEFT('Outro banco'!A2568,1)="(","",'Outro banco'!A2568))</f>
        <v/>
      </c>
      <c r="B2568" s="7" t="str">
        <f aca="false">IF(A2568="","",'Outro banco'!B2568)</f>
        <v/>
      </c>
      <c r="C2568" s="7" t="str">
        <f aca="false">IF(A2568="","",'Outro banco'!C2568)</f>
        <v/>
      </c>
      <c r="D2568" s="7" t="str">
        <f aca="false">IF(A2568="","",'Outro banco'!D2568)</f>
        <v/>
      </c>
      <c r="E2568" s="9"/>
      <c r="F2568" s="9"/>
      <c r="G2568" s="7" t="str">
        <f aca="false">IF(A2568="","",IF(COUNTIF(Tabelas!$A:$A,IF(E2568="",A2568,E2568))&gt;0,"sim","não"))</f>
        <v/>
      </c>
      <c r="H2568" s="7" t="str">
        <f aca="false">IF(A2568="","",IF(E2568="",A2568,E2568)&amp;"."&amp;IF(F2568="",B2568,F2568))</f>
        <v/>
      </c>
      <c r="I2568" s="7" t="str">
        <f aca="false">IF(A2568="","",IFERROR(INDEX('Campos Growths'!$F:$F,MATCH(H2568,'Campos Growths'!$A:$A,0)),""))</f>
        <v/>
      </c>
      <c r="J2568" s="7" t="str">
        <f aca="false">IF(A2568="","",IFERROR(VLOOKUP(IF(ISNUMBER(SEARCH("(",C2568)),LEFT(C2568,SEARCH("(",C2568)-1),C2568),Tipos!$A:$B,2,FALSE()),"outro"))</f>
        <v/>
      </c>
      <c r="K2568" s="7" t="str">
        <f aca="false">IF(I2568="","",IFERROR(INDEX('Campos Growths'!$L:$L,MATCH(H2568,'Campos Growths'!$A:$A,0)),""))</f>
        <v/>
      </c>
      <c r="L2568" s="7" t="str">
        <f aca="false">IF(A2568="","",IF(G2568="não","Sem tabela no Growths",IF(I2568="","Sem campo no Growths",IF(J2568=K2568,"Importa direto","Ajustar tipo"))))</f>
        <v/>
      </c>
      <c r="M2568" s="9"/>
    </row>
    <row r="2569" customFormat="false" ht="15" hidden="false" customHeight="false" outlineLevel="0" collapsed="false">
      <c r="A2569" s="7" t="str">
        <f aca="false">IF('Outro banco'!A2569="","",IF(LEFT('Outro banco'!A2569,1)="(","",'Outro banco'!A2569))</f>
        <v/>
      </c>
      <c r="B2569" s="7" t="str">
        <f aca="false">IF(A2569="","",'Outro banco'!B2569)</f>
        <v/>
      </c>
      <c r="C2569" s="7" t="str">
        <f aca="false">IF(A2569="","",'Outro banco'!C2569)</f>
        <v/>
      </c>
      <c r="D2569" s="7" t="str">
        <f aca="false">IF(A2569="","",'Outro banco'!D2569)</f>
        <v/>
      </c>
      <c r="E2569" s="9"/>
      <c r="F2569" s="9"/>
      <c r="G2569" s="7" t="str">
        <f aca="false">IF(A2569="","",IF(COUNTIF(Tabelas!$A:$A,IF(E2569="",A2569,E2569))&gt;0,"sim","não"))</f>
        <v/>
      </c>
      <c r="H2569" s="7" t="str">
        <f aca="false">IF(A2569="","",IF(E2569="",A2569,E2569)&amp;"."&amp;IF(F2569="",B2569,F2569))</f>
        <v/>
      </c>
      <c r="I2569" s="7" t="str">
        <f aca="false">IF(A2569="","",IFERROR(INDEX('Campos Growths'!$F:$F,MATCH(H2569,'Campos Growths'!$A:$A,0)),""))</f>
        <v/>
      </c>
      <c r="J2569" s="7" t="str">
        <f aca="false">IF(A2569="","",IFERROR(VLOOKUP(IF(ISNUMBER(SEARCH("(",C2569)),LEFT(C2569,SEARCH("(",C2569)-1),C2569),Tipos!$A:$B,2,FALSE()),"outro"))</f>
        <v/>
      </c>
      <c r="K2569" s="7" t="str">
        <f aca="false">IF(I2569="","",IFERROR(INDEX('Campos Growths'!$L:$L,MATCH(H2569,'Campos Growths'!$A:$A,0)),""))</f>
        <v/>
      </c>
      <c r="L2569" s="7" t="str">
        <f aca="false">IF(A2569="","",IF(G2569="não","Sem tabela no Growths",IF(I2569="","Sem campo no Growths",IF(J2569=K2569,"Importa direto","Ajustar tipo"))))</f>
        <v/>
      </c>
      <c r="M2569" s="9"/>
    </row>
    <row r="2570" customFormat="false" ht="15" hidden="false" customHeight="false" outlineLevel="0" collapsed="false">
      <c r="A2570" s="7" t="str">
        <f aca="false">IF('Outro banco'!A2570="","",IF(LEFT('Outro banco'!A2570,1)="(","",'Outro banco'!A2570))</f>
        <v/>
      </c>
      <c r="B2570" s="7" t="str">
        <f aca="false">IF(A2570="","",'Outro banco'!B2570)</f>
        <v/>
      </c>
      <c r="C2570" s="7" t="str">
        <f aca="false">IF(A2570="","",'Outro banco'!C2570)</f>
        <v/>
      </c>
      <c r="D2570" s="7" t="str">
        <f aca="false">IF(A2570="","",'Outro banco'!D2570)</f>
        <v/>
      </c>
      <c r="E2570" s="9"/>
      <c r="F2570" s="9"/>
      <c r="G2570" s="7" t="str">
        <f aca="false">IF(A2570="","",IF(COUNTIF(Tabelas!$A:$A,IF(E2570="",A2570,E2570))&gt;0,"sim","não"))</f>
        <v/>
      </c>
      <c r="H2570" s="7" t="str">
        <f aca="false">IF(A2570="","",IF(E2570="",A2570,E2570)&amp;"."&amp;IF(F2570="",B2570,F2570))</f>
        <v/>
      </c>
      <c r="I2570" s="7" t="str">
        <f aca="false">IF(A2570="","",IFERROR(INDEX('Campos Growths'!$F:$F,MATCH(H2570,'Campos Growths'!$A:$A,0)),""))</f>
        <v/>
      </c>
      <c r="J2570" s="7" t="str">
        <f aca="false">IF(A2570="","",IFERROR(VLOOKUP(IF(ISNUMBER(SEARCH("(",C2570)),LEFT(C2570,SEARCH("(",C2570)-1),C2570),Tipos!$A:$B,2,FALSE()),"outro"))</f>
        <v/>
      </c>
      <c r="K2570" s="7" t="str">
        <f aca="false">IF(I2570="","",IFERROR(INDEX('Campos Growths'!$L:$L,MATCH(H2570,'Campos Growths'!$A:$A,0)),""))</f>
        <v/>
      </c>
      <c r="L2570" s="7" t="str">
        <f aca="false">IF(A2570="","",IF(G2570="não","Sem tabela no Growths",IF(I2570="","Sem campo no Growths",IF(J2570=K2570,"Importa direto","Ajustar tipo"))))</f>
        <v/>
      </c>
      <c r="M2570" s="9"/>
    </row>
    <row r="2571" customFormat="false" ht="15" hidden="false" customHeight="false" outlineLevel="0" collapsed="false">
      <c r="A2571" s="7" t="str">
        <f aca="false">IF('Outro banco'!A2571="","",IF(LEFT('Outro banco'!A2571,1)="(","",'Outro banco'!A2571))</f>
        <v/>
      </c>
      <c r="B2571" s="7" t="str">
        <f aca="false">IF(A2571="","",'Outro banco'!B2571)</f>
        <v/>
      </c>
      <c r="C2571" s="7" t="str">
        <f aca="false">IF(A2571="","",'Outro banco'!C2571)</f>
        <v/>
      </c>
      <c r="D2571" s="7" t="str">
        <f aca="false">IF(A2571="","",'Outro banco'!D2571)</f>
        <v/>
      </c>
      <c r="E2571" s="9"/>
      <c r="F2571" s="9"/>
      <c r="G2571" s="7" t="str">
        <f aca="false">IF(A2571="","",IF(COUNTIF(Tabelas!$A:$A,IF(E2571="",A2571,E2571))&gt;0,"sim","não"))</f>
        <v/>
      </c>
      <c r="H2571" s="7" t="str">
        <f aca="false">IF(A2571="","",IF(E2571="",A2571,E2571)&amp;"."&amp;IF(F2571="",B2571,F2571))</f>
        <v/>
      </c>
      <c r="I2571" s="7" t="str">
        <f aca="false">IF(A2571="","",IFERROR(INDEX('Campos Growths'!$F:$F,MATCH(H2571,'Campos Growths'!$A:$A,0)),""))</f>
        <v/>
      </c>
      <c r="J2571" s="7" t="str">
        <f aca="false">IF(A2571="","",IFERROR(VLOOKUP(IF(ISNUMBER(SEARCH("(",C2571)),LEFT(C2571,SEARCH("(",C2571)-1),C2571),Tipos!$A:$B,2,FALSE()),"outro"))</f>
        <v/>
      </c>
      <c r="K2571" s="7" t="str">
        <f aca="false">IF(I2571="","",IFERROR(INDEX('Campos Growths'!$L:$L,MATCH(H2571,'Campos Growths'!$A:$A,0)),""))</f>
        <v/>
      </c>
      <c r="L2571" s="7" t="str">
        <f aca="false">IF(A2571="","",IF(G2571="não","Sem tabela no Growths",IF(I2571="","Sem campo no Growths",IF(J2571=K2571,"Importa direto","Ajustar tipo"))))</f>
        <v/>
      </c>
      <c r="M2571" s="9"/>
    </row>
    <row r="2572" customFormat="false" ht="15" hidden="false" customHeight="false" outlineLevel="0" collapsed="false">
      <c r="A2572" s="7" t="str">
        <f aca="false">IF('Outro banco'!A2572="","",IF(LEFT('Outro banco'!A2572,1)="(","",'Outro banco'!A2572))</f>
        <v/>
      </c>
      <c r="B2572" s="7" t="str">
        <f aca="false">IF(A2572="","",'Outro banco'!B2572)</f>
        <v/>
      </c>
      <c r="C2572" s="7" t="str">
        <f aca="false">IF(A2572="","",'Outro banco'!C2572)</f>
        <v/>
      </c>
      <c r="D2572" s="7" t="str">
        <f aca="false">IF(A2572="","",'Outro banco'!D2572)</f>
        <v/>
      </c>
      <c r="E2572" s="9"/>
      <c r="F2572" s="9"/>
      <c r="G2572" s="7" t="str">
        <f aca="false">IF(A2572="","",IF(COUNTIF(Tabelas!$A:$A,IF(E2572="",A2572,E2572))&gt;0,"sim","não"))</f>
        <v/>
      </c>
      <c r="H2572" s="7" t="str">
        <f aca="false">IF(A2572="","",IF(E2572="",A2572,E2572)&amp;"."&amp;IF(F2572="",B2572,F2572))</f>
        <v/>
      </c>
      <c r="I2572" s="7" t="str">
        <f aca="false">IF(A2572="","",IFERROR(INDEX('Campos Growths'!$F:$F,MATCH(H2572,'Campos Growths'!$A:$A,0)),""))</f>
        <v/>
      </c>
      <c r="J2572" s="7" t="str">
        <f aca="false">IF(A2572="","",IFERROR(VLOOKUP(IF(ISNUMBER(SEARCH("(",C2572)),LEFT(C2572,SEARCH("(",C2572)-1),C2572),Tipos!$A:$B,2,FALSE()),"outro"))</f>
        <v/>
      </c>
      <c r="K2572" s="7" t="str">
        <f aca="false">IF(I2572="","",IFERROR(INDEX('Campos Growths'!$L:$L,MATCH(H2572,'Campos Growths'!$A:$A,0)),""))</f>
        <v/>
      </c>
      <c r="L2572" s="7" t="str">
        <f aca="false">IF(A2572="","",IF(G2572="não","Sem tabela no Growths",IF(I2572="","Sem campo no Growths",IF(J2572=K2572,"Importa direto","Ajustar tipo"))))</f>
        <v/>
      </c>
      <c r="M2572" s="9"/>
    </row>
    <row r="2573" customFormat="false" ht="15" hidden="false" customHeight="false" outlineLevel="0" collapsed="false">
      <c r="A2573" s="7" t="str">
        <f aca="false">IF('Outro banco'!A2573="","",IF(LEFT('Outro banco'!A2573,1)="(","",'Outro banco'!A2573))</f>
        <v/>
      </c>
      <c r="B2573" s="7" t="str">
        <f aca="false">IF(A2573="","",'Outro banco'!B2573)</f>
        <v/>
      </c>
      <c r="C2573" s="7" t="str">
        <f aca="false">IF(A2573="","",'Outro banco'!C2573)</f>
        <v/>
      </c>
      <c r="D2573" s="7" t="str">
        <f aca="false">IF(A2573="","",'Outro banco'!D2573)</f>
        <v/>
      </c>
      <c r="E2573" s="9"/>
      <c r="F2573" s="9"/>
      <c r="G2573" s="7" t="str">
        <f aca="false">IF(A2573="","",IF(COUNTIF(Tabelas!$A:$A,IF(E2573="",A2573,E2573))&gt;0,"sim","não"))</f>
        <v/>
      </c>
      <c r="H2573" s="7" t="str">
        <f aca="false">IF(A2573="","",IF(E2573="",A2573,E2573)&amp;"."&amp;IF(F2573="",B2573,F2573))</f>
        <v/>
      </c>
      <c r="I2573" s="7" t="str">
        <f aca="false">IF(A2573="","",IFERROR(INDEX('Campos Growths'!$F:$F,MATCH(H2573,'Campos Growths'!$A:$A,0)),""))</f>
        <v/>
      </c>
      <c r="J2573" s="7" t="str">
        <f aca="false">IF(A2573="","",IFERROR(VLOOKUP(IF(ISNUMBER(SEARCH("(",C2573)),LEFT(C2573,SEARCH("(",C2573)-1),C2573),Tipos!$A:$B,2,FALSE()),"outro"))</f>
        <v/>
      </c>
      <c r="K2573" s="7" t="str">
        <f aca="false">IF(I2573="","",IFERROR(INDEX('Campos Growths'!$L:$L,MATCH(H2573,'Campos Growths'!$A:$A,0)),""))</f>
        <v/>
      </c>
      <c r="L2573" s="7" t="str">
        <f aca="false">IF(A2573="","",IF(G2573="não","Sem tabela no Growths",IF(I2573="","Sem campo no Growths",IF(J2573=K2573,"Importa direto","Ajustar tipo"))))</f>
        <v/>
      </c>
      <c r="M2573" s="9"/>
    </row>
    <row r="2574" customFormat="false" ht="15" hidden="false" customHeight="false" outlineLevel="0" collapsed="false">
      <c r="A2574" s="7" t="str">
        <f aca="false">IF('Outro banco'!A2574="","",IF(LEFT('Outro banco'!A2574,1)="(","",'Outro banco'!A2574))</f>
        <v/>
      </c>
      <c r="B2574" s="7" t="str">
        <f aca="false">IF(A2574="","",'Outro banco'!B2574)</f>
        <v/>
      </c>
      <c r="C2574" s="7" t="str">
        <f aca="false">IF(A2574="","",'Outro banco'!C2574)</f>
        <v/>
      </c>
      <c r="D2574" s="7" t="str">
        <f aca="false">IF(A2574="","",'Outro banco'!D2574)</f>
        <v/>
      </c>
      <c r="E2574" s="9"/>
      <c r="F2574" s="9"/>
      <c r="G2574" s="7" t="str">
        <f aca="false">IF(A2574="","",IF(COUNTIF(Tabelas!$A:$A,IF(E2574="",A2574,E2574))&gt;0,"sim","não"))</f>
        <v/>
      </c>
      <c r="H2574" s="7" t="str">
        <f aca="false">IF(A2574="","",IF(E2574="",A2574,E2574)&amp;"."&amp;IF(F2574="",B2574,F2574))</f>
        <v/>
      </c>
      <c r="I2574" s="7" t="str">
        <f aca="false">IF(A2574="","",IFERROR(INDEX('Campos Growths'!$F:$F,MATCH(H2574,'Campos Growths'!$A:$A,0)),""))</f>
        <v/>
      </c>
      <c r="J2574" s="7" t="str">
        <f aca="false">IF(A2574="","",IFERROR(VLOOKUP(IF(ISNUMBER(SEARCH("(",C2574)),LEFT(C2574,SEARCH("(",C2574)-1),C2574),Tipos!$A:$B,2,FALSE()),"outro"))</f>
        <v/>
      </c>
      <c r="K2574" s="7" t="str">
        <f aca="false">IF(I2574="","",IFERROR(INDEX('Campos Growths'!$L:$L,MATCH(H2574,'Campos Growths'!$A:$A,0)),""))</f>
        <v/>
      </c>
      <c r="L2574" s="7" t="str">
        <f aca="false">IF(A2574="","",IF(G2574="não","Sem tabela no Growths",IF(I2574="","Sem campo no Growths",IF(J2574=K2574,"Importa direto","Ajustar tipo"))))</f>
        <v/>
      </c>
      <c r="M2574" s="9"/>
    </row>
    <row r="2575" customFormat="false" ht="15" hidden="false" customHeight="false" outlineLevel="0" collapsed="false">
      <c r="A2575" s="7" t="str">
        <f aca="false">IF('Outro banco'!A2575="","",IF(LEFT('Outro banco'!A2575,1)="(","",'Outro banco'!A2575))</f>
        <v/>
      </c>
      <c r="B2575" s="7" t="str">
        <f aca="false">IF(A2575="","",'Outro banco'!B2575)</f>
        <v/>
      </c>
      <c r="C2575" s="7" t="str">
        <f aca="false">IF(A2575="","",'Outro banco'!C2575)</f>
        <v/>
      </c>
      <c r="D2575" s="7" t="str">
        <f aca="false">IF(A2575="","",'Outro banco'!D2575)</f>
        <v/>
      </c>
      <c r="E2575" s="9"/>
      <c r="F2575" s="9"/>
      <c r="G2575" s="7" t="str">
        <f aca="false">IF(A2575="","",IF(COUNTIF(Tabelas!$A:$A,IF(E2575="",A2575,E2575))&gt;0,"sim","não"))</f>
        <v/>
      </c>
      <c r="H2575" s="7" t="str">
        <f aca="false">IF(A2575="","",IF(E2575="",A2575,E2575)&amp;"."&amp;IF(F2575="",B2575,F2575))</f>
        <v/>
      </c>
      <c r="I2575" s="7" t="str">
        <f aca="false">IF(A2575="","",IFERROR(INDEX('Campos Growths'!$F:$F,MATCH(H2575,'Campos Growths'!$A:$A,0)),""))</f>
        <v/>
      </c>
      <c r="J2575" s="7" t="str">
        <f aca="false">IF(A2575="","",IFERROR(VLOOKUP(IF(ISNUMBER(SEARCH("(",C2575)),LEFT(C2575,SEARCH("(",C2575)-1),C2575),Tipos!$A:$B,2,FALSE()),"outro"))</f>
        <v/>
      </c>
      <c r="K2575" s="7" t="str">
        <f aca="false">IF(I2575="","",IFERROR(INDEX('Campos Growths'!$L:$L,MATCH(H2575,'Campos Growths'!$A:$A,0)),""))</f>
        <v/>
      </c>
      <c r="L2575" s="7" t="str">
        <f aca="false">IF(A2575="","",IF(G2575="não","Sem tabela no Growths",IF(I2575="","Sem campo no Growths",IF(J2575=K2575,"Importa direto","Ajustar tipo"))))</f>
        <v/>
      </c>
      <c r="M2575" s="9"/>
    </row>
    <row r="2576" customFormat="false" ht="15" hidden="false" customHeight="false" outlineLevel="0" collapsed="false">
      <c r="A2576" s="7" t="str">
        <f aca="false">IF('Outro banco'!A2576="","",IF(LEFT('Outro banco'!A2576,1)="(","",'Outro banco'!A2576))</f>
        <v/>
      </c>
      <c r="B2576" s="7" t="str">
        <f aca="false">IF(A2576="","",'Outro banco'!B2576)</f>
        <v/>
      </c>
      <c r="C2576" s="7" t="str">
        <f aca="false">IF(A2576="","",'Outro banco'!C2576)</f>
        <v/>
      </c>
      <c r="D2576" s="7" t="str">
        <f aca="false">IF(A2576="","",'Outro banco'!D2576)</f>
        <v/>
      </c>
      <c r="E2576" s="9"/>
      <c r="F2576" s="9"/>
      <c r="G2576" s="7" t="str">
        <f aca="false">IF(A2576="","",IF(COUNTIF(Tabelas!$A:$A,IF(E2576="",A2576,E2576))&gt;0,"sim","não"))</f>
        <v/>
      </c>
      <c r="H2576" s="7" t="str">
        <f aca="false">IF(A2576="","",IF(E2576="",A2576,E2576)&amp;"."&amp;IF(F2576="",B2576,F2576))</f>
        <v/>
      </c>
      <c r="I2576" s="7" t="str">
        <f aca="false">IF(A2576="","",IFERROR(INDEX('Campos Growths'!$F:$F,MATCH(H2576,'Campos Growths'!$A:$A,0)),""))</f>
        <v/>
      </c>
      <c r="J2576" s="7" t="str">
        <f aca="false">IF(A2576="","",IFERROR(VLOOKUP(IF(ISNUMBER(SEARCH("(",C2576)),LEFT(C2576,SEARCH("(",C2576)-1),C2576),Tipos!$A:$B,2,FALSE()),"outro"))</f>
        <v/>
      </c>
      <c r="K2576" s="7" t="str">
        <f aca="false">IF(I2576="","",IFERROR(INDEX('Campos Growths'!$L:$L,MATCH(H2576,'Campos Growths'!$A:$A,0)),""))</f>
        <v/>
      </c>
      <c r="L2576" s="7" t="str">
        <f aca="false">IF(A2576="","",IF(G2576="não","Sem tabela no Growths",IF(I2576="","Sem campo no Growths",IF(J2576=K2576,"Importa direto","Ajustar tipo"))))</f>
        <v/>
      </c>
      <c r="M2576" s="9"/>
    </row>
    <row r="2577" customFormat="false" ht="15" hidden="false" customHeight="false" outlineLevel="0" collapsed="false">
      <c r="A2577" s="7" t="str">
        <f aca="false">IF('Outro banco'!A2577="","",IF(LEFT('Outro banco'!A2577,1)="(","",'Outro banco'!A2577))</f>
        <v/>
      </c>
      <c r="B2577" s="7" t="str">
        <f aca="false">IF(A2577="","",'Outro banco'!B2577)</f>
        <v/>
      </c>
      <c r="C2577" s="7" t="str">
        <f aca="false">IF(A2577="","",'Outro banco'!C2577)</f>
        <v/>
      </c>
      <c r="D2577" s="7" t="str">
        <f aca="false">IF(A2577="","",'Outro banco'!D2577)</f>
        <v/>
      </c>
      <c r="E2577" s="9"/>
      <c r="F2577" s="9"/>
      <c r="G2577" s="7" t="str">
        <f aca="false">IF(A2577="","",IF(COUNTIF(Tabelas!$A:$A,IF(E2577="",A2577,E2577))&gt;0,"sim","não"))</f>
        <v/>
      </c>
      <c r="H2577" s="7" t="str">
        <f aca="false">IF(A2577="","",IF(E2577="",A2577,E2577)&amp;"."&amp;IF(F2577="",B2577,F2577))</f>
        <v/>
      </c>
      <c r="I2577" s="7" t="str">
        <f aca="false">IF(A2577="","",IFERROR(INDEX('Campos Growths'!$F:$F,MATCH(H2577,'Campos Growths'!$A:$A,0)),""))</f>
        <v/>
      </c>
      <c r="J2577" s="7" t="str">
        <f aca="false">IF(A2577="","",IFERROR(VLOOKUP(IF(ISNUMBER(SEARCH("(",C2577)),LEFT(C2577,SEARCH("(",C2577)-1),C2577),Tipos!$A:$B,2,FALSE()),"outro"))</f>
        <v/>
      </c>
      <c r="K2577" s="7" t="str">
        <f aca="false">IF(I2577="","",IFERROR(INDEX('Campos Growths'!$L:$L,MATCH(H2577,'Campos Growths'!$A:$A,0)),""))</f>
        <v/>
      </c>
      <c r="L2577" s="7" t="str">
        <f aca="false">IF(A2577="","",IF(G2577="não","Sem tabela no Growths",IF(I2577="","Sem campo no Growths",IF(J2577=K2577,"Importa direto","Ajustar tipo"))))</f>
        <v/>
      </c>
      <c r="M2577" s="9"/>
    </row>
    <row r="2578" customFormat="false" ht="15" hidden="false" customHeight="false" outlineLevel="0" collapsed="false">
      <c r="A2578" s="7" t="str">
        <f aca="false">IF('Outro banco'!A2578="","",IF(LEFT('Outro banco'!A2578,1)="(","",'Outro banco'!A2578))</f>
        <v/>
      </c>
      <c r="B2578" s="7" t="str">
        <f aca="false">IF(A2578="","",'Outro banco'!B2578)</f>
        <v/>
      </c>
      <c r="C2578" s="7" t="str">
        <f aca="false">IF(A2578="","",'Outro banco'!C2578)</f>
        <v/>
      </c>
      <c r="D2578" s="7" t="str">
        <f aca="false">IF(A2578="","",'Outro banco'!D2578)</f>
        <v/>
      </c>
      <c r="E2578" s="9"/>
      <c r="F2578" s="9"/>
      <c r="G2578" s="7" t="str">
        <f aca="false">IF(A2578="","",IF(COUNTIF(Tabelas!$A:$A,IF(E2578="",A2578,E2578))&gt;0,"sim","não"))</f>
        <v/>
      </c>
      <c r="H2578" s="7" t="str">
        <f aca="false">IF(A2578="","",IF(E2578="",A2578,E2578)&amp;"."&amp;IF(F2578="",B2578,F2578))</f>
        <v/>
      </c>
      <c r="I2578" s="7" t="str">
        <f aca="false">IF(A2578="","",IFERROR(INDEX('Campos Growths'!$F:$F,MATCH(H2578,'Campos Growths'!$A:$A,0)),""))</f>
        <v/>
      </c>
      <c r="J2578" s="7" t="str">
        <f aca="false">IF(A2578="","",IFERROR(VLOOKUP(IF(ISNUMBER(SEARCH("(",C2578)),LEFT(C2578,SEARCH("(",C2578)-1),C2578),Tipos!$A:$B,2,FALSE()),"outro"))</f>
        <v/>
      </c>
      <c r="K2578" s="7" t="str">
        <f aca="false">IF(I2578="","",IFERROR(INDEX('Campos Growths'!$L:$L,MATCH(H2578,'Campos Growths'!$A:$A,0)),""))</f>
        <v/>
      </c>
      <c r="L2578" s="7" t="str">
        <f aca="false">IF(A2578="","",IF(G2578="não","Sem tabela no Growths",IF(I2578="","Sem campo no Growths",IF(J2578=K2578,"Importa direto","Ajustar tipo"))))</f>
        <v/>
      </c>
      <c r="M2578" s="9"/>
    </row>
    <row r="2579" customFormat="false" ht="15" hidden="false" customHeight="false" outlineLevel="0" collapsed="false">
      <c r="A2579" s="7" t="str">
        <f aca="false">IF('Outro banco'!A2579="","",IF(LEFT('Outro banco'!A2579,1)="(","",'Outro banco'!A2579))</f>
        <v/>
      </c>
      <c r="B2579" s="7" t="str">
        <f aca="false">IF(A2579="","",'Outro banco'!B2579)</f>
        <v/>
      </c>
      <c r="C2579" s="7" t="str">
        <f aca="false">IF(A2579="","",'Outro banco'!C2579)</f>
        <v/>
      </c>
      <c r="D2579" s="7" t="str">
        <f aca="false">IF(A2579="","",'Outro banco'!D2579)</f>
        <v/>
      </c>
      <c r="E2579" s="9"/>
      <c r="F2579" s="9"/>
      <c r="G2579" s="7" t="str">
        <f aca="false">IF(A2579="","",IF(COUNTIF(Tabelas!$A:$A,IF(E2579="",A2579,E2579))&gt;0,"sim","não"))</f>
        <v/>
      </c>
      <c r="H2579" s="7" t="str">
        <f aca="false">IF(A2579="","",IF(E2579="",A2579,E2579)&amp;"."&amp;IF(F2579="",B2579,F2579))</f>
        <v/>
      </c>
      <c r="I2579" s="7" t="str">
        <f aca="false">IF(A2579="","",IFERROR(INDEX('Campos Growths'!$F:$F,MATCH(H2579,'Campos Growths'!$A:$A,0)),""))</f>
        <v/>
      </c>
      <c r="J2579" s="7" t="str">
        <f aca="false">IF(A2579="","",IFERROR(VLOOKUP(IF(ISNUMBER(SEARCH("(",C2579)),LEFT(C2579,SEARCH("(",C2579)-1),C2579),Tipos!$A:$B,2,FALSE()),"outro"))</f>
        <v/>
      </c>
      <c r="K2579" s="7" t="str">
        <f aca="false">IF(I2579="","",IFERROR(INDEX('Campos Growths'!$L:$L,MATCH(H2579,'Campos Growths'!$A:$A,0)),""))</f>
        <v/>
      </c>
      <c r="L2579" s="7" t="str">
        <f aca="false">IF(A2579="","",IF(G2579="não","Sem tabela no Growths",IF(I2579="","Sem campo no Growths",IF(J2579=K2579,"Importa direto","Ajustar tipo"))))</f>
        <v/>
      </c>
      <c r="M2579" s="9"/>
    </row>
    <row r="2580" customFormat="false" ht="15" hidden="false" customHeight="false" outlineLevel="0" collapsed="false">
      <c r="A2580" s="7" t="str">
        <f aca="false">IF('Outro banco'!A2580="","",IF(LEFT('Outro banco'!A2580,1)="(","",'Outro banco'!A2580))</f>
        <v/>
      </c>
      <c r="B2580" s="7" t="str">
        <f aca="false">IF(A2580="","",'Outro banco'!B2580)</f>
        <v/>
      </c>
      <c r="C2580" s="7" t="str">
        <f aca="false">IF(A2580="","",'Outro banco'!C2580)</f>
        <v/>
      </c>
      <c r="D2580" s="7" t="str">
        <f aca="false">IF(A2580="","",'Outro banco'!D2580)</f>
        <v/>
      </c>
      <c r="E2580" s="9"/>
      <c r="F2580" s="9"/>
      <c r="G2580" s="7" t="str">
        <f aca="false">IF(A2580="","",IF(COUNTIF(Tabelas!$A:$A,IF(E2580="",A2580,E2580))&gt;0,"sim","não"))</f>
        <v/>
      </c>
      <c r="H2580" s="7" t="str">
        <f aca="false">IF(A2580="","",IF(E2580="",A2580,E2580)&amp;"."&amp;IF(F2580="",B2580,F2580))</f>
        <v/>
      </c>
      <c r="I2580" s="7" t="str">
        <f aca="false">IF(A2580="","",IFERROR(INDEX('Campos Growths'!$F:$F,MATCH(H2580,'Campos Growths'!$A:$A,0)),""))</f>
        <v/>
      </c>
      <c r="J2580" s="7" t="str">
        <f aca="false">IF(A2580="","",IFERROR(VLOOKUP(IF(ISNUMBER(SEARCH("(",C2580)),LEFT(C2580,SEARCH("(",C2580)-1),C2580),Tipos!$A:$B,2,FALSE()),"outro"))</f>
        <v/>
      </c>
      <c r="K2580" s="7" t="str">
        <f aca="false">IF(I2580="","",IFERROR(INDEX('Campos Growths'!$L:$L,MATCH(H2580,'Campos Growths'!$A:$A,0)),""))</f>
        <v/>
      </c>
      <c r="L2580" s="7" t="str">
        <f aca="false">IF(A2580="","",IF(G2580="não","Sem tabela no Growths",IF(I2580="","Sem campo no Growths",IF(J2580=K2580,"Importa direto","Ajustar tipo"))))</f>
        <v/>
      </c>
      <c r="M2580" s="9"/>
    </row>
    <row r="2581" customFormat="false" ht="15" hidden="false" customHeight="false" outlineLevel="0" collapsed="false">
      <c r="A2581" s="7" t="str">
        <f aca="false">IF('Outro banco'!A2581="","",IF(LEFT('Outro banco'!A2581,1)="(","",'Outro banco'!A2581))</f>
        <v/>
      </c>
      <c r="B2581" s="7" t="str">
        <f aca="false">IF(A2581="","",'Outro banco'!B2581)</f>
        <v/>
      </c>
      <c r="C2581" s="7" t="str">
        <f aca="false">IF(A2581="","",'Outro banco'!C2581)</f>
        <v/>
      </c>
      <c r="D2581" s="7" t="str">
        <f aca="false">IF(A2581="","",'Outro banco'!D2581)</f>
        <v/>
      </c>
      <c r="E2581" s="9"/>
      <c r="F2581" s="9"/>
      <c r="G2581" s="7" t="str">
        <f aca="false">IF(A2581="","",IF(COUNTIF(Tabelas!$A:$A,IF(E2581="",A2581,E2581))&gt;0,"sim","não"))</f>
        <v/>
      </c>
      <c r="H2581" s="7" t="str">
        <f aca="false">IF(A2581="","",IF(E2581="",A2581,E2581)&amp;"."&amp;IF(F2581="",B2581,F2581))</f>
        <v/>
      </c>
      <c r="I2581" s="7" t="str">
        <f aca="false">IF(A2581="","",IFERROR(INDEX('Campos Growths'!$F:$F,MATCH(H2581,'Campos Growths'!$A:$A,0)),""))</f>
        <v/>
      </c>
      <c r="J2581" s="7" t="str">
        <f aca="false">IF(A2581="","",IFERROR(VLOOKUP(IF(ISNUMBER(SEARCH("(",C2581)),LEFT(C2581,SEARCH("(",C2581)-1),C2581),Tipos!$A:$B,2,FALSE()),"outro"))</f>
        <v/>
      </c>
      <c r="K2581" s="7" t="str">
        <f aca="false">IF(I2581="","",IFERROR(INDEX('Campos Growths'!$L:$L,MATCH(H2581,'Campos Growths'!$A:$A,0)),""))</f>
        <v/>
      </c>
      <c r="L2581" s="7" t="str">
        <f aca="false">IF(A2581="","",IF(G2581="não","Sem tabela no Growths",IF(I2581="","Sem campo no Growths",IF(J2581=K2581,"Importa direto","Ajustar tipo"))))</f>
        <v/>
      </c>
      <c r="M2581" s="9"/>
    </row>
    <row r="2582" customFormat="false" ht="15" hidden="false" customHeight="false" outlineLevel="0" collapsed="false">
      <c r="A2582" s="7" t="str">
        <f aca="false">IF('Outro banco'!A2582="","",IF(LEFT('Outro banco'!A2582,1)="(","",'Outro banco'!A2582))</f>
        <v/>
      </c>
      <c r="B2582" s="7" t="str">
        <f aca="false">IF(A2582="","",'Outro banco'!B2582)</f>
        <v/>
      </c>
      <c r="C2582" s="7" t="str">
        <f aca="false">IF(A2582="","",'Outro banco'!C2582)</f>
        <v/>
      </c>
      <c r="D2582" s="7" t="str">
        <f aca="false">IF(A2582="","",'Outro banco'!D2582)</f>
        <v/>
      </c>
      <c r="E2582" s="9"/>
      <c r="F2582" s="9"/>
      <c r="G2582" s="7" t="str">
        <f aca="false">IF(A2582="","",IF(COUNTIF(Tabelas!$A:$A,IF(E2582="",A2582,E2582))&gt;0,"sim","não"))</f>
        <v/>
      </c>
      <c r="H2582" s="7" t="str">
        <f aca="false">IF(A2582="","",IF(E2582="",A2582,E2582)&amp;"."&amp;IF(F2582="",B2582,F2582))</f>
        <v/>
      </c>
      <c r="I2582" s="7" t="str">
        <f aca="false">IF(A2582="","",IFERROR(INDEX('Campos Growths'!$F:$F,MATCH(H2582,'Campos Growths'!$A:$A,0)),""))</f>
        <v/>
      </c>
      <c r="J2582" s="7" t="str">
        <f aca="false">IF(A2582="","",IFERROR(VLOOKUP(IF(ISNUMBER(SEARCH("(",C2582)),LEFT(C2582,SEARCH("(",C2582)-1),C2582),Tipos!$A:$B,2,FALSE()),"outro"))</f>
        <v/>
      </c>
      <c r="K2582" s="7" t="str">
        <f aca="false">IF(I2582="","",IFERROR(INDEX('Campos Growths'!$L:$L,MATCH(H2582,'Campos Growths'!$A:$A,0)),""))</f>
        <v/>
      </c>
      <c r="L2582" s="7" t="str">
        <f aca="false">IF(A2582="","",IF(G2582="não","Sem tabela no Growths",IF(I2582="","Sem campo no Growths",IF(J2582=K2582,"Importa direto","Ajustar tipo"))))</f>
        <v/>
      </c>
      <c r="M2582" s="9"/>
    </row>
    <row r="2583" customFormat="false" ht="15" hidden="false" customHeight="false" outlineLevel="0" collapsed="false">
      <c r="A2583" s="7" t="str">
        <f aca="false">IF('Outro banco'!A2583="","",IF(LEFT('Outro banco'!A2583,1)="(","",'Outro banco'!A2583))</f>
        <v/>
      </c>
      <c r="B2583" s="7" t="str">
        <f aca="false">IF(A2583="","",'Outro banco'!B2583)</f>
        <v/>
      </c>
      <c r="C2583" s="7" t="str">
        <f aca="false">IF(A2583="","",'Outro banco'!C2583)</f>
        <v/>
      </c>
      <c r="D2583" s="7" t="str">
        <f aca="false">IF(A2583="","",'Outro banco'!D2583)</f>
        <v/>
      </c>
      <c r="E2583" s="9"/>
      <c r="F2583" s="9"/>
      <c r="G2583" s="7" t="str">
        <f aca="false">IF(A2583="","",IF(COUNTIF(Tabelas!$A:$A,IF(E2583="",A2583,E2583))&gt;0,"sim","não"))</f>
        <v/>
      </c>
      <c r="H2583" s="7" t="str">
        <f aca="false">IF(A2583="","",IF(E2583="",A2583,E2583)&amp;"."&amp;IF(F2583="",B2583,F2583))</f>
        <v/>
      </c>
      <c r="I2583" s="7" t="str">
        <f aca="false">IF(A2583="","",IFERROR(INDEX('Campos Growths'!$F:$F,MATCH(H2583,'Campos Growths'!$A:$A,0)),""))</f>
        <v/>
      </c>
      <c r="J2583" s="7" t="str">
        <f aca="false">IF(A2583="","",IFERROR(VLOOKUP(IF(ISNUMBER(SEARCH("(",C2583)),LEFT(C2583,SEARCH("(",C2583)-1),C2583),Tipos!$A:$B,2,FALSE()),"outro"))</f>
        <v/>
      </c>
      <c r="K2583" s="7" t="str">
        <f aca="false">IF(I2583="","",IFERROR(INDEX('Campos Growths'!$L:$L,MATCH(H2583,'Campos Growths'!$A:$A,0)),""))</f>
        <v/>
      </c>
      <c r="L2583" s="7" t="str">
        <f aca="false">IF(A2583="","",IF(G2583="não","Sem tabela no Growths",IF(I2583="","Sem campo no Growths",IF(J2583=K2583,"Importa direto","Ajustar tipo"))))</f>
        <v/>
      </c>
      <c r="M2583" s="9"/>
    </row>
    <row r="2584" customFormat="false" ht="15" hidden="false" customHeight="false" outlineLevel="0" collapsed="false">
      <c r="A2584" s="7" t="str">
        <f aca="false">IF('Outro banco'!A2584="","",IF(LEFT('Outro banco'!A2584,1)="(","",'Outro banco'!A2584))</f>
        <v/>
      </c>
      <c r="B2584" s="7" t="str">
        <f aca="false">IF(A2584="","",'Outro banco'!B2584)</f>
        <v/>
      </c>
      <c r="C2584" s="7" t="str">
        <f aca="false">IF(A2584="","",'Outro banco'!C2584)</f>
        <v/>
      </c>
      <c r="D2584" s="7" t="str">
        <f aca="false">IF(A2584="","",'Outro banco'!D2584)</f>
        <v/>
      </c>
      <c r="E2584" s="9"/>
      <c r="F2584" s="9"/>
      <c r="G2584" s="7" t="str">
        <f aca="false">IF(A2584="","",IF(COUNTIF(Tabelas!$A:$A,IF(E2584="",A2584,E2584))&gt;0,"sim","não"))</f>
        <v/>
      </c>
      <c r="H2584" s="7" t="str">
        <f aca="false">IF(A2584="","",IF(E2584="",A2584,E2584)&amp;"."&amp;IF(F2584="",B2584,F2584))</f>
        <v/>
      </c>
      <c r="I2584" s="7" t="str">
        <f aca="false">IF(A2584="","",IFERROR(INDEX('Campos Growths'!$F:$F,MATCH(H2584,'Campos Growths'!$A:$A,0)),""))</f>
        <v/>
      </c>
      <c r="J2584" s="7" t="str">
        <f aca="false">IF(A2584="","",IFERROR(VLOOKUP(IF(ISNUMBER(SEARCH("(",C2584)),LEFT(C2584,SEARCH("(",C2584)-1),C2584),Tipos!$A:$B,2,FALSE()),"outro"))</f>
        <v/>
      </c>
      <c r="K2584" s="7" t="str">
        <f aca="false">IF(I2584="","",IFERROR(INDEX('Campos Growths'!$L:$L,MATCH(H2584,'Campos Growths'!$A:$A,0)),""))</f>
        <v/>
      </c>
      <c r="L2584" s="7" t="str">
        <f aca="false">IF(A2584="","",IF(G2584="não","Sem tabela no Growths",IF(I2584="","Sem campo no Growths",IF(J2584=K2584,"Importa direto","Ajustar tipo"))))</f>
        <v/>
      </c>
      <c r="M2584" s="9"/>
    </row>
    <row r="2585" customFormat="false" ht="15" hidden="false" customHeight="false" outlineLevel="0" collapsed="false">
      <c r="A2585" s="7" t="str">
        <f aca="false">IF('Outro banco'!A2585="","",IF(LEFT('Outro banco'!A2585,1)="(","",'Outro banco'!A2585))</f>
        <v/>
      </c>
      <c r="B2585" s="7" t="str">
        <f aca="false">IF(A2585="","",'Outro banco'!B2585)</f>
        <v/>
      </c>
      <c r="C2585" s="7" t="str">
        <f aca="false">IF(A2585="","",'Outro banco'!C2585)</f>
        <v/>
      </c>
      <c r="D2585" s="7" t="str">
        <f aca="false">IF(A2585="","",'Outro banco'!D2585)</f>
        <v/>
      </c>
      <c r="E2585" s="9"/>
      <c r="F2585" s="9"/>
      <c r="G2585" s="7" t="str">
        <f aca="false">IF(A2585="","",IF(COUNTIF(Tabelas!$A:$A,IF(E2585="",A2585,E2585))&gt;0,"sim","não"))</f>
        <v/>
      </c>
      <c r="H2585" s="7" t="str">
        <f aca="false">IF(A2585="","",IF(E2585="",A2585,E2585)&amp;"."&amp;IF(F2585="",B2585,F2585))</f>
        <v/>
      </c>
      <c r="I2585" s="7" t="str">
        <f aca="false">IF(A2585="","",IFERROR(INDEX('Campos Growths'!$F:$F,MATCH(H2585,'Campos Growths'!$A:$A,0)),""))</f>
        <v/>
      </c>
      <c r="J2585" s="7" t="str">
        <f aca="false">IF(A2585="","",IFERROR(VLOOKUP(IF(ISNUMBER(SEARCH("(",C2585)),LEFT(C2585,SEARCH("(",C2585)-1),C2585),Tipos!$A:$B,2,FALSE()),"outro"))</f>
        <v/>
      </c>
      <c r="K2585" s="7" t="str">
        <f aca="false">IF(I2585="","",IFERROR(INDEX('Campos Growths'!$L:$L,MATCH(H2585,'Campos Growths'!$A:$A,0)),""))</f>
        <v/>
      </c>
      <c r="L2585" s="7" t="str">
        <f aca="false">IF(A2585="","",IF(G2585="não","Sem tabela no Growths",IF(I2585="","Sem campo no Growths",IF(J2585=K2585,"Importa direto","Ajustar tipo"))))</f>
        <v/>
      </c>
      <c r="M2585" s="9"/>
    </row>
    <row r="2586" customFormat="false" ht="15" hidden="false" customHeight="false" outlineLevel="0" collapsed="false">
      <c r="A2586" s="7" t="str">
        <f aca="false">IF('Outro banco'!A2586="","",IF(LEFT('Outro banco'!A2586,1)="(","",'Outro banco'!A2586))</f>
        <v/>
      </c>
      <c r="B2586" s="7" t="str">
        <f aca="false">IF(A2586="","",'Outro banco'!B2586)</f>
        <v/>
      </c>
      <c r="C2586" s="7" t="str">
        <f aca="false">IF(A2586="","",'Outro banco'!C2586)</f>
        <v/>
      </c>
      <c r="D2586" s="7" t="str">
        <f aca="false">IF(A2586="","",'Outro banco'!D2586)</f>
        <v/>
      </c>
      <c r="E2586" s="9"/>
      <c r="F2586" s="9"/>
      <c r="G2586" s="7" t="str">
        <f aca="false">IF(A2586="","",IF(COUNTIF(Tabelas!$A:$A,IF(E2586="",A2586,E2586))&gt;0,"sim","não"))</f>
        <v/>
      </c>
      <c r="H2586" s="7" t="str">
        <f aca="false">IF(A2586="","",IF(E2586="",A2586,E2586)&amp;"."&amp;IF(F2586="",B2586,F2586))</f>
        <v/>
      </c>
      <c r="I2586" s="7" t="str">
        <f aca="false">IF(A2586="","",IFERROR(INDEX('Campos Growths'!$F:$F,MATCH(H2586,'Campos Growths'!$A:$A,0)),""))</f>
        <v/>
      </c>
      <c r="J2586" s="7" t="str">
        <f aca="false">IF(A2586="","",IFERROR(VLOOKUP(IF(ISNUMBER(SEARCH("(",C2586)),LEFT(C2586,SEARCH("(",C2586)-1),C2586),Tipos!$A:$B,2,FALSE()),"outro"))</f>
        <v/>
      </c>
      <c r="K2586" s="7" t="str">
        <f aca="false">IF(I2586="","",IFERROR(INDEX('Campos Growths'!$L:$L,MATCH(H2586,'Campos Growths'!$A:$A,0)),""))</f>
        <v/>
      </c>
      <c r="L2586" s="7" t="str">
        <f aca="false">IF(A2586="","",IF(G2586="não","Sem tabela no Growths",IF(I2586="","Sem campo no Growths",IF(J2586=K2586,"Importa direto","Ajustar tipo"))))</f>
        <v/>
      </c>
      <c r="M2586" s="9"/>
    </row>
    <row r="2587" customFormat="false" ht="15" hidden="false" customHeight="false" outlineLevel="0" collapsed="false">
      <c r="A2587" s="7" t="str">
        <f aca="false">IF('Outro banco'!A2587="","",IF(LEFT('Outro banco'!A2587,1)="(","",'Outro banco'!A2587))</f>
        <v/>
      </c>
      <c r="B2587" s="7" t="str">
        <f aca="false">IF(A2587="","",'Outro banco'!B2587)</f>
        <v/>
      </c>
      <c r="C2587" s="7" t="str">
        <f aca="false">IF(A2587="","",'Outro banco'!C2587)</f>
        <v/>
      </c>
      <c r="D2587" s="7" t="str">
        <f aca="false">IF(A2587="","",'Outro banco'!D2587)</f>
        <v/>
      </c>
      <c r="E2587" s="9"/>
      <c r="F2587" s="9"/>
      <c r="G2587" s="7" t="str">
        <f aca="false">IF(A2587="","",IF(COUNTIF(Tabelas!$A:$A,IF(E2587="",A2587,E2587))&gt;0,"sim","não"))</f>
        <v/>
      </c>
      <c r="H2587" s="7" t="str">
        <f aca="false">IF(A2587="","",IF(E2587="",A2587,E2587)&amp;"."&amp;IF(F2587="",B2587,F2587))</f>
        <v/>
      </c>
      <c r="I2587" s="7" t="str">
        <f aca="false">IF(A2587="","",IFERROR(INDEX('Campos Growths'!$F:$F,MATCH(H2587,'Campos Growths'!$A:$A,0)),""))</f>
        <v/>
      </c>
      <c r="J2587" s="7" t="str">
        <f aca="false">IF(A2587="","",IFERROR(VLOOKUP(IF(ISNUMBER(SEARCH("(",C2587)),LEFT(C2587,SEARCH("(",C2587)-1),C2587),Tipos!$A:$B,2,FALSE()),"outro"))</f>
        <v/>
      </c>
      <c r="K2587" s="7" t="str">
        <f aca="false">IF(I2587="","",IFERROR(INDEX('Campos Growths'!$L:$L,MATCH(H2587,'Campos Growths'!$A:$A,0)),""))</f>
        <v/>
      </c>
      <c r="L2587" s="7" t="str">
        <f aca="false">IF(A2587="","",IF(G2587="não","Sem tabela no Growths",IF(I2587="","Sem campo no Growths",IF(J2587=K2587,"Importa direto","Ajustar tipo"))))</f>
        <v/>
      </c>
      <c r="M2587" s="9"/>
    </row>
    <row r="2588" customFormat="false" ht="15" hidden="false" customHeight="false" outlineLevel="0" collapsed="false">
      <c r="A2588" s="7" t="str">
        <f aca="false">IF('Outro banco'!A2588="","",IF(LEFT('Outro banco'!A2588,1)="(","",'Outro banco'!A2588))</f>
        <v/>
      </c>
      <c r="B2588" s="7" t="str">
        <f aca="false">IF(A2588="","",'Outro banco'!B2588)</f>
        <v/>
      </c>
      <c r="C2588" s="7" t="str">
        <f aca="false">IF(A2588="","",'Outro banco'!C2588)</f>
        <v/>
      </c>
      <c r="D2588" s="7" t="str">
        <f aca="false">IF(A2588="","",'Outro banco'!D2588)</f>
        <v/>
      </c>
      <c r="E2588" s="9"/>
      <c r="F2588" s="9"/>
      <c r="G2588" s="7" t="str">
        <f aca="false">IF(A2588="","",IF(COUNTIF(Tabelas!$A:$A,IF(E2588="",A2588,E2588))&gt;0,"sim","não"))</f>
        <v/>
      </c>
      <c r="H2588" s="7" t="str">
        <f aca="false">IF(A2588="","",IF(E2588="",A2588,E2588)&amp;"."&amp;IF(F2588="",B2588,F2588))</f>
        <v/>
      </c>
      <c r="I2588" s="7" t="str">
        <f aca="false">IF(A2588="","",IFERROR(INDEX('Campos Growths'!$F:$F,MATCH(H2588,'Campos Growths'!$A:$A,0)),""))</f>
        <v/>
      </c>
      <c r="J2588" s="7" t="str">
        <f aca="false">IF(A2588="","",IFERROR(VLOOKUP(IF(ISNUMBER(SEARCH("(",C2588)),LEFT(C2588,SEARCH("(",C2588)-1),C2588),Tipos!$A:$B,2,FALSE()),"outro"))</f>
        <v/>
      </c>
      <c r="K2588" s="7" t="str">
        <f aca="false">IF(I2588="","",IFERROR(INDEX('Campos Growths'!$L:$L,MATCH(H2588,'Campos Growths'!$A:$A,0)),""))</f>
        <v/>
      </c>
      <c r="L2588" s="7" t="str">
        <f aca="false">IF(A2588="","",IF(G2588="não","Sem tabela no Growths",IF(I2588="","Sem campo no Growths",IF(J2588=K2588,"Importa direto","Ajustar tipo"))))</f>
        <v/>
      </c>
      <c r="M2588" s="9"/>
    </row>
    <row r="2589" customFormat="false" ht="15" hidden="false" customHeight="false" outlineLevel="0" collapsed="false">
      <c r="A2589" s="7" t="str">
        <f aca="false">IF('Outro banco'!A2589="","",IF(LEFT('Outro banco'!A2589,1)="(","",'Outro banco'!A2589))</f>
        <v/>
      </c>
      <c r="B2589" s="7" t="str">
        <f aca="false">IF(A2589="","",'Outro banco'!B2589)</f>
        <v/>
      </c>
      <c r="C2589" s="7" t="str">
        <f aca="false">IF(A2589="","",'Outro banco'!C2589)</f>
        <v/>
      </c>
      <c r="D2589" s="7" t="str">
        <f aca="false">IF(A2589="","",'Outro banco'!D2589)</f>
        <v/>
      </c>
      <c r="E2589" s="9"/>
      <c r="F2589" s="9"/>
      <c r="G2589" s="7" t="str">
        <f aca="false">IF(A2589="","",IF(COUNTIF(Tabelas!$A:$A,IF(E2589="",A2589,E2589))&gt;0,"sim","não"))</f>
        <v/>
      </c>
      <c r="H2589" s="7" t="str">
        <f aca="false">IF(A2589="","",IF(E2589="",A2589,E2589)&amp;"."&amp;IF(F2589="",B2589,F2589))</f>
        <v/>
      </c>
      <c r="I2589" s="7" t="str">
        <f aca="false">IF(A2589="","",IFERROR(INDEX('Campos Growths'!$F:$F,MATCH(H2589,'Campos Growths'!$A:$A,0)),""))</f>
        <v/>
      </c>
      <c r="J2589" s="7" t="str">
        <f aca="false">IF(A2589="","",IFERROR(VLOOKUP(IF(ISNUMBER(SEARCH("(",C2589)),LEFT(C2589,SEARCH("(",C2589)-1),C2589),Tipos!$A:$B,2,FALSE()),"outro"))</f>
        <v/>
      </c>
      <c r="K2589" s="7" t="str">
        <f aca="false">IF(I2589="","",IFERROR(INDEX('Campos Growths'!$L:$L,MATCH(H2589,'Campos Growths'!$A:$A,0)),""))</f>
        <v/>
      </c>
      <c r="L2589" s="7" t="str">
        <f aca="false">IF(A2589="","",IF(G2589="não","Sem tabela no Growths",IF(I2589="","Sem campo no Growths",IF(J2589=K2589,"Importa direto","Ajustar tipo"))))</f>
        <v/>
      </c>
      <c r="M2589" s="9"/>
    </row>
    <row r="2590" customFormat="false" ht="15" hidden="false" customHeight="false" outlineLevel="0" collapsed="false">
      <c r="A2590" s="7" t="str">
        <f aca="false">IF('Outro banco'!A2590="","",IF(LEFT('Outro banco'!A2590,1)="(","",'Outro banco'!A2590))</f>
        <v/>
      </c>
      <c r="B2590" s="7" t="str">
        <f aca="false">IF(A2590="","",'Outro banco'!B2590)</f>
        <v/>
      </c>
      <c r="C2590" s="7" t="str">
        <f aca="false">IF(A2590="","",'Outro banco'!C2590)</f>
        <v/>
      </c>
      <c r="D2590" s="7" t="str">
        <f aca="false">IF(A2590="","",'Outro banco'!D2590)</f>
        <v/>
      </c>
      <c r="E2590" s="9"/>
      <c r="F2590" s="9"/>
      <c r="G2590" s="7" t="str">
        <f aca="false">IF(A2590="","",IF(COUNTIF(Tabelas!$A:$A,IF(E2590="",A2590,E2590))&gt;0,"sim","não"))</f>
        <v/>
      </c>
      <c r="H2590" s="7" t="str">
        <f aca="false">IF(A2590="","",IF(E2590="",A2590,E2590)&amp;"."&amp;IF(F2590="",B2590,F2590))</f>
        <v/>
      </c>
      <c r="I2590" s="7" t="str">
        <f aca="false">IF(A2590="","",IFERROR(INDEX('Campos Growths'!$F:$F,MATCH(H2590,'Campos Growths'!$A:$A,0)),""))</f>
        <v/>
      </c>
      <c r="J2590" s="7" t="str">
        <f aca="false">IF(A2590="","",IFERROR(VLOOKUP(IF(ISNUMBER(SEARCH("(",C2590)),LEFT(C2590,SEARCH("(",C2590)-1),C2590),Tipos!$A:$B,2,FALSE()),"outro"))</f>
        <v/>
      </c>
      <c r="K2590" s="7" t="str">
        <f aca="false">IF(I2590="","",IFERROR(INDEX('Campos Growths'!$L:$L,MATCH(H2590,'Campos Growths'!$A:$A,0)),""))</f>
        <v/>
      </c>
      <c r="L2590" s="7" t="str">
        <f aca="false">IF(A2590="","",IF(G2590="não","Sem tabela no Growths",IF(I2590="","Sem campo no Growths",IF(J2590=K2590,"Importa direto","Ajustar tipo"))))</f>
        <v/>
      </c>
      <c r="M2590" s="9"/>
    </row>
    <row r="2591" customFormat="false" ht="15" hidden="false" customHeight="false" outlineLevel="0" collapsed="false">
      <c r="A2591" s="7" t="str">
        <f aca="false">IF('Outro banco'!A2591="","",IF(LEFT('Outro banco'!A2591,1)="(","",'Outro banco'!A2591))</f>
        <v/>
      </c>
      <c r="B2591" s="7" t="str">
        <f aca="false">IF(A2591="","",'Outro banco'!B2591)</f>
        <v/>
      </c>
      <c r="C2591" s="7" t="str">
        <f aca="false">IF(A2591="","",'Outro banco'!C2591)</f>
        <v/>
      </c>
      <c r="D2591" s="7" t="str">
        <f aca="false">IF(A2591="","",'Outro banco'!D2591)</f>
        <v/>
      </c>
      <c r="E2591" s="9"/>
      <c r="F2591" s="9"/>
      <c r="G2591" s="7" t="str">
        <f aca="false">IF(A2591="","",IF(COUNTIF(Tabelas!$A:$A,IF(E2591="",A2591,E2591))&gt;0,"sim","não"))</f>
        <v/>
      </c>
      <c r="H2591" s="7" t="str">
        <f aca="false">IF(A2591="","",IF(E2591="",A2591,E2591)&amp;"."&amp;IF(F2591="",B2591,F2591))</f>
        <v/>
      </c>
      <c r="I2591" s="7" t="str">
        <f aca="false">IF(A2591="","",IFERROR(INDEX('Campos Growths'!$F:$F,MATCH(H2591,'Campos Growths'!$A:$A,0)),""))</f>
        <v/>
      </c>
      <c r="J2591" s="7" t="str">
        <f aca="false">IF(A2591="","",IFERROR(VLOOKUP(IF(ISNUMBER(SEARCH("(",C2591)),LEFT(C2591,SEARCH("(",C2591)-1),C2591),Tipos!$A:$B,2,FALSE()),"outro"))</f>
        <v/>
      </c>
      <c r="K2591" s="7" t="str">
        <f aca="false">IF(I2591="","",IFERROR(INDEX('Campos Growths'!$L:$L,MATCH(H2591,'Campos Growths'!$A:$A,0)),""))</f>
        <v/>
      </c>
      <c r="L2591" s="7" t="str">
        <f aca="false">IF(A2591="","",IF(G2591="não","Sem tabela no Growths",IF(I2591="","Sem campo no Growths",IF(J2591=K2591,"Importa direto","Ajustar tipo"))))</f>
        <v/>
      </c>
      <c r="M2591" s="9"/>
    </row>
    <row r="2592" customFormat="false" ht="15" hidden="false" customHeight="false" outlineLevel="0" collapsed="false">
      <c r="A2592" s="7" t="str">
        <f aca="false">IF('Outro banco'!A2592="","",IF(LEFT('Outro banco'!A2592,1)="(","",'Outro banco'!A2592))</f>
        <v/>
      </c>
      <c r="B2592" s="7" t="str">
        <f aca="false">IF(A2592="","",'Outro banco'!B2592)</f>
        <v/>
      </c>
      <c r="C2592" s="7" t="str">
        <f aca="false">IF(A2592="","",'Outro banco'!C2592)</f>
        <v/>
      </c>
      <c r="D2592" s="7" t="str">
        <f aca="false">IF(A2592="","",'Outro banco'!D2592)</f>
        <v/>
      </c>
      <c r="E2592" s="9"/>
      <c r="F2592" s="9"/>
      <c r="G2592" s="7" t="str">
        <f aca="false">IF(A2592="","",IF(COUNTIF(Tabelas!$A:$A,IF(E2592="",A2592,E2592))&gt;0,"sim","não"))</f>
        <v/>
      </c>
      <c r="H2592" s="7" t="str">
        <f aca="false">IF(A2592="","",IF(E2592="",A2592,E2592)&amp;"."&amp;IF(F2592="",B2592,F2592))</f>
        <v/>
      </c>
      <c r="I2592" s="7" t="str">
        <f aca="false">IF(A2592="","",IFERROR(INDEX('Campos Growths'!$F:$F,MATCH(H2592,'Campos Growths'!$A:$A,0)),""))</f>
        <v/>
      </c>
      <c r="J2592" s="7" t="str">
        <f aca="false">IF(A2592="","",IFERROR(VLOOKUP(IF(ISNUMBER(SEARCH("(",C2592)),LEFT(C2592,SEARCH("(",C2592)-1),C2592),Tipos!$A:$B,2,FALSE()),"outro"))</f>
        <v/>
      </c>
      <c r="K2592" s="7" t="str">
        <f aca="false">IF(I2592="","",IFERROR(INDEX('Campos Growths'!$L:$L,MATCH(H2592,'Campos Growths'!$A:$A,0)),""))</f>
        <v/>
      </c>
      <c r="L2592" s="7" t="str">
        <f aca="false">IF(A2592="","",IF(G2592="não","Sem tabela no Growths",IF(I2592="","Sem campo no Growths",IF(J2592=K2592,"Importa direto","Ajustar tipo"))))</f>
        <v/>
      </c>
      <c r="M2592" s="9"/>
    </row>
    <row r="2593" customFormat="false" ht="15" hidden="false" customHeight="false" outlineLevel="0" collapsed="false">
      <c r="A2593" s="7" t="str">
        <f aca="false">IF('Outro banco'!A2593="","",IF(LEFT('Outro banco'!A2593,1)="(","",'Outro banco'!A2593))</f>
        <v/>
      </c>
      <c r="B2593" s="7" t="str">
        <f aca="false">IF(A2593="","",'Outro banco'!B2593)</f>
        <v/>
      </c>
      <c r="C2593" s="7" t="str">
        <f aca="false">IF(A2593="","",'Outro banco'!C2593)</f>
        <v/>
      </c>
      <c r="D2593" s="7" t="str">
        <f aca="false">IF(A2593="","",'Outro banco'!D2593)</f>
        <v/>
      </c>
      <c r="E2593" s="9"/>
      <c r="F2593" s="9"/>
      <c r="G2593" s="7" t="str">
        <f aca="false">IF(A2593="","",IF(COUNTIF(Tabelas!$A:$A,IF(E2593="",A2593,E2593))&gt;0,"sim","não"))</f>
        <v/>
      </c>
      <c r="H2593" s="7" t="str">
        <f aca="false">IF(A2593="","",IF(E2593="",A2593,E2593)&amp;"."&amp;IF(F2593="",B2593,F2593))</f>
        <v/>
      </c>
      <c r="I2593" s="7" t="str">
        <f aca="false">IF(A2593="","",IFERROR(INDEX('Campos Growths'!$F:$F,MATCH(H2593,'Campos Growths'!$A:$A,0)),""))</f>
        <v/>
      </c>
      <c r="J2593" s="7" t="str">
        <f aca="false">IF(A2593="","",IFERROR(VLOOKUP(IF(ISNUMBER(SEARCH("(",C2593)),LEFT(C2593,SEARCH("(",C2593)-1),C2593),Tipos!$A:$B,2,FALSE()),"outro"))</f>
        <v/>
      </c>
      <c r="K2593" s="7" t="str">
        <f aca="false">IF(I2593="","",IFERROR(INDEX('Campos Growths'!$L:$L,MATCH(H2593,'Campos Growths'!$A:$A,0)),""))</f>
        <v/>
      </c>
      <c r="L2593" s="7" t="str">
        <f aca="false">IF(A2593="","",IF(G2593="não","Sem tabela no Growths",IF(I2593="","Sem campo no Growths",IF(J2593=K2593,"Importa direto","Ajustar tipo"))))</f>
        <v/>
      </c>
      <c r="M2593" s="9"/>
    </row>
    <row r="2594" customFormat="false" ht="15" hidden="false" customHeight="false" outlineLevel="0" collapsed="false">
      <c r="A2594" s="7" t="str">
        <f aca="false">IF('Outro banco'!A2594="","",IF(LEFT('Outro banco'!A2594,1)="(","",'Outro banco'!A2594))</f>
        <v/>
      </c>
      <c r="B2594" s="7" t="str">
        <f aca="false">IF(A2594="","",'Outro banco'!B2594)</f>
        <v/>
      </c>
      <c r="C2594" s="7" t="str">
        <f aca="false">IF(A2594="","",'Outro banco'!C2594)</f>
        <v/>
      </c>
      <c r="D2594" s="7" t="str">
        <f aca="false">IF(A2594="","",'Outro banco'!D2594)</f>
        <v/>
      </c>
      <c r="E2594" s="9"/>
      <c r="F2594" s="9"/>
      <c r="G2594" s="7" t="str">
        <f aca="false">IF(A2594="","",IF(COUNTIF(Tabelas!$A:$A,IF(E2594="",A2594,E2594))&gt;0,"sim","não"))</f>
        <v/>
      </c>
      <c r="H2594" s="7" t="str">
        <f aca="false">IF(A2594="","",IF(E2594="",A2594,E2594)&amp;"."&amp;IF(F2594="",B2594,F2594))</f>
        <v/>
      </c>
      <c r="I2594" s="7" t="str">
        <f aca="false">IF(A2594="","",IFERROR(INDEX('Campos Growths'!$F:$F,MATCH(H2594,'Campos Growths'!$A:$A,0)),""))</f>
        <v/>
      </c>
      <c r="J2594" s="7" t="str">
        <f aca="false">IF(A2594="","",IFERROR(VLOOKUP(IF(ISNUMBER(SEARCH("(",C2594)),LEFT(C2594,SEARCH("(",C2594)-1),C2594),Tipos!$A:$B,2,FALSE()),"outro"))</f>
        <v/>
      </c>
      <c r="K2594" s="7" t="str">
        <f aca="false">IF(I2594="","",IFERROR(INDEX('Campos Growths'!$L:$L,MATCH(H2594,'Campos Growths'!$A:$A,0)),""))</f>
        <v/>
      </c>
      <c r="L2594" s="7" t="str">
        <f aca="false">IF(A2594="","",IF(G2594="não","Sem tabela no Growths",IF(I2594="","Sem campo no Growths",IF(J2594=K2594,"Importa direto","Ajustar tipo"))))</f>
        <v/>
      </c>
      <c r="M2594" s="9"/>
    </row>
    <row r="2595" customFormat="false" ht="15" hidden="false" customHeight="false" outlineLevel="0" collapsed="false">
      <c r="A2595" s="7" t="str">
        <f aca="false">IF('Outro banco'!A2595="","",IF(LEFT('Outro banco'!A2595,1)="(","",'Outro banco'!A2595))</f>
        <v/>
      </c>
      <c r="B2595" s="7" t="str">
        <f aca="false">IF(A2595="","",'Outro banco'!B2595)</f>
        <v/>
      </c>
      <c r="C2595" s="7" t="str">
        <f aca="false">IF(A2595="","",'Outro banco'!C2595)</f>
        <v/>
      </c>
      <c r="D2595" s="7" t="str">
        <f aca="false">IF(A2595="","",'Outro banco'!D2595)</f>
        <v/>
      </c>
      <c r="E2595" s="9"/>
      <c r="F2595" s="9"/>
      <c r="G2595" s="7" t="str">
        <f aca="false">IF(A2595="","",IF(COUNTIF(Tabelas!$A:$A,IF(E2595="",A2595,E2595))&gt;0,"sim","não"))</f>
        <v/>
      </c>
      <c r="H2595" s="7" t="str">
        <f aca="false">IF(A2595="","",IF(E2595="",A2595,E2595)&amp;"."&amp;IF(F2595="",B2595,F2595))</f>
        <v/>
      </c>
      <c r="I2595" s="7" t="str">
        <f aca="false">IF(A2595="","",IFERROR(INDEX('Campos Growths'!$F:$F,MATCH(H2595,'Campos Growths'!$A:$A,0)),""))</f>
        <v/>
      </c>
      <c r="J2595" s="7" t="str">
        <f aca="false">IF(A2595="","",IFERROR(VLOOKUP(IF(ISNUMBER(SEARCH("(",C2595)),LEFT(C2595,SEARCH("(",C2595)-1),C2595),Tipos!$A:$B,2,FALSE()),"outro"))</f>
        <v/>
      </c>
      <c r="K2595" s="7" t="str">
        <f aca="false">IF(I2595="","",IFERROR(INDEX('Campos Growths'!$L:$L,MATCH(H2595,'Campos Growths'!$A:$A,0)),""))</f>
        <v/>
      </c>
      <c r="L2595" s="7" t="str">
        <f aca="false">IF(A2595="","",IF(G2595="não","Sem tabela no Growths",IF(I2595="","Sem campo no Growths",IF(J2595=K2595,"Importa direto","Ajustar tipo"))))</f>
        <v/>
      </c>
      <c r="M2595" s="9"/>
    </row>
    <row r="2596" customFormat="false" ht="15" hidden="false" customHeight="false" outlineLevel="0" collapsed="false">
      <c r="A2596" s="7" t="str">
        <f aca="false">IF('Outro banco'!A2596="","",IF(LEFT('Outro banco'!A2596,1)="(","",'Outro banco'!A2596))</f>
        <v/>
      </c>
      <c r="B2596" s="7" t="str">
        <f aca="false">IF(A2596="","",'Outro banco'!B2596)</f>
        <v/>
      </c>
      <c r="C2596" s="7" t="str">
        <f aca="false">IF(A2596="","",'Outro banco'!C2596)</f>
        <v/>
      </c>
      <c r="D2596" s="7" t="str">
        <f aca="false">IF(A2596="","",'Outro banco'!D2596)</f>
        <v/>
      </c>
      <c r="E2596" s="9"/>
      <c r="F2596" s="9"/>
      <c r="G2596" s="7" t="str">
        <f aca="false">IF(A2596="","",IF(COUNTIF(Tabelas!$A:$A,IF(E2596="",A2596,E2596))&gt;0,"sim","não"))</f>
        <v/>
      </c>
      <c r="H2596" s="7" t="str">
        <f aca="false">IF(A2596="","",IF(E2596="",A2596,E2596)&amp;"."&amp;IF(F2596="",B2596,F2596))</f>
        <v/>
      </c>
      <c r="I2596" s="7" t="str">
        <f aca="false">IF(A2596="","",IFERROR(INDEX('Campos Growths'!$F:$F,MATCH(H2596,'Campos Growths'!$A:$A,0)),""))</f>
        <v/>
      </c>
      <c r="J2596" s="7" t="str">
        <f aca="false">IF(A2596="","",IFERROR(VLOOKUP(IF(ISNUMBER(SEARCH("(",C2596)),LEFT(C2596,SEARCH("(",C2596)-1),C2596),Tipos!$A:$B,2,FALSE()),"outro"))</f>
        <v/>
      </c>
      <c r="K2596" s="7" t="str">
        <f aca="false">IF(I2596="","",IFERROR(INDEX('Campos Growths'!$L:$L,MATCH(H2596,'Campos Growths'!$A:$A,0)),""))</f>
        <v/>
      </c>
      <c r="L2596" s="7" t="str">
        <f aca="false">IF(A2596="","",IF(G2596="não","Sem tabela no Growths",IF(I2596="","Sem campo no Growths",IF(J2596=K2596,"Importa direto","Ajustar tipo"))))</f>
        <v/>
      </c>
      <c r="M2596" s="9"/>
    </row>
    <row r="2597" customFormat="false" ht="15" hidden="false" customHeight="false" outlineLevel="0" collapsed="false">
      <c r="A2597" s="7" t="str">
        <f aca="false">IF('Outro banco'!A2597="","",IF(LEFT('Outro banco'!A2597,1)="(","",'Outro banco'!A2597))</f>
        <v/>
      </c>
      <c r="B2597" s="7" t="str">
        <f aca="false">IF(A2597="","",'Outro banco'!B2597)</f>
        <v/>
      </c>
      <c r="C2597" s="7" t="str">
        <f aca="false">IF(A2597="","",'Outro banco'!C2597)</f>
        <v/>
      </c>
      <c r="D2597" s="7" t="str">
        <f aca="false">IF(A2597="","",'Outro banco'!D2597)</f>
        <v/>
      </c>
      <c r="E2597" s="9"/>
      <c r="F2597" s="9"/>
      <c r="G2597" s="7" t="str">
        <f aca="false">IF(A2597="","",IF(COUNTIF(Tabelas!$A:$A,IF(E2597="",A2597,E2597))&gt;0,"sim","não"))</f>
        <v/>
      </c>
      <c r="H2597" s="7" t="str">
        <f aca="false">IF(A2597="","",IF(E2597="",A2597,E2597)&amp;"."&amp;IF(F2597="",B2597,F2597))</f>
        <v/>
      </c>
      <c r="I2597" s="7" t="str">
        <f aca="false">IF(A2597="","",IFERROR(INDEX('Campos Growths'!$F:$F,MATCH(H2597,'Campos Growths'!$A:$A,0)),""))</f>
        <v/>
      </c>
      <c r="J2597" s="7" t="str">
        <f aca="false">IF(A2597="","",IFERROR(VLOOKUP(IF(ISNUMBER(SEARCH("(",C2597)),LEFT(C2597,SEARCH("(",C2597)-1),C2597),Tipos!$A:$B,2,FALSE()),"outro"))</f>
        <v/>
      </c>
      <c r="K2597" s="7" t="str">
        <f aca="false">IF(I2597="","",IFERROR(INDEX('Campos Growths'!$L:$L,MATCH(H2597,'Campos Growths'!$A:$A,0)),""))</f>
        <v/>
      </c>
      <c r="L2597" s="7" t="str">
        <f aca="false">IF(A2597="","",IF(G2597="não","Sem tabela no Growths",IF(I2597="","Sem campo no Growths",IF(J2597=K2597,"Importa direto","Ajustar tipo"))))</f>
        <v/>
      </c>
      <c r="M2597" s="9"/>
    </row>
    <row r="2598" customFormat="false" ht="15" hidden="false" customHeight="false" outlineLevel="0" collapsed="false">
      <c r="A2598" s="7" t="str">
        <f aca="false">IF('Outro banco'!A2598="","",IF(LEFT('Outro banco'!A2598,1)="(","",'Outro banco'!A2598))</f>
        <v/>
      </c>
      <c r="B2598" s="7" t="str">
        <f aca="false">IF(A2598="","",'Outro banco'!B2598)</f>
        <v/>
      </c>
      <c r="C2598" s="7" t="str">
        <f aca="false">IF(A2598="","",'Outro banco'!C2598)</f>
        <v/>
      </c>
      <c r="D2598" s="7" t="str">
        <f aca="false">IF(A2598="","",'Outro banco'!D2598)</f>
        <v/>
      </c>
      <c r="E2598" s="9"/>
      <c r="F2598" s="9"/>
      <c r="G2598" s="7" t="str">
        <f aca="false">IF(A2598="","",IF(COUNTIF(Tabelas!$A:$A,IF(E2598="",A2598,E2598))&gt;0,"sim","não"))</f>
        <v/>
      </c>
      <c r="H2598" s="7" t="str">
        <f aca="false">IF(A2598="","",IF(E2598="",A2598,E2598)&amp;"."&amp;IF(F2598="",B2598,F2598))</f>
        <v/>
      </c>
      <c r="I2598" s="7" t="str">
        <f aca="false">IF(A2598="","",IFERROR(INDEX('Campos Growths'!$F:$F,MATCH(H2598,'Campos Growths'!$A:$A,0)),""))</f>
        <v/>
      </c>
      <c r="J2598" s="7" t="str">
        <f aca="false">IF(A2598="","",IFERROR(VLOOKUP(IF(ISNUMBER(SEARCH("(",C2598)),LEFT(C2598,SEARCH("(",C2598)-1),C2598),Tipos!$A:$B,2,FALSE()),"outro"))</f>
        <v/>
      </c>
      <c r="K2598" s="7" t="str">
        <f aca="false">IF(I2598="","",IFERROR(INDEX('Campos Growths'!$L:$L,MATCH(H2598,'Campos Growths'!$A:$A,0)),""))</f>
        <v/>
      </c>
      <c r="L2598" s="7" t="str">
        <f aca="false">IF(A2598="","",IF(G2598="não","Sem tabela no Growths",IF(I2598="","Sem campo no Growths",IF(J2598=K2598,"Importa direto","Ajustar tipo"))))</f>
        <v/>
      </c>
      <c r="M2598" s="9"/>
    </row>
    <row r="2599" customFormat="false" ht="15" hidden="false" customHeight="false" outlineLevel="0" collapsed="false">
      <c r="A2599" s="7" t="str">
        <f aca="false">IF('Outro banco'!A2599="","",IF(LEFT('Outro banco'!A2599,1)="(","",'Outro banco'!A2599))</f>
        <v/>
      </c>
      <c r="B2599" s="7" t="str">
        <f aca="false">IF(A2599="","",'Outro banco'!B2599)</f>
        <v/>
      </c>
      <c r="C2599" s="7" t="str">
        <f aca="false">IF(A2599="","",'Outro banco'!C2599)</f>
        <v/>
      </c>
      <c r="D2599" s="7" t="str">
        <f aca="false">IF(A2599="","",'Outro banco'!D2599)</f>
        <v/>
      </c>
      <c r="E2599" s="9"/>
      <c r="F2599" s="9"/>
      <c r="G2599" s="7" t="str">
        <f aca="false">IF(A2599="","",IF(COUNTIF(Tabelas!$A:$A,IF(E2599="",A2599,E2599))&gt;0,"sim","não"))</f>
        <v/>
      </c>
      <c r="H2599" s="7" t="str">
        <f aca="false">IF(A2599="","",IF(E2599="",A2599,E2599)&amp;"."&amp;IF(F2599="",B2599,F2599))</f>
        <v/>
      </c>
      <c r="I2599" s="7" t="str">
        <f aca="false">IF(A2599="","",IFERROR(INDEX('Campos Growths'!$F:$F,MATCH(H2599,'Campos Growths'!$A:$A,0)),""))</f>
        <v/>
      </c>
      <c r="J2599" s="7" t="str">
        <f aca="false">IF(A2599="","",IFERROR(VLOOKUP(IF(ISNUMBER(SEARCH("(",C2599)),LEFT(C2599,SEARCH("(",C2599)-1),C2599),Tipos!$A:$B,2,FALSE()),"outro"))</f>
        <v/>
      </c>
      <c r="K2599" s="7" t="str">
        <f aca="false">IF(I2599="","",IFERROR(INDEX('Campos Growths'!$L:$L,MATCH(H2599,'Campos Growths'!$A:$A,0)),""))</f>
        <v/>
      </c>
      <c r="L2599" s="7" t="str">
        <f aca="false">IF(A2599="","",IF(G2599="não","Sem tabela no Growths",IF(I2599="","Sem campo no Growths",IF(J2599=K2599,"Importa direto","Ajustar tipo"))))</f>
        <v/>
      </c>
      <c r="M2599" s="9"/>
    </row>
    <row r="2600" customFormat="false" ht="15" hidden="false" customHeight="false" outlineLevel="0" collapsed="false">
      <c r="A2600" s="7" t="str">
        <f aca="false">IF('Outro banco'!A2600="","",IF(LEFT('Outro banco'!A2600,1)="(","",'Outro banco'!A2600))</f>
        <v/>
      </c>
      <c r="B2600" s="7" t="str">
        <f aca="false">IF(A2600="","",'Outro banco'!B2600)</f>
        <v/>
      </c>
      <c r="C2600" s="7" t="str">
        <f aca="false">IF(A2600="","",'Outro banco'!C2600)</f>
        <v/>
      </c>
      <c r="D2600" s="7" t="str">
        <f aca="false">IF(A2600="","",'Outro banco'!D2600)</f>
        <v/>
      </c>
      <c r="E2600" s="9"/>
      <c r="F2600" s="9"/>
      <c r="G2600" s="7" t="str">
        <f aca="false">IF(A2600="","",IF(COUNTIF(Tabelas!$A:$A,IF(E2600="",A2600,E2600))&gt;0,"sim","não"))</f>
        <v/>
      </c>
      <c r="H2600" s="7" t="str">
        <f aca="false">IF(A2600="","",IF(E2600="",A2600,E2600)&amp;"."&amp;IF(F2600="",B2600,F2600))</f>
        <v/>
      </c>
      <c r="I2600" s="7" t="str">
        <f aca="false">IF(A2600="","",IFERROR(INDEX('Campos Growths'!$F:$F,MATCH(H2600,'Campos Growths'!$A:$A,0)),""))</f>
        <v/>
      </c>
      <c r="J2600" s="7" t="str">
        <f aca="false">IF(A2600="","",IFERROR(VLOOKUP(IF(ISNUMBER(SEARCH("(",C2600)),LEFT(C2600,SEARCH("(",C2600)-1),C2600),Tipos!$A:$B,2,FALSE()),"outro"))</f>
        <v/>
      </c>
      <c r="K2600" s="7" t="str">
        <f aca="false">IF(I2600="","",IFERROR(INDEX('Campos Growths'!$L:$L,MATCH(H2600,'Campos Growths'!$A:$A,0)),""))</f>
        <v/>
      </c>
      <c r="L2600" s="7" t="str">
        <f aca="false">IF(A2600="","",IF(G2600="não","Sem tabela no Growths",IF(I2600="","Sem campo no Growths",IF(J2600=K2600,"Importa direto","Ajustar tipo"))))</f>
        <v/>
      </c>
      <c r="M2600" s="9"/>
    </row>
    <row r="2601" customFormat="false" ht="15" hidden="false" customHeight="false" outlineLevel="0" collapsed="false">
      <c r="A2601" s="7" t="str">
        <f aca="false">IF('Outro banco'!A2601="","",IF(LEFT('Outro banco'!A2601,1)="(","",'Outro banco'!A2601))</f>
        <v/>
      </c>
      <c r="B2601" s="7" t="str">
        <f aca="false">IF(A2601="","",'Outro banco'!B2601)</f>
        <v/>
      </c>
      <c r="C2601" s="7" t="str">
        <f aca="false">IF(A2601="","",'Outro banco'!C2601)</f>
        <v/>
      </c>
      <c r="D2601" s="7" t="str">
        <f aca="false">IF(A2601="","",'Outro banco'!D2601)</f>
        <v/>
      </c>
      <c r="E2601" s="9"/>
      <c r="F2601" s="9"/>
      <c r="G2601" s="7" t="str">
        <f aca="false">IF(A2601="","",IF(COUNTIF(Tabelas!$A:$A,IF(E2601="",A2601,E2601))&gt;0,"sim","não"))</f>
        <v/>
      </c>
      <c r="H2601" s="7" t="str">
        <f aca="false">IF(A2601="","",IF(E2601="",A2601,E2601)&amp;"."&amp;IF(F2601="",B2601,F2601))</f>
        <v/>
      </c>
      <c r="I2601" s="7" t="str">
        <f aca="false">IF(A2601="","",IFERROR(INDEX('Campos Growths'!$F:$F,MATCH(H2601,'Campos Growths'!$A:$A,0)),""))</f>
        <v/>
      </c>
      <c r="J2601" s="7" t="str">
        <f aca="false">IF(A2601="","",IFERROR(VLOOKUP(IF(ISNUMBER(SEARCH("(",C2601)),LEFT(C2601,SEARCH("(",C2601)-1),C2601),Tipos!$A:$B,2,FALSE()),"outro"))</f>
        <v/>
      </c>
      <c r="K2601" s="7" t="str">
        <f aca="false">IF(I2601="","",IFERROR(INDEX('Campos Growths'!$L:$L,MATCH(H2601,'Campos Growths'!$A:$A,0)),""))</f>
        <v/>
      </c>
      <c r="L2601" s="7" t="str">
        <f aca="false">IF(A2601="","",IF(G2601="não","Sem tabela no Growths",IF(I2601="","Sem campo no Growths",IF(J2601=K2601,"Importa direto","Ajustar tipo"))))</f>
        <v/>
      </c>
      <c r="M2601" s="9"/>
    </row>
    <row r="2602" customFormat="false" ht="15" hidden="false" customHeight="false" outlineLevel="0" collapsed="false">
      <c r="A2602" s="7" t="str">
        <f aca="false">IF('Outro banco'!A2602="","",IF(LEFT('Outro banco'!A2602,1)="(","",'Outro banco'!A2602))</f>
        <v/>
      </c>
      <c r="B2602" s="7" t="str">
        <f aca="false">IF(A2602="","",'Outro banco'!B2602)</f>
        <v/>
      </c>
      <c r="C2602" s="7" t="str">
        <f aca="false">IF(A2602="","",'Outro banco'!C2602)</f>
        <v/>
      </c>
      <c r="D2602" s="7" t="str">
        <f aca="false">IF(A2602="","",'Outro banco'!D2602)</f>
        <v/>
      </c>
      <c r="E2602" s="9"/>
      <c r="F2602" s="9"/>
      <c r="G2602" s="7" t="str">
        <f aca="false">IF(A2602="","",IF(COUNTIF(Tabelas!$A:$A,IF(E2602="",A2602,E2602))&gt;0,"sim","não"))</f>
        <v/>
      </c>
      <c r="H2602" s="7" t="str">
        <f aca="false">IF(A2602="","",IF(E2602="",A2602,E2602)&amp;"."&amp;IF(F2602="",B2602,F2602))</f>
        <v/>
      </c>
      <c r="I2602" s="7" t="str">
        <f aca="false">IF(A2602="","",IFERROR(INDEX('Campos Growths'!$F:$F,MATCH(H2602,'Campos Growths'!$A:$A,0)),""))</f>
        <v/>
      </c>
      <c r="J2602" s="7" t="str">
        <f aca="false">IF(A2602="","",IFERROR(VLOOKUP(IF(ISNUMBER(SEARCH("(",C2602)),LEFT(C2602,SEARCH("(",C2602)-1),C2602),Tipos!$A:$B,2,FALSE()),"outro"))</f>
        <v/>
      </c>
      <c r="K2602" s="7" t="str">
        <f aca="false">IF(I2602="","",IFERROR(INDEX('Campos Growths'!$L:$L,MATCH(H2602,'Campos Growths'!$A:$A,0)),""))</f>
        <v/>
      </c>
      <c r="L2602" s="7" t="str">
        <f aca="false">IF(A2602="","",IF(G2602="não","Sem tabela no Growths",IF(I2602="","Sem campo no Growths",IF(J2602=K2602,"Importa direto","Ajustar tipo"))))</f>
        <v/>
      </c>
      <c r="M2602" s="9"/>
    </row>
    <row r="2603" customFormat="false" ht="15" hidden="false" customHeight="false" outlineLevel="0" collapsed="false">
      <c r="A2603" s="7" t="str">
        <f aca="false">IF('Outro banco'!A2603="","",IF(LEFT('Outro banco'!A2603,1)="(","",'Outro banco'!A2603))</f>
        <v/>
      </c>
      <c r="B2603" s="7" t="str">
        <f aca="false">IF(A2603="","",'Outro banco'!B2603)</f>
        <v/>
      </c>
      <c r="C2603" s="7" t="str">
        <f aca="false">IF(A2603="","",'Outro banco'!C2603)</f>
        <v/>
      </c>
      <c r="D2603" s="7" t="str">
        <f aca="false">IF(A2603="","",'Outro banco'!D2603)</f>
        <v/>
      </c>
      <c r="E2603" s="9"/>
      <c r="F2603" s="9"/>
      <c r="G2603" s="7" t="str">
        <f aca="false">IF(A2603="","",IF(COUNTIF(Tabelas!$A:$A,IF(E2603="",A2603,E2603))&gt;0,"sim","não"))</f>
        <v/>
      </c>
      <c r="H2603" s="7" t="str">
        <f aca="false">IF(A2603="","",IF(E2603="",A2603,E2603)&amp;"."&amp;IF(F2603="",B2603,F2603))</f>
        <v/>
      </c>
      <c r="I2603" s="7" t="str">
        <f aca="false">IF(A2603="","",IFERROR(INDEX('Campos Growths'!$F:$F,MATCH(H2603,'Campos Growths'!$A:$A,0)),""))</f>
        <v/>
      </c>
      <c r="J2603" s="7" t="str">
        <f aca="false">IF(A2603="","",IFERROR(VLOOKUP(IF(ISNUMBER(SEARCH("(",C2603)),LEFT(C2603,SEARCH("(",C2603)-1),C2603),Tipos!$A:$B,2,FALSE()),"outro"))</f>
        <v/>
      </c>
      <c r="K2603" s="7" t="str">
        <f aca="false">IF(I2603="","",IFERROR(INDEX('Campos Growths'!$L:$L,MATCH(H2603,'Campos Growths'!$A:$A,0)),""))</f>
        <v/>
      </c>
      <c r="L2603" s="7" t="str">
        <f aca="false">IF(A2603="","",IF(G2603="não","Sem tabela no Growths",IF(I2603="","Sem campo no Growths",IF(J2603=K2603,"Importa direto","Ajustar tipo"))))</f>
        <v/>
      </c>
      <c r="M2603" s="9"/>
    </row>
    <row r="2604" customFormat="false" ht="15" hidden="false" customHeight="false" outlineLevel="0" collapsed="false">
      <c r="A2604" s="7" t="str">
        <f aca="false">IF('Outro banco'!A2604="","",IF(LEFT('Outro banco'!A2604,1)="(","",'Outro banco'!A2604))</f>
        <v/>
      </c>
      <c r="B2604" s="7" t="str">
        <f aca="false">IF(A2604="","",'Outro banco'!B2604)</f>
        <v/>
      </c>
      <c r="C2604" s="7" t="str">
        <f aca="false">IF(A2604="","",'Outro banco'!C2604)</f>
        <v/>
      </c>
      <c r="D2604" s="7" t="str">
        <f aca="false">IF(A2604="","",'Outro banco'!D2604)</f>
        <v/>
      </c>
      <c r="E2604" s="9"/>
      <c r="F2604" s="9"/>
      <c r="G2604" s="7" t="str">
        <f aca="false">IF(A2604="","",IF(COUNTIF(Tabelas!$A:$A,IF(E2604="",A2604,E2604))&gt;0,"sim","não"))</f>
        <v/>
      </c>
      <c r="H2604" s="7" t="str">
        <f aca="false">IF(A2604="","",IF(E2604="",A2604,E2604)&amp;"."&amp;IF(F2604="",B2604,F2604))</f>
        <v/>
      </c>
      <c r="I2604" s="7" t="str">
        <f aca="false">IF(A2604="","",IFERROR(INDEX('Campos Growths'!$F:$F,MATCH(H2604,'Campos Growths'!$A:$A,0)),""))</f>
        <v/>
      </c>
      <c r="J2604" s="7" t="str">
        <f aca="false">IF(A2604="","",IFERROR(VLOOKUP(IF(ISNUMBER(SEARCH("(",C2604)),LEFT(C2604,SEARCH("(",C2604)-1),C2604),Tipos!$A:$B,2,FALSE()),"outro"))</f>
        <v/>
      </c>
      <c r="K2604" s="7" t="str">
        <f aca="false">IF(I2604="","",IFERROR(INDEX('Campos Growths'!$L:$L,MATCH(H2604,'Campos Growths'!$A:$A,0)),""))</f>
        <v/>
      </c>
      <c r="L2604" s="7" t="str">
        <f aca="false">IF(A2604="","",IF(G2604="não","Sem tabela no Growths",IF(I2604="","Sem campo no Growths",IF(J2604=K2604,"Importa direto","Ajustar tipo"))))</f>
        <v/>
      </c>
      <c r="M2604" s="9"/>
    </row>
    <row r="2605" customFormat="false" ht="15" hidden="false" customHeight="false" outlineLevel="0" collapsed="false">
      <c r="A2605" s="7" t="str">
        <f aca="false">IF('Outro banco'!A2605="","",IF(LEFT('Outro banco'!A2605,1)="(","",'Outro banco'!A2605))</f>
        <v/>
      </c>
      <c r="B2605" s="7" t="str">
        <f aca="false">IF(A2605="","",'Outro banco'!B2605)</f>
        <v/>
      </c>
      <c r="C2605" s="7" t="str">
        <f aca="false">IF(A2605="","",'Outro banco'!C2605)</f>
        <v/>
      </c>
      <c r="D2605" s="7" t="str">
        <f aca="false">IF(A2605="","",'Outro banco'!D2605)</f>
        <v/>
      </c>
      <c r="E2605" s="9"/>
      <c r="F2605" s="9"/>
      <c r="G2605" s="7" t="str">
        <f aca="false">IF(A2605="","",IF(COUNTIF(Tabelas!$A:$A,IF(E2605="",A2605,E2605))&gt;0,"sim","não"))</f>
        <v/>
      </c>
      <c r="H2605" s="7" t="str">
        <f aca="false">IF(A2605="","",IF(E2605="",A2605,E2605)&amp;"."&amp;IF(F2605="",B2605,F2605))</f>
        <v/>
      </c>
      <c r="I2605" s="7" t="str">
        <f aca="false">IF(A2605="","",IFERROR(INDEX('Campos Growths'!$F:$F,MATCH(H2605,'Campos Growths'!$A:$A,0)),""))</f>
        <v/>
      </c>
      <c r="J2605" s="7" t="str">
        <f aca="false">IF(A2605="","",IFERROR(VLOOKUP(IF(ISNUMBER(SEARCH("(",C2605)),LEFT(C2605,SEARCH("(",C2605)-1),C2605),Tipos!$A:$B,2,FALSE()),"outro"))</f>
        <v/>
      </c>
      <c r="K2605" s="7" t="str">
        <f aca="false">IF(I2605="","",IFERROR(INDEX('Campos Growths'!$L:$L,MATCH(H2605,'Campos Growths'!$A:$A,0)),""))</f>
        <v/>
      </c>
      <c r="L2605" s="7" t="str">
        <f aca="false">IF(A2605="","",IF(G2605="não","Sem tabela no Growths",IF(I2605="","Sem campo no Growths",IF(J2605=K2605,"Importa direto","Ajustar tipo"))))</f>
        <v/>
      </c>
      <c r="M2605" s="9"/>
    </row>
    <row r="2606" customFormat="false" ht="15" hidden="false" customHeight="false" outlineLevel="0" collapsed="false">
      <c r="A2606" s="7" t="str">
        <f aca="false">IF('Outro banco'!A2606="","",IF(LEFT('Outro banco'!A2606,1)="(","",'Outro banco'!A2606))</f>
        <v/>
      </c>
      <c r="B2606" s="7" t="str">
        <f aca="false">IF(A2606="","",'Outro banco'!B2606)</f>
        <v/>
      </c>
      <c r="C2606" s="7" t="str">
        <f aca="false">IF(A2606="","",'Outro banco'!C2606)</f>
        <v/>
      </c>
      <c r="D2606" s="7" t="str">
        <f aca="false">IF(A2606="","",'Outro banco'!D2606)</f>
        <v/>
      </c>
      <c r="E2606" s="9"/>
      <c r="F2606" s="9"/>
      <c r="G2606" s="7" t="str">
        <f aca="false">IF(A2606="","",IF(COUNTIF(Tabelas!$A:$A,IF(E2606="",A2606,E2606))&gt;0,"sim","não"))</f>
        <v/>
      </c>
      <c r="H2606" s="7" t="str">
        <f aca="false">IF(A2606="","",IF(E2606="",A2606,E2606)&amp;"."&amp;IF(F2606="",B2606,F2606))</f>
        <v/>
      </c>
      <c r="I2606" s="7" t="str">
        <f aca="false">IF(A2606="","",IFERROR(INDEX('Campos Growths'!$F:$F,MATCH(H2606,'Campos Growths'!$A:$A,0)),""))</f>
        <v/>
      </c>
      <c r="J2606" s="7" t="str">
        <f aca="false">IF(A2606="","",IFERROR(VLOOKUP(IF(ISNUMBER(SEARCH("(",C2606)),LEFT(C2606,SEARCH("(",C2606)-1),C2606),Tipos!$A:$B,2,FALSE()),"outro"))</f>
        <v/>
      </c>
      <c r="K2606" s="7" t="str">
        <f aca="false">IF(I2606="","",IFERROR(INDEX('Campos Growths'!$L:$L,MATCH(H2606,'Campos Growths'!$A:$A,0)),""))</f>
        <v/>
      </c>
      <c r="L2606" s="7" t="str">
        <f aca="false">IF(A2606="","",IF(G2606="não","Sem tabela no Growths",IF(I2606="","Sem campo no Growths",IF(J2606=K2606,"Importa direto","Ajustar tipo"))))</f>
        <v/>
      </c>
      <c r="M2606" s="9"/>
    </row>
    <row r="2607" customFormat="false" ht="15" hidden="false" customHeight="false" outlineLevel="0" collapsed="false">
      <c r="A2607" s="7" t="str">
        <f aca="false">IF('Outro banco'!A2607="","",IF(LEFT('Outro banco'!A2607,1)="(","",'Outro banco'!A2607))</f>
        <v/>
      </c>
      <c r="B2607" s="7" t="str">
        <f aca="false">IF(A2607="","",'Outro banco'!B2607)</f>
        <v/>
      </c>
      <c r="C2607" s="7" t="str">
        <f aca="false">IF(A2607="","",'Outro banco'!C2607)</f>
        <v/>
      </c>
      <c r="D2607" s="7" t="str">
        <f aca="false">IF(A2607="","",'Outro banco'!D2607)</f>
        <v/>
      </c>
      <c r="E2607" s="9"/>
      <c r="F2607" s="9"/>
      <c r="G2607" s="7" t="str">
        <f aca="false">IF(A2607="","",IF(COUNTIF(Tabelas!$A:$A,IF(E2607="",A2607,E2607))&gt;0,"sim","não"))</f>
        <v/>
      </c>
      <c r="H2607" s="7" t="str">
        <f aca="false">IF(A2607="","",IF(E2607="",A2607,E2607)&amp;"."&amp;IF(F2607="",B2607,F2607))</f>
        <v/>
      </c>
      <c r="I2607" s="7" t="str">
        <f aca="false">IF(A2607="","",IFERROR(INDEX('Campos Growths'!$F:$F,MATCH(H2607,'Campos Growths'!$A:$A,0)),""))</f>
        <v/>
      </c>
      <c r="J2607" s="7" t="str">
        <f aca="false">IF(A2607="","",IFERROR(VLOOKUP(IF(ISNUMBER(SEARCH("(",C2607)),LEFT(C2607,SEARCH("(",C2607)-1),C2607),Tipos!$A:$B,2,FALSE()),"outro"))</f>
        <v/>
      </c>
      <c r="K2607" s="7" t="str">
        <f aca="false">IF(I2607="","",IFERROR(INDEX('Campos Growths'!$L:$L,MATCH(H2607,'Campos Growths'!$A:$A,0)),""))</f>
        <v/>
      </c>
      <c r="L2607" s="7" t="str">
        <f aca="false">IF(A2607="","",IF(G2607="não","Sem tabela no Growths",IF(I2607="","Sem campo no Growths",IF(J2607=K2607,"Importa direto","Ajustar tipo"))))</f>
        <v/>
      </c>
      <c r="M2607" s="9"/>
    </row>
    <row r="2608" customFormat="false" ht="15" hidden="false" customHeight="false" outlineLevel="0" collapsed="false">
      <c r="A2608" s="7" t="str">
        <f aca="false">IF('Outro banco'!A2608="","",IF(LEFT('Outro banco'!A2608,1)="(","",'Outro banco'!A2608))</f>
        <v/>
      </c>
      <c r="B2608" s="7" t="str">
        <f aca="false">IF(A2608="","",'Outro banco'!B2608)</f>
        <v/>
      </c>
      <c r="C2608" s="7" t="str">
        <f aca="false">IF(A2608="","",'Outro banco'!C2608)</f>
        <v/>
      </c>
      <c r="D2608" s="7" t="str">
        <f aca="false">IF(A2608="","",'Outro banco'!D2608)</f>
        <v/>
      </c>
      <c r="E2608" s="9"/>
      <c r="F2608" s="9"/>
      <c r="G2608" s="7" t="str">
        <f aca="false">IF(A2608="","",IF(COUNTIF(Tabelas!$A:$A,IF(E2608="",A2608,E2608))&gt;0,"sim","não"))</f>
        <v/>
      </c>
      <c r="H2608" s="7" t="str">
        <f aca="false">IF(A2608="","",IF(E2608="",A2608,E2608)&amp;"."&amp;IF(F2608="",B2608,F2608))</f>
        <v/>
      </c>
      <c r="I2608" s="7" t="str">
        <f aca="false">IF(A2608="","",IFERROR(INDEX('Campos Growths'!$F:$F,MATCH(H2608,'Campos Growths'!$A:$A,0)),""))</f>
        <v/>
      </c>
      <c r="J2608" s="7" t="str">
        <f aca="false">IF(A2608="","",IFERROR(VLOOKUP(IF(ISNUMBER(SEARCH("(",C2608)),LEFT(C2608,SEARCH("(",C2608)-1),C2608),Tipos!$A:$B,2,FALSE()),"outro"))</f>
        <v/>
      </c>
      <c r="K2608" s="7" t="str">
        <f aca="false">IF(I2608="","",IFERROR(INDEX('Campos Growths'!$L:$L,MATCH(H2608,'Campos Growths'!$A:$A,0)),""))</f>
        <v/>
      </c>
      <c r="L2608" s="7" t="str">
        <f aca="false">IF(A2608="","",IF(G2608="não","Sem tabela no Growths",IF(I2608="","Sem campo no Growths",IF(J2608=K2608,"Importa direto","Ajustar tipo"))))</f>
        <v/>
      </c>
      <c r="M2608" s="9"/>
    </row>
    <row r="2609" customFormat="false" ht="15" hidden="false" customHeight="false" outlineLevel="0" collapsed="false">
      <c r="A2609" s="7" t="str">
        <f aca="false">IF('Outro banco'!A2609="","",IF(LEFT('Outro banco'!A2609,1)="(","",'Outro banco'!A2609))</f>
        <v/>
      </c>
      <c r="B2609" s="7" t="str">
        <f aca="false">IF(A2609="","",'Outro banco'!B2609)</f>
        <v/>
      </c>
      <c r="C2609" s="7" t="str">
        <f aca="false">IF(A2609="","",'Outro banco'!C2609)</f>
        <v/>
      </c>
      <c r="D2609" s="7" t="str">
        <f aca="false">IF(A2609="","",'Outro banco'!D2609)</f>
        <v/>
      </c>
      <c r="E2609" s="9"/>
      <c r="F2609" s="9"/>
      <c r="G2609" s="7" t="str">
        <f aca="false">IF(A2609="","",IF(COUNTIF(Tabelas!$A:$A,IF(E2609="",A2609,E2609))&gt;0,"sim","não"))</f>
        <v/>
      </c>
      <c r="H2609" s="7" t="str">
        <f aca="false">IF(A2609="","",IF(E2609="",A2609,E2609)&amp;"."&amp;IF(F2609="",B2609,F2609))</f>
        <v/>
      </c>
      <c r="I2609" s="7" t="str">
        <f aca="false">IF(A2609="","",IFERROR(INDEX('Campos Growths'!$F:$F,MATCH(H2609,'Campos Growths'!$A:$A,0)),""))</f>
        <v/>
      </c>
      <c r="J2609" s="7" t="str">
        <f aca="false">IF(A2609="","",IFERROR(VLOOKUP(IF(ISNUMBER(SEARCH("(",C2609)),LEFT(C2609,SEARCH("(",C2609)-1),C2609),Tipos!$A:$B,2,FALSE()),"outro"))</f>
        <v/>
      </c>
      <c r="K2609" s="7" t="str">
        <f aca="false">IF(I2609="","",IFERROR(INDEX('Campos Growths'!$L:$L,MATCH(H2609,'Campos Growths'!$A:$A,0)),""))</f>
        <v/>
      </c>
      <c r="L2609" s="7" t="str">
        <f aca="false">IF(A2609="","",IF(G2609="não","Sem tabela no Growths",IF(I2609="","Sem campo no Growths",IF(J2609=K2609,"Importa direto","Ajustar tipo"))))</f>
        <v/>
      </c>
      <c r="M2609" s="9"/>
    </row>
    <row r="2610" customFormat="false" ht="15" hidden="false" customHeight="false" outlineLevel="0" collapsed="false">
      <c r="A2610" s="7" t="str">
        <f aca="false">IF('Outro banco'!A2610="","",IF(LEFT('Outro banco'!A2610,1)="(","",'Outro banco'!A2610))</f>
        <v/>
      </c>
      <c r="B2610" s="7" t="str">
        <f aca="false">IF(A2610="","",'Outro banco'!B2610)</f>
        <v/>
      </c>
      <c r="C2610" s="7" t="str">
        <f aca="false">IF(A2610="","",'Outro banco'!C2610)</f>
        <v/>
      </c>
      <c r="D2610" s="7" t="str">
        <f aca="false">IF(A2610="","",'Outro banco'!D2610)</f>
        <v/>
      </c>
      <c r="E2610" s="9"/>
      <c r="F2610" s="9"/>
      <c r="G2610" s="7" t="str">
        <f aca="false">IF(A2610="","",IF(COUNTIF(Tabelas!$A:$A,IF(E2610="",A2610,E2610))&gt;0,"sim","não"))</f>
        <v/>
      </c>
      <c r="H2610" s="7" t="str">
        <f aca="false">IF(A2610="","",IF(E2610="",A2610,E2610)&amp;"."&amp;IF(F2610="",B2610,F2610))</f>
        <v/>
      </c>
      <c r="I2610" s="7" t="str">
        <f aca="false">IF(A2610="","",IFERROR(INDEX('Campos Growths'!$F:$F,MATCH(H2610,'Campos Growths'!$A:$A,0)),""))</f>
        <v/>
      </c>
      <c r="J2610" s="7" t="str">
        <f aca="false">IF(A2610="","",IFERROR(VLOOKUP(IF(ISNUMBER(SEARCH("(",C2610)),LEFT(C2610,SEARCH("(",C2610)-1),C2610),Tipos!$A:$B,2,FALSE()),"outro"))</f>
        <v/>
      </c>
      <c r="K2610" s="7" t="str">
        <f aca="false">IF(I2610="","",IFERROR(INDEX('Campos Growths'!$L:$L,MATCH(H2610,'Campos Growths'!$A:$A,0)),""))</f>
        <v/>
      </c>
      <c r="L2610" s="7" t="str">
        <f aca="false">IF(A2610="","",IF(G2610="não","Sem tabela no Growths",IF(I2610="","Sem campo no Growths",IF(J2610=K2610,"Importa direto","Ajustar tipo"))))</f>
        <v/>
      </c>
      <c r="M2610" s="9"/>
    </row>
    <row r="2611" customFormat="false" ht="15" hidden="false" customHeight="false" outlineLevel="0" collapsed="false">
      <c r="A2611" s="7" t="str">
        <f aca="false">IF('Outro banco'!A2611="","",IF(LEFT('Outro banco'!A2611,1)="(","",'Outro banco'!A2611))</f>
        <v/>
      </c>
      <c r="B2611" s="7" t="str">
        <f aca="false">IF(A2611="","",'Outro banco'!B2611)</f>
        <v/>
      </c>
      <c r="C2611" s="7" t="str">
        <f aca="false">IF(A2611="","",'Outro banco'!C2611)</f>
        <v/>
      </c>
      <c r="D2611" s="7" t="str">
        <f aca="false">IF(A2611="","",'Outro banco'!D2611)</f>
        <v/>
      </c>
      <c r="E2611" s="9"/>
      <c r="F2611" s="9"/>
      <c r="G2611" s="7" t="str">
        <f aca="false">IF(A2611="","",IF(COUNTIF(Tabelas!$A:$A,IF(E2611="",A2611,E2611))&gt;0,"sim","não"))</f>
        <v/>
      </c>
      <c r="H2611" s="7" t="str">
        <f aca="false">IF(A2611="","",IF(E2611="",A2611,E2611)&amp;"."&amp;IF(F2611="",B2611,F2611))</f>
        <v/>
      </c>
      <c r="I2611" s="7" t="str">
        <f aca="false">IF(A2611="","",IFERROR(INDEX('Campos Growths'!$F:$F,MATCH(H2611,'Campos Growths'!$A:$A,0)),""))</f>
        <v/>
      </c>
      <c r="J2611" s="7" t="str">
        <f aca="false">IF(A2611="","",IFERROR(VLOOKUP(IF(ISNUMBER(SEARCH("(",C2611)),LEFT(C2611,SEARCH("(",C2611)-1),C2611),Tipos!$A:$B,2,FALSE()),"outro"))</f>
        <v/>
      </c>
      <c r="K2611" s="7" t="str">
        <f aca="false">IF(I2611="","",IFERROR(INDEX('Campos Growths'!$L:$L,MATCH(H2611,'Campos Growths'!$A:$A,0)),""))</f>
        <v/>
      </c>
      <c r="L2611" s="7" t="str">
        <f aca="false">IF(A2611="","",IF(G2611="não","Sem tabela no Growths",IF(I2611="","Sem campo no Growths",IF(J2611=K2611,"Importa direto","Ajustar tipo"))))</f>
        <v/>
      </c>
      <c r="M2611" s="9"/>
    </row>
    <row r="2612" customFormat="false" ht="15" hidden="false" customHeight="false" outlineLevel="0" collapsed="false">
      <c r="A2612" s="7" t="str">
        <f aca="false">IF('Outro banco'!A2612="","",IF(LEFT('Outro banco'!A2612,1)="(","",'Outro banco'!A2612))</f>
        <v/>
      </c>
      <c r="B2612" s="7" t="str">
        <f aca="false">IF(A2612="","",'Outro banco'!B2612)</f>
        <v/>
      </c>
      <c r="C2612" s="7" t="str">
        <f aca="false">IF(A2612="","",'Outro banco'!C2612)</f>
        <v/>
      </c>
      <c r="D2612" s="7" t="str">
        <f aca="false">IF(A2612="","",'Outro banco'!D2612)</f>
        <v/>
      </c>
      <c r="E2612" s="9"/>
      <c r="F2612" s="9"/>
      <c r="G2612" s="7" t="str">
        <f aca="false">IF(A2612="","",IF(COUNTIF(Tabelas!$A:$A,IF(E2612="",A2612,E2612))&gt;0,"sim","não"))</f>
        <v/>
      </c>
      <c r="H2612" s="7" t="str">
        <f aca="false">IF(A2612="","",IF(E2612="",A2612,E2612)&amp;"."&amp;IF(F2612="",B2612,F2612))</f>
        <v/>
      </c>
      <c r="I2612" s="7" t="str">
        <f aca="false">IF(A2612="","",IFERROR(INDEX('Campos Growths'!$F:$F,MATCH(H2612,'Campos Growths'!$A:$A,0)),""))</f>
        <v/>
      </c>
      <c r="J2612" s="7" t="str">
        <f aca="false">IF(A2612="","",IFERROR(VLOOKUP(IF(ISNUMBER(SEARCH("(",C2612)),LEFT(C2612,SEARCH("(",C2612)-1),C2612),Tipos!$A:$B,2,FALSE()),"outro"))</f>
        <v/>
      </c>
      <c r="K2612" s="7" t="str">
        <f aca="false">IF(I2612="","",IFERROR(INDEX('Campos Growths'!$L:$L,MATCH(H2612,'Campos Growths'!$A:$A,0)),""))</f>
        <v/>
      </c>
      <c r="L2612" s="7" t="str">
        <f aca="false">IF(A2612="","",IF(G2612="não","Sem tabela no Growths",IF(I2612="","Sem campo no Growths",IF(J2612=K2612,"Importa direto","Ajustar tipo"))))</f>
        <v/>
      </c>
      <c r="M2612" s="9"/>
    </row>
    <row r="2613" customFormat="false" ht="15" hidden="false" customHeight="false" outlineLevel="0" collapsed="false">
      <c r="A2613" s="7" t="str">
        <f aca="false">IF('Outro banco'!A2613="","",IF(LEFT('Outro banco'!A2613,1)="(","",'Outro banco'!A2613))</f>
        <v/>
      </c>
      <c r="B2613" s="7" t="str">
        <f aca="false">IF(A2613="","",'Outro banco'!B2613)</f>
        <v/>
      </c>
      <c r="C2613" s="7" t="str">
        <f aca="false">IF(A2613="","",'Outro banco'!C2613)</f>
        <v/>
      </c>
      <c r="D2613" s="7" t="str">
        <f aca="false">IF(A2613="","",'Outro banco'!D2613)</f>
        <v/>
      </c>
      <c r="E2613" s="9"/>
      <c r="F2613" s="9"/>
      <c r="G2613" s="7" t="str">
        <f aca="false">IF(A2613="","",IF(COUNTIF(Tabelas!$A:$A,IF(E2613="",A2613,E2613))&gt;0,"sim","não"))</f>
        <v/>
      </c>
      <c r="H2613" s="7" t="str">
        <f aca="false">IF(A2613="","",IF(E2613="",A2613,E2613)&amp;"."&amp;IF(F2613="",B2613,F2613))</f>
        <v/>
      </c>
      <c r="I2613" s="7" t="str">
        <f aca="false">IF(A2613="","",IFERROR(INDEX('Campos Growths'!$F:$F,MATCH(H2613,'Campos Growths'!$A:$A,0)),""))</f>
        <v/>
      </c>
      <c r="J2613" s="7" t="str">
        <f aca="false">IF(A2613="","",IFERROR(VLOOKUP(IF(ISNUMBER(SEARCH("(",C2613)),LEFT(C2613,SEARCH("(",C2613)-1),C2613),Tipos!$A:$B,2,FALSE()),"outro"))</f>
        <v/>
      </c>
      <c r="K2613" s="7" t="str">
        <f aca="false">IF(I2613="","",IFERROR(INDEX('Campos Growths'!$L:$L,MATCH(H2613,'Campos Growths'!$A:$A,0)),""))</f>
        <v/>
      </c>
      <c r="L2613" s="7" t="str">
        <f aca="false">IF(A2613="","",IF(G2613="não","Sem tabela no Growths",IF(I2613="","Sem campo no Growths",IF(J2613=K2613,"Importa direto","Ajustar tipo"))))</f>
        <v/>
      </c>
      <c r="M2613" s="9"/>
    </row>
    <row r="2614" customFormat="false" ht="15" hidden="false" customHeight="false" outlineLevel="0" collapsed="false">
      <c r="A2614" s="7" t="str">
        <f aca="false">IF('Outro banco'!A2614="","",IF(LEFT('Outro banco'!A2614,1)="(","",'Outro banco'!A2614))</f>
        <v/>
      </c>
      <c r="B2614" s="7" t="str">
        <f aca="false">IF(A2614="","",'Outro banco'!B2614)</f>
        <v/>
      </c>
      <c r="C2614" s="7" t="str">
        <f aca="false">IF(A2614="","",'Outro banco'!C2614)</f>
        <v/>
      </c>
      <c r="D2614" s="7" t="str">
        <f aca="false">IF(A2614="","",'Outro banco'!D2614)</f>
        <v/>
      </c>
      <c r="E2614" s="9"/>
      <c r="F2614" s="9"/>
      <c r="G2614" s="7" t="str">
        <f aca="false">IF(A2614="","",IF(COUNTIF(Tabelas!$A:$A,IF(E2614="",A2614,E2614))&gt;0,"sim","não"))</f>
        <v/>
      </c>
      <c r="H2614" s="7" t="str">
        <f aca="false">IF(A2614="","",IF(E2614="",A2614,E2614)&amp;"."&amp;IF(F2614="",B2614,F2614))</f>
        <v/>
      </c>
      <c r="I2614" s="7" t="str">
        <f aca="false">IF(A2614="","",IFERROR(INDEX('Campos Growths'!$F:$F,MATCH(H2614,'Campos Growths'!$A:$A,0)),""))</f>
        <v/>
      </c>
      <c r="J2614" s="7" t="str">
        <f aca="false">IF(A2614="","",IFERROR(VLOOKUP(IF(ISNUMBER(SEARCH("(",C2614)),LEFT(C2614,SEARCH("(",C2614)-1),C2614),Tipos!$A:$B,2,FALSE()),"outro"))</f>
        <v/>
      </c>
      <c r="K2614" s="7" t="str">
        <f aca="false">IF(I2614="","",IFERROR(INDEX('Campos Growths'!$L:$L,MATCH(H2614,'Campos Growths'!$A:$A,0)),""))</f>
        <v/>
      </c>
      <c r="L2614" s="7" t="str">
        <f aca="false">IF(A2614="","",IF(G2614="não","Sem tabela no Growths",IF(I2614="","Sem campo no Growths",IF(J2614=K2614,"Importa direto","Ajustar tipo"))))</f>
        <v/>
      </c>
      <c r="M2614" s="9"/>
    </row>
    <row r="2615" customFormat="false" ht="15" hidden="false" customHeight="false" outlineLevel="0" collapsed="false">
      <c r="A2615" s="7" t="str">
        <f aca="false">IF('Outro banco'!A2615="","",IF(LEFT('Outro banco'!A2615,1)="(","",'Outro banco'!A2615))</f>
        <v/>
      </c>
      <c r="B2615" s="7" t="str">
        <f aca="false">IF(A2615="","",'Outro banco'!B2615)</f>
        <v/>
      </c>
      <c r="C2615" s="7" t="str">
        <f aca="false">IF(A2615="","",'Outro banco'!C2615)</f>
        <v/>
      </c>
      <c r="D2615" s="7" t="str">
        <f aca="false">IF(A2615="","",'Outro banco'!D2615)</f>
        <v/>
      </c>
      <c r="E2615" s="9"/>
      <c r="F2615" s="9"/>
      <c r="G2615" s="7" t="str">
        <f aca="false">IF(A2615="","",IF(COUNTIF(Tabelas!$A:$A,IF(E2615="",A2615,E2615))&gt;0,"sim","não"))</f>
        <v/>
      </c>
      <c r="H2615" s="7" t="str">
        <f aca="false">IF(A2615="","",IF(E2615="",A2615,E2615)&amp;"."&amp;IF(F2615="",B2615,F2615))</f>
        <v/>
      </c>
      <c r="I2615" s="7" t="str">
        <f aca="false">IF(A2615="","",IFERROR(INDEX('Campos Growths'!$F:$F,MATCH(H2615,'Campos Growths'!$A:$A,0)),""))</f>
        <v/>
      </c>
      <c r="J2615" s="7" t="str">
        <f aca="false">IF(A2615="","",IFERROR(VLOOKUP(IF(ISNUMBER(SEARCH("(",C2615)),LEFT(C2615,SEARCH("(",C2615)-1),C2615),Tipos!$A:$B,2,FALSE()),"outro"))</f>
        <v/>
      </c>
      <c r="K2615" s="7" t="str">
        <f aca="false">IF(I2615="","",IFERROR(INDEX('Campos Growths'!$L:$L,MATCH(H2615,'Campos Growths'!$A:$A,0)),""))</f>
        <v/>
      </c>
      <c r="L2615" s="7" t="str">
        <f aca="false">IF(A2615="","",IF(G2615="não","Sem tabela no Growths",IF(I2615="","Sem campo no Growths",IF(J2615=K2615,"Importa direto","Ajustar tipo"))))</f>
        <v/>
      </c>
      <c r="M2615" s="9"/>
    </row>
    <row r="2616" customFormat="false" ht="15" hidden="false" customHeight="false" outlineLevel="0" collapsed="false">
      <c r="A2616" s="7" t="str">
        <f aca="false">IF('Outro banco'!A2616="","",IF(LEFT('Outro banco'!A2616,1)="(","",'Outro banco'!A2616))</f>
        <v/>
      </c>
      <c r="B2616" s="7" t="str">
        <f aca="false">IF(A2616="","",'Outro banco'!B2616)</f>
        <v/>
      </c>
      <c r="C2616" s="7" t="str">
        <f aca="false">IF(A2616="","",'Outro banco'!C2616)</f>
        <v/>
      </c>
      <c r="D2616" s="7" t="str">
        <f aca="false">IF(A2616="","",'Outro banco'!D2616)</f>
        <v/>
      </c>
      <c r="E2616" s="9"/>
      <c r="F2616" s="9"/>
      <c r="G2616" s="7" t="str">
        <f aca="false">IF(A2616="","",IF(COUNTIF(Tabelas!$A:$A,IF(E2616="",A2616,E2616))&gt;0,"sim","não"))</f>
        <v/>
      </c>
      <c r="H2616" s="7" t="str">
        <f aca="false">IF(A2616="","",IF(E2616="",A2616,E2616)&amp;"."&amp;IF(F2616="",B2616,F2616))</f>
        <v/>
      </c>
      <c r="I2616" s="7" t="str">
        <f aca="false">IF(A2616="","",IFERROR(INDEX('Campos Growths'!$F:$F,MATCH(H2616,'Campos Growths'!$A:$A,0)),""))</f>
        <v/>
      </c>
      <c r="J2616" s="7" t="str">
        <f aca="false">IF(A2616="","",IFERROR(VLOOKUP(IF(ISNUMBER(SEARCH("(",C2616)),LEFT(C2616,SEARCH("(",C2616)-1),C2616),Tipos!$A:$B,2,FALSE()),"outro"))</f>
        <v/>
      </c>
      <c r="K2616" s="7" t="str">
        <f aca="false">IF(I2616="","",IFERROR(INDEX('Campos Growths'!$L:$L,MATCH(H2616,'Campos Growths'!$A:$A,0)),""))</f>
        <v/>
      </c>
      <c r="L2616" s="7" t="str">
        <f aca="false">IF(A2616="","",IF(G2616="não","Sem tabela no Growths",IF(I2616="","Sem campo no Growths",IF(J2616=K2616,"Importa direto","Ajustar tipo"))))</f>
        <v/>
      </c>
      <c r="M2616" s="9"/>
    </row>
    <row r="2617" customFormat="false" ht="15" hidden="false" customHeight="false" outlineLevel="0" collapsed="false">
      <c r="A2617" s="7" t="str">
        <f aca="false">IF('Outro banco'!A2617="","",IF(LEFT('Outro banco'!A2617,1)="(","",'Outro banco'!A2617))</f>
        <v/>
      </c>
      <c r="B2617" s="7" t="str">
        <f aca="false">IF(A2617="","",'Outro banco'!B2617)</f>
        <v/>
      </c>
      <c r="C2617" s="7" t="str">
        <f aca="false">IF(A2617="","",'Outro banco'!C2617)</f>
        <v/>
      </c>
      <c r="D2617" s="7" t="str">
        <f aca="false">IF(A2617="","",'Outro banco'!D2617)</f>
        <v/>
      </c>
      <c r="E2617" s="9"/>
      <c r="F2617" s="9"/>
      <c r="G2617" s="7" t="str">
        <f aca="false">IF(A2617="","",IF(COUNTIF(Tabelas!$A:$A,IF(E2617="",A2617,E2617))&gt;0,"sim","não"))</f>
        <v/>
      </c>
      <c r="H2617" s="7" t="str">
        <f aca="false">IF(A2617="","",IF(E2617="",A2617,E2617)&amp;"."&amp;IF(F2617="",B2617,F2617))</f>
        <v/>
      </c>
      <c r="I2617" s="7" t="str">
        <f aca="false">IF(A2617="","",IFERROR(INDEX('Campos Growths'!$F:$F,MATCH(H2617,'Campos Growths'!$A:$A,0)),""))</f>
        <v/>
      </c>
      <c r="J2617" s="7" t="str">
        <f aca="false">IF(A2617="","",IFERROR(VLOOKUP(IF(ISNUMBER(SEARCH("(",C2617)),LEFT(C2617,SEARCH("(",C2617)-1),C2617),Tipos!$A:$B,2,FALSE()),"outro"))</f>
        <v/>
      </c>
      <c r="K2617" s="7" t="str">
        <f aca="false">IF(I2617="","",IFERROR(INDEX('Campos Growths'!$L:$L,MATCH(H2617,'Campos Growths'!$A:$A,0)),""))</f>
        <v/>
      </c>
      <c r="L2617" s="7" t="str">
        <f aca="false">IF(A2617="","",IF(G2617="não","Sem tabela no Growths",IF(I2617="","Sem campo no Growths",IF(J2617=K2617,"Importa direto","Ajustar tipo"))))</f>
        <v/>
      </c>
      <c r="M2617" s="9"/>
    </row>
    <row r="2618" customFormat="false" ht="15" hidden="false" customHeight="false" outlineLevel="0" collapsed="false">
      <c r="A2618" s="7" t="str">
        <f aca="false">IF('Outro banco'!A2618="","",IF(LEFT('Outro banco'!A2618,1)="(","",'Outro banco'!A2618))</f>
        <v/>
      </c>
      <c r="B2618" s="7" t="str">
        <f aca="false">IF(A2618="","",'Outro banco'!B2618)</f>
        <v/>
      </c>
      <c r="C2618" s="7" t="str">
        <f aca="false">IF(A2618="","",'Outro banco'!C2618)</f>
        <v/>
      </c>
      <c r="D2618" s="7" t="str">
        <f aca="false">IF(A2618="","",'Outro banco'!D2618)</f>
        <v/>
      </c>
      <c r="E2618" s="9"/>
      <c r="F2618" s="9"/>
      <c r="G2618" s="7" t="str">
        <f aca="false">IF(A2618="","",IF(COUNTIF(Tabelas!$A:$A,IF(E2618="",A2618,E2618))&gt;0,"sim","não"))</f>
        <v/>
      </c>
      <c r="H2618" s="7" t="str">
        <f aca="false">IF(A2618="","",IF(E2618="",A2618,E2618)&amp;"."&amp;IF(F2618="",B2618,F2618))</f>
        <v/>
      </c>
      <c r="I2618" s="7" t="str">
        <f aca="false">IF(A2618="","",IFERROR(INDEX('Campos Growths'!$F:$F,MATCH(H2618,'Campos Growths'!$A:$A,0)),""))</f>
        <v/>
      </c>
      <c r="J2618" s="7" t="str">
        <f aca="false">IF(A2618="","",IFERROR(VLOOKUP(IF(ISNUMBER(SEARCH("(",C2618)),LEFT(C2618,SEARCH("(",C2618)-1),C2618),Tipos!$A:$B,2,FALSE()),"outro"))</f>
        <v/>
      </c>
      <c r="K2618" s="7" t="str">
        <f aca="false">IF(I2618="","",IFERROR(INDEX('Campos Growths'!$L:$L,MATCH(H2618,'Campos Growths'!$A:$A,0)),""))</f>
        <v/>
      </c>
      <c r="L2618" s="7" t="str">
        <f aca="false">IF(A2618="","",IF(G2618="não","Sem tabela no Growths",IF(I2618="","Sem campo no Growths",IF(J2618=K2618,"Importa direto","Ajustar tipo"))))</f>
        <v/>
      </c>
      <c r="M2618" s="9"/>
    </row>
    <row r="2619" customFormat="false" ht="15" hidden="false" customHeight="false" outlineLevel="0" collapsed="false">
      <c r="A2619" s="7" t="str">
        <f aca="false">IF('Outro banco'!A2619="","",IF(LEFT('Outro banco'!A2619,1)="(","",'Outro banco'!A2619))</f>
        <v/>
      </c>
      <c r="B2619" s="7" t="str">
        <f aca="false">IF(A2619="","",'Outro banco'!B2619)</f>
        <v/>
      </c>
      <c r="C2619" s="7" t="str">
        <f aca="false">IF(A2619="","",'Outro banco'!C2619)</f>
        <v/>
      </c>
      <c r="D2619" s="7" t="str">
        <f aca="false">IF(A2619="","",'Outro banco'!D2619)</f>
        <v/>
      </c>
      <c r="E2619" s="9"/>
      <c r="F2619" s="9"/>
      <c r="G2619" s="7" t="str">
        <f aca="false">IF(A2619="","",IF(COUNTIF(Tabelas!$A:$A,IF(E2619="",A2619,E2619))&gt;0,"sim","não"))</f>
        <v/>
      </c>
      <c r="H2619" s="7" t="str">
        <f aca="false">IF(A2619="","",IF(E2619="",A2619,E2619)&amp;"."&amp;IF(F2619="",B2619,F2619))</f>
        <v/>
      </c>
      <c r="I2619" s="7" t="str">
        <f aca="false">IF(A2619="","",IFERROR(INDEX('Campos Growths'!$F:$F,MATCH(H2619,'Campos Growths'!$A:$A,0)),""))</f>
        <v/>
      </c>
      <c r="J2619" s="7" t="str">
        <f aca="false">IF(A2619="","",IFERROR(VLOOKUP(IF(ISNUMBER(SEARCH("(",C2619)),LEFT(C2619,SEARCH("(",C2619)-1),C2619),Tipos!$A:$B,2,FALSE()),"outro"))</f>
        <v/>
      </c>
      <c r="K2619" s="7" t="str">
        <f aca="false">IF(I2619="","",IFERROR(INDEX('Campos Growths'!$L:$L,MATCH(H2619,'Campos Growths'!$A:$A,0)),""))</f>
        <v/>
      </c>
      <c r="L2619" s="7" t="str">
        <f aca="false">IF(A2619="","",IF(G2619="não","Sem tabela no Growths",IF(I2619="","Sem campo no Growths",IF(J2619=K2619,"Importa direto","Ajustar tipo"))))</f>
        <v/>
      </c>
      <c r="M2619" s="9"/>
    </row>
    <row r="2620" customFormat="false" ht="15" hidden="false" customHeight="false" outlineLevel="0" collapsed="false">
      <c r="A2620" s="7" t="str">
        <f aca="false">IF('Outro banco'!A2620="","",IF(LEFT('Outro banco'!A2620,1)="(","",'Outro banco'!A2620))</f>
        <v/>
      </c>
      <c r="B2620" s="7" t="str">
        <f aca="false">IF(A2620="","",'Outro banco'!B2620)</f>
        <v/>
      </c>
      <c r="C2620" s="7" t="str">
        <f aca="false">IF(A2620="","",'Outro banco'!C2620)</f>
        <v/>
      </c>
      <c r="D2620" s="7" t="str">
        <f aca="false">IF(A2620="","",'Outro banco'!D2620)</f>
        <v/>
      </c>
      <c r="E2620" s="9"/>
      <c r="F2620" s="9"/>
      <c r="G2620" s="7" t="str">
        <f aca="false">IF(A2620="","",IF(COUNTIF(Tabelas!$A:$A,IF(E2620="",A2620,E2620))&gt;0,"sim","não"))</f>
        <v/>
      </c>
      <c r="H2620" s="7" t="str">
        <f aca="false">IF(A2620="","",IF(E2620="",A2620,E2620)&amp;"."&amp;IF(F2620="",B2620,F2620))</f>
        <v/>
      </c>
      <c r="I2620" s="7" t="str">
        <f aca="false">IF(A2620="","",IFERROR(INDEX('Campos Growths'!$F:$F,MATCH(H2620,'Campos Growths'!$A:$A,0)),""))</f>
        <v/>
      </c>
      <c r="J2620" s="7" t="str">
        <f aca="false">IF(A2620="","",IFERROR(VLOOKUP(IF(ISNUMBER(SEARCH("(",C2620)),LEFT(C2620,SEARCH("(",C2620)-1),C2620),Tipos!$A:$B,2,FALSE()),"outro"))</f>
        <v/>
      </c>
      <c r="K2620" s="7" t="str">
        <f aca="false">IF(I2620="","",IFERROR(INDEX('Campos Growths'!$L:$L,MATCH(H2620,'Campos Growths'!$A:$A,0)),""))</f>
        <v/>
      </c>
      <c r="L2620" s="7" t="str">
        <f aca="false">IF(A2620="","",IF(G2620="não","Sem tabela no Growths",IF(I2620="","Sem campo no Growths",IF(J2620=K2620,"Importa direto","Ajustar tipo"))))</f>
        <v/>
      </c>
      <c r="M2620" s="9"/>
    </row>
    <row r="2621" customFormat="false" ht="15" hidden="false" customHeight="false" outlineLevel="0" collapsed="false">
      <c r="A2621" s="7" t="str">
        <f aca="false">IF('Outro banco'!A2621="","",IF(LEFT('Outro banco'!A2621,1)="(","",'Outro banco'!A2621))</f>
        <v/>
      </c>
      <c r="B2621" s="7" t="str">
        <f aca="false">IF(A2621="","",'Outro banco'!B2621)</f>
        <v/>
      </c>
      <c r="C2621" s="7" t="str">
        <f aca="false">IF(A2621="","",'Outro banco'!C2621)</f>
        <v/>
      </c>
      <c r="D2621" s="7" t="str">
        <f aca="false">IF(A2621="","",'Outro banco'!D2621)</f>
        <v/>
      </c>
      <c r="E2621" s="9"/>
      <c r="F2621" s="9"/>
      <c r="G2621" s="7" t="str">
        <f aca="false">IF(A2621="","",IF(COUNTIF(Tabelas!$A:$A,IF(E2621="",A2621,E2621))&gt;0,"sim","não"))</f>
        <v/>
      </c>
      <c r="H2621" s="7" t="str">
        <f aca="false">IF(A2621="","",IF(E2621="",A2621,E2621)&amp;"."&amp;IF(F2621="",B2621,F2621))</f>
        <v/>
      </c>
      <c r="I2621" s="7" t="str">
        <f aca="false">IF(A2621="","",IFERROR(INDEX('Campos Growths'!$F:$F,MATCH(H2621,'Campos Growths'!$A:$A,0)),""))</f>
        <v/>
      </c>
      <c r="J2621" s="7" t="str">
        <f aca="false">IF(A2621="","",IFERROR(VLOOKUP(IF(ISNUMBER(SEARCH("(",C2621)),LEFT(C2621,SEARCH("(",C2621)-1),C2621),Tipos!$A:$B,2,FALSE()),"outro"))</f>
        <v/>
      </c>
      <c r="K2621" s="7" t="str">
        <f aca="false">IF(I2621="","",IFERROR(INDEX('Campos Growths'!$L:$L,MATCH(H2621,'Campos Growths'!$A:$A,0)),""))</f>
        <v/>
      </c>
      <c r="L2621" s="7" t="str">
        <f aca="false">IF(A2621="","",IF(G2621="não","Sem tabela no Growths",IF(I2621="","Sem campo no Growths",IF(J2621=K2621,"Importa direto","Ajustar tipo"))))</f>
        <v/>
      </c>
      <c r="M2621" s="9"/>
    </row>
    <row r="2622" customFormat="false" ht="15" hidden="false" customHeight="false" outlineLevel="0" collapsed="false">
      <c r="A2622" s="7" t="str">
        <f aca="false">IF('Outro banco'!A2622="","",IF(LEFT('Outro banco'!A2622,1)="(","",'Outro banco'!A2622))</f>
        <v/>
      </c>
      <c r="B2622" s="7" t="str">
        <f aca="false">IF(A2622="","",'Outro banco'!B2622)</f>
        <v/>
      </c>
      <c r="C2622" s="7" t="str">
        <f aca="false">IF(A2622="","",'Outro banco'!C2622)</f>
        <v/>
      </c>
      <c r="D2622" s="7" t="str">
        <f aca="false">IF(A2622="","",'Outro banco'!D2622)</f>
        <v/>
      </c>
      <c r="E2622" s="9"/>
      <c r="F2622" s="9"/>
      <c r="G2622" s="7" t="str">
        <f aca="false">IF(A2622="","",IF(COUNTIF(Tabelas!$A:$A,IF(E2622="",A2622,E2622))&gt;0,"sim","não"))</f>
        <v/>
      </c>
      <c r="H2622" s="7" t="str">
        <f aca="false">IF(A2622="","",IF(E2622="",A2622,E2622)&amp;"."&amp;IF(F2622="",B2622,F2622))</f>
        <v/>
      </c>
      <c r="I2622" s="7" t="str">
        <f aca="false">IF(A2622="","",IFERROR(INDEX('Campos Growths'!$F:$F,MATCH(H2622,'Campos Growths'!$A:$A,0)),""))</f>
        <v/>
      </c>
      <c r="J2622" s="7" t="str">
        <f aca="false">IF(A2622="","",IFERROR(VLOOKUP(IF(ISNUMBER(SEARCH("(",C2622)),LEFT(C2622,SEARCH("(",C2622)-1),C2622),Tipos!$A:$B,2,FALSE()),"outro"))</f>
        <v/>
      </c>
      <c r="K2622" s="7" t="str">
        <f aca="false">IF(I2622="","",IFERROR(INDEX('Campos Growths'!$L:$L,MATCH(H2622,'Campos Growths'!$A:$A,0)),""))</f>
        <v/>
      </c>
      <c r="L2622" s="7" t="str">
        <f aca="false">IF(A2622="","",IF(G2622="não","Sem tabela no Growths",IF(I2622="","Sem campo no Growths",IF(J2622=K2622,"Importa direto","Ajustar tipo"))))</f>
        <v/>
      </c>
      <c r="M2622" s="9"/>
    </row>
    <row r="2623" customFormat="false" ht="15" hidden="false" customHeight="false" outlineLevel="0" collapsed="false">
      <c r="A2623" s="7" t="str">
        <f aca="false">IF('Outro banco'!A2623="","",IF(LEFT('Outro banco'!A2623,1)="(","",'Outro banco'!A2623))</f>
        <v/>
      </c>
      <c r="B2623" s="7" t="str">
        <f aca="false">IF(A2623="","",'Outro banco'!B2623)</f>
        <v/>
      </c>
      <c r="C2623" s="7" t="str">
        <f aca="false">IF(A2623="","",'Outro banco'!C2623)</f>
        <v/>
      </c>
      <c r="D2623" s="7" t="str">
        <f aca="false">IF(A2623="","",'Outro banco'!D2623)</f>
        <v/>
      </c>
      <c r="E2623" s="9"/>
      <c r="F2623" s="9"/>
      <c r="G2623" s="7" t="str">
        <f aca="false">IF(A2623="","",IF(COUNTIF(Tabelas!$A:$A,IF(E2623="",A2623,E2623))&gt;0,"sim","não"))</f>
        <v/>
      </c>
      <c r="H2623" s="7" t="str">
        <f aca="false">IF(A2623="","",IF(E2623="",A2623,E2623)&amp;"."&amp;IF(F2623="",B2623,F2623))</f>
        <v/>
      </c>
      <c r="I2623" s="7" t="str">
        <f aca="false">IF(A2623="","",IFERROR(INDEX('Campos Growths'!$F:$F,MATCH(H2623,'Campos Growths'!$A:$A,0)),""))</f>
        <v/>
      </c>
      <c r="J2623" s="7" t="str">
        <f aca="false">IF(A2623="","",IFERROR(VLOOKUP(IF(ISNUMBER(SEARCH("(",C2623)),LEFT(C2623,SEARCH("(",C2623)-1),C2623),Tipos!$A:$B,2,FALSE()),"outro"))</f>
        <v/>
      </c>
      <c r="K2623" s="7" t="str">
        <f aca="false">IF(I2623="","",IFERROR(INDEX('Campos Growths'!$L:$L,MATCH(H2623,'Campos Growths'!$A:$A,0)),""))</f>
        <v/>
      </c>
      <c r="L2623" s="7" t="str">
        <f aca="false">IF(A2623="","",IF(G2623="não","Sem tabela no Growths",IF(I2623="","Sem campo no Growths",IF(J2623=K2623,"Importa direto","Ajustar tipo"))))</f>
        <v/>
      </c>
      <c r="M2623" s="9"/>
    </row>
    <row r="2624" customFormat="false" ht="15" hidden="false" customHeight="false" outlineLevel="0" collapsed="false">
      <c r="A2624" s="7" t="str">
        <f aca="false">IF('Outro banco'!A2624="","",IF(LEFT('Outro banco'!A2624,1)="(","",'Outro banco'!A2624))</f>
        <v/>
      </c>
      <c r="B2624" s="7" t="str">
        <f aca="false">IF(A2624="","",'Outro banco'!B2624)</f>
        <v/>
      </c>
      <c r="C2624" s="7" t="str">
        <f aca="false">IF(A2624="","",'Outro banco'!C2624)</f>
        <v/>
      </c>
      <c r="D2624" s="7" t="str">
        <f aca="false">IF(A2624="","",'Outro banco'!D2624)</f>
        <v/>
      </c>
      <c r="E2624" s="9"/>
      <c r="F2624" s="9"/>
      <c r="G2624" s="7" t="str">
        <f aca="false">IF(A2624="","",IF(COUNTIF(Tabelas!$A:$A,IF(E2624="",A2624,E2624))&gt;0,"sim","não"))</f>
        <v/>
      </c>
      <c r="H2624" s="7" t="str">
        <f aca="false">IF(A2624="","",IF(E2624="",A2624,E2624)&amp;"."&amp;IF(F2624="",B2624,F2624))</f>
        <v/>
      </c>
      <c r="I2624" s="7" t="str">
        <f aca="false">IF(A2624="","",IFERROR(INDEX('Campos Growths'!$F:$F,MATCH(H2624,'Campos Growths'!$A:$A,0)),""))</f>
        <v/>
      </c>
      <c r="J2624" s="7" t="str">
        <f aca="false">IF(A2624="","",IFERROR(VLOOKUP(IF(ISNUMBER(SEARCH("(",C2624)),LEFT(C2624,SEARCH("(",C2624)-1),C2624),Tipos!$A:$B,2,FALSE()),"outro"))</f>
        <v/>
      </c>
      <c r="K2624" s="7" t="str">
        <f aca="false">IF(I2624="","",IFERROR(INDEX('Campos Growths'!$L:$L,MATCH(H2624,'Campos Growths'!$A:$A,0)),""))</f>
        <v/>
      </c>
      <c r="L2624" s="7" t="str">
        <f aca="false">IF(A2624="","",IF(G2624="não","Sem tabela no Growths",IF(I2624="","Sem campo no Growths",IF(J2624=K2624,"Importa direto","Ajustar tipo"))))</f>
        <v/>
      </c>
      <c r="M2624" s="9"/>
    </row>
    <row r="2625" customFormat="false" ht="15" hidden="false" customHeight="false" outlineLevel="0" collapsed="false">
      <c r="A2625" s="7" t="str">
        <f aca="false">IF('Outro banco'!A2625="","",IF(LEFT('Outro banco'!A2625,1)="(","",'Outro banco'!A2625))</f>
        <v/>
      </c>
      <c r="B2625" s="7" t="str">
        <f aca="false">IF(A2625="","",'Outro banco'!B2625)</f>
        <v/>
      </c>
      <c r="C2625" s="7" t="str">
        <f aca="false">IF(A2625="","",'Outro banco'!C2625)</f>
        <v/>
      </c>
      <c r="D2625" s="7" t="str">
        <f aca="false">IF(A2625="","",'Outro banco'!D2625)</f>
        <v/>
      </c>
      <c r="E2625" s="9"/>
      <c r="F2625" s="9"/>
      <c r="G2625" s="7" t="str">
        <f aca="false">IF(A2625="","",IF(COUNTIF(Tabelas!$A:$A,IF(E2625="",A2625,E2625))&gt;0,"sim","não"))</f>
        <v/>
      </c>
      <c r="H2625" s="7" t="str">
        <f aca="false">IF(A2625="","",IF(E2625="",A2625,E2625)&amp;"."&amp;IF(F2625="",B2625,F2625))</f>
        <v/>
      </c>
      <c r="I2625" s="7" t="str">
        <f aca="false">IF(A2625="","",IFERROR(INDEX('Campos Growths'!$F:$F,MATCH(H2625,'Campos Growths'!$A:$A,0)),""))</f>
        <v/>
      </c>
      <c r="J2625" s="7" t="str">
        <f aca="false">IF(A2625="","",IFERROR(VLOOKUP(IF(ISNUMBER(SEARCH("(",C2625)),LEFT(C2625,SEARCH("(",C2625)-1),C2625),Tipos!$A:$B,2,FALSE()),"outro"))</f>
        <v/>
      </c>
      <c r="K2625" s="7" t="str">
        <f aca="false">IF(I2625="","",IFERROR(INDEX('Campos Growths'!$L:$L,MATCH(H2625,'Campos Growths'!$A:$A,0)),""))</f>
        <v/>
      </c>
      <c r="L2625" s="7" t="str">
        <f aca="false">IF(A2625="","",IF(G2625="não","Sem tabela no Growths",IF(I2625="","Sem campo no Growths",IF(J2625=K2625,"Importa direto","Ajustar tipo"))))</f>
        <v/>
      </c>
      <c r="M2625" s="9"/>
    </row>
    <row r="2626" customFormat="false" ht="15" hidden="false" customHeight="false" outlineLevel="0" collapsed="false">
      <c r="A2626" s="7" t="str">
        <f aca="false">IF('Outro banco'!A2626="","",IF(LEFT('Outro banco'!A2626,1)="(","",'Outro banco'!A2626))</f>
        <v/>
      </c>
      <c r="B2626" s="7" t="str">
        <f aca="false">IF(A2626="","",'Outro banco'!B2626)</f>
        <v/>
      </c>
      <c r="C2626" s="7" t="str">
        <f aca="false">IF(A2626="","",'Outro banco'!C2626)</f>
        <v/>
      </c>
      <c r="D2626" s="7" t="str">
        <f aca="false">IF(A2626="","",'Outro banco'!D2626)</f>
        <v/>
      </c>
      <c r="E2626" s="9"/>
      <c r="F2626" s="9"/>
      <c r="G2626" s="7" t="str">
        <f aca="false">IF(A2626="","",IF(COUNTIF(Tabelas!$A:$A,IF(E2626="",A2626,E2626))&gt;0,"sim","não"))</f>
        <v/>
      </c>
      <c r="H2626" s="7" t="str">
        <f aca="false">IF(A2626="","",IF(E2626="",A2626,E2626)&amp;"."&amp;IF(F2626="",B2626,F2626))</f>
        <v/>
      </c>
      <c r="I2626" s="7" t="str">
        <f aca="false">IF(A2626="","",IFERROR(INDEX('Campos Growths'!$F:$F,MATCH(H2626,'Campos Growths'!$A:$A,0)),""))</f>
        <v/>
      </c>
      <c r="J2626" s="7" t="str">
        <f aca="false">IF(A2626="","",IFERROR(VLOOKUP(IF(ISNUMBER(SEARCH("(",C2626)),LEFT(C2626,SEARCH("(",C2626)-1),C2626),Tipos!$A:$B,2,FALSE()),"outro"))</f>
        <v/>
      </c>
      <c r="K2626" s="7" t="str">
        <f aca="false">IF(I2626="","",IFERROR(INDEX('Campos Growths'!$L:$L,MATCH(H2626,'Campos Growths'!$A:$A,0)),""))</f>
        <v/>
      </c>
      <c r="L2626" s="7" t="str">
        <f aca="false">IF(A2626="","",IF(G2626="não","Sem tabela no Growths",IF(I2626="","Sem campo no Growths",IF(J2626=K2626,"Importa direto","Ajustar tipo"))))</f>
        <v/>
      </c>
      <c r="M2626" s="9"/>
    </row>
    <row r="2627" customFormat="false" ht="15" hidden="false" customHeight="false" outlineLevel="0" collapsed="false">
      <c r="A2627" s="7" t="str">
        <f aca="false">IF('Outro banco'!A2627="","",IF(LEFT('Outro banco'!A2627,1)="(","",'Outro banco'!A2627))</f>
        <v/>
      </c>
      <c r="B2627" s="7" t="str">
        <f aca="false">IF(A2627="","",'Outro banco'!B2627)</f>
        <v/>
      </c>
      <c r="C2627" s="7" t="str">
        <f aca="false">IF(A2627="","",'Outro banco'!C2627)</f>
        <v/>
      </c>
      <c r="D2627" s="7" t="str">
        <f aca="false">IF(A2627="","",'Outro banco'!D2627)</f>
        <v/>
      </c>
      <c r="E2627" s="9"/>
      <c r="F2627" s="9"/>
      <c r="G2627" s="7" t="str">
        <f aca="false">IF(A2627="","",IF(COUNTIF(Tabelas!$A:$A,IF(E2627="",A2627,E2627))&gt;0,"sim","não"))</f>
        <v/>
      </c>
      <c r="H2627" s="7" t="str">
        <f aca="false">IF(A2627="","",IF(E2627="",A2627,E2627)&amp;"."&amp;IF(F2627="",B2627,F2627))</f>
        <v/>
      </c>
      <c r="I2627" s="7" t="str">
        <f aca="false">IF(A2627="","",IFERROR(INDEX('Campos Growths'!$F:$F,MATCH(H2627,'Campos Growths'!$A:$A,0)),""))</f>
        <v/>
      </c>
      <c r="J2627" s="7" t="str">
        <f aca="false">IF(A2627="","",IFERROR(VLOOKUP(IF(ISNUMBER(SEARCH("(",C2627)),LEFT(C2627,SEARCH("(",C2627)-1),C2627),Tipos!$A:$B,2,FALSE()),"outro"))</f>
        <v/>
      </c>
      <c r="K2627" s="7" t="str">
        <f aca="false">IF(I2627="","",IFERROR(INDEX('Campos Growths'!$L:$L,MATCH(H2627,'Campos Growths'!$A:$A,0)),""))</f>
        <v/>
      </c>
      <c r="L2627" s="7" t="str">
        <f aca="false">IF(A2627="","",IF(G2627="não","Sem tabela no Growths",IF(I2627="","Sem campo no Growths",IF(J2627=K2627,"Importa direto","Ajustar tipo"))))</f>
        <v/>
      </c>
      <c r="M2627" s="9"/>
    </row>
    <row r="2628" customFormat="false" ht="15" hidden="false" customHeight="false" outlineLevel="0" collapsed="false">
      <c r="A2628" s="7" t="str">
        <f aca="false">IF('Outro banco'!A2628="","",IF(LEFT('Outro banco'!A2628,1)="(","",'Outro banco'!A2628))</f>
        <v/>
      </c>
      <c r="B2628" s="7" t="str">
        <f aca="false">IF(A2628="","",'Outro banco'!B2628)</f>
        <v/>
      </c>
      <c r="C2628" s="7" t="str">
        <f aca="false">IF(A2628="","",'Outro banco'!C2628)</f>
        <v/>
      </c>
      <c r="D2628" s="7" t="str">
        <f aca="false">IF(A2628="","",'Outro banco'!D2628)</f>
        <v/>
      </c>
      <c r="E2628" s="9"/>
      <c r="F2628" s="9"/>
      <c r="G2628" s="7" t="str">
        <f aca="false">IF(A2628="","",IF(COUNTIF(Tabelas!$A:$A,IF(E2628="",A2628,E2628))&gt;0,"sim","não"))</f>
        <v/>
      </c>
      <c r="H2628" s="7" t="str">
        <f aca="false">IF(A2628="","",IF(E2628="",A2628,E2628)&amp;"."&amp;IF(F2628="",B2628,F2628))</f>
        <v/>
      </c>
      <c r="I2628" s="7" t="str">
        <f aca="false">IF(A2628="","",IFERROR(INDEX('Campos Growths'!$F:$F,MATCH(H2628,'Campos Growths'!$A:$A,0)),""))</f>
        <v/>
      </c>
      <c r="J2628" s="7" t="str">
        <f aca="false">IF(A2628="","",IFERROR(VLOOKUP(IF(ISNUMBER(SEARCH("(",C2628)),LEFT(C2628,SEARCH("(",C2628)-1),C2628),Tipos!$A:$B,2,FALSE()),"outro"))</f>
        <v/>
      </c>
      <c r="K2628" s="7" t="str">
        <f aca="false">IF(I2628="","",IFERROR(INDEX('Campos Growths'!$L:$L,MATCH(H2628,'Campos Growths'!$A:$A,0)),""))</f>
        <v/>
      </c>
      <c r="L2628" s="7" t="str">
        <f aca="false">IF(A2628="","",IF(G2628="não","Sem tabela no Growths",IF(I2628="","Sem campo no Growths",IF(J2628=K2628,"Importa direto","Ajustar tipo"))))</f>
        <v/>
      </c>
      <c r="M2628" s="9"/>
    </row>
    <row r="2629" customFormat="false" ht="15" hidden="false" customHeight="false" outlineLevel="0" collapsed="false">
      <c r="A2629" s="7" t="str">
        <f aca="false">IF('Outro banco'!A2629="","",IF(LEFT('Outro banco'!A2629,1)="(","",'Outro banco'!A2629))</f>
        <v/>
      </c>
      <c r="B2629" s="7" t="str">
        <f aca="false">IF(A2629="","",'Outro banco'!B2629)</f>
        <v/>
      </c>
      <c r="C2629" s="7" t="str">
        <f aca="false">IF(A2629="","",'Outro banco'!C2629)</f>
        <v/>
      </c>
      <c r="D2629" s="7" t="str">
        <f aca="false">IF(A2629="","",'Outro banco'!D2629)</f>
        <v/>
      </c>
      <c r="E2629" s="9"/>
      <c r="F2629" s="9"/>
      <c r="G2629" s="7" t="str">
        <f aca="false">IF(A2629="","",IF(COUNTIF(Tabelas!$A:$A,IF(E2629="",A2629,E2629))&gt;0,"sim","não"))</f>
        <v/>
      </c>
      <c r="H2629" s="7" t="str">
        <f aca="false">IF(A2629="","",IF(E2629="",A2629,E2629)&amp;"."&amp;IF(F2629="",B2629,F2629))</f>
        <v/>
      </c>
      <c r="I2629" s="7" t="str">
        <f aca="false">IF(A2629="","",IFERROR(INDEX('Campos Growths'!$F:$F,MATCH(H2629,'Campos Growths'!$A:$A,0)),""))</f>
        <v/>
      </c>
      <c r="J2629" s="7" t="str">
        <f aca="false">IF(A2629="","",IFERROR(VLOOKUP(IF(ISNUMBER(SEARCH("(",C2629)),LEFT(C2629,SEARCH("(",C2629)-1),C2629),Tipos!$A:$B,2,FALSE()),"outro"))</f>
        <v/>
      </c>
      <c r="K2629" s="7" t="str">
        <f aca="false">IF(I2629="","",IFERROR(INDEX('Campos Growths'!$L:$L,MATCH(H2629,'Campos Growths'!$A:$A,0)),""))</f>
        <v/>
      </c>
      <c r="L2629" s="7" t="str">
        <f aca="false">IF(A2629="","",IF(G2629="não","Sem tabela no Growths",IF(I2629="","Sem campo no Growths",IF(J2629=K2629,"Importa direto","Ajustar tipo"))))</f>
        <v/>
      </c>
      <c r="M2629" s="9"/>
    </row>
    <row r="2630" customFormat="false" ht="15" hidden="false" customHeight="false" outlineLevel="0" collapsed="false">
      <c r="A2630" s="7" t="str">
        <f aca="false">IF('Outro banco'!A2630="","",IF(LEFT('Outro banco'!A2630,1)="(","",'Outro banco'!A2630))</f>
        <v/>
      </c>
      <c r="B2630" s="7" t="str">
        <f aca="false">IF(A2630="","",'Outro banco'!B2630)</f>
        <v/>
      </c>
      <c r="C2630" s="7" t="str">
        <f aca="false">IF(A2630="","",'Outro banco'!C2630)</f>
        <v/>
      </c>
      <c r="D2630" s="7" t="str">
        <f aca="false">IF(A2630="","",'Outro banco'!D2630)</f>
        <v/>
      </c>
      <c r="E2630" s="9"/>
      <c r="F2630" s="9"/>
      <c r="G2630" s="7" t="str">
        <f aca="false">IF(A2630="","",IF(COUNTIF(Tabelas!$A:$A,IF(E2630="",A2630,E2630))&gt;0,"sim","não"))</f>
        <v/>
      </c>
      <c r="H2630" s="7" t="str">
        <f aca="false">IF(A2630="","",IF(E2630="",A2630,E2630)&amp;"."&amp;IF(F2630="",B2630,F2630))</f>
        <v/>
      </c>
      <c r="I2630" s="7" t="str">
        <f aca="false">IF(A2630="","",IFERROR(INDEX('Campos Growths'!$F:$F,MATCH(H2630,'Campos Growths'!$A:$A,0)),""))</f>
        <v/>
      </c>
      <c r="J2630" s="7" t="str">
        <f aca="false">IF(A2630="","",IFERROR(VLOOKUP(IF(ISNUMBER(SEARCH("(",C2630)),LEFT(C2630,SEARCH("(",C2630)-1),C2630),Tipos!$A:$B,2,FALSE()),"outro"))</f>
        <v/>
      </c>
      <c r="K2630" s="7" t="str">
        <f aca="false">IF(I2630="","",IFERROR(INDEX('Campos Growths'!$L:$L,MATCH(H2630,'Campos Growths'!$A:$A,0)),""))</f>
        <v/>
      </c>
      <c r="L2630" s="7" t="str">
        <f aca="false">IF(A2630="","",IF(G2630="não","Sem tabela no Growths",IF(I2630="","Sem campo no Growths",IF(J2630=K2630,"Importa direto","Ajustar tipo"))))</f>
        <v/>
      </c>
      <c r="M2630" s="9"/>
    </row>
    <row r="2631" customFormat="false" ht="15" hidden="false" customHeight="false" outlineLevel="0" collapsed="false">
      <c r="A2631" s="7" t="str">
        <f aca="false">IF('Outro banco'!A2631="","",IF(LEFT('Outro banco'!A2631,1)="(","",'Outro banco'!A2631))</f>
        <v/>
      </c>
      <c r="B2631" s="7" t="str">
        <f aca="false">IF(A2631="","",'Outro banco'!B2631)</f>
        <v/>
      </c>
      <c r="C2631" s="7" t="str">
        <f aca="false">IF(A2631="","",'Outro banco'!C2631)</f>
        <v/>
      </c>
      <c r="D2631" s="7" t="str">
        <f aca="false">IF(A2631="","",'Outro banco'!D2631)</f>
        <v/>
      </c>
      <c r="E2631" s="9"/>
      <c r="F2631" s="9"/>
      <c r="G2631" s="7" t="str">
        <f aca="false">IF(A2631="","",IF(COUNTIF(Tabelas!$A:$A,IF(E2631="",A2631,E2631))&gt;0,"sim","não"))</f>
        <v/>
      </c>
      <c r="H2631" s="7" t="str">
        <f aca="false">IF(A2631="","",IF(E2631="",A2631,E2631)&amp;"."&amp;IF(F2631="",B2631,F2631))</f>
        <v/>
      </c>
      <c r="I2631" s="7" t="str">
        <f aca="false">IF(A2631="","",IFERROR(INDEX('Campos Growths'!$F:$F,MATCH(H2631,'Campos Growths'!$A:$A,0)),""))</f>
        <v/>
      </c>
      <c r="J2631" s="7" t="str">
        <f aca="false">IF(A2631="","",IFERROR(VLOOKUP(IF(ISNUMBER(SEARCH("(",C2631)),LEFT(C2631,SEARCH("(",C2631)-1),C2631),Tipos!$A:$B,2,FALSE()),"outro"))</f>
        <v/>
      </c>
      <c r="K2631" s="7" t="str">
        <f aca="false">IF(I2631="","",IFERROR(INDEX('Campos Growths'!$L:$L,MATCH(H2631,'Campos Growths'!$A:$A,0)),""))</f>
        <v/>
      </c>
      <c r="L2631" s="7" t="str">
        <f aca="false">IF(A2631="","",IF(G2631="não","Sem tabela no Growths",IF(I2631="","Sem campo no Growths",IF(J2631=K2631,"Importa direto","Ajustar tipo"))))</f>
        <v/>
      </c>
      <c r="M2631" s="9"/>
    </row>
    <row r="2632" customFormat="false" ht="15" hidden="false" customHeight="false" outlineLevel="0" collapsed="false">
      <c r="A2632" s="7" t="str">
        <f aca="false">IF('Outro banco'!A2632="","",IF(LEFT('Outro banco'!A2632,1)="(","",'Outro banco'!A2632))</f>
        <v/>
      </c>
      <c r="B2632" s="7" t="str">
        <f aca="false">IF(A2632="","",'Outro banco'!B2632)</f>
        <v/>
      </c>
      <c r="C2632" s="7" t="str">
        <f aca="false">IF(A2632="","",'Outro banco'!C2632)</f>
        <v/>
      </c>
      <c r="D2632" s="7" t="str">
        <f aca="false">IF(A2632="","",'Outro banco'!D2632)</f>
        <v/>
      </c>
      <c r="E2632" s="9"/>
      <c r="F2632" s="9"/>
      <c r="G2632" s="7" t="str">
        <f aca="false">IF(A2632="","",IF(COUNTIF(Tabelas!$A:$A,IF(E2632="",A2632,E2632))&gt;0,"sim","não"))</f>
        <v/>
      </c>
      <c r="H2632" s="7" t="str">
        <f aca="false">IF(A2632="","",IF(E2632="",A2632,E2632)&amp;"."&amp;IF(F2632="",B2632,F2632))</f>
        <v/>
      </c>
      <c r="I2632" s="7" t="str">
        <f aca="false">IF(A2632="","",IFERROR(INDEX('Campos Growths'!$F:$F,MATCH(H2632,'Campos Growths'!$A:$A,0)),""))</f>
        <v/>
      </c>
      <c r="J2632" s="7" t="str">
        <f aca="false">IF(A2632="","",IFERROR(VLOOKUP(IF(ISNUMBER(SEARCH("(",C2632)),LEFT(C2632,SEARCH("(",C2632)-1),C2632),Tipos!$A:$B,2,FALSE()),"outro"))</f>
        <v/>
      </c>
      <c r="K2632" s="7" t="str">
        <f aca="false">IF(I2632="","",IFERROR(INDEX('Campos Growths'!$L:$L,MATCH(H2632,'Campos Growths'!$A:$A,0)),""))</f>
        <v/>
      </c>
      <c r="L2632" s="7" t="str">
        <f aca="false">IF(A2632="","",IF(G2632="não","Sem tabela no Growths",IF(I2632="","Sem campo no Growths",IF(J2632=K2632,"Importa direto","Ajustar tipo"))))</f>
        <v/>
      </c>
      <c r="M2632" s="9"/>
    </row>
    <row r="2633" customFormat="false" ht="15" hidden="false" customHeight="false" outlineLevel="0" collapsed="false">
      <c r="A2633" s="7" t="str">
        <f aca="false">IF('Outro banco'!A2633="","",IF(LEFT('Outro banco'!A2633,1)="(","",'Outro banco'!A2633))</f>
        <v/>
      </c>
      <c r="B2633" s="7" t="str">
        <f aca="false">IF(A2633="","",'Outro banco'!B2633)</f>
        <v/>
      </c>
      <c r="C2633" s="7" t="str">
        <f aca="false">IF(A2633="","",'Outro banco'!C2633)</f>
        <v/>
      </c>
      <c r="D2633" s="7" t="str">
        <f aca="false">IF(A2633="","",'Outro banco'!D2633)</f>
        <v/>
      </c>
      <c r="E2633" s="9"/>
      <c r="F2633" s="9"/>
      <c r="G2633" s="7" t="str">
        <f aca="false">IF(A2633="","",IF(COUNTIF(Tabelas!$A:$A,IF(E2633="",A2633,E2633))&gt;0,"sim","não"))</f>
        <v/>
      </c>
      <c r="H2633" s="7" t="str">
        <f aca="false">IF(A2633="","",IF(E2633="",A2633,E2633)&amp;"."&amp;IF(F2633="",B2633,F2633))</f>
        <v/>
      </c>
      <c r="I2633" s="7" t="str">
        <f aca="false">IF(A2633="","",IFERROR(INDEX('Campos Growths'!$F:$F,MATCH(H2633,'Campos Growths'!$A:$A,0)),""))</f>
        <v/>
      </c>
      <c r="J2633" s="7" t="str">
        <f aca="false">IF(A2633="","",IFERROR(VLOOKUP(IF(ISNUMBER(SEARCH("(",C2633)),LEFT(C2633,SEARCH("(",C2633)-1),C2633),Tipos!$A:$B,2,FALSE()),"outro"))</f>
        <v/>
      </c>
      <c r="K2633" s="7" t="str">
        <f aca="false">IF(I2633="","",IFERROR(INDEX('Campos Growths'!$L:$L,MATCH(H2633,'Campos Growths'!$A:$A,0)),""))</f>
        <v/>
      </c>
      <c r="L2633" s="7" t="str">
        <f aca="false">IF(A2633="","",IF(G2633="não","Sem tabela no Growths",IF(I2633="","Sem campo no Growths",IF(J2633=K2633,"Importa direto","Ajustar tipo"))))</f>
        <v/>
      </c>
      <c r="M2633" s="9"/>
    </row>
    <row r="2634" customFormat="false" ht="15" hidden="false" customHeight="false" outlineLevel="0" collapsed="false">
      <c r="A2634" s="7" t="str">
        <f aca="false">IF('Outro banco'!A2634="","",IF(LEFT('Outro banco'!A2634,1)="(","",'Outro banco'!A2634))</f>
        <v/>
      </c>
      <c r="B2634" s="7" t="str">
        <f aca="false">IF(A2634="","",'Outro banco'!B2634)</f>
        <v/>
      </c>
      <c r="C2634" s="7" t="str">
        <f aca="false">IF(A2634="","",'Outro banco'!C2634)</f>
        <v/>
      </c>
      <c r="D2634" s="7" t="str">
        <f aca="false">IF(A2634="","",'Outro banco'!D2634)</f>
        <v/>
      </c>
      <c r="E2634" s="9"/>
      <c r="F2634" s="9"/>
      <c r="G2634" s="7" t="str">
        <f aca="false">IF(A2634="","",IF(COUNTIF(Tabelas!$A:$A,IF(E2634="",A2634,E2634))&gt;0,"sim","não"))</f>
        <v/>
      </c>
      <c r="H2634" s="7" t="str">
        <f aca="false">IF(A2634="","",IF(E2634="",A2634,E2634)&amp;"."&amp;IF(F2634="",B2634,F2634))</f>
        <v/>
      </c>
      <c r="I2634" s="7" t="str">
        <f aca="false">IF(A2634="","",IFERROR(INDEX('Campos Growths'!$F:$F,MATCH(H2634,'Campos Growths'!$A:$A,0)),""))</f>
        <v/>
      </c>
      <c r="J2634" s="7" t="str">
        <f aca="false">IF(A2634="","",IFERROR(VLOOKUP(IF(ISNUMBER(SEARCH("(",C2634)),LEFT(C2634,SEARCH("(",C2634)-1),C2634),Tipos!$A:$B,2,FALSE()),"outro"))</f>
        <v/>
      </c>
      <c r="K2634" s="7" t="str">
        <f aca="false">IF(I2634="","",IFERROR(INDEX('Campos Growths'!$L:$L,MATCH(H2634,'Campos Growths'!$A:$A,0)),""))</f>
        <v/>
      </c>
      <c r="L2634" s="7" t="str">
        <f aca="false">IF(A2634="","",IF(G2634="não","Sem tabela no Growths",IF(I2634="","Sem campo no Growths",IF(J2634=K2634,"Importa direto","Ajustar tipo"))))</f>
        <v/>
      </c>
      <c r="M2634" s="9"/>
    </row>
    <row r="2635" customFormat="false" ht="15" hidden="false" customHeight="false" outlineLevel="0" collapsed="false">
      <c r="A2635" s="7" t="str">
        <f aca="false">IF('Outro banco'!A2635="","",IF(LEFT('Outro banco'!A2635,1)="(","",'Outro banco'!A2635))</f>
        <v/>
      </c>
      <c r="B2635" s="7" t="str">
        <f aca="false">IF(A2635="","",'Outro banco'!B2635)</f>
        <v/>
      </c>
      <c r="C2635" s="7" t="str">
        <f aca="false">IF(A2635="","",'Outro banco'!C2635)</f>
        <v/>
      </c>
      <c r="D2635" s="7" t="str">
        <f aca="false">IF(A2635="","",'Outro banco'!D2635)</f>
        <v/>
      </c>
      <c r="E2635" s="9"/>
      <c r="F2635" s="9"/>
      <c r="G2635" s="7" t="str">
        <f aca="false">IF(A2635="","",IF(COUNTIF(Tabelas!$A:$A,IF(E2635="",A2635,E2635))&gt;0,"sim","não"))</f>
        <v/>
      </c>
      <c r="H2635" s="7" t="str">
        <f aca="false">IF(A2635="","",IF(E2635="",A2635,E2635)&amp;"."&amp;IF(F2635="",B2635,F2635))</f>
        <v/>
      </c>
      <c r="I2635" s="7" t="str">
        <f aca="false">IF(A2635="","",IFERROR(INDEX('Campos Growths'!$F:$F,MATCH(H2635,'Campos Growths'!$A:$A,0)),""))</f>
        <v/>
      </c>
      <c r="J2635" s="7" t="str">
        <f aca="false">IF(A2635="","",IFERROR(VLOOKUP(IF(ISNUMBER(SEARCH("(",C2635)),LEFT(C2635,SEARCH("(",C2635)-1),C2635),Tipos!$A:$B,2,FALSE()),"outro"))</f>
        <v/>
      </c>
      <c r="K2635" s="7" t="str">
        <f aca="false">IF(I2635="","",IFERROR(INDEX('Campos Growths'!$L:$L,MATCH(H2635,'Campos Growths'!$A:$A,0)),""))</f>
        <v/>
      </c>
      <c r="L2635" s="7" t="str">
        <f aca="false">IF(A2635="","",IF(G2635="não","Sem tabela no Growths",IF(I2635="","Sem campo no Growths",IF(J2635=K2635,"Importa direto","Ajustar tipo"))))</f>
        <v/>
      </c>
      <c r="M2635" s="9"/>
    </row>
    <row r="2636" customFormat="false" ht="15" hidden="false" customHeight="false" outlineLevel="0" collapsed="false">
      <c r="A2636" s="7" t="str">
        <f aca="false">IF('Outro banco'!A2636="","",IF(LEFT('Outro banco'!A2636,1)="(","",'Outro banco'!A2636))</f>
        <v/>
      </c>
      <c r="B2636" s="7" t="str">
        <f aca="false">IF(A2636="","",'Outro banco'!B2636)</f>
        <v/>
      </c>
      <c r="C2636" s="7" t="str">
        <f aca="false">IF(A2636="","",'Outro banco'!C2636)</f>
        <v/>
      </c>
      <c r="D2636" s="7" t="str">
        <f aca="false">IF(A2636="","",'Outro banco'!D2636)</f>
        <v/>
      </c>
      <c r="E2636" s="9"/>
      <c r="F2636" s="9"/>
      <c r="G2636" s="7" t="str">
        <f aca="false">IF(A2636="","",IF(COUNTIF(Tabelas!$A:$A,IF(E2636="",A2636,E2636))&gt;0,"sim","não"))</f>
        <v/>
      </c>
      <c r="H2636" s="7" t="str">
        <f aca="false">IF(A2636="","",IF(E2636="",A2636,E2636)&amp;"."&amp;IF(F2636="",B2636,F2636))</f>
        <v/>
      </c>
      <c r="I2636" s="7" t="str">
        <f aca="false">IF(A2636="","",IFERROR(INDEX('Campos Growths'!$F:$F,MATCH(H2636,'Campos Growths'!$A:$A,0)),""))</f>
        <v/>
      </c>
      <c r="J2636" s="7" t="str">
        <f aca="false">IF(A2636="","",IFERROR(VLOOKUP(IF(ISNUMBER(SEARCH("(",C2636)),LEFT(C2636,SEARCH("(",C2636)-1),C2636),Tipos!$A:$B,2,FALSE()),"outro"))</f>
        <v/>
      </c>
      <c r="K2636" s="7" t="str">
        <f aca="false">IF(I2636="","",IFERROR(INDEX('Campos Growths'!$L:$L,MATCH(H2636,'Campos Growths'!$A:$A,0)),""))</f>
        <v/>
      </c>
      <c r="L2636" s="7" t="str">
        <f aca="false">IF(A2636="","",IF(G2636="não","Sem tabela no Growths",IF(I2636="","Sem campo no Growths",IF(J2636=K2636,"Importa direto","Ajustar tipo"))))</f>
        <v/>
      </c>
      <c r="M2636" s="9"/>
    </row>
    <row r="2637" customFormat="false" ht="15" hidden="false" customHeight="false" outlineLevel="0" collapsed="false">
      <c r="A2637" s="7" t="str">
        <f aca="false">IF('Outro banco'!A2637="","",IF(LEFT('Outro banco'!A2637,1)="(","",'Outro banco'!A2637))</f>
        <v/>
      </c>
      <c r="B2637" s="7" t="str">
        <f aca="false">IF(A2637="","",'Outro banco'!B2637)</f>
        <v/>
      </c>
      <c r="C2637" s="7" t="str">
        <f aca="false">IF(A2637="","",'Outro banco'!C2637)</f>
        <v/>
      </c>
      <c r="D2637" s="7" t="str">
        <f aca="false">IF(A2637="","",'Outro banco'!D2637)</f>
        <v/>
      </c>
      <c r="E2637" s="9"/>
      <c r="F2637" s="9"/>
      <c r="G2637" s="7" t="str">
        <f aca="false">IF(A2637="","",IF(COUNTIF(Tabelas!$A:$A,IF(E2637="",A2637,E2637))&gt;0,"sim","não"))</f>
        <v/>
      </c>
      <c r="H2637" s="7" t="str">
        <f aca="false">IF(A2637="","",IF(E2637="",A2637,E2637)&amp;"."&amp;IF(F2637="",B2637,F2637))</f>
        <v/>
      </c>
      <c r="I2637" s="7" t="str">
        <f aca="false">IF(A2637="","",IFERROR(INDEX('Campos Growths'!$F:$F,MATCH(H2637,'Campos Growths'!$A:$A,0)),""))</f>
        <v/>
      </c>
      <c r="J2637" s="7" t="str">
        <f aca="false">IF(A2637="","",IFERROR(VLOOKUP(IF(ISNUMBER(SEARCH("(",C2637)),LEFT(C2637,SEARCH("(",C2637)-1),C2637),Tipos!$A:$B,2,FALSE()),"outro"))</f>
        <v/>
      </c>
      <c r="K2637" s="7" t="str">
        <f aca="false">IF(I2637="","",IFERROR(INDEX('Campos Growths'!$L:$L,MATCH(H2637,'Campos Growths'!$A:$A,0)),""))</f>
        <v/>
      </c>
      <c r="L2637" s="7" t="str">
        <f aca="false">IF(A2637="","",IF(G2637="não","Sem tabela no Growths",IF(I2637="","Sem campo no Growths",IF(J2637=K2637,"Importa direto","Ajustar tipo"))))</f>
        <v/>
      </c>
      <c r="M2637" s="9"/>
    </row>
    <row r="2638" customFormat="false" ht="15" hidden="false" customHeight="false" outlineLevel="0" collapsed="false">
      <c r="A2638" s="7" t="str">
        <f aca="false">IF('Outro banco'!A2638="","",IF(LEFT('Outro banco'!A2638,1)="(","",'Outro banco'!A2638))</f>
        <v/>
      </c>
      <c r="B2638" s="7" t="str">
        <f aca="false">IF(A2638="","",'Outro banco'!B2638)</f>
        <v/>
      </c>
      <c r="C2638" s="7" t="str">
        <f aca="false">IF(A2638="","",'Outro banco'!C2638)</f>
        <v/>
      </c>
      <c r="D2638" s="7" t="str">
        <f aca="false">IF(A2638="","",'Outro banco'!D2638)</f>
        <v/>
      </c>
      <c r="E2638" s="9"/>
      <c r="F2638" s="9"/>
      <c r="G2638" s="7" t="str">
        <f aca="false">IF(A2638="","",IF(COUNTIF(Tabelas!$A:$A,IF(E2638="",A2638,E2638))&gt;0,"sim","não"))</f>
        <v/>
      </c>
      <c r="H2638" s="7" t="str">
        <f aca="false">IF(A2638="","",IF(E2638="",A2638,E2638)&amp;"."&amp;IF(F2638="",B2638,F2638))</f>
        <v/>
      </c>
      <c r="I2638" s="7" t="str">
        <f aca="false">IF(A2638="","",IFERROR(INDEX('Campos Growths'!$F:$F,MATCH(H2638,'Campos Growths'!$A:$A,0)),""))</f>
        <v/>
      </c>
      <c r="J2638" s="7" t="str">
        <f aca="false">IF(A2638="","",IFERROR(VLOOKUP(IF(ISNUMBER(SEARCH("(",C2638)),LEFT(C2638,SEARCH("(",C2638)-1),C2638),Tipos!$A:$B,2,FALSE()),"outro"))</f>
        <v/>
      </c>
      <c r="K2638" s="7" t="str">
        <f aca="false">IF(I2638="","",IFERROR(INDEX('Campos Growths'!$L:$L,MATCH(H2638,'Campos Growths'!$A:$A,0)),""))</f>
        <v/>
      </c>
      <c r="L2638" s="7" t="str">
        <f aca="false">IF(A2638="","",IF(G2638="não","Sem tabela no Growths",IF(I2638="","Sem campo no Growths",IF(J2638=K2638,"Importa direto","Ajustar tipo"))))</f>
        <v/>
      </c>
      <c r="M2638" s="9"/>
    </row>
    <row r="2639" customFormat="false" ht="15" hidden="false" customHeight="false" outlineLevel="0" collapsed="false">
      <c r="A2639" s="7" t="str">
        <f aca="false">IF('Outro banco'!A2639="","",IF(LEFT('Outro banco'!A2639,1)="(","",'Outro banco'!A2639))</f>
        <v/>
      </c>
      <c r="B2639" s="7" t="str">
        <f aca="false">IF(A2639="","",'Outro banco'!B2639)</f>
        <v/>
      </c>
      <c r="C2639" s="7" t="str">
        <f aca="false">IF(A2639="","",'Outro banco'!C2639)</f>
        <v/>
      </c>
      <c r="D2639" s="7" t="str">
        <f aca="false">IF(A2639="","",'Outro banco'!D2639)</f>
        <v/>
      </c>
      <c r="E2639" s="9"/>
      <c r="F2639" s="9"/>
      <c r="G2639" s="7" t="str">
        <f aca="false">IF(A2639="","",IF(COUNTIF(Tabelas!$A:$A,IF(E2639="",A2639,E2639))&gt;0,"sim","não"))</f>
        <v/>
      </c>
      <c r="H2639" s="7" t="str">
        <f aca="false">IF(A2639="","",IF(E2639="",A2639,E2639)&amp;"."&amp;IF(F2639="",B2639,F2639))</f>
        <v/>
      </c>
      <c r="I2639" s="7" t="str">
        <f aca="false">IF(A2639="","",IFERROR(INDEX('Campos Growths'!$F:$F,MATCH(H2639,'Campos Growths'!$A:$A,0)),""))</f>
        <v/>
      </c>
      <c r="J2639" s="7" t="str">
        <f aca="false">IF(A2639="","",IFERROR(VLOOKUP(IF(ISNUMBER(SEARCH("(",C2639)),LEFT(C2639,SEARCH("(",C2639)-1),C2639),Tipos!$A:$B,2,FALSE()),"outro"))</f>
        <v/>
      </c>
      <c r="K2639" s="7" t="str">
        <f aca="false">IF(I2639="","",IFERROR(INDEX('Campos Growths'!$L:$L,MATCH(H2639,'Campos Growths'!$A:$A,0)),""))</f>
        <v/>
      </c>
      <c r="L2639" s="7" t="str">
        <f aca="false">IF(A2639="","",IF(G2639="não","Sem tabela no Growths",IF(I2639="","Sem campo no Growths",IF(J2639=K2639,"Importa direto","Ajustar tipo"))))</f>
        <v/>
      </c>
      <c r="M2639" s="9"/>
    </row>
    <row r="2640" customFormat="false" ht="15" hidden="false" customHeight="false" outlineLevel="0" collapsed="false">
      <c r="A2640" s="7" t="str">
        <f aca="false">IF('Outro banco'!A2640="","",IF(LEFT('Outro banco'!A2640,1)="(","",'Outro banco'!A2640))</f>
        <v/>
      </c>
      <c r="B2640" s="7" t="str">
        <f aca="false">IF(A2640="","",'Outro banco'!B2640)</f>
        <v/>
      </c>
      <c r="C2640" s="7" t="str">
        <f aca="false">IF(A2640="","",'Outro banco'!C2640)</f>
        <v/>
      </c>
      <c r="D2640" s="7" t="str">
        <f aca="false">IF(A2640="","",'Outro banco'!D2640)</f>
        <v/>
      </c>
      <c r="E2640" s="9"/>
      <c r="F2640" s="9"/>
      <c r="G2640" s="7" t="str">
        <f aca="false">IF(A2640="","",IF(COUNTIF(Tabelas!$A:$A,IF(E2640="",A2640,E2640))&gt;0,"sim","não"))</f>
        <v/>
      </c>
      <c r="H2640" s="7" t="str">
        <f aca="false">IF(A2640="","",IF(E2640="",A2640,E2640)&amp;"."&amp;IF(F2640="",B2640,F2640))</f>
        <v/>
      </c>
      <c r="I2640" s="7" t="str">
        <f aca="false">IF(A2640="","",IFERROR(INDEX('Campos Growths'!$F:$F,MATCH(H2640,'Campos Growths'!$A:$A,0)),""))</f>
        <v/>
      </c>
      <c r="J2640" s="7" t="str">
        <f aca="false">IF(A2640="","",IFERROR(VLOOKUP(IF(ISNUMBER(SEARCH("(",C2640)),LEFT(C2640,SEARCH("(",C2640)-1),C2640),Tipos!$A:$B,2,FALSE()),"outro"))</f>
        <v/>
      </c>
      <c r="K2640" s="7" t="str">
        <f aca="false">IF(I2640="","",IFERROR(INDEX('Campos Growths'!$L:$L,MATCH(H2640,'Campos Growths'!$A:$A,0)),""))</f>
        <v/>
      </c>
      <c r="L2640" s="7" t="str">
        <f aca="false">IF(A2640="","",IF(G2640="não","Sem tabela no Growths",IF(I2640="","Sem campo no Growths",IF(J2640=K2640,"Importa direto","Ajustar tipo"))))</f>
        <v/>
      </c>
      <c r="M2640" s="9"/>
    </row>
    <row r="2641" customFormat="false" ht="15" hidden="false" customHeight="false" outlineLevel="0" collapsed="false">
      <c r="A2641" s="7" t="str">
        <f aca="false">IF('Outro banco'!A2641="","",IF(LEFT('Outro banco'!A2641,1)="(","",'Outro banco'!A2641))</f>
        <v/>
      </c>
      <c r="B2641" s="7" t="str">
        <f aca="false">IF(A2641="","",'Outro banco'!B2641)</f>
        <v/>
      </c>
      <c r="C2641" s="7" t="str">
        <f aca="false">IF(A2641="","",'Outro banco'!C2641)</f>
        <v/>
      </c>
      <c r="D2641" s="7" t="str">
        <f aca="false">IF(A2641="","",'Outro banco'!D2641)</f>
        <v/>
      </c>
      <c r="E2641" s="9"/>
      <c r="F2641" s="9"/>
      <c r="G2641" s="7" t="str">
        <f aca="false">IF(A2641="","",IF(COUNTIF(Tabelas!$A:$A,IF(E2641="",A2641,E2641))&gt;0,"sim","não"))</f>
        <v/>
      </c>
      <c r="H2641" s="7" t="str">
        <f aca="false">IF(A2641="","",IF(E2641="",A2641,E2641)&amp;"."&amp;IF(F2641="",B2641,F2641))</f>
        <v/>
      </c>
      <c r="I2641" s="7" t="str">
        <f aca="false">IF(A2641="","",IFERROR(INDEX('Campos Growths'!$F:$F,MATCH(H2641,'Campos Growths'!$A:$A,0)),""))</f>
        <v/>
      </c>
      <c r="J2641" s="7" t="str">
        <f aca="false">IF(A2641="","",IFERROR(VLOOKUP(IF(ISNUMBER(SEARCH("(",C2641)),LEFT(C2641,SEARCH("(",C2641)-1),C2641),Tipos!$A:$B,2,FALSE()),"outro"))</f>
        <v/>
      </c>
      <c r="K2641" s="7" t="str">
        <f aca="false">IF(I2641="","",IFERROR(INDEX('Campos Growths'!$L:$L,MATCH(H2641,'Campos Growths'!$A:$A,0)),""))</f>
        <v/>
      </c>
      <c r="L2641" s="7" t="str">
        <f aca="false">IF(A2641="","",IF(G2641="não","Sem tabela no Growths",IF(I2641="","Sem campo no Growths",IF(J2641=K2641,"Importa direto","Ajustar tipo"))))</f>
        <v/>
      </c>
      <c r="M2641" s="9"/>
    </row>
    <row r="2642" customFormat="false" ht="15" hidden="false" customHeight="false" outlineLevel="0" collapsed="false">
      <c r="A2642" s="7" t="str">
        <f aca="false">IF('Outro banco'!A2642="","",IF(LEFT('Outro banco'!A2642,1)="(","",'Outro banco'!A2642))</f>
        <v/>
      </c>
      <c r="B2642" s="7" t="str">
        <f aca="false">IF(A2642="","",'Outro banco'!B2642)</f>
        <v/>
      </c>
      <c r="C2642" s="7" t="str">
        <f aca="false">IF(A2642="","",'Outro banco'!C2642)</f>
        <v/>
      </c>
      <c r="D2642" s="7" t="str">
        <f aca="false">IF(A2642="","",'Outro banco'!D2642)</f>
        <v/>
      </c>
      <c r="E2642" s="9"/>
      <c r="F2642" s="9"/>
      <c r="G2642" s="7" t="str">
        <f aca="false">IF(A2642="","",IF(COUNTIF(Tabelas!$A:$A,IF(E2642="",A2642,E2642))&gt;0,"sim","não"))</f>
        <v/>
      </c>
      <c r="H2642" s="7" t="str">
        <f aca="false">IF(A2642="","",IF(E2642="",A2642,E2642)&amp;"."&amp;IF(F2642="",B2642,F2642))</f>
        <v/>
      </c>
      <c r="I2642" s="7" t="str">
        <f aca="false">IF(A2642="","",IFERROR(INDEX('Campos Growths'!$F:$F,MATCH(H2642,'Campos Growths'!$A:$A,0)),""))</f>
        <v/>
      </c>
      <c r="J2642" s="7" t="str">
        <f aca="false">IF(A2642="","",IFERROR(VLOOKUP(IF(ISNUMBER(SEARCH("(",C2642)),LEFT(C2642,SEARCH("(",C2642)-1),C2642),Tipos!$A:$B,2,FALSE()),"outro"))</f>
        <v/>
      </c>
      <c r="K2642" s="7" t="str">
        <f aca="false">IF(I2642="","",IFERROR(INDEX('Campos Growths'!$L:$L,MATCH(H2642,'Campos Growths'!$A:$A,0)),""))</f>
        <v/>
      </c>
      <c r="L2642" s="7" t="str">
        <f aca="false">IF(A2642="","",IF(G2642="não","Sem tabela no Growths",IF(I2642="","Sem campo no Growths",IF(J2642=K2642,"Importa direto","Ajustar tipo"))))</f>
        <v/>
      </c>
      <c r="M2642" s="9"/>
    </row>
    <row r="2643" customFormat="false" ht="15" hidden="false" customHeight="false" outlineLevel="0" collapsed="false">
      <c r="A2643" s="7" t="str">
        <f aca="false">IF('Outro banco'!A2643="","",IF(LEFT('Outro banco'!A2643,1)="(","",'Outro banco'!A2643))</f>
        <v/>
      </c>
      <c r="B2643" s="7" t="str">
        <f aca="false">IF(A2643="","",'Outro banco'!B2643)</f>
        <v/>
      </c>
      <c r="C2643" s="7" t="str">
        <f aca="false">IF(A2643="","",'Outro banco'!C2643)</f>
        <v/>
      </c>
      <c r="D2643" s="7" t="str">
        <f aca="false">IF(A2643="","",'Outro banco'!D2643)</f>
        <v/>
      </c>
      <c r="E2643" s="9"/>
      <c r="F2643" s="9"/>
      <c r="G2643" s="7" t="str">
        <f aca="false">IF(A2643="","",IF(COUNTIF(Tabelas!$A:$A,IF(E2643="",A2643,E2643))&gt;0,"sim","não"))</f>
        <v/>
      </c>
      <c r="H2643" s="7" t="str">
        <f aca="false">IF(A2643="","",IF(E2643="",A2643,E2643)&amp;"."&amp;IF(F2643="",B2643,F2643))</f>
        <v/>
      </c>
      <c r="I2643" s="7" t="str">
        <f aca="false">IF(A2643="","",IFERROR(INDEX('Campos Growths'!$F:$F,MATCH(H2643,'Campos Growths'!$A:$A,0)),""))</f>
        <v/>
      </c>
      <c r="J2643" s="7" t="str">
        <f aca="false">IF(A2643="","",IFERROR(VLOOKUP(IF(ISNUMBER(SEARCH("(",C2643)),LEFT(C2643,SEARCH("(",C2643)-1),C2643),Tipos!$A:$B,2,FALSE()),"outro"))</f>
        <v/>
      </c>
      <c r="K2643" s="7" t="str">
        <f aca="false">IF(I2643="","",IFERROR(INDEX('Campos Growths'!$L:$L,MATCH(H2643,'Campos Growths'!$A:$A,0)),""))</f>
        <v/>
      </c>
      <c r="L2643" s="7" t="str">
        <f aca="false">IF(A2643="","",IF(G2643="não","Sem tabela no Growths",IF(I2643="","Sem campo no Growths",IF(J2643=K2643,"Importa direto","Ajustar tipo"))))</f>
        <v/>
      </c>
      <c r="M2643" s="9"/>
    </row>
    <row r="2644" customFormat="false" ht="15" hidden="false" customHeight="false" outlineLevel="0" collapsed="false">
      <c r="A2644" s="7" t="str">
        <f aca="false">IF('Outro banco'!A2644="","",IF(LEFT('Outro banco'!A2644,1)="(","",'Outro banco'!A2644))</f>
        <v/>
      </c>
      <c r="B2644" s="7" t="str">
        <f aca="false">IF(A2644="","",'Outro banco'!B2644)</f>
        <v/>
      </c>
      <c r="C2644" s="7" t="str">
        <f aca="false">IF(A2644="","",'Outro banco'!C2644)</f>
        <v/>
      </c>
      <c r="D2644" s="7" t="str">
        <f aca="false">IF(A2644="","",'Outro banco'!D2644)</f>
        <v/>
      </c>
      <c r="E2644" s="9"/>
      <c r="F2644" s="9"/>
      <c r="G2644" s="7" t="str">
        <f aca="false">IF(A2644="","",IF(COUNTIF(Tabelas!$A:$A,IF(E2644="",A2644,E2644))&gt;0,"sim","não"))</f>
        <v/>
      </c>
      <c r="H2644" s="7" t="str">
        <f aca="false">IF(A2644="","",IF(E2644="",A2644,E2644)&amp;"."&amp;IF(F2644="",B2644,F2644))</f>
        <v/>
      </c>
      <c r="I2644" s="7" t="str">
        <f aca="false">IF(A2644="","",IFERROR(INDEX('Campos Growths'!$F:$F,MATCH(H2644,'Campos Growths'!$A:$A,0)),""))</f>
        <v/>
      </c>
      <c r="J2644" s="7" t="str">
        <f aca="false">IF(A2644="","",IFERROR(VLOOKUP(IF(ISNUMBER(SEARCH("(",C2644)),LEFT(C2644,SEARCH("(",C2644)-1),C2644),Tipos!$A:$B,2,FALSE()),"outro"))</f>
        <v/>
      </c>
      <c r="K2644" s="7" t="str">
        <f aca="false">IF(I2644="","",IFERROR(INDEX('Campos Growths'!$L:$L,MATCH(H2644,'Campos Growths'!$A:$A,0)),""))</f>
        <v/>
      </c>
      <c r="L2644" s="7" t="str">
        <f aca="false">IF(A2644="","",IF(G2644="não","Sem tabela no Growths",IF(I2644="","Sem campo no Growths",IF(J2644=K2644,"Importa direto","Ajustar tipo"))))</f>
        <v/>
      </c>
      <c r="M2644" s="9"/>
    </row>
    <row r="2645" customFormat="false" ht="15" hidden="false" customHeight="false" outlineLevel="0" collapsed="false">
      <c r="A2645" s="7" t="str">
        <f aca="false">IF('Outro banco'!A2645="","",IF(LEFT('Outro banco'!A2645,1)="(","",'Outro banco'!A2645))</f>
        <v/>
      </c>
      <c r="B2645" s="7" t="str">
        <f aca="false">IF(A2645="","",'Outro banco'!B2645)</f>
        <v/>
      </c>
      <c r="C2645" s="7" t="str">
        <f aca="false">IF(A2645="","",'Outro banco'!C2645)</f>
        <v/>
      </c>
      <c r="D2645" s="7" t="str">
        <f aca="false">IF(A2645="","",'Outro banco'!D2645)</f>
        <v/>
      </c>
      <c r="E2645" s="9"/>
      <c r="F2645" s="9"/>
      <c r="G2645" s="7" t="str">
        <f aca="false">IF(A2645="","",IF(COUNTIF(Tabelas!$A:$A,IF(E2645="",A2645,E2645))&gt;0,"sim","não"))</f>
        <v/>
      </c>
      <c r="H2645" s="7" t="str">
        <f aca="false">IF(A2645="","",IF(E2645="",A2645,E2645)&amp;"."&amp;IF(F2645="",B2645,F2645))</f>
        <v/>
      </c>
      <c r="I2645" s="7" t="str">
        <f aca="false">IF(A2645="","",IFERROR(INDEX('Campos Growths'!$F:$F,MATCH(H2645,'Campos Growths'!$A:$A,0)),""))</f>
        <v/>
      </c>
      <c r="J2645" s="7" t="str">
        <f aca="false">IF(A2645="","",IFERROR(VLOOKUP(IF(ISNUMBER(SEARCH("(",C2645)),LEFT(C2645,SEARCH("(",C2645)-1),C2645),Tipos!$A:$B,2,FALSE()),"outro"))</f>
        <v/>
      </c>
      <c r="K2645" s="7" t="str">
        <f aca="false">IF(I2645="","",IFERROR(INDEX('Campos Growths'!$L:$L,MATCH(H2645,'Campos Growths'!$A:$A,0)),""))</f>
        <v/>
      </c>
      <c r="L2645" s="7" t="str">
        <f aca="false">IF(A2645="","",IF(G2645="não","Sem tabela no Growths",IF(I2645="","Sem campo no Growths",IF(J2645=K2645,"Importa direto","Ajustar tipo"))))</f>
        <v/>
      </c>
      <c r="M2645" s="9"/>
    </row>
    <row r="2646" customFormat="false" ht="15" hidden="false" customHeight="false" outlineLevel="0" collapsed="false">
      <c r="A2646" s="7" t="str">
        <f aca="false">IF('Outro banco'!A2646="","",IF(LEFT('Outro banco'!A2646,1)="(","",'Outro banco'!A2646))</f>
        <v/>
      </c>
      <c r="B2646" s="7" t="str">
        <f aca="false">IF(A2646="","",'Outro banco'!B2646)</f>
        <v/>
      </c>
      <c r="C2646" s="7" t="str">
        <f aca="false">IF(A2646="","",'Outro banco'!C2646)</f>
        <v/>
      </c>
      <c r="D2646" s="7" t="str">
        <f aca="false">IF(A2646="","",'Outro banco'!D2646)</f>
        <v/>
      </c>
      <c r="E2646" s="9"/>
      <c r="F2646" s="9"/>
      <c r="G2646" s="7" t="str">
        <f aca="false">IF(A2646="","",IF(COUNTIF(Tabelas!$A:$A,IF(E2646="",A2646,E2646))&gt;0,"sim","não"))</f>
        <v/>
      </c>
      <c r="H2646" s="7" t="str">
        <f aca="false">IF(A2646="","",IF(E2646="",A2646,E2646)&amp;"."&amp;IF(F2646="",B2646,F2646))</f>
        <v/>
      </c>
      <c r="I2646" s="7" t="str">
        <f aca="false">IF(A2646="","",IFERROR(INDEX('Campos Growths'!$F:$F,MATCH(H2646,'Campos Growths'!$A:$A,0)),""))</f>
        <v/>
      </c>
      <c r="J2646" s="7" t="str">
        <f aca="false">IF(A2646="","",IFERROR(VLOOKUP(IF(ISNUMBER(SEARCH("(",C2646)),LEFT(C2646,SEARCH("(",C2646)-1),C2646),Tipos!$A:$B,2,FALSE()),"outro"))</f>
        <v/>
      </c>
      <c r="K2646" s="7" t="str">
        <f aca="false">IF(I2646="","",IFERROR(INDEX('Campos Growths'!$L:$L,MATCH(H2646,'Campos Growths'!$A:$A,0)),""))</f>
        <v/>
      </c>
      <c r="L2646" s="7" t="str">
        <f aca="false">IF(A2646="","",IF(G2646="não","Sem tabela no Growths",IF(I2646="","Sem campo no Growths",IF(J2646=K2646,"Importa direto","Ajustar tipo"))))</f>
        <v/>
      </c>
      <c r="M2646" s="9"/>
    </row>
    <row r="2647" customFormat="false" ht="15" hidden="false" customHeight="false" outlineLevel="0" collapsed="false">
      <c r="A2647" s="7" t="str">
        <f aca="false">IF('Outro banco'!A2647="","",IF(LEFT('Outro banco'!A2647,1)="(","",'Outro banco'!A2647))</f>
        <v/>
      </c>
      <c r="B2647" s="7" t="str">
        <f aca="false">IF(A2647="","",'Outro banco'!B2647)</f>
        <v/>
      </c>
      <c r="C2647" s="7" t="str">
        <f aca="false">IF(A2647="","",'Outro banco'!C2647)</f>
        <v/>
      </c>
      <c r="D2647" s="7" t="str">
        <f aca="false">IF(A2647="","",'Outro banco'!D2647)</f>
        <v/>
      </c>
      <c r="E2647" s="9"/>
      <c r="F2647" s="9"/>
      <c r="G2647" s="7" t="str">
        <f aca="false">IF(A2647="","",IF(COUNTIF(Tabelas!$A:$A,IF(E2647="",A2647,E2647))&gt;0,"sim","não"))</f>
        <v/>
      </c>
      <c r="H2647" s="7" t="str">
        <f aca="false">IF(A2647="","",IF(E2647="",A2647,E2647)&amp;"."&amp;IF(F2647="",B2647,F2647))</f>
        <v/>
      </c>
      <c r="I2647" s="7" t="str">
        <f aca="false">IF(A2647="","",IFERROR(INDEX('Campos Growths'!$F:$F,MATCH(H2647,'Campos Growths'!$A:$A,0)),""))</f>
        <v/>
      </c>
      <c r="J2647" s="7" t="str">
        <f aca="false">IF(A2647="","",IFERROR(VLOOKUP(IF(ISNUMBER(SEARCH("(",C2647)),LEFT(C2647,SEARCH("(",C2647)-1),C2647),Tipos!$A:$B,2,FALSE()),"outro"))</f>
        <v/>
      </c>
      <c r="K2647" s="7" t="str">
        <f aca="false">IF(I2647="","",IFERROR(INDEX('Campos Growths'!$L:$L,MATCH(H2647,'Campos Growths'!$A:$A,0)),""))</f>
        <v/>
      </c>
      <c r="L2647" s="7" t="str">
        <f aca="false">IF(A2647="","",IF(G2647="não","Sem tabela no Growths",IF(I2647="","Sem campo no Growths",IF(J2647=K2647,"Importa direto","Ajustar tipo"))))</f>
        <v/>
      </c>
      <c r="M2647" s="9"/>
    </row>
    <row r="2648" customFormat="false" ht="15" hidden="false" customHeight="false" outlineLevel="0" collapsed="false">
      <c r="A2648" s="7" t="str">
        <f aca="false">IF('Outro banco'!A2648="","",IF(LEFT('Outro banco'!A2648,1)="(","",'Outro banco'!A2648))</f>
        <v/>
      </c>
      <c r="B2648" s="7" t="str">
        <f aca="false">IF(A2648="","",'Outro banco'!B2648)</f>
        <v/>
      </c>
      <c r="C2648" s="7" t="str">
        <f aca="false">IF(A2648="","",'Outro banco'!C2648)</f>
        <v/>
      </c>
      <c r="D2648" s="7" t="str">
        <f aca="false">IF(A2648="","",'Outro banco'!D2648)</f>
        <v/>
      </c>
      <c r="E2648" s="9"/>
      <c r="F2648" s="9"/>
      <c r="G2648" s="7" t="str">
        <f aca="false">IF(A2648="","",IF(COUNTIF(Tabelas!$A:$A,IF(E2648="",A2648,E2648))&gt;0,"sim","não"))</f>
        <v/>
      </c>
      <c r="H2648" s="7" t="str">
        <f aca="false">IF(A2648="","",IF(E2648="",A2648,E2648)&amp;"."&amp;IF(F2648="",B2648,F2648))</f>
        <v/>
      </c>
      <c r="I2648" s="7" t="str">
        <f aca="false">IF(A2648="","",IFERROR(INDEX('Campos Growths'!$F:$F,MATCH(H2648,'Campos Growths'!$A:$A,0)),""))</f>
        <v/>
      </c>
      <c r="J2648" s="7" t="str">
        <f aca="false">IF(A2648="","",IFERROR(VLOOKUP(IF(ISNUMBER(SEARCH("(",C2648)),LEFT(C2648,SEARCH("(",C2648)-1),C2648),Tipos!$A:$B,2,FALSE()),"outro"))</f>
        <v/>
      </c>
      <c r="K2648" s="7" t="str">
        <f aca="false">IF(I2648="","",IFERROR(INDEX('Campos Growths'!$L:$L,MATCH(H2648,'Campos Growths'!$A:$A,0)),""))</f>
        <v/>
      </c>
      <c r="L2648" s="7" t="str">
        <f aca="false">IF(A2648="","",IF(G2648="não","Sem tabela no Growths",IF(I2648="","Sem campo no Growths",IF(J2648=K2648,"Importa direto","Ajustar tipo"))))</f>
        <v/>
      </c>
      <c r="M2648" s="9"/>
    </row>
    <row r="2649" customFormat="false" ht="15" hidden="false" customHeight="false" outlineLevel="0" collapsed="false">
      <c r="A2649" s="7" t="str">
        <f aca="false">IF('Outro banco'!A2649="","",IF(LEFT('Outro banco'!A2649,1)="(","",'Outro banco'!A2649))</f>
        <v/>
      </c>
      <c r="B2649" s="7" t="str">
        <f aca="false">IF(A2649="","",'Outro banco'!B2649)</f>
        <v/>
      </c>
      <c r="C2649" s="7" t="str">
        <f aca="false">IF(A2649="","",'Outro banco'!C2649)</f>
        <v/>
      </c>
      <c r="D2649" s="7" t="str">
        <f aca="false">IF(A2649="","",'Outro banco'!D2649)</f>
        <v/>
      </c>
      <c r="E2649" s="9"/>
      <c r="F2649" s="9"/>
      <c r="G2649" s="7" t="str">
        <f aca="false">IF(A2649="","",IF(COUNTIF(Tabelas!$A:$A,IF(E2649="",A2649,E2649))&gt;0,"sim","não"))</f>
        <v/>
      </c>
      <c r="H2649" s="7" t="str">
        <f aca="false">IF(A2649="","",IF(E2649="",A2649,E2649)&amp;"."&amp;IF(F2649="",B2649,F2649))</f>
        <v/>
      </c>
      <c r="I2649" s="7" t="str">
        <f aca="false">IF(A2649="","",IFERROR(INDEX('Campos Growths'!$F:$F,MATCH(H2649,'Campos Growths'!$A:$A,0)),""))</f>
        <v/>
      </c>
      <c r="J2649" s="7" t="str">
        <f aca="false">IF(A2649="","",IFERROR(VLOOKUP(IF(ISNUMBER(SEARCH("(",C2649)),LEFT(C2649,SEARCH("(",C2649)-1),C2649),Tipos!$A:$B,2,FALSE()),"outro"))</f>
        <v/>
      </c>
      <c r="K2649" s="7" t="str">
        <f aca="false">IF(I2649="","",IFERROR(INDEX('Campos Growths'!$L:$L,MATCH(H2649,'Campos Growths'!$A:$A,0)),""))</f>
        <v/>
      </c>
      <c r="L2649" s="7" t="str">
        <f aca="false">IF(A2649="","",IF(G2649="não","Sem tabela no Growths",IF(I2649="","Sem campo no Growths",IF(J2649=K2649,"Importa direto","Ajustar tipo"))))</f>
        <v/>
      </c>
      <c r="M2649" s="9"/>
    </row>
    <row r="2650" customFormat="false" ht="15" hidden="false" customHeight="false" outlineLevel="0" collapsed="false">
      <c r="A2650" s="7" t="str">
        <f aca="false">IF('Outro banco'!A2650="","",IF(LEFT('Outro banco'!A2650,1)="(","",'Outro banco'!A2650))</f>
        <v/>
      </c>
      <c r="B2650" s="7" t="str">
        <f aca="false">IF(A2650="","",'Outro banco'!B2650)</f>
        <v/>
      </c>
      <c r="C2650" s="7" t="str">
        <f aca="false">IF(A2650="","",'Outro banco'!C2650)</f>
        <v/>
      </c>
      <c r="D2650" s="7" t="str">
        <f aca="false">IF(A2650="","",'Outro banco'!D2650)</f>
        <v/>
      </c>
      <c r="E2650" s="9"/>
      <c r="F2650" s="9"/>
      <c r="G2650" s="7" t="str">
        <f aca="false">IF(A2650="","",IF(COUNTIF(Tabelas!$A:$A,IF(E2650="",A2650,E2650))&gt;0,"sim","não"))</f>
        <v/>
      </c>
      <c r="H2650" s="7" t="str">
        <f aca="false">IF(A2650="","",IF(E2650="",A2650,E2650)&amp;"."&amp;IF(F2650="",B2650,F2650))</f>
        <v/>
      </c>
      <c r="I2650" s="7" t="str">
        <f aca="false">IF(A2650="","",IFERROR(INDEX('Campos Growths'!$F:$F,MATCH(H2650,'Campos Growths'!$A:$A,0)),""))</f>
        <v/>
      </c>
      <c r="J2650" s="7" t="str">
        <f aca="false">IF(A2650="","",IFERROR(VLOOKUP(IF(ISNUMBER(SEARCH("(",C2650)),LEFT(C2650,SEARCH("(",C2650)-1),C2650),Tipos!$A:$B,2,FALSE()),"outro"))</f>
        <v/>
      </c>
      <c r="K2650" s="7" t="str">
        <f aca="false">IF(I2650="","",IFERROR(INDEX('Campos Growths'!$L:$L,MATCH(H2650,'Campos Growths'!$A:$A,0)),""))</f>
        <v/>
      </c>
      <c r="L2650" s="7" t="str">
        <f aca="false">IF(A2650="","",IF(G2650="não","Sem tabela no Growths",IF(I2650="","Sem campo no Growths",IF(J2650=K2650,"Importa direto","Ajustar tipo"))))</f>
        <v/>
      </c>
      <c r="M2650" s="9"/>
    </row>
    <row r="2651" customFormat="false" ht="15" hidden="false" customHeight="false" outlineLevel="0" collapsed="false">
      <c r="A2651" s="7" t="str">
        <f aca="false">IF('Outro banco'!A2651="","",IF(LEFT('Outro banco'!A2651,1)="(","",'Outro banco'!A2651))</f>
        <v/>
      </c>
      <c r="B2651" s="7" t="str">
        <f aca="false">IF(A2651="","",'Outro banco'!B2651)</f>
        <v/>
      </c>
      <c r="C2651" s="7" t="str">
        <f aca="false">IF(A2651="","",'Outro banco'!C2651)</f>
        <v/>
      </c>
      <c r="D2651" s="7" t="str">
        <f aca="false">IF(A2651="","",'Outro banco'!D2651)</f>
        <v/>
      </c>
      <c r="E2651" s="9"/>
      <c r="F2651" s="9"/>
      <c r="G2651" s="7" t="str">
        <f aca="false">IF(A2651="","",IF(COUNTIF(Tabelas!$A:$A,IF(E2651="",A2651,E2651))&gt;0,"sim","não"))</f>
        <v/>
      </c>
      <c r="H2651" s="7" t="str">
        <f aca="false">IF(A2651="","",IF(E2651="",A2651,E2651)&amp;"."&amp;IF(F2651="",B2651,F2651))</f>
        <v/>
      </c>
      <c r="I2651" s="7" t="str">
        <f aca="false">IF(A2651="","",IFERROR(INDEX('Campos Growths'!$F:$F,MATCH(H2651,'Campos Growths'!$A:$A,0)),""))</f>
        <v/>
      </c>
      <c r="J2651" s="7" t="str">
        <f aca="false">IF(A2651="","",IFERROR(VLOOKUP(IF(ISNUMBER(SEARCH("(",C2651)),LEFT(C2651,SEARCH("(",C2651)-1),C2651),Tipos!$A:$B,2,FALSE()),"outro"))</f>
        <v/>
      </c>
      <c r="K2651" s="7" t="str">
        <f aca="false">IF(I2651="","",IFERROR(INDEX('Campos Growths'!$L:$L,MATCH(H2651,'Campos Growths'!$A:$A,0)),""))</f>
        <v/>
      </c>
      <c r="L2651" s="7" t="str">
        <f aca="false">IF(A2651="","",IF(G2651="não","Sem tabela no Growths",IF(I2651="","Sem campo no Growths",IF(J2651=K2651,"Importa direto","Ajustar tipo"))))</f>
        <v/>
      </c>
      <c r="M2651" s="9"/>
    </row>
    <row r="2652" customFormat="false" ht="15" hidden="false" customHeight="false" outlineLevel="0" collapsed="false">
      <c r="A2652" s="7" t="str">
        <f aca="false">IF('Outro banco'!A2652="","",IF(LEFT('Outro banco'!A2652,1)="(","",'Outro banco'!A2652))</f>
        <v/>
      </c>
      <c r="B2652" s="7" t="str">
        <f aca="false">IF(A2652="","",'Outro banco'!B2652)</f>
        <v/>
      </c>
      <c r="C2652" s="7" t="str">
        <f aca="false">IF(A2652="","",'Outro banco'!C2652)</f>
        <v/>
      </c>
      <c r="D2652" s="7" t="str">
        <f aca="false">IF(A2652="","",'Outro banco'!D2652)</f>
        <v/>
      </c>
      <c r="E2652" s="9"/>
      <c r="F2652" s="9"/>
      <c r="G2652" s="7" t="str">
        <f aca="false">IF(A2652="","",IF(COUNTIF(Tabelas!$A:$A,IF(E2652="",A2652,E2652))&gt;0,"sim","não"))</f>
        <v/>
      </c>
      <c r="H2652" s="7" t="str">
        <f aca="false">IF(A2652="","",IF(E2652="",A2652,E2652)&amp;"."&amp;IF(F2652="",B2652,F2652))</f>
        <v/>
      </c>
      <c r="I2652" s="7" t="str">
        <f aca="false">IF(A2652="","",IFERROR(INDEX('Campos Growths'!$F:$F,MATCH(H2652,'Campos Growths'!$A:$A,0)),""))</f>
        <v/>
      </c>
      <c r="J2652" s="7" t="str">
        <f aca="false">IF(A2652="","",IFERROR(VLOOKUP(IF(ISNUMBER(SEARCH("(",C2652)),LEFT(C2652,SEARCH("(",C2652)-1),C2652),Tipos!$A:$B,2,FALSE()),"outro"))</f>
        <v/>
      </c>
      <c r="K2652" s="7" t="str">
        <f aca="false">IF(I2652="","",IFERROR(INDEX('Campos Growths'!$L:$L,MATCH(H2652,'Campos Growths'!$A:$A,0)),""))</f>
        <v/>
      </c>
      <c r="L2652" s="7" t="str">
        <f aca="false">IF(A2652="","",IF(G2652="não","Sem tabela no Growths",IF(I2652="","Sem campo no Growths",IF(J2652=K2652,"Importa direto","Ajustar tipo"))))</f>
        <v/>
      </c>
      <c r="M2652" s="9"/>
    </row>
    <row r="2653" customFormat="false" ht="15" hidden="false" customHeight="false" outlineLevel="0" collapsed="false">
      <c r="A2653" s="7" t="str">
        <f aca="false">IF('Outro banco'!A2653="","",IF(LEFT('Outro banco'!A2653,1)="(","",'Outro banco'!A2653))</f>
        <v/>
      </c>
      <c r="B2653" s="7" t="str">
        <f aca="false">IF(A2653="","",'Outro banco'!B2653)</f>
        <v/>
      </c>
      <c r="C2653" s="7" t="str">
        <f aca="false">IF(A2653="","",'Outro banco'!C2653)</f>
        <v/>
      </c>
      <c r="D2653" s="7" t="str">
        <f aca="false">IF(A2653="","",'Outro banco'!D2653)</f>
        <v/>
      </c>
      <c r="E2653" s="9"/>
      <c r="F2653" s="9"/>
      <c r="G2653" s="7" t="str">
        <f aca="false">IF(A2653="","",IF(COUNTIF(Tabelas!$A:$A,IF(E2653="",A2653,E2653))&gt;0,"sim","não"))</f>
        <v/>
      </c>
      <c r="H2653" s="7" t="str">
        <f aca="false">IF(A2653="","",IF(E2653="",A2653,E2653)&amp;"."&amp;IF(F2653="",B2653,F2653))</f>
        <v/>
      </c>
      <c r="I2653" s="7" t="str">
        <f aca="false">IF(A2653="","",IFERROR(INDEX('Campos Growths'!$F:$F,MATCH(H2653,'Campos Growths'!$A:$A,0)),""))</f>
        <v/>
      </c>
      <c r="J2653" s="7" t="str">
        <f aca="false">IF(A2653="","",IFERROR(VLOOKUP(IF(ISNUMBER(SEARCH("(",C2653)),LEFT(C2653,SEARCH("(",C2653)-1),C2653),Tipos!$A:$B,2,FALSE()),"outro"))</f>
        <v/>
      </c>
      <c r="K2653" s="7" t="str">
        <f aca="false">IF(I2653="","",IFERROR(INDEX('Campos Growths'!$L:$L,MATCH(H2653,'Campos Growths'!$A:$A,0)),""))</f>
        <v/>
      </c>
      <c r="L2653" s="7" t="str">
        <f aca="false">IF(A2653="","",IF(G2653="não","Sem tabela no Growths",IF(I2653="","Sem campo no Growths",IF(J2653=K2653,"Importa direto","Ajustar tipo"))))</f>
        <v/>
      </c>
      <c r="M2653" s="9"/>
    </row>
    <row r="2654" customFormat="false" ht="15" hidden="false" customHeight="false" outlineLevel="0" collapsed="false">
      <c r="A2654" s="7" t="str">
        <f aca="false">IF('Outro banco'!A2654="","",IF(LEFT('Outro banco'!A2654,1)="(","",'Outro banco'!A2654))</f>
        <v/>
      </c>
      <c r="B2654" s="7" t="str">
        <f aca="false">IF(A2654="","",'Outro banco'!B2654)</f>
        <v/>
      </c>
      <c r="C2654" s="7" t="str">
        <f aca="false">IF(A2654="","",'Outro banco'!C2654)</f>
        <v/>
      </c>
      <c r="D2654" s="7" t="str">
        <f aca="false">IF(A2654="","",'Outro banco'!D2654)</f>
        <v/>
      </c>
      <c r="E2654" s="9"/>
      <c r="F2654" s="9"/>
      <c r="G2654" s="7" t="str">
        <f aca="false">IF(A2654="","",IF(COUNTIF(Tabelas!$A:$A,IF(E2654="",A2654,E2654))&gt;0,"sim","não"))</f>
        <v/>
      </c>
      <c r="H2654" s="7" t="str">
        <f aca="false">IF(A2654="","",IF(E2654="",A2654,E2654)&amp;"."&amp;IF(F2654="",B2654,F2654))</f>
        <v/>
      </c>
      <c r="I2654" s="7" t="str">
        <f aca="false">IF(A2654="","",IFERROR(INDEX('Campos Growths'!$F:$F,MATCH(H2654,'Campos Growths'!$A:$A,0)),""))</f>
        <v/>
      </c>
      <c r="J2654" s="7" t="str">
        <f aca="false">IF(A2654="","",IFERROR(VLOOKUP(IF(ISNUMBER(SEARCH("(",C2654)),LEFT(C2654,SEARCH("(",C2654)-1),C2654),Tipos!$A:$B,2,FALSE()),"outro"))</f>
        <v/>
      </c>
      <c r="K2654" s="7" t="str">
        <f aca="false">IF(I2654="","",IFERROR(INDEX('Campos Growths'!$L:$L,MATCH(H2654,'Campos Growths'!$A:$A,0)),""))</f>
        <v/>
      </c>
      <c r="L2654" s="7" t="str">
        <f aca="false">IF(A2654="","",IF(G2654="não","Sem tabela no Growths",IF(I2654="","Sem campo no Growths",IF(J2654=K2654,"Importa direto","Ajustar tipo"))))</f>
        <v/>
      </c>
      <c r="M2654" s="9"/>
    </row>
    <row r="2655" customFormat="false" ht="15" hidden="false" customHeight="false" outlineLevel="0" collapsed="false">
      <c r="A2655" s="7" t="str">
        <f aca="false">IF('Outro banco'!A2655="","",IF(LEFT('Outro banco'!A2655,1)="(","",'Outro banco'!A2655))</f>
        <v/>
      </c>
      <c r="B2655" s="7" t="str">
        <f aca="false">IF(A2655="","",'Outro banco'!B2655)</f>
        <v/>
      </c>
      <c r="C2655" s="7" t="str">
        <f aca="false">IF(A2655="","",'Outro banco'!C2655)</f>
        <v/>
      </c>
      <c r="D2655" s="7" t="str">
        <f aca="false">IF(A2655="","",'Outro banco'!D2655)</f>
        <v/>
      </c>
      <c r="E2655" s="9"/>
      <c r="F2655" s="9"/>
      <c r="G2655" s="7" t="str">
        <f aca="false">IF(A2655="","",IF(COUNTIF(Tabelas!$A:$A,IF(E2655="",A2655,E2655))&gt;0,"sim","não"))</f>
        <v/>
      </c>
      <c r="H2655" s="7" t="str">
        <f aca="false">IF(A2655="","",IF(E2655="",A2655,E2655)&amp;"."&amp;IF(F2655="",B2655,F2655))</f>
        <v/>
      </c>
      <c r="I2655" s="7" t="str">
        <f aca="false">IF(A2655="","",IFERROR(INDEX('Campos Growths'!$F:$F,MATCH(H2655,'Campos Growths'!$A:$A,0)),""))</f>
        <v/>
      </c>
      <c r="J2655" s="7" t="str">
        <f aca="false">IF(A2655="","",IFERROR(VLOOKUP(IF(ISNUMBER(SEARCH("(",C2655)),LEFT(C2655,SEARCH("(",C2655)-1),C2655),Tipos!$A:$B,2,FALSE()),"outro"))</f>
        <v/>
      </c>
      <c r="K2655" s="7" t="str">
        <f aca="false">IF(I2655="","",IFERROR(INDEX('Campos Growths'!$L:$L,MATCH(H2655,'Campos Growths'!$A:$A,0)),""))</f>
        <v/>
      </c>
      <c r="L2655" s="7" t="str">
        <f aca="false">IF(A2655="","",IF(G2655="não","Sem tabela no Growths",IF(I2655="","Sem campo no Growths",IF(J2655=K2655,"Importa direto","Ajustar tipo"))))</f>
        <v/>
      </c>
      <c r="M2655" s="9"/>
    </row>
    <row r="2656" customFormat="false" ht="15" hidden="false" customHeight="false" outlineLevel="0" collapsed="false">
      <c r="A2656" s="7" t="str">
        <f aca="false">IF('Outro banco'!A2656="","",IF(LEFT('Outro banco'!A2656,1)="(","",'Outro banco'!A2656))</f>
        <v/>
      </c>
      <c r="B2656" s="7" t="str">
        <f aca="false">IF(A2656="","",'Outro banco'!B2656)</f>
        <v/>
      </c>
      <c r="C2656" s="7" t="str">
        <f aca="false">IF(A2656="","",'Outro banco'!C2656)</f>
        <v/>
      </c>
      <c r="D2656" s="7" t="str">
        <f aca="false">IF(A2656="","",'Outro banco'!D2656)</f>
        <v/>
      </c>
      <c r="E2656" s="9"/>
      <c r="F2656" s="9"/>
      <c r="G2656" s="7" t="str">
        <f aca="false">IF(A2656="","",IF(COUNTIF(Tabelas!$A:$A,IF(E2656="",A2656,E2656))&gt;0,"sim","não"))</f>
        <v/>
      </c>
      <c r="H2656" s="7" t="str">
        <f aca="false">IF(A2656="","",IF(E2656="",A2656,E2656)&amp;"."&amp;IF(F2656="",B2656,F2656))</f>
        <v/>
      </c>
      <c r="I2656" s="7" t="str">
        <f aca="false">IF(A2656="","",IFERROR(INDEX('Campos Growths'!$F:$F,MATCH(H2656,'Campos Growths'!$A:$A,0)),""))</f>
        <v/>
      </c>
      <c r="J2656" s="7" t="str">
        <f aca="false">IF(A2656="","",IFERROR(VLOOKUP(IF(ISNUMBER(SEARCH("(",C2656)),LEFT(C2656,SEARCH("(",C2656)-1),C2656),Tipos!$A:$B,2,FALSE()),"outro"))</f>
        <v/>
      </c>
      <c r="K2656" s="7" t="str">
        <f aca="false">IF(I2656="","",IFERROR(INDEX('Campos Growths'!$L:$L,MATCH(H2656,'Campos Growths'!$A:$A,0)),""))</f>
        <v/>
      </c>
      <c r="L2656" s="7" t="str">
        <f aca="false">IF(A2656="","",IF(G2656="não","Sem tabela no Growths",IF(I2656="","Sem campo no Growths",IF(J2656=K2656,"Importa direto","Ajustar tipo"))))</f>
        <v/>
      </c>
      <c r="M2656" s="9"/>
    </row>
    <row r="2657" customFormat="false" ht="15" hidden="false" customHeight="false" outlineLevel="0" collapsed="false">
      <c r="A2657" s="7" t="str">
        <f aca="false">IF('Outro banco'!A2657="","",IF(LEFT('Outro banco'!A2657,1)="(","",'Outro banco'!A2657))</f>
        <v/>
      </c>
      <c r="B2657" s="7" t="str">
        <f aca="false">IF(A2657="","",'Outro banco'!B2657)</f>
        <v/>
      </c>
      <c r="C2657" s="7" t="str">
        <f aca="false">IF(A2657="","",'Outro banco'!C2657)</f>
        <v/>
      </c>
      <c r="D2657" s="7" t="str">
        <f aca="false">IF(A2657="","",'Outro banco'!D2657)</f>
        <v/>
      </c>
      <c r="E2657" s="9"/>
      <c r="F2657" s="9"/>
      <c r="G2657" s="7" t="str">
        <f aca="false">IF(A2657="","",IF(COUNTIF(Tabelas!$A:$A,IF(E2657="",A2657,E2657))&gt;0,"sim","não"))</f>
        <v/>
      </c>
      <c r="H2657" s="7" t="str">
        <f aca="false">IF(A2657="","",IF(E2657="",A2657,E2657)&amp;"."&amp;IF(F2657="",B2657,F2657))</f>
        <v/>
      </c>
      <c r="I2657" s="7" t="str">
        <f aca="false">IF(A2657="","",IFERROR(INDEX('Campos Growths'!$F:$F,MATCH(H2657,'Campos Growths'!$A:$A,0)),""))</f>
        <v/>
      </c>
      <c r="J2657" s="7" t="str">
        <f aca="false">IF(A2657="","",IFERROR(VLOOKUP(IF(ISNUMBER(SEARCH("(",C2657)),LEFT(C2657,SEARCH("(",C2657)-1),C2657),Tipos!$A:$B,2,FALSE()),"outro"))</f>
        <v/>
      </c>
      <c r="K2657" s="7" t="str">
        <f aca="false">IF(I2657="","",IFERROR(INDEX('Campos Growths'!$L:$L,MATCH(H2657,'Campos Growths'!$A:$A,0)),""))</f>
        <v/>
      </c>
      <c r="L2657" s="7" t="str">
        <f aca="false">IF(A2657="","",IF(G2657="não","Sem tabela no Growths",IF(I2657="","Sem campo no Growths",IF(J2657=K2657,"Importa direto","Ajustar tipo"))))</f>
        <v/>
      </c>
      <c r="M2657" s="9"/>
    </row>
    <row r="2658" customFormat="false" ht="15" hidden="false" customHeight="false" outlineLevel="0" collapsed="false">
      <c r="A2658" s="7" t="str">
        <f aca="false">IF('Outro banco'!A2658="","",IF(LEFT('Outro banco'!A2658,1)="(","",'Outro banco'!A2658))</f>
        <v/>
      </c>
      <c r="B2658" s="7" t="str">
        <f aca="false">IF(A2658="","",'Outro banco'!B2658)</f>
        <v/>
      </c>
      <c r="C2658" s="7" t="str">
        <f aca="false">IF(A2658="","",'Outro banco'!C2658)</f>
        <v/>
      </c>
      <c r="D2658" s="7" t="str">
        <f aca="false">IF(A2658="","",'Outro banco'!D2658)</f>
        <v/>
      </c>
      <c r="E2658" s="9"/>
      <c r="F2658" s="9"/>
      <c r="G2658" s="7" t="str">
        <f aca="false">IF(A2658="","",IF(COUNTIF(Tabelas!$A:$A,IF(E2658="",A2658,E2658))&gt;0,"sim","não"))</f>
        <v/>
      </c>
      <c r="H2658" s="7" t="str">
        <f aca="false">IF(A2658="","",IF(E2658="",A2658,E2658)&amp;"."&amp;IF(F2658="",B2658,F2658))</f>
        <v/>
      </c>
      <c r="I2658" s="7" t="str">
        <f aca="false">IF(A2658="","",IFERROR(INDEX('Campos Growths'!$F:$F,MATCH(H2658,'Campos Growths'!$A:$A,0)),""))</f>
        <v/>
      </c>
      <c r="J2658" s="7" t="str">
        <f aca="false">IF(A2658="","",IFERROR(VLOOKUP(IF(ISNUMBER(SEARCH("(",C2658)),LEFT(C2658,SEARCH("(",C2658)-1),C2658),Tipos!$A:$B,2,FALSE()),"outro"))</f>
        <v/>
      </c>
      <c r="K2658" s="7" t="str">
        <f aca="false">IF(I2658="","",IFERROR(INDEX('Campos Growths'!$L:$L,MATCH(H2658,'Campos Growths'!$A:$A,0)),""))</f>
        <v/>
      </c>
      <c r="L2658" s="7" t="str">
        <f aca="false">IF(A2658="","",IF(G2658="não","Sem tabela no Growths",IF(I2658="","Sem campo no Growths",IF(J2658=K2658,"Importa direto","Ajustar tipo"))))</f>
        <v/>
      </c>
      <c r="M2658" s="9"/>
    </row>
    <row r="2659" customFormat="false" ht="15" hidden="false" customHeight="false" outlineLevel="0" collapsed="false">
      <c r="A2659" s="7" t="str">
        <f aca="false">IF('Outro banco'!A2659="","",IF(LEFT('Outro banco'!A2659,1)="(","",'Outro banco'!A2659))</f>
        <v/>
      </c>
      <c r="B2659" s="7" t="str">
        <f aca="false">IF(A2659="","",'Outro banco'!B2659)</f>
        <v/>
      </c>
      <c r="C2659" s="7" t="str">
        <f aca="false">IF(A2659="","",'Outro banco'!C2659)</f>
        <v/>
      </c>
      <c r="D2659" s="7" t="str">
        <f aca="false">IF(A2659="","",'Outro banco'!D2659)</f>
        <v/>
      </c>
      <c r="E2659" s="9"/>
      <c r="F2659" s="9"/>
      <c r="G2659" s="7" t="str">
        <f aca="false">IF(A2659="","",IF(COUNTIF(Tabelas!$A:$A,IF(E2659="",A2659,E2659))&gt;0,"sim","não"))</f>
        <v/>
      </c>
      <c r="H2659" s="7" t="str">
        <f aca="false">IF(A2659="","",IF(E2659="",A2659,E2659)&amp;"."&amp;IF(F2659="",B2659,F2659))</f>
        <v/>
      </c>
      <c r="I2659" s="7" t="str">
        <f aca="false">IF(A2659="","",IFERROR(INDEX('Campos Growths'!$F:$F,MATCH(H2659,'Campos Growths'!$A:$A,0)),""))</f>
        <v/>
      </c>
      <c r="J2659" s="7" t="str">
        <f aca="false">IF(A2659="","",IFERROR(VLOOKUP(IF(ISNUMBER(SEARCH("(",C2659)),LEFT(C2659,SEARCH("(",C2659)-1),C2659),Tipos!$A:$B,2,FALSE()),"outro"))</f>
        <v/>
      </c>
      <c r="K2659" s="7" t="str">
        <f aca="false">IF(I2659="","",IFERROR(INDEX('Campos Growths'!$L:$L,MATCH(H2659,'Campos Growths'!$A:$A,0)),""))</f>
        <v/>
      </c>
      <c r="L2659" s="7" t="str">
        <f aca="false">IF(A2659="","",IF(G2659="não","Sem tabela no Growths",IF(I2659="","Sem campo no Growths",IF(J2659=K2659,"Importa direto","Ajustar tipo"))))</f>
        <v/>
      </c>
      <c r="M2659" s="9"/>
    </row>
    <row r="2660" customFormat="false" ht="15" hidden="false" customHeight="false" outlineLevel="0" collapsed="false">
      <c r="A2660" s="7" t="str">
        <f aca="false">IF('Outro banco'!A2660="","",IF(LEFT('Outro banco'!A2660,1)="(","",'Outro banco'!A2660))</f>
        <v/>
      </c>
      <c r="B2660" s="7" t="str">
        <f aca="false">IF(A2660="","",'Outro banco'!B2660)</f>
        <v/>
      </c>
      <c r="C2660" s="7" t="str">
        <f aca="false">IF(A2660="","",'Outro banco'!C2660)</f>
        <v/>
      </c>
      <c r="D2660" s="7" t="str">
        <f aca="false">IF(A2660="","",'Outro banco'!D2660)</f>
        <v/>
      </c>
      <c r="E2660" s="9"/>
      <c r="F2660" s="9"/>
      <c r="G2660" s="7" t="str">
        <f aca="false">IF(A2660="","",IF(COUNTIF(Tabelas!$A:$A,IF(E2660="",A2660,E2660))&gt;0,"sim","não"))</f>
        <v/>
      </c>
      <c r="H2660" s="7" t="str">
        <f aca="false">IF(A2660="","",IF(E2660="",A2660,E2660)&amp;"."&amp;IF(F2660="",B2660,F2660))</f>
        <v/>
      </c>
      <c r="I2660" s="7" t="str">
        <f aca="false">IF(A2660="","",IFERROR(INDEX('Campos Growths'!$F:$F,MATCH(H2660,'Campos Growths'!$A:$A,0)),""))</f>
        <v/>
      </c>
      <c r="J2660" s="7" t="str">
        <f aca="false">IF(A2660="","",IFERROR(VLOOKUP(IF(ISNUMBER(SEARCH("(",C2660)),LEFT(C2660,SEARCH("(",C2660)-1),C2660),Tipos!$A:$B,2,FALSE()),"outro"))</f>
        <v/>
      </c>
      <c r="K2660" s="7" t="str">
        <f aca="false">IF(I2660="","",IFERROR(INDEX('Campos Growths'!$L:$L,MATCH(H2660,'Campos Growths'!$A:$A,0)),""))</f>
        <v/>
      </c>
      <c r="L2660" s="7" t="str">
        <f aca="false">IF(A2660="","",IF(G2660="não","Sem tabela no Growths",IF(I2660="","Sem campo no Growths",IF(J2660=K2660,"Importa direto","Ajustar tipo"))))</f>
        <v/>
      </c>
      <c r="M2660" s="9"/>
    </row>
    <row r="2661" customFormat="false" ht="15" hidden="false" customHeight="false" outlineLevel="0" collapsed="false">
      <c r="A2661" s="7" t="str">
        <f aca="false">IF('Outro banco'!A2661="","",IF(LEFT('Outro banco'!A2661,1)="(","",'Outro banco'!A2661))</f>
        <v/>
      </c>
      <c r="B2661" s="7" t="str">
        <f aca="false">IF(A2661="","",'Outro banco'!B2661)</f>
        <v/>
      </c>
      <c r="C2661" s="7" t="str">
        <f aca="false">IF(A2661="","",'Outro banco'!C2661)</f>
        <v/>
      </c>
      <c r="D2661" s="7" t="str">
        <f aca="false">IF(A2661="","",'Outro banco'!D2661)</f>
        <v/>
      </c>
      <c r="E2661" s="9"/>
      <c r="F2661" s="9"/>
      <c r="G2661" s="7" t="str">
        <f aca="false">IF(A2661="","",IF(COUNTIF(Tabelas!$A:$A,IF(E2661="",A2661,E2661))&gt;0,"sim","não"))</f>
        <v/>
      </c>
      <c r="H2661" s="7" t="str">
        <f aca="false">IF(A2661="","",IF(E2661="",A2661,E2661)&amp;"."&amp;IF(F2661="",B2661,F2661))</f>
        <v/>
      </c>
      <c r="I2661" s="7" t="str">
        <f aca="false">IF(A2661="","",IFERROR(INDEX('Campos Growths'!$F:$F,MATCH(H2661,'Campos Growths'!$A:$A,0)),""))</f>
        <v/>
      </c>
      <c r="J2661" s="7" t="str">
        <f aca="false">IF(A2661="","",IFERROR(VLOOKUP(IF(ISNUMBER(SEARCH("(",C2661)),LEFT(C2661,SEARCH("(",C2661)-1),C2661),Tipos!$A:$B,2,FALSE()),"outro"))</f>
        <v/>
      </c>
      <c r="K2661" s="7" t="str">
        <f aca="false">IF(I2661="","",IFERROR(INDEX('Campos Growths'!$L:$L,MATCH(H2661,'Campos Growths'!$A:$A,0)),""))</f>
        <v/>
      </c>
      <c r="L2661" s="7" t="str">
        <f aca="false">IF(A2661="","",IF(G2661="não","Sem tabela no Growths",IF(I2661="","Sem campo no Growths",IF(J2661=K2661,"Importa direto","Ajustar tipo"))))</f>
        <v/>
      </c>
      <c r="M2661" s="9"/>
    </row>
    <row r="2662" customFormat="false" ht="15" hidden="false" customHeight="false" outlineLevel="0" collapsed="false">
      <c r="A2662" s="7" t="str">
        <f aca="false">IF('Outro banco'!A2662="","",IF(LEFT('Outro banco'!A2662,1)="(","",'Outro banco'!A2662))</f>
        <v/>
      </c>
      <c r="B2662" s="7" t="str">
        <f aca="false">IF(A2662="","",'Outro banco'!B2662)</f>
        <v/>
      </c>
      <c r="C2662" s="7" t="str">
        <f aca="false">IF(A2662="","",'Outro banco'!C2662)</f>
        <v/>
      </c>
      <c r="D2662" s="7" t="str">
        <f aca="false">IF(A2662="","",'Outro banco'!D2662)</f>
        <v/>
      </c>
      <c r="E2662" s="9"/>
      <c r="F2662" s="9"/>
      <c r="G2662" s="7" t="str">
        <f aca="false">IF(A2662="","",IF(COUNTIF(Tabelas!$A:$A,IF(E2662="",A2662,E2662))&gt;0,"sim","não"))</f>
        <v/>
      </c>
      <c r="H2662" s="7" t="str">
        <f aca="false">IF(A2662="","",IF(E2662="",A2662,E2662)&amp;"."&amp;IF(F2662="",B2662,F2662))</f>
        <v/>
      </c>
      <c r="I2662" s="7" t="str">
        <f aca="false">IF(A2662="","",IFERROR(INDEX('Campos Growths'!$F:$F,MATCH(H2662,'Campos Growths'!$A:$A,0)),""))</f>
        <v/>
      </c>
      <c r="J2662" s="7" t="str">
        <f aca="false">IF(A2662="","",IFERROR(VLOOKUP(IF(ISNUMBER(SEARCH("(",C2662)),LEFT(C2662,SEARCH("(",C2662)-1),C2662),Tipos!$A:$B,2,FALSE()),"outro"))</f>
        <v/>
      </c>
      <c r="K2662" s="7" t="str">
        <f aca="false">IF(I2662="","",IFERROR(INDEX('Campos Growths'!$L:$L,MATCH(H2662,'Campos Growths'!$A:$A,0)),""))</f>
        <v/>
      </c>
      <c r="L2662" s="7" t="str">
        <f aca="false">IF(A2662="","",IF(G2662="não","Sem tabela no Growths",IF(I2662="","Sem campo no Growths",IF(J2662=K2662,"Importa direto","Ajustar tipo"))))</f>
        <v/>
      </c>
      <c r="M2662" s="9"/>
    </row>
    <row r="2663" customFormat="false" ht="15" hidden="false" customHeight="false" outlineLevel="0" collapsed="false">
      <c r="A2663" s="7" t="str">
        <f aca="false">IF('Outro banco'!A2663="","",IF(LEFT('Outro banco'!A2663,1)="(","",'Outro banco'!A2663))</f>
        <v/>
      </c>
      <c r="B2663" s="7" t="str">
        <f aca="false">IF(A2663="","",'Outro banco'!B2663)</f>
        <v/>
      </c>
      <c r="C2663" s="7" t="str">
        <f aca="false">IF(A2663="","",'Outro banco'!C2663)</f>
        <v/>
      </c>
      <c r="D2663" s="7" t="str">
        <f aca="false">IF(A2663="","",'Outro banco'!D2663)</f>
        <v/>
      </c>
      <c r="E2663" s="9"/>
      <c r="F2663" s="9"/>
      <c r="G2663" s="7" t="str">
        <f aca="false">IF(A2663="","",IF(COUNTIF(Tabelas!$A:$A,IF(E2663="",A2663,E2663))&gt;0,"sim","não"))</f>
        <v/>
      </c>
      <c r="H2663" s="7" t="str">
        <f aca="false">IF(A2663="","",IF(E2663="",A2663,E2663)&amp;"."&amp;IF(F2663="",B2663,F2663))</f>
        <v/>
      </c>
      <c r="I2663" s="7" t="str">
        <f aca="false">IF(A2663="","",IFERROR(INDEX('Campos Growths'!$F:$F,MATCH(H2663,'Campos Growths'!$A:$A,0)),""))</f>
        <v/>
      </c>
      <c r="J2663" s="7" t="str">
        <f aca="false">IF(A2663="","",IFERROR(VLOOKUP(IF(ISNUMBER(SEARCH("(",C2663)),LEFT(C2663,SEARCH("(",C2663)-1),C2663),Tipos!$A:$B,2,FALSE()),"outro"))</f>
        <v/>
      </c>
      <c r="K2663" s="7" t="str">
        <f aca="false">IF(I2663="","",IFERROR(INDEX('Campos Growths'!$L:$L,MATCH(H2663,'Campos Growths'!$A:$A,0)),""))</f>
        <v/>
      </c>
      <c r="L2663" s="7" t="str">
        <f aca="false">IF(A2663="","",IF(G2663="não","Sem tabela no Growths",IF(I2663="","Sem campo no Growths",IF(J2663=K2663,"Importa direto","Ajustar tipo"))))</f>
        <v/>
      </c>
      <c r="M2663" s="9"/>
    </row>
    <row r="2664" customFormat="false" ht="15" hidden="false" customHeight="false" outlineLevel="0" collapsed="false">
      <c r="A2664" s="7" t="str">
        <f aca="false">IF('Outro banco'!A2664="","",IF(LEFT('Outro banco'!A2664,1)="(","",'Outro banco'!A2664))</f>
        <v/>
      </c>
      <c r="B2664" s="7" t="str">
        <f aca="false">IF(A2664="","",'Outro banco'!B2664)</f>
        <v/>
      </c>
      <c r="C2664" s="7" t="str">
        <f aca="false">IF(A2664="","",'Outro banco'!C2664)</f>
        <v/>
      </c>
      <c r="D2664" s="7" t="str">
        <f aca="false">IF(A2664="","",'Outro banco'!D2664)</f>
        <v/>
      </c>
      <c r="E2664" s="9"/>
      <c r="F2664" s="9"/>
      <c r="G2664" s="7" t="str">
        <f aca="false">IF(A2664="","",IF(COUNTIF(Tabelas!$A:$A,IF(E2664="",A2664,E2664))&gt;0,"sim","não"))</f>
        <v/>
      </c>
      <c r="H2664" s="7" t="str">
        <f aca="false">IF(A2664="","",IF(E2664="",A2664,E2664)&amp;"."&amp;IF(F2664="",B2664,F2664))</f>
        <v/>
      </c>
      <c r="I2664" s="7" t="str">
        <f aca="false">IF(A2664="","",IFERROR(INDEX('Campos Growths'!$F:$F,MATCH(H2664,'Campos Growths'!$A:$A,0)),""))</f>
        <v/>
      </c>
      <c r="J2664" s="7" t="str">
        <f aca="false">IF(A2664="","",IFERROR(VLOOKUP(IF(ISNUMBER(SEARCH("(",C2664)),LEFT(C2664,SEARCH("(",C2664)-1),C2664),Tipos!$A:$B,2,FALSE()),"outro"))</f>
        <v/>
      </c>
      <c r="K2664" s="7" t="str">
        <f aca="false">IF(I2664="","",IFERROR(INDEX('Campos Growths'!$L:$L,MATCH(H2664,'Campos Growths'!$A:$A,0)),""))</f>
        <v/>
      </c>
      <c r="L2664" s="7" t="str">
        <f aca="false">IF(A2664="","",IF(G2664="não","Sem tabela no Growths",IF(I2664="","Sem campo no Growths",IF(J2664=K2664,"Importa direto","Ajustar tipo"))))</f>
        <v/>
      </c>
      <c r="M2664" s="9"/>
    </row>
    <row r="2665" customFormat="false" ht="15" hidden="false" customHeight="false" outlineLevel="0" collapsed="false">
      <c r="A2665" s="7" t="str">
        <f aca="false">IF('Outro banco'!A2665="","",IF(LEFT('Outro banco'!A2665,1)="(","",'Outro banco'!A2665))</f>
        <v/>
      </c>
      <c r="B2665" s="7" t="str">
        <f aca="false">IF(A2665="","",'Outro banco'!B2665)</f>
        <v/>
      </c>
      <c r="C2665" s="7" t="str">
        <f aca="false">IF(A2665="","",'Outro banco'!C2665)</f>
        <v/>
      </c>
      <c r="D2665" s="7" t="str">
        <f aca="false">IF(A2665="","",'Outro banco'!D2665)</f>
        <v/>
      </c>
      <c r="E2665" s="9"/>
      <c r="F2665" s="9"/>
      <c r="G2665" s="7" t="str">
        <f aca="false">IF(A2665="","",IF(COUNTIF(Tabelas!$A:$A,IF(E2665="",A2665,E2665))&gt;0,"sim","não"))</f>
        <v/>
      </c>
      <c r="H2665" s="7" t="str">
        <f aca="false">IF(A2665="","",IF(E2665="",A2665,E2665)&amp;"."&amp;IF(F2665="",B2665,F2665))</f>
        <v/>
      </c>
      <c r="I2665" s="7" t="str">
        <f aca="false">IF(A2665="","",IFERROR(INDEX('Campos Growths'!$F:$F,MATCH(H2665,'Campos Growths'!$A:$A,0)),""))</f>
        <v/>
      </c>
      <c r="J2665" s="7" t="str">
        <f aca="false">IF(A2665="","",IFERROR(VLOOKUP(IF(ISNUMBER(SEARCH("(",C2665)),LEFT(C2665,SEARCH("(",C2665)-1),C2665),Tipos!$A:$B,2,FALSE()),"outro"))</f>
        <v/>
      </c>
      <c r="K2665" s="7" t="str">
        <f aca="false">IF(I2665="","",IFERROR(INDEX('Campos Growths'!$L:$L,MATCH(H2665,'Campos Growths'!$A:$A,0)),""))</f>
        <v/>
      </c>
      <c r="L2665" s="7" t="str">
        <f aca="false">IF(A2665="","",IF(G2665="não","Sem tabela no Growths",IF(I2665="","Sem campo no Growths",IF(J2665=K2665,"Importa direto","Ajustar tipo"))))</f>
        <v/>
      </c>
      <c r="M2665" s="9"/>
    </row>
    <row r="2666" customFormat="false" ht="15" hidden="false" customHeight="false" outlineLevel="0" collapsed="false">
      <c r="A2666" s="7" t="str">
        <f aca="false">IF('Outro banco'!A2666="","",IF(LEFT('Outro banco'!A2666,1)="(","",'Outro banco'!A2666))</f>
        <v/>
      </c>
      <c r="B2666" s="7" t="str">
        <f aca="false">IF(A2666="","",'Outro banco'!B2666)</f>
        <v/>
      </c>
      <c r="C2666" s="7" t="str">
        <f aca="false">IF(A2666="","",'Outro banco'!C2666)</f>
        <v/>
      </c>
      <c r="D2666" s="7" t="str">
        <f aca="false">IF(A2666="","",'Outro banco'!D2666)</f>
        <v/>
      </c>
      <c r="E2666" s="9"/>
      <c r="F2666" s="9"/>
      <c r="G2666" s="7" t="str">
        <f aca="false">IF(A2666="","",IF(COUNTIF(Tabelas!$A:$A,IF(E2666="",A2666,E2666))&gt;0,"sim","não"))</f>
        <v/>
      </c>
      <c r="H2666" s="7" t="str">
        <f aca="false">IF(A2666="","",IF(E2666="",A2666,E2666)&amp;"."&amp;IF(F2666="",B2666,F2666))</f>
        <v/>
      </c>
      <c r="I2666" s="7" t="str">
        <f aca="false">IF(A2666="","",IFERROR(INDEX('Campos Growths'!$F:$F,MATCH(H2666,'Campos Growths'!$A:$A,0)),""))</f>
        <v/>
      </c>
      <c r="J2666" s="7" t="str">
        <f aca="false">IF(A2666="","",IFERROR(VLOOKUP(IF(ISNUMBER(SEARCH("(",C2666)),LEFT(C2666,SEARCH("(",C2666)-1),C2666),Tipos!$A:$B,2,FALSE()),"outro"))</f>
        <v/>
      </c>
      <c r="K2666" s="7" t="str">
        <f aca="false">IF(I2666="","",IFERROR(INDEX('Campos Growths'!$L:$L,MATCH(H2666,'Campos Growths'!$A:$A,0)),""))</f>
        <v/>
      </c>
      <c r="L2666" s="7" t="str">
        <f aca="false">IF(A2666="","",IF(G2666="não","Sem tabela no Growths",IF(I2666="","Sem campo no Growths",IF(J2666=K2666,"Importa direto","Ajustar tipo"))))</f>
        <v/>
      </c>
      <c r="M2666" s="9"/>
    </row>
    <row r="2667" customFormat="false" ht="15" hidden="false" customHeight="false" outlineLevel="0" collapsed="false">
      <c r="A2667" s="7" t="str">
        <f aca="false">IF('Outro banco'!A2667="","",IF(LEFT('Outro banco'!A2667,1)="(","",'Outro banco'!A2667))</f>
        <v/>
      </c>
      <c r="B2667" s="7" t="str">
        <f aca="false">IF(A2667="","",'Outro banco'!B2667)</f>
        <v/>
      </c>
      <c r="C2667" s="7" t="str">
        <f aca="false">IF(A2667="","",'Outro banco'!C2667)</f>
        <v/>
      </c>
      <c r="D2667" s="7" t="str">
        <f aca="false">IF(A2667="","",'Outro banco'!D2667)</f>
        <v/>
      </c>
      <c r="E2667" s="9"/>
      <c r="F2667" s="9"/>
      <c r="G2667" s="7" t="str">
        <f aca="false">IF(A2667="","",IF(COUNTIF(Tabelas!$A:$A,IF(E2667="",A2667,E2667))&gt;0,"sim","não"))</f>
        <v/>
      </c>
      <c r="H2667" s="7" t="str">
        <f aca="false">IF(A2667="","",IF(E2667="",A2667,E2667)&amp;"."&amp;IF(F2667="",B2667,F2667))</f>
        <v/>
      </c>
      <c r="I2667" s="7" t="str">
        <f aca="false">IF(A2667="","",IFERROR(INDEX('Campos Growths'!$F:$F,MATCH(H2667,'Campos Growths'!$A:$A,0)),""))</f>
        <v/>
      </c>
      <c r="J2667" s="7" t="str">
        <f aca="false">IF(A2667="","",IFERROR(VLOOKUP(IF(ISNUMBER(SEARCH("(",C2667)),LEFT(C2667,SEARCH("(",C2667)-1),C2667),Tipos!$A:$B,2,FALSE()),"outro"))</f>
        <v/>
      </c>
      <c r="K2667" s="7" t="str">
        <f aca="false">IF(I2667="","",IFERROR(INDEX('Campos Growths'!$L:$L,MATCH(H2667,'Campos Growths'!$A:$A,0)),""))</f>
        <v/>
      </c>
      <c r="L2667" s="7" t="str">
        <f aca="false">IF(A2667="","",IF(G2667="não","Sem tabela no Growths",IF(I2667="","Sem campo no Growths",IF(J2667=K2667,"Importa direto","Ajustar tipo"))))</f>
        <v/>
      </c>
      <c r="M2667" s="9"/>
    </row>
    <row r="2668" customFormat="false" ht="15" hidden="false" customHeight="false" outlineLevel="0" collapsed="false">
      <c r="A2668" s="7" t="str">
        <f aca="false">IF('Outro banco'!A2668="","",IF(LEFT('Outro banco'!A2668,1)="(","",'Outro banco'!A2668))</f>
        <v/>
      </c>
      <c r="B2668" s="7" t="str">
        <f aca="false">IF(A2668="","",'Outro banco'!B2668)</f>
        <v/>
      </c>
      <c r="C2668" s="7" t="str">
        <f aca="false">IF(A2668="","",'Outro banco'!C2668)</f>
        <v/>
      </c>
      <c r="D2668" s="7" t="str">
        <f aca="false">IF(A2668="","",'Outro banco'!D2668)</f>
        <v/>
      </c>
      <c r="E2668" s="9"/>
      <c r="F2668" s="9"/>
      <c r="G2668" s="7" t="str">
        <f aca="false">IF(A2668="","",IF(COUNTIF(Tabelas!$A:$A,IF(E2668="",A2668,E2668))&gt;0,"sim","não"))</f>
        <v/>
      </c>
      <c r="H2668" s="7" t="str">
        <f aca="false">IF(A2668="","",IF(E2668="",A2668,E2668)&amp;"."&amp;IF(F2668="",B2668,F2668))</f>
        <v/>
      </c>
      <c r="I2668" s="7" t="str">
        <f aca="false">IF(A2668="","",IFERROR(INDEX('Campos Growths'!$F:$F,MATCH(H2668,'Campos Growths'!$A:$A,0)),""))</f>
        <v/>
      </c>
      <c r="J2668" s="7" t="str">
        <f aca="false">IF(A2668="","",IFERROR(VLOOKUP(IF(ISNUMBER(SEARCH("(",C2668)),LEFT(C2668,SEARCH("(",C2668)-1),C2668),Tipos!$A:$B,2,FALSE()),"outro"))</f>
        <v/>
      </c>
      <c r="K2668" s="7" t="str">
        <f aca="false">IF(I2668="","",IFERROR(INDEX('Campos Growths'!$L:$L,MATCH(H2668,'Campos Growths'!$A:$A,0)),""))</f>
        <v/>
      </c>
      <c r="L2668" s="7" t="str">
        <f aca="false">IF(A2668="","",IF(G2668="não","Sem tabela no Growths",IF(I2668="","Sem campo no Growths",IF(J2668=K2668,"Importa direto","Ajustar tipo"))))</f>
        <v/>
      </c>
      <c r="M2668" s="9"/>
    </row>
    <row r="2669" customFormat="false" ht="15" hidden="false" customHeight="false" outlineLevel="0" collapsed="false">
      <c r="A2669" s="7" t="str">
        <f aca="false">IF('Outro banco'!A2669="","",IF(LEFT('Outro banco'!A2669,1)="(","",'Outro banco'!A2669))</f>
        <v/>
      </c>
      <c r="B2669" s="7" t="str">
        <f aca="false">IF(A2669="","",'Outro banco'!B2669)</f>
        <v/>
      </c>
      <c r="C2669" s="7" t="str">
        <f aca="false">IF(A2669="","",'Outro banco'!C2669)</f>
        <v/>
      </c>
      <c r="D2669" s="7" t="str">
        <f aca="false">IF(A2669="","",'Outro banco'!D2669)</f>
        <v/>
      </c>
      <c r="E2669" s="9"/>
      <c r="F2669" s="9"/>
      <c r="G2669" s="7" t="str">
        <f aca="false">IF(A2669="","",IF(COUNTIF(Tabelas!$A:$A,IF(E2669="",A2669,E2669))&gt;0,"sim","não"))</f>
        <v/>
      </c>
      <c r="H2669" s="7" t="str">
        <f aca="false">IF(A2669="","",IF(E2669="",A2669,E2669)&amp;"."&amp;IF(F2669="",B2669,F2669))</f>
        <v/>
      </c>
      <c r="I2669" s="7" t="str">
        <f aca="false">IF(A2669="","",IFERROR(INDEX('Campos Growths'!$F:$F,MATCH(H2669,'Campos Growths'!$A:$A,0)),""))</f>
        <v/>
      </c>
      <c r="J2669" s="7" t="str">
        <f aca="false">IF(A2669="","",IFERROR(VLOOKUP(IF(ISNUMBER(SEARCH("(",C2669)),LEFT(C2669,SEARCH("(",C2669)-1),C2669),Tipos!$A:$B,2,FALSE()),"outro"))</f>
        <v/>
      </c>
      <c r="K2669" s="7" t="str">
        <f aca="false">IF(I2669="","",IFERROR(INDEX('Campos Growths'!$L:$L,MATCH(H2669,'Campos Growths'!$A:$A,0)),""))</f>
        <v/>
      </c>
      <c r="L2669" s="7" t="str">
        <f aca="false">IF(A2669="","",IF(G2669="não","Sem tabela no Growths",IF(I2669="","Sem campo no Growths",IF(J2669=K2669,"Importa direto","Ajustar tipo"))))</f>
        <v/>
      </c>
      <c r="M2669" s="9"/>
    </row>
    <row r="2670" customFormat="false" ht="15" hidden="false" customHeight="false" outlineLevel="0" collapsed="false">
      <c r="A2670" s="7" t="str">
        <f aca="false">IF('Outro banco'!A2670="","",IF(LEFT('Outro banco'!A2670,1)="(","",'Outro banco'!A2670))</f>
        <v/>
      </c>
      <c r="B2670" s="7" t="str">
        <f aca="false">IF(A2670="","",'Outro banco'!B2670)</f>
        <v/>
      </c>
      <c r="C2670" s="7" t="str">
        <f aca="false">IF(A2670="","",'Outro banco'!C2670)</f>
        <v/>
      </c>
      <c r="D2670" s="7" t="str">
        <f aca="false">IF(A2670="","",'Outro banco'!D2670)</f>
        <v/>
      </c>
      <c r="E2670" s="9"/>
      <c r="F2670" s="9"/>
      <c r="G2670" s="7" t="str">
        <f aca="false">IF(A2670="","",IF(COUNTIF(Tabelas!$A:$A,IF(E2670="",A2670,E2670))&gt;0,"sim","não"))</f>
        <v/>
      </c>
      <c r="H2670" s="7" t="str">
        <f aca="false">IF(A2670="","",IF(E2670="",A2670,E2670)&amp;"."&amp;IF(F2670="",B2670,F2670))</f>
        <v/>
      </c>
      <c r="I2670" s="7" t="str">
        <f aca="false">IF(A2670="","",IFERROR(INDEX('Campos Growths'!$F:$F,MATCH(H2670,'Campos Growths'!$A:$A,0)),""))</f>
        <v/>
      </c>
      <c r="J2670" s="7" t="str">
        <f aca="false">IF(A2670="","",IFERROR(VLOOKUP(IF(ISNUMBER(SEARCH("(",C2670)),LEFT(C2670,SEARCH("(",C2670)-1),C2670),Tipos!$A:$B,2,FALSE()),"outro"))</f>
        <v/>
      </c>
      <c r="K2670" s="7" t="str">
        <f aca="false">IF(I2670="","",IFERROR(INDEX('Campos Growths'!$L:$L,MATCH(H2670,'Campos Growths'!$A:$A,0)),""))</f>
        <v/>
      </c>
      <c r="L2670" s="7" t="str">
        <f aca="false">IF(A2670="","",IF(G2670="não","Sem tabela no Growths",IF(I2670="","Sem campo no Growths",IF(J2670=K2670,"Importa direto","Ajustar tipo"))))</f>
        <v/>
      </c>
      <c r="M2670" s="9"/>
    </row>
    <row r="2671" customFormat="false" ht="15" hidden="false" customHeight="false" outlineLevel="0" collapsed="false">
      <c r="A2671" s="7" t="str">
        <f aca="false">IF('Outro banco'!A2671="","",IF(LEFT('Outro banco'!A2671,1)="(","",'Outro banco'!A2671))</f>
        <v/>
      </c>
      <c r="B2671" s="7" t="str">
        <f aca="false">IF(A2671="","",'Outro banco'!B2671)</f>
        <v/>
      </c>
      <c r="C2671" s="7" t="str">
        <f aca="false">IF(A2671="","",'Outro banco'!C2671)</f>
        <v/>
      </c>
      <c r="D2671" s="7" t="str">
        <f aca="false">IF(A2671="","",'Outro banco'!D2671)</f>
        <v/>
      </c>
      <c r="E2671" s="9"/>
      <c r="F2671" s="9"/>
      <c r="G2671" s="7" t="str">
        <f aca="false">IF(A2671="","",IF(COUNTIF(Tabelas!$A:$A,IF(E2671="",A2671,E2671))&gt;0,"sim","não"))</f>
        <v/>
      </c>
      <c r="H2671" s="7" t="str">
        <f aca="false">IF(A2671="","",IF(E2671="",A2671,E2671)&amp;"."&amp;IF(F2671="",B2671,F2671))</f>
        <v/>
      </c>
      <c r="I2671" s="7" t="str">
        <f aca="false">IF(A2671="","",IFERROR(INDEX('Campos Growths'!$F:$F,MATCH(H2671,'Campos Growths'!$A:$A,0)),""))</f>
        <v/>
      </c>
      <c r="J2671" s="7" t="str">
        <f aca="false">IF(A2671="","",IFERROR(VLOOKUP(IF(ISNUMBER(SEARCH("(",C2671)),LEFT(C2671,SEARCH("(",C2671)-1),C2671),Tipos!$A:$B,2,FALSE()),"outro"))</f>
        <v/>
      </c>
      <c r="K2671" s="7" t="str">
        <f aca="false">IF(I2671="","",IFERROR(INDEX('Campos Growths'!$L:$L,MATCH(H2671,'Campos Growths'!$A:$A,0)),""))</f>
        <v/>
      </c>
      <c r="L2671" s="7" t="str">
        <f aca="false">IF(A2671="","",IF(G2671="não","Sem tabela no Growths",IF(I2671="","Sem campo no Growths",IF(J2671=K2671,"Importa direto","Ajustar tipo"))))</f>
        <v/>
      </c>
      <c r="M2671" s="9"/>
    </row>
    <row r="2672" customFormat="false" ht="15" hidden="false" customHeight="false" outlineLevel="0" collapsed="false">
      <c r="A2672" s="7" t="str">
        <f aca="false">IF('Outro banco'!A2672="","",IF(LEFT('Outro banco'!A2672,1)="(","",'Outro banco'!A2672))</f>
        <v/>
      </c>
      <c r="B2672" s="7" t="str">
        <f aca="false">IF(A2672="","",'Outro banco'!B2672)</f>
        <v/>
      </c>
      <c r="C2672" s="7" t="str">
        <f aca="false">IF(A2672="","",'Outro banco'!C2672)</f>
        <v/>
      </c>
      <c r="D2672" s="7" t="str">
        <f aca="false">IF(A2672="","",'Outro banco'!D2672)</f>
        <v/>
      </c>
      <c r="E2672" s="9"/>
      <c r="F2672" s="9"/>
      <c r="G2672" s="7" t="str">
        <f aca="false">IF(A2672="","",IF(COUNTIF(Tabelas!$A:$A,IF(E2672="",A2672,E2672))&gt;0,"sim","não"))</f>
        <v/>
      </c>
      <c r="H2672" s="7" t="str">
        <f aca="false">IF(A2672="","",IF(E2672="",A2672,E2672)&amp;"."&amp;IF(F2672="",B2672,F2672))</f>
        <v/>
      </c>
      <c r="I2672" s="7" t="str">
        <f aca="false">IF(A2672="","",IFERROR(INDEX('Campos Growths'!$F:$F,MATCH(H2672,'Campos Growths'!$A:$A,0)),""))</f>
        <v/>
      </c>
      <c r="J2672" s="7" t="str">
        <f aca="false">IF(A2672="","",IFERROR(VLOOKUP(IF(ISNUMBER(SEARCH("(",C2672)),LEFT(C2672,SEARCH("(",C2672)-1),C2672),Tipos!$A:$B,2,FALSE()),"outro"))</f>
        <v/>
      </c>
      <c r="K2672" s="7" t="str">
        <f aca="false">IF(I2672="","",IFERROR(INDEX('Campos Growths'!$L:$L,MATCH(H2672,'Campos Growths'!$A:$A,0)),""))</f>
        <v/>
      </c>
      <c r="L2672" s="7" t="str">
        <f aca="false">IF(A2672="","",IF(G2672="não","Sem tabela no Growths",IF(I2672="","Sem campo no Growths",IF(J2672=K2672,"Importa direto","Ajustar tipo"))))</f>
        <v/>
      </c>
      <c r="M2672" s="9"/>
    </row>
    <row r="2673" customFormat="false" ht="15" hidden="false" customHeight="false" outlineLevel="0" collapsed="false">
      <c r="A2673" s="7" t="str">
        <f aca="false">IF('Outro banco'!A2673="","",IF(LEFT('Outro banco'!A2673,1)="(","",'Outro banco'!A2673))</f>
        <v/>
      </c>
      <c r="B2673" s="7" t="str">
        <f aca="false">IF(A2673="","",'Outro banco'!B2673)</f>
        <v/>
      </c>
      <c r="C2673" s="7" t="str">
        <f aca="false">IF(A2673="","",'Outro banco'!C2673)</f>
        <v/>
      </c>
      <c r="D2673" s="7" t="str">
        <f aca="false">IF(A2673="","",'Outro banco'!D2673)</f>
        <v/>
      </c>
      <c r="E2673" s="9"/>
      <c r="F2673" s="9"/>
      <c r="G2673" s="7" t="str">
        <f aca="false">IF(A2673="","",IF(COUNTIF(Tabelas!$A:$A,IF(E2673="",A2673,E2673))&gt;0,"sim","não"))</f>
        <v/>
      </c>
      <c r="H2673" s="7" t="str">
        <f aca="false">IF(A2673="","",IF(E2673="",A2673,E2673)&amp;"."&amp;IF(F2673="",B2673,F2673))</f>
        <v/>
      </c>
      <c r="I2673" s="7" t="str">
        <f aca="false">IF(A2673="","",IFERROR(INDEX('Campos Growths'!$F:$F,MATCH(H2673,'Campos Growths'!$A:$A,0)),""))</f>
        <v/>
      </c>
      <c r="J2673" s="7" t="str">
        <f aca="false">IF(A2673="","",IFERROR(VLOOKUP(IF(ISNUMBER(SEARCH("(",C2673)),LEFT(C2673,SEARCH("(",C2673)-1),C2673),Tipos!$A:$B,2,FALSE()),"outro"))</f>
        <v/>
      </c>
      <c r="K2673" s="7" t="str">
        <f aca="false">IF(I2673="","",IFERROR(INDEX('Campos Growths'!$L:$L,MATCH(H2673,'Campos Growths'!$A:$A,0)),""))</f>
        <v/>
      </c>
      <c r="L2673" s="7" t="str">
        <f aca="false">IF(A2673="","",IF(G2673="não","Sem tabela no Growths",IF(I2673="","Sem campo no Growths",IF(J2673=K2673,"Importa direto","Ajustar tipo"))))</f>
        <v/>
      </c>
      <c r="M2673" s="9"/>
    </row>
    <row r="2674" customFormat="false" ht="15" hidden="false" customHeight="false" outlineLevel="0" collapsed="false">
      <c r="A2674" s="7" t="str">
        <f aca="false">IF('Outro banco'!A2674="","",IF(LEFT('Outro banco'!A2674,1)="(","",'Outro banco'!A2674))</f>
        <v/>
      </c>
      <c r="B2674" s="7" t="str">
        <f aca="false">IF(A2674="","",'Outro banco'!B2674)</f>
        <v/>
      </c>
      <c r="C2674" s="7" t="str">
        <f aca="false">IF(A2674="","",'Outro banco'!C2674)</f>
        <v/>
      </c>
      <c r="D2674" s="7" t="str">
        <f aca="false">IF(A2674="","",'Outro banco'!D2674)</f>
        <v/>
      </c>
      <c r="E2674" s="9"/>
      <c r="F2674" s="9"/>
      <c r="G2674" s="7" t="str">
        <f aca="false">IF(A2674="","",IF(COUNTIF(Tabelas!$A:$A,IF(E2674="",A2674,E2674))&gt;0,"sim","não"))</f>
        <v/>
      </c>
      <c r="H2674" s="7" t="str">
        <f aca="false">IF(A2674="","",IF(E2674="",A2674,E2674)&amp;"."&amp;IF(F2674="",B2674,F2674))</f>
        <v/>
      </c>
      <c r="I2674" s="7" t="str">
        <f aca="false">IF(A2674="","",IFERROR(INDEX('Campos Growths'!$F:$F,MATCH(H2674,'Campos Growths'!$A:$A,0)),""))</f>
        <v/>
      </c>
      <c r="J2674" s="7" t="str">
        <f aca="false">IF(A2674="","",IFERROR(VLOOKUP(IF(ISNUMBER(SEARCH("(",C2674)),LEFT(C2674,SEARCH("(",C2674)-1),C2674),Tipos!$A:$B,2,FALSE()),"outro"))</f>
        <v/>
      </c>
      <c r="K2674" s="7" t="str">
        <f aca="false">IF(I2674="","",IFERROR(INDEX('Campos Growths'!$L:$L,MATCH(H2674,'Campos Growths'!$A:$A,0)),""))</f>
        <v/>
      </c>
      <c r="L2674" s="7" t="str">
        <f aca="false">IF(A2674="","",IF(G2674="não","Sem tabela no Growths",IF(I2674="","Sem campo no Growths",IF(J2674=K2674,"Importa direto","Ajustar tipo"))))</f>
        <v/>
      </c>
      <c r="M2674" s="9"/>
    </row>
    <row r="2675" customFormat="false" ht="15" hidden="false" customHeight="false" outlineLevel="0" collapsed="false">
      <c r="A2675" s="7" t="str">
        <f aca="false">IF('Outro banco'!A2675="","",IF(LEFT('Outro banco'!A2675,1)="(","",'Outro banco'!A2675))</f>
        <v/>
      </c>
      <c r="B2675" s="7" t="str">
        <f aca="false">IF(A2675="","",'Outro banco'!B2675)</f>
        <v/>
      </c>
      <c r="C2675" s="7" t="str">
        <f aca="false">IF(A2675="","",'Outro banco'!C2675)</f>
        <v/>
      </c>
      <c r="D2675" s="7" t="str">
        <f aca="false">IF(A2675="","",'Outro banco'!D2675)</f>
        <v/>
      </c>
      <c r="E2675" s="9"/>
      <c r="F2675" s="9"/>
      <c r="G2675" s="7" t="str">
        <f aca="false">IF(A2675="","",IF(COUNTIF(Tabelas!$A:$A,IF(E2675="",A2675,E2675))&gt;0,"sim","não"))</f>
        <v/>
      </c>
      <c r="H2675" s="7" t="str">
        <f aca="false">IF(A2675="","",IF(E2675="",A2675,E2675)&amp;"."&amp;IF(F2675="",B2675,F2675))</f>
        <v/>
      </c>
      <c r="I2675" s="7" t="str">
        <f aca="false">IF(A2675="","",IFERROR(INDEX('Campos Growths'!$F:$F,MATCH(H2675,'Campos Growths'!$A:$A,0)),""))</f>
        <v/>
      </c>
      <c r="J2675" s="7" t="str">
        <f aca="false">IF(A2675="","",IFERROR(VLOOKUP(IF(ISNUMBER(SEARCH("(",C2675)),LEFT(C2675,SEARCH("(",C2675)-1),C2675),Tipos!$A:$B,2,FALSE()),"outro"))</f>
        <v/>
      </c>
      <c r="K2675" s="7" t="str">
        <f aca="false">IF(I2675="","",IFERROR(INDEX('Campos Growths'!$L:$L,MATCH(H2675,'Campos Growths'!$A:$A,0)),""))</f>
        <v/>
      </c>
      <c r="L2675" s="7" t="str">
        <f aca="false">IF(A2675="","",IF(G2675="não","Sem tabela no Growths",IF(I2675="","Sem campo no Growths",IF(J2675=K2675,"Importa direto","Ajustar tipo"))))</f>
        <v/>
      </c>
      <c r="M2675" s="9"/>
    </row>
    <row r="2676" customFormat="false" ht="15" hidden="false" customHeight="false" outlineLevel="0" collapsed="false">
      <c r="A2676" s="7" t="str">
        <f aca="false">IF('Outro banco'!A2676="","",IF(LEFT('Outro banco'!A2676,1)="(","",'Outro banco'!A2676))</f>
        <v/>
      </c>
      <c r="B2676" s="7" t="str">
        <f aca="false">IF(A2676="","",'Outro banco'!B2676)</f>
        <v/>
      </c>
      <c r="C2676" s="7" t="str">
        <f aca="false">IF(A2676="","",'Outro banco'!C2676)</f>
        <v/>
      </c>
      <c r="D2676" s="7" t="str">
        <f aca="false">IF(A2676="","",'Outro banco'!D2676)</f>
        <v/>
      </c>
      <c r="E2676" s="9"/>
      <c r="F2676" s="9"/>
      <c r="G2676" s="7" t="str">
        <f aca="false">IF(A2676="","",IF(COUNTIF(Tabelas!$A:$A,IF(E2676="",A2676,E2676))&gt;0,"sim","não"))</f>
        <v/>
      </c>
      <c r="H2676" s="7" t="str">
        <f aca="false">IF(A2676="","",IF(E2676="",A2676,E2676)&amp;"."&amp;IF(F2676="",B2676,F2676))</f>
        <v/>
      </c>
      <c r="I2676" s="7" t="str">
        <f aca="false">IF(A2676="","",IFERROR(INDEX('Campos Growths'!$F:$F,MATCH(H2676,'Campos Growths'!$A:$A,0)),""))</f>
        <v/>
      </c>
      <c r="J2676" s="7" t="str">
        <f aca="false">IF(A2676="","",IFERROR(VLOOKUP(IF(ISNUMBER(SEARCH("(",C2676)),LEFT(C2676,SEARCH("(",C2676)-1),C2676),Tipos!$A:$B,2,FALSE()),"outro"))</f>
        <v/>
      </c>
      <c r="K2676" s="7" t="str">
        <f aca="false">IF(I2676="","",IFERROR(INDEX('Campos Growths'!$L:$L,MATCH(H2676,'Campos Growths'!$A:$A,0)),""))</f>
        <v/>
      </c>
      <c r="L2676" s="7" t="str">
        <f aca="false">IF(A2676="","",IF(G2676="não","Sem tabela no Growths",IF(I2676="","Sem campo no Growths",IF(J2676=K2676,"Importa direto","Ajustar tipo"))))</f>
        <v/>
      </c>
      <c r="M2676" s="9"/>
    </row>
    <row r="2677" customFormat="false" ht="15" hidden="false" customHeight="false" outlineLevel="0" collapsed="false">
      <c r="A2677" s="7" t="str">
        <f aca="false">IF('Outro banco'!A2677="","",IF(LEFT('Outro banco'!A2677,1)="(","",'Outro banco'!A2677))</f>
        <v/>
      </c>
      <c r="B2677" s="7" t="str">
        <f aca="false">IF(A2677="","",'Outro banco'!B2677)</f>
        <v/>
      </c>
      <c r="C2677" s="7" t="str">
        <f aca="false">IF(A2677="","",'Outro banco'!C2677)</f>
        <v/>
      </c>
      <c r="D2677" s="7" t="str">
        <f aca="false">IF(A2677="","",'Outro banco'!D2677)</f>
        <v/>
      </c>
      <c r="E2677" s="9"/>
      <c r="F2677" s="9"/>
      <c r="G2677" s="7" t="str">
        <f aca="false">IF(A2677="","",IF(COUNTIF(Tabelas!$A:$A,IF(E2677="",A2677,E2677))&gt;0,"sim","não"))</f>
        <v/>
      </c>
      <c r="H2677" s="7" t="str">
        <f aca="false">IF(A2677="","",IF(E2677="",A2677,E2677)&amp;"."&amp;IF(F2677="",B2677,F2677))</f>
        <v/>
      </c>
      <c r="I2677" s="7" t="str">
        <f aca="false">IF(A2677="","",IFERROR(INDEX('Campos Growths'!$F:$F,MATCH(H2677,'Campos Growths'!$A:$A,0)),""))</f>
        <v/>
      </c>
      <c r="J2677" s="7" t="str">
        <f aca="false">IF(A2677="","",IFERROR(VLOOKUP(IF(ISNUMBER(SEARCH("(",C2677)),LEFT(C2677,SEARCH("(",C2677)-1),C2677),Tipos!$A:$B,2,FALSE()),"outro"))</f>
        <v/>
      </c>
      <c r="K2677" s="7" t="str">
        <f aca="false">IF(I2677="","",IFERROR(INDEX('Campos Growths'!$L:$L,MATCH(H2677,'Campos Growths'!$A:$A,0)),""))</f>
        <v/>
      </c>
      <c r="L2677" s="7" t="str">
        <f aca="false">IF(A2677="","",IF(G2677="não","Sem tabela no Growths",IF(I2677="","Sem campo no Growths",IF(J2677=K2677,"Importa direto","Ajustar tipo"))))</f>
        <v/>
      </c>
      <c r="M2677" s="9"/>
    </row>
    <row r="2678" customFormat="false" ht="15" hidden="false" customHeight="false" outlineLevel="0" collapsed="false">
      <c r="A2678" s="7" t="str">
        <f aca="false">IF('Outro banco'!A2678="","",IF(LEFT('Outro banco'!A2678,1)="(","",'Outro banco'!A2678))</f>
        <v/>
      </c>
      <c r="B2678" s="7" t="str">
        <f aca="false">IF(A2678="","",'Outro banco'!B2678)</f>
        <v/>
      </c>
      <c r="C2678" s="7" t="str">
        <f aca="false">IF(A2678="","",'Outro banco'!C2678)</f>
        <v/>
      </c>
      <c r="D2678" s="7" t="str">
        <f aca="false">IF(A2678="","",'Outro banco'!D2678)</f>
        <v/>
      </c>
      <c r="E2678" s="9"/>
      <c r="F2678" s="9"/>
      <c r="G2678" s="7" t="str">
        <f aca="false">IF(A2678="","",IF(COUNTIF(Tabelas!$A:$A,IF(E2678="",A2678,E2678))&gt;0,"sim","não"))</f>
        <v/>
      </c>
      <c r="H2678" s="7" t="str">
        <f aca="false">IF(A2678="","",IF(E2678="",A2678,E2678)&amp;"."&amp;IF(F2678="",B2678,F2678))</f>
        <v/>
      </c>
      <c r="I2678" s="7" t="str">
        <f aca="false">IF(A2678="","",IFERROR(INDEX('Campos Growths'!$F:$F,MATCH(H2678,'Campos Growths'!$A:$A,0)),""))</f>
        <v/>
      </c>
      <c r="J2678" s="7" t="str">
        <f aca="false">IF(A2678="","",IFERROR(VLOOKUP(IF(ISNUMBER(SEARCH("(",C2678)),LEFT(C2678,SEARCH("(",C2678)-1),C2678),Tipos!$A:$B,2,FALSE()),"outro"))</f>
        <v/>
      </c>
      <c r="K2678" s="7" t="str">
        <f aca="false">IF(I2678="","",IFERROR(INDEX('Campos Growths'!$L:$L,MATCH(H2678,'Campos Growths'!$A:$A,0)),""))</f>
        <v/>
      </c>
      <c r="L2678" s="7" t="str">
        <f aca="false">IF(A2678="","",IF(G2678="não","Sem tabela no Growths",IF(I2678="","Sem campo no Growths",IF(J2678=K2678,"Importa direto","Ajustar tipo"))))</f>
        <v/>
      </c>
      <c r="M2678" s="9"/>
    </row>
    <row r="2679" customFormat="false" ht="15" hidden="false" customHeight="false" outlineLevel="0" collapsed="false">
      <c r="A2679" s="7" t="str">
        <f aca="false">IF('Outro banco'!A2679="","",IF(LEFT('Outro banco'!A2679,1)="(","",'Outro banco'!A2679))</f>
        <v/>
      </c>
      <c r="B2679" s="7" t="str">
        <f aca="false">IF(A2679="","",'Outro banco'!B2679)</f>
        <v/>
      </c>
      <c r="C2679" s="7" t="str">
        <f aca="false">IF(A2679="","",'Outro banco'!C2679)</f>
        <v/>
      </c>
      <c r="D2679" s="7" t="str">
        <f aca="false">IF(A2679="","",'Outro banco'!D2679)</f>
        <v/>
      </c>
      <c r="E2679" s="9"/>
      <c r="F2679" s="9"/>
      <c r="G2679" s="7" t="str">
        <f aca="false">IF(A2679="","",IF(COUNTIF(Tabelas!$A:$A,IF(E2679="",A2679,E2679))&gt;0,"sim","não"))</f>
        <v/>
      </c>
      <c r="H2679" s="7" t="str">
        <f aca="false">IF(A2679="","",IF(E2679="",A2679,E2679)&amp;"."&amp;IF(F2679="",B2679,F2679))</f>
        <v/>
      </c>
      <c r="I2679" s="7" t="str">
        <f aca="false">IF(A2679="","",IFERROR(INDEX('Campos Growths'!$F:$F,MATCH(H2679,'Campos Growths'!$A:$A,0)),""))</f>
        <v/>
      </c>
      <c r="J2679" s="7" t="str">
        <f aca="false">IF(A2679="","",IFERROR(VLOOKUP(IF(ISNUMBER(SEARCH("(",C2679)),LEFT(C2679,SEARCH("(",C2679)-1),C2679),Tipos!$A:$B,2,FALSE()),"outro"))</f>
        <v/>
      </c>
      <c r="K2679" s="7" t="str">
        <f aca="false">IF(I2679="","",IFERROR(INDEX('Campos Growths'!$L:$L,MATCH(H2679,'Campos Growths'!$A:$A,0)),""))</f>
        <v/>
      </c>
      <c r="L2679" s="7" t="str">
        <f aca="false">IF(A2679="","",IF(G2679="não","Sem tabela no Growths",IF(I2679="","Sem campo no Growths",IF(J2679=K2679,"Importa direto","Ajustar tipo"))))</f>
        <v/>
      </c>
      <c r="M2679" s="9"/>
    </row>
    <row r="2680" customFormat="false" ht="15" hidden="false" customHeight="false" outlineLevel="0" collapsed="false">
      <c r="A2680" s="7" t="str">
        <f aca="false">IF('Outro banco'!A2680="","",IF(LEFT('Outro banco'!A2680,1)="(","",'Outro banco'!A2680))</f>
        <v/>
      </c>
      <c r="B2680" s="7" t="str">
        <f aca="false">IF(A2680="","",'Outro banco'!B2680)</f>
        <v/>
      </c>
      <c r="C2680" s="7" t="str">
        <f aca="false">IF(A2680="","",'Outro banco'!C2680)</f>
        <v/>
      </c>
      <c r="D2680" s="7" t="str">
        <f aca="false">IF(A2680="","",'Outro banco'!D2680)</f>
        <v/>
      </c>
      <c r="E2680" s="9"/>
      <c r="F2680" s="9"/>
      <c r="G2680" s="7" t="str">
        <f aca="false">IF(A2680="","",IF(COUNTIF(Tabelas!$A:$A,IF(E2680="",A2680,E2680))&gt;0,"sim","não"))</f>
        <v/>
      </c>
      <c r="H2680" s="7" t="str">
        <f aca="false">IF(A2680="","",IF(E2680="",A2680,E2680)&amp;"."&amp;IF(F2680="",B2680,F2680))</f>
        <v/>
      </c>
      <c r="I2680" s="7" t="str">
        <f aca="false">IF(A2680="","",IFERROR(INDEX('Campos Growths'!$F:$F,MATCH(H2680,'Campos Growths'!$A:$A,0)),""))</f>
        <v/>
      </c>
      <c r="J2680" s="7" t="str">
        <f aca="false">IF(A2680="","",IFERROR(VLOOKUP(IF(ISNUMBER(SEARCH("(",C2680)),LEFT(C2680,SEARCH("(",C2680)-1),C2680),Tipos!$A:$B,2,FALSE()),"outro"))</f>
        <v/>
      </c>
      <c r="K2680" s="7" t="str">
        <f aca="false">IF(I2680="","",IFERROR(INDEX('Campos Growths'!$L:$L,MATCH(H2680,'Campos Growths'!$A:$A,0)),""))</f>
        <v/>
      </c>
      <c r="L2680" s="7" t="str">
        <f aca="false">IF(A2680="","",IF(G2680="não","Sem tabela no Growths",IF(I2680="","Sem campo no Growths",IF(J2680=K2680,"Importa direto","Ajustar tipo"))))</f>
        <v/>
      </c>
      <c r="M2680" s="9"/>
    </row>
    <row r="2681" customFormat="false" ht="15" hidden="false" customHeight="false" outlineLevel="0" collapsed="false">
      <c r="A2681" s="7" t="str">
        <f aca="false">IF('Outro banco'!A2681="","",IF(LEFT('Outro banco'!A2681,1)="(","",'Outro banco'!A2681))</f>
        <v/>
      </c>
      <c r="B2681" s="7" t="str">
        <f aca="false">IF(A2681="","",'Outro banco'!B2681)</f>
        <v/>
      </c>
      <c r="C2681" s="7" t="str">
        <f aca="false">IF(A2681="","",'Outro banco'!C2681)</f>
        <v/>
      </c>
      <c r="D2681" s="7" t="str">
        <f aca="false">IF(A2681="","",'Outro banco'!D2681)</f>
        <v/>
      </c>
      <c r="E2681" s="9"/>
      <c r="F2681" s="9"/>
      <c r="G2681" s="7" t="str">
        <f aca="false">IF(A2681="","",IF(COUNTIF(Tabelas!$A:$A,IF(E2681="",A2681,E2681))&gt;0,"sim","não"))</f>
        <v/>
      </c>
      <c r="H2681" s="7" t="str">
        <f aca="false">IF(A2681="","",IF(E2681="",A2681,E2681)&amp;"."&amp;IF(F2681="",B2681,F2681))</f>
        <v/>
      </c>
      <c r="I2681" s="7" t="str">
        <f aca="false">IF(A2681="","",IFERROR(INDEX('Campos Growths'!$F:$F,MATCH(H2681,'Campos Growths'!$A:$A,0)),""))</f>
        <v/>
      </c>
      <c r="J2681" s="7" t="str">
        <f aca="false">IF(A2681="","",IFERROR(VLOOKUP(IF(ISNUMBER(SEARCH("(",C2681)),LEFT(C2681,SEARCH("(",C2681)-1),C2681),Tipos!$A:$B,2,FALSE()),"outro"))</f>
        <v/>
      </c>
      <c r="K2681" s="7" t="str">
        <f aca="false">IF(I2681="","",IFERROR(INDEX('Campos Growths'!$L:$L,MATCH(H2681,'Campos Growths'!$A:$A,0)),""))</f>
        <v/>
      </c>
      <c r="L2681" s="7" t="str">
        <f aca="false">IF(A2681="","",IF(G2681="não","Sem tabela no Growths",IF(I2681="","Sem campo no Growths",IF(J2681=K2681,"Importa direto","Ajustar tipo"))))</f>
        <v/>
      </c>
      <c r="M2681" s="9"/>
    </row>
    <row r="2682" customFormat="false" ht="15" hidden="false" customHeight="false" outlineLevel="0" collapsed="false">
      <c r="A2682" s="7" t="str">
        <f aca="false">IF('Outro banco'!A2682="","",IF(LEFT('Outro banco'!A2682,1)="(","",'Outro banco'!A2682))</f>
        <v/>
      </c>
      <c r="B2682" s="7" t="str">
        <f aca="false">IF(A2682="","",'Outro banco'!B2682)</f>
        <v/>
      </c>
      <c r="C2682" s="7" t="str">
        <f aca="false">IF(A2682="","",'Outro banco'!C2682)</f>
        <v/>
      </c>
      <c r="D2682" s="7" t="str">
        <f aca="false">IF(A2682="","",'Outro banco'!D2682)</f>
        <v/>
      </c>
      <c r="E2682" s="9"/>
      <c r="F2682" s="9"/>
      <c r="G2682" s="7" t="str">
        <f aca="false">IF(A2682="","",IF(COUNTIF(Tabelas!$A:$A,IF(E2682="",A2682,E2682))&gt;0,"sim","não"))</f>
        <v/>
      </c>
      <c r="H2682" s="7" t="str">
        <f aca="false">IF(A2682="","",IF(E2682="",A2682,E2682)&amp;"."&amp;IF(F2682="",B2682,F2682))</f>
        <v/>
      </c>
      <c r="I2682" s="7" t="str">
        <f aca="false">IF(A2682="","",IFERROR(INDEX('Campos Growths'!$F:$F,MATCH(H2682,'Campos Growths'!$A:$A,0)),""))</f>
        <v/>
      </c>
      <c r="J2682" s="7" t="str">
        <f aca="false">IF(A2682="","",IFERROR(VLOOKUP(IF(ISNUMBER(SEARCH("(",C2682)),LEFT(C2682,SEARCH("(",C2682)-1),C2682),Tipos!$A:$B,2,FALSE()),"outro"))</f>
        <v/>
      </c>
      <c r="K2682" s="7" t="str">
        <f aca="false">IF(I2682="","",IFERROR(INDEX('Campos Growths'!$L:$L,MATCH(H2682,'Campos Growths'!$A:$A,0)),""))</f>
        <v/>
      </c>
      <c r="L2682" s="7" t="str">
        <f aca="false">IF(A2682="","",IF(G2682="não","Sem tabela no Growths",IF(I2682="","Sem campo no Growths",IF(J2682=K2682,"Importa direto","Ajustar tipo"))))</f>
        <v/>
      </c>
      <c r="M2682" s="9"/>
    </row>
    <row r="2683" customFormat="false" ht="15" hidden="false" customHeight="false" outlineLevel="0" collapsed="false">
      <c r="A2683" s="7" t="str">
        <f aca="false">IF('Outro banco'!A2683="","",IF(LEFT('Outro banco'!A2683,1)="(","",'Outro banco'!A2683))</f>
        <v/>
      </c>
      <c r="B2683" s="7" t="str">
        <f aca="false">IF(A2683="","",'Outro banco'!B2683)</f>
        <v/>
      </c>
      <c r="C2683" s="7" t="str">
        <f aca="false">IF(A2683="","",'Outro banco'!C2683)</f>
        <v/>
      </c>
      <c r="D2683" s="7" t="str">
        <f aca="false">IF(A2683="","",'Outro banco'!D2683)</f>
        <v/>
      </c>
      <c r="E2683" s="9"/>
      <c r="F2683" s="9"/>
      <c r="G2683" s="7" t="str">
        <f aca="false">IF(A2683="","",IF(COUNTIF(Tabelas!$A:$A,IF(E2683="",A2683,E2683))&gt;0,"sim","não"))</f>
        <v/>
      </c>
      <c r="H2683" s="7" t="str">
        <f aca="false">IF(A2683="","",IF(E2683="",A2683,E2683)&amp;"."&amp;IF(F2683="",B2683,F2683))</f>
        <v/>
      </c>
      <c r="I2683" s="7" t="str">
        <f aca="false">IF(A2683="","",IFERROR(INDEX('Campos Growths'!$F:$F,MATCH(H2683,'Campos Growths'!$A:$A,0)),""))</f>
        <v/>
      </c>
      <c r="J2683" s="7" t="str">
        <f aca="false">IF(A2683="","",IFERROR(VLOOKUP(IF(ISNUMBER(SEARCH("(",C2683)),LEFT(C2683,SEARCH("(",C2683)-1),C2683),Tipos!$A:$B,2,FALSE()),"outro"))</f>
        <v/>
      </c>
      <c r="K2683" s="7" t="str">
        <f aca="false">IF(I2683="","",IFERROR(INDEX('Campos Growths'!$L:$L,MATCH(H2683,'Campos Growths'!$A:$A,0)),""))</f>
        <v/>
      </c>
      <c r="L2683" s="7" t="str">
        <f aca="false">IF(A2683="","",IF(G2683="não","Sem tabela no Growths",IF(I2683="","Sem campo no Growths",IF(J2683=K2683,"Importa direto","Ajustar tipo"))))</f>
        <v/>
      </c>
      <c r="M2683" s="9"/>
    </row>
    <row r="2684" customFormat="false" ht="15" hidden="false" customHeight="false" outlineLevel="0" collapsed="false">
      <c r="A2684" s="7" t="str">
        <f aca="false">IF('Outro banco'!A2684="","",IF(LEFT('Outro banco'!A2684,1)="(","",'Outro banco'!A2684))</f>
        <v/>
      </c>
      <c r="B2684" s="7" t="str">
        <f aca="false">IF(A2684="","",'Outro banco'!B2684)</f>
        <v/>
      </c>
      <c r="C2684" s="7" t="str">
        <f aca="false">IF(A2684="","",'Outro banco'!C2684)</f>
        <v/>
      </c>
      <c r="D2684" s="7" t="str">
        <f aca="false">IF(A2684="","",'Outro banco'!D2684)</f>
        <v/>
      </c>
      <c r="E2684" s="9"/>
      <c r="F2684" s="9"/>
      <c r="G2684" s="7" t="str">
        <f aca="false">IF(A2684="","",IF(COUNTIF(Tabelas!$A:$A,IF(E2684="",A2684,E2684))&gt;0,"sim","não"))</f>
        <v/>
      </c>
      <c r="H2684" s="7" t="str">
        <f aca="false">IF(A2684="","",IF(E2684="",A2684,E2684)&amp;"."&amp;IF(F2684="",B2684,F2684))</f>
        <v/>
      </c>
      <c r="I2684" s="7" t="str">
        <f aca="false">IF(A2684="","",IFERROR(INDEX('Campos Growths'!$F:$F,MATCH(H2684,'Campos Growths'!$A:$A,0)),""))</f>
        <v/>
      </c>
      <c r="J2684" s="7" t="str">
        <f aca="false">IF(A2684="","",IFERROR(VLOOKUP(IF(ISNUMBER(SEARCH("(",C2684)),LEFT(C2684,SEARCH("(",C2684)-1),C2684),Tipos!$A:$B,2,FALSE()),"outro"))</f>
        <v/>
      </c>
      <c r="K2684" s="7" t="str">
        <f aca="false">IF(I2684="","",IFERROR(INDEX('Campos Growths'!$L:$L,MATCH(H2684,'Campos Growths'!$A:$A,0)),""))</f>
        <v/>
      </c>
      <c r="L2684" s="7" t="str">
        <f aca="false">IF(A2684="","",IF(G2684="não","Sem tabela no Growths",IF(I2684="","Sem campo no Growths",IF(J2684=K2684,"Importa direto","Ajustar tipo"))))</f>
        <v/>
      </c>
      <c r="M2684" s="9"/>
    </row>
    <row r="2685" customFormat="false" ht="15" hidden="false" customHeight="false" outlineLevel="0" collapsed="false">
      <c r="A2685" s="7" t="str">
        <f aca="false">IF('Outro banco'!A2685="","",IF(LEFT('Outro banco'!A2685,1)="(","",'Outro banco'!A2685))</f>
        <v/>
      </c>
      <c r="B2685" s="7" t="str">
        <f aca="false">IF(A2685="","",'Outro banco'!B2685)</f>
        <v/>
      </c>
      <c r="C2685" s="7" t="str">
        <f aca="false">IF(A2685="","",'Outro banco'!C2685)</f>
        <v/>
      </c>
      <c r="D2685" s="7" t="str">
        <f aca="false">IF(A2685="","",'Outro banco'!D2685)</f>
        <v/>
      </c>
      <c r="E2685" s="9"/>
      <c r="F2685" s="9"/>
      <c r="G2685" s="7" t="str">
        <f aca="false">IF(A2685="","",IF(COUNTIF(Tabelas!$A:$A,IF(E2685="",A2685,E2685))&gt;0,"sim","não"))</f>
        <v/>
      </c>
      <c r="H2685" s="7" t="str">
        <f aca="false">IF(A2685="","",IF(E2685="",A2685,E2685)&amp;"."&amp;IF(F2685="",B2685,F2685))</f>
        <v/>
      </c>
      <c r="I2685" s="7" t="str">
        <f aca="false">IF(A2685="","",IFERROR(INDEX('Campos Growths'!$F:$F,MATCH(H2685,'Campos Growths'!$A:$A,0)),""))</f>
        <v/>
      </c>
      <c r="J2685" s="7" t="str">
        <f aca="false">IF(A2685="","",IFERROR(VLOOKUP(IF(ISNUMBER(SEARCH("(",C2685)),LEFT(C2685,SEARCH("(",C2685)-1),C2685),Tipos!$A:$B,2,FALSE()),"outro"))</f>
        <v/>
      </c>
      <c r="K2685" s="7" t="str">
        <f aca="false">IF(I2685="","",IFERROR(INDEX('Campos Growths'!$L:$L,MATCH(H2685,'Campos Growths'!$A:$A,0)),""))</f>
        <v/>
      </c>
      <c r="L2685" s="7" t="str">
        <f aca="false">IF(A2685="","",IF(G2685="não","Sem tabela no Growths",IF(I2685="","Sem campo no Growths",IF(J2685=K2685,"Importa direto","Ajustar tipo"))))</f>
        <v/>
      </c>
      <c r="M2685" s="9"/>
    </row>
    <row r="2686" customFormat="false" ht="15" hidden="false" customHeight="false" outlineLevel="0" collapsed="false">
      <c r="A2686" s="7" t="str">
        <f aca="false">IF('Outro banco'!A2686="","",IF(LEFT('Outro banco'!A2686,1)="(","",'Outro banco'!A2686))</f>
        <v/>
      </c>
      <c r="B2686" s="7" t="str">
        <f aca="false">IF(A2686="","",'Outro banco'!B2686)</f>
        <v/>
      </c>
      <c r="C2686" s="7" t="str">
        <f aca="false">IF(A2686="","",'Outro banco'!C2686)</f>
        <v/>
      </c>
      <c r="D2686" s="7" t="str">
        <f aca="false">IF(A2686="","",'Outro banco'!D2686)</f>
        <v/>
      </c>
      <c r="E2686" s="9"/>
      <c r="F2686" s="9"/>
      <c r="G2686" s="7" t="str">
        <f aca="false">IF(A2686="","",IF(COUNTIF(Tabelas!$A:$A,IF(E2686="",A2686,E2686))&gt;0,"sim","não"))</f>
        <v/>
      </c>
      <c r="H2686" s="7" t="str">
        <f aca="false">IF(A2686="","",IF(E2686="",A2686,E2686)&amp;"."&amp;IF(F2686="",B2686,F2686))</f>
        <v/>
      </c>
      <c r="I2686" s="7" t="str">
        <f aca="false">IF(A2686="","",IFERROR(INDEX('Campos Growths'!$F:$F,MATCH(H2686,'Campos Growths'!$A:$A,0)),""))</f>
        <v/>
      </c>
      <c r="J2686" s="7" t="str">
        <f aca="false">IF(A2686="","",IFERROR(VLOOKUP(IF(ISNUMBER(SEARCH("(",C2686)),LEFT(C2686,SEARCH("(",C2686)-1),C2686),Tipos!$A:$B,2,FALSE()),"outro"))</f>
        <v/>
      </c>
      <c r="K2686" s="7" t="str">
        <f aca="false">IF(I2686="","",IFERROR(INDEX('Campos Growths'!$L:$L,MATCH(H2686,'Campos Growths'!$A:$A,0)),""))</f>
        <v/>
      </c>
      <c r="L2686" s="7" t="str">
        <f aca="false">IF(A2686="","",IF(G2686="não","Sem tabela no Growths",IF(I2686="","Sem campo no Growths",IF(J2686=K2686,"Importa direto","Ajustar tipo"))))</f>
        <v/>
      </c>
      <c r="M2686" s="9"/>
    </row>
    <row r="2687" customFormat="false" ht="15" hidden="false" customHeight="false" outlineLevel="0" collapsed="false">
      <c r="A2687" s="7" t="str">
        <f aca="false">IF('Outro banco'!A2687="","",IF(LEFT('Outro banco'!A2687,1)="(","",'Outro banco'!A2687))</f>
        <v/>
      </c>
      <c r="B2687" s="7" t="str">
        <f aca="false">IF(A2687="","",'Outro banco'!B2687)</f>
        <v/>
      </c>
      <c r="C2687" s="7" t="str">
        <f aca="false">IF(A2687="","",'Outro banco'!C2687)</f>
        <v/>
      </c>
      <c r="D2687" s="7" t="str">
        <f aca="false">IF(A2687="","",'Outro banco'!D2687)</f>
        <v/>
      </c>
      <c r="E2687" s="9"/>
      <c r="F2687" s="9"/>
      <c r="G2687" s="7" t="str">
        <f aca="false">IF(A2687="","",IF(COUNTIF(Tabelas!$A:$A,IF(E2687="",A2687,E2687))&gt;0,"sim","não"))</f>
        <v/>
      </c>
      <c r="H2687" s="7" t="str">
        <f aca="false">IF(A2687="","",IF(E2687="",A2687,E2687)&amp;"."&amp;IF(F2687="",B2687,F2687))</f>
        <v/>
      </c>
      <c r="I2687" s="7" t="str">
        <f aca="false">IF(A2687="","",IFERROR(INDEX('Campos Growths'!$F:$F,MATCH(H2687,'Campos Growths'!$A:$A,0)),""))</f>
        <v/>
      </c>
      <c r="J2687" s="7" t="str">
        <f aca="false">IF(A2687="","",IFERROR(VLOOKUP(IF(ISNUMBER(SEARCH("(",C2687)),LEFT(C2687,SEARCH("(",C2687)-1),C2687),Tipos!$A:$B,2,FALSE()),"outro"))</f>
        <v/>
      </c>
      <c r="K2687" s="7" t="str">
        <f aca="false">IF(I2687="","",IFERROR(INDEX('Campos Growths'!$L:$L,MATCH(H2687,'Campos Growths'!$A:$A,0)),""))</f>
        <v/>
      </c>
      <c r="L2687" s="7" t="str">
        <f aca="false">IF(A2687="","",IF(G2687="não","Sem tabela no Growths",IF(I2687="","Sem campo no Growths",IF(J2687=K2687,"Importa direto","Ajustar tipo"))))</f>
        <v/>
      </c>
      <c r="M2687" s="9"/>
    </row>
    <row r="2688" customFormat="false" ht="15" hidden="false" customHeight="false" outlineLevel="0" collapsed="false">
      <c r="A2688" s="7" t="str">
        <f aca="false">IF('Outro banco'!A2688="","",IF(LEFT('Outro banco'!A2688,1)="(","",'Outro banco'!A2688))</f>
        <v/>
      </c>
      <c r="B2688" s="7" t="str">
        <f aca="false">IF(A2688="","",'Outro banco'!B2688)</f>
        <v/>
      </c>
      <c r="C2688" s="7" t="str">
        <f aca="false">IF(A2688="","",'Outro banco'!C2688)</f>
        <v/>
      </c>
      <c r="D2688" s="7" t="str">
        <f aca="false">IF(A2688="","",'Outro banco'!D2688)</f>
        <v/>
      </c>
      <c r="E2688" s="9"/>
      <c r="F2688" s="9"/>
      <c r="G2688" s="7" t="str">
        <f aca="false">IF(A2688="","",IF(COUNTIF(Tabelas!$A:$A,IF(E2688="",A2688,E2688))&gt;0,"sim","não"))</f>
        <v/>
      </c>
      <c r="H2688" s="7" t="str">
        <f aca="false">IF(A2688="","",IF(E2688="",A2688,E2688)&amp;"."&amp;IF(F2688="",B2688,F2688))</f>
        <v/>
      </c>
      <c r="I2688" s="7" t="str">
        <f aca="false">IF(A2688="","",IFERROR(INDEX('Campos Growths'!$F:$F,MATCH(H2688,'Campos Growths'!$A:$A,0)),""))</f>
        <v/>
      </c>
      <c r="J2688" s="7" t="str">
        <f aca="false">IF(A2688="","",IFERROR(VLOOKUP(IF(ISNUMBER(SEARCH("(",C2688)),LEFT(C2688,SEARCH("(",C2688)-1),C2688),Tipos!$A:$B,2,FALSE()),"outro"))</f>
        <v/>
      </c>
      <c r="K2688" s="7" t="str">
        <f aca="false">IF(I2688="","",IFERROR(INDEX('Campos Growths'!$L:$L,MATCH(H2688,'Campos Growths'!$A:$A,0)),""))</f>
        <v/>
      </c>
      <c r="L2688" s="7" t="str">
        <f aca="false">IF(A2688="","",IF(G2688="não","Sem tabela no Growths",IF(I2688="","Sem campo no Growths",IF(J2688=K2688,"Importa direto","Ajustar tipo"))))</f>
        <v/>
      </c>
      <c r="M2688" s="9"/>
    </row>
    <row r="2689" customFormat="false" ht="15" hidden="false" customHeight="false" outlineLevel="0" collapsed="false">
      <c r="A2689" s="7" t="str">
        <f aca="false">IF('Outro banco'!A2689="","",IF(LEFT('Outro banco'!A2689,1)="(","",'Outro banco'!A2689))</f>
        <v/>
      </c>
      <c r="B2689" s="7" t="str">
        <f aca="false">IF(A2689="","",'Outro banco'!B2689)</f>
        <v/>
      </c>
      <c r="C2689" s="7" t="str">
        <f aca="false">IF(A2689="","",'Outro banco'!C2689)</f>
        <v/>
      </c>
      <c r="D2689" s="7" t="str">
        <f aca="false">IF(A2689="","",'Outro banco'!D2689)</f>
        <v/>
      </c>
      <c r="E2689" s="9"/>
      <c r="F2689" s="9"/>
      <c r="G2689" s="7" t="str">
        <f aca="false">IF(A2689="","",IF(COUNTIF(Tabelas!$A:$A,IF(E2689="",A2689,E2689))&gt;0,"sim","não"))</f>
        <v/>
      </c>
      <c r="H2689" s="7" t="str">
        <f aca="false">IF(A2689="","",IF(E2689="",A2689,E2689)&amp;"."&amp;IF(F2689="",B2689,F2689))</f>
        <v/>
      </c>
      <c r="I2689" s="7" t="str">
        <f aca="false">IF(A2689="","",IFERROR(INDEX('Campos Growths'!$F:$F,MATCH(H2689,'Campos Growths'!$A:$A,0)),""))</f>
        <v/>
      </c>
      <c r="J2689" s="7" t="str">
        <f aca="false">IF(A2689="","",IFERROR(VLOOKUP(IF(ISNUMBER(SEARCH("(",C2689)),LEFT(C2689,SEARCH("(",C2689)-1),C2689),Tipos!$A:$B,2,FALSE()),"outro"))</f>
        <v/>
      </c>
      <c r="K2689" s="7" t="str">
        <f aca="false">IF(I2689="","",IFERROR(INDEX('Campos Growths'!$L:$L,MATCH(H2689,'Campos Growths'!$A:$A,0)),""))</f>
        <v/>
      </c>
      <c r="L2689" s="7" t="str">
        <f aca="false">IF(A2689="","",IF(G2689="não","Sem tabela no Growths",IF(I2689="","Sem campo no Growths",IF(J2689=K2689,"Importa direto","Ajustar tipo"))))</f>
        <v/>
      </c>
      <c r="M2689" s="9"/>
    </row>
    <row r="2690" customFormat="false" ht="15" hidden="false" customHeight="false" outlineLevel="0" collapsed="false">
      <c r="A2690" s="7" t="str">
        <f aca="false">IF('Outro banco'!A2690="","",IF(LEFT('Outro banco'!A2690,1)="(","",'Outro banco'!A2690))</f>
        <v/>
      </c>
      <c r="B2690" s="7" t="str">
        <f aca="false">IF(A2690="","",'Outro banco'!B2690)</f>
        <v/>
      </c>
      <c r="C2690" s="7" t="str">
        <f aca="false">IF(A2690="","",'Outro banco'!C2690)</f>
        <v/>
      </c>
      <c r="D2690" s="7" t="str">
        <f aca="false">IF(A2690="","",'Outro banco'!D2690)</f>
        <v/>
      </c>
      <c r="E2690" s="9"/>
      <c r="F2690" s="9"/>
      <c r="G2690" s="7" t="str">
        <f aca="false">IF(A2690="","",IF(COUNTIF(Tabelas!$A:$A,IF(E2690="",A2690,E2690))&gt;0,"sim","não"))</f>
        <v/>
      </c>
      <c r="H2690" s="7" t="str">
        <f aca="false">IF(A2690="","",IF(E2690="",A2690,E2690)&amp;"."&amp;IF(F2690="",B2690,F2690))</f>
        <v/>
      </c>
      <c r="I2690" s="7" t="str">
        <f aca="false">IF(A2690="","",IFERROR(INDEX('Campos Growths'!$F:$F,MATCH(H2690,'Campos Growths'!$A:$A,0)),""))</f>
        <v/>
      </c>
      <c r="J2690" s="7" t="str">
        <f aca="false">IF(A2690="","",IFERROR(VLOOKUP(IF(ISNUMBER(SEARCH("(",C2690)),LEFT(C2690,SEARCH("(",C2690)-1),C2690),Tipos!$A:$B,2,FALSE()),"outro"))</f>
        <v/>
      </c>
      <c r="K2690" s="7" t="str">
        <f aca="false">IF(I2690="","",IFERROR(INDEX('Campos Growths'!$L:$L,MATCH(H2690,'Campos Growths'!$A:$A,0)),""))</f>
        <v/>
      </c>
      <c r="L2690" s="7" t="str">
        <f aca="false">IF(A2690="","",IF(G2690="não","Sem tabela no Growths",IF(I2690="","Sem campo no Growths",IF(J2690=K2690,"Importa direto","Ajustar tipo"))))</f>
        <v/>
      </c>
      <c r="M2690" s="9"/>
    </row>
    <row r="2691" customFormat="false" ht="15" hidden="false" customHeight="false" outlineLevel="0" collapsed="false">
      <c r="A2691" s="7" t="str">
        <f aca="false">IF('Outro banco'!A2691="","",IF(LEFT('Outro banco'!A2691,1)="(","",'Outro banco'!A2691))</f>
        <v/>
      </c>
      <c r="B2691" s="7" t="str">
        <f aca="false">IF(A2691="","",'Outro banco'!B2691)</f>
        <v/>
      </c>
      <c r="C2691" s="7" t="str">
        <f aca="false">IF(A2691="","",'Outro banco'!C2691)</f>
        <v/>
      </c>
      <c r="D2691" s="7" t="str">
        <f aca="false">IF(A2691="","",'Outro banco'!D2691)</f>
        <v/>
      </c>
      <c r="E2691" s="9"/>
      <c r="F2691" s="9"/>
      <c r="G2691" s="7" t="str">
        <f aca="false">IF(A2691="","",IF(COUNTIF(Tabelas!$A:$A,IF(E2691="",A2691,E2691))&gt;0,"sim","não"))</f>
        <v/>
      </c>
      <c r="H2691" s="7" t="str">
        <f aca="false">IF(A2691="","",IF(E2691="",A2691,E2691)&amp;"."&amp;IF(F2691="",B2691,F2691))</f>
        <v/>
      </c>
      <c r="I2691" s="7" t="str">
        <f aca="false">IF(A2691="","",IFERROR(INDEX('Campos Growths'!$F:$F,MATCH(H2691,'Campos Growths'!$A:$A,0)),""))</f>
        <v/>
      </c>
      <c r="J2691" s="7" t="str">
        <f aca="false">IF(A2691="","",IFERROR(VLOOKUP(IF(ISNUMBER(SEARCH("(",C2691)),LEFT(C2691,SEARCH("(",C2691)-1),C2691),Tipos!$A:$B,2,FALSE()),"outro"))</f>
        <v/>
      </c>
      <c r="K2691" s="7" t="str">
        <f aca="false">IF(I2691="","",IFERROR(INDEX('Campos Growths'!$L:$L,MATCH(H2691,'Campos Growths'!$A:$A,0)),""))</f>
        <v/>
      </c>
      <c r="L2691" s="7" t="str">
        <f aca="false">IF(A2691="","",IF(G2691="não","Sem tabela no Growths",IF(I2691="","Sem campo no Growths",IF(J2691=K2691,"Importa direto","Ajustar tipo"))))</f>
        <v/>
      </c>
      <c r="M2691" s="9"/>
    </row>
    <row r="2692" customFormat="false" ht="15" hidden="false" customHeight="false" outlineLevel="0" collapsed="false">
      <c r="A2692" s="7" t="str">
        <f aca="false">IF('Outro banco'!A2692="","",IF(LEFT('Outro banco'!A2692,1)="(","",'Outro banco'!A2692))</f>
        <v/>
      </c>
      <c r="B2692" s="7" t="str">
        <f aca="false">IF(A2692="","",'Outro banco'!B2692)</f>
        <v/>
      </c>
      <c r="C2692" s="7" t="str">
        <f aca="false">IF(A2692="","",'Outro banco'!C2692)</f>
        <v/>
      </c>
      <c r="D2692" s="7" t="str">
        <f aca="false">IF(A2692="","",'Outro banco'!D2692)</f>
        <v/>
      </c>
      <c r="E2692" s="9"/>
      <c r="F2692" s="9"/>
      <c r="G2692" s="7" t="str">
        <f aca="false">IF(A2692="","",IF(COUNTIF(Tabelas!$A:$A,IF(E2692="",A2692,E2692))&gt;0,"sim","não"))</f>
        <v/>
      </c>
      <c r="H2692" s="7" t="str">
        <f aca="false">IF(A2692="","",IF(E2692="",A2692,E2692)&amp;"."&amp;IF(F2692="",B2692,F2692))</f>
        <v/>
      </c>
      <c r="I2692" s="7" t="str">
        <f aca="false">IF(A2692="","",IFERROR(INDEX('Campos Growths'!$F:$F,MATCH(H2692,'Campos Growths'!$A:$A,0)),""))</f>
        <v/>
      </c>
      <c r="J2692" s="7" t="str">
        <f aca="false">IF(A2692="","",IFERROR(VLOOKUP(IF(ISNUMBER(SEARCH("(",C2692)),LEFT(C2692,SEARCH("(",C2692)-1),C2692),Tipos!$A:$B,2,FALSE()),"outro"))</f>
        <v/>
      </c>
      <c r="K2692" s="7" t="str">
        <f aca="false">IF(I2692="","",IFERROR(INDEX('Campos Growths'!$L:$L,MATCH(H2692,'Campos Growths'!$A:$A,0)),""))</f>
        <v/>
      </c>
      <c r="L2692" s="7" t="str">
        <f aca="false">IF(A2692="","",IF(G2692="não","Sem tabela no Growths",IF(I2692="","Sem campo no Growths",IF(J2692=K2692,"Importa direto","Ajustar tipo"))))</f>
        <v/>
      </c>
      <c r="M2692" s="9"/>
    </row>
    <row r="2693" customFormat="false" ht="15" hidden="false" customHeight="false" outlineLevel="0" collapsed="false">
      <c r="A2693" s="7" t="str">
        <f aca="false">IF('Outro banco'!A2693="","",IF(LEFT('Outro banco'!A2693,1)="(","",'Outro banco'!A2693))</f>
        <v/>
      </c>
      <c r="B2693" s="7" t="str">
        <f aca="false">IF(A2693="","",'Outro banco'!B2693)</f>
        <v/>
      </c>
      <c r="C2693" s="7" t="str">
        <f aca="false">IF(A2693="","",'Outro banco'!C2693)</f>
        <v/>
      </c>
      <c r="D2693" s="7" t="str">
        <f aca="false">IF(A2693="","",'Outro banco'!D2693)</f>
        <v/>
      </c>
      <c r="E2693" s="9"/>
      <c r="F2693" s="9"/>
      <c r="G2693" s="7" t="str">
        <f aca="false">IF(A2693="","",IF(COUNTIF(Tabelas!$A:$A,IF(E2693="",A2693,E2693))&gt;0,"sim","não"))</f>
        <v/>
      </c>
      <c r="H2693" s="7" t="str">
        <f aca="false">IF(A2693="","",IF(E2693="",A2693,E2693)&amp;"."&amp;IF(F2693="",B2693,F2693))</f>
        <v/>
      </c>
      <c r="I2693" s="7" t="str">
        <f aca="false">IF(A2693="","",IFERROR(INDEX('Campos Growths'!$F:$F,MATCH(H2693,'Campos Growths'!$A:$A,0)),""))</f>
        <v/>
      </c>
      <c r="J2693" s="7" t="str">
        <f aca="false">IF(A2693="","",IFERROR(VLOOKUP(IF(ISNUMBER(SEARCH("(",C2693)),LEFT(C2693,SEARCH("(",C2693)-1),C2693),Tipos!$A:$B,2,FALSE()),"outro"))</f>
        <v/>
      </c>
      <c r="K2693" s="7" t="str">
        <f aca="false">IF(I2693="","",IFERROR(INDEX('Campos Growths'!$L:$L,MATCH(H2693,'Campos Growths'!$A:$A,0)),""))</f>
        <v/>
      </c>
      <c r="L2693" s="7" t="str">
        <f aca="false">IF(A2693="","",IF(G2693="não","Sem tabela no Growths",IF(I2693="","Sem campo no Growths",IF(J2693=K2693,"Importa direto","Ajustar tipo"))))</f>
        <v/>
      </c>
      <c r="M2693" s="9"/>
    </row>
    <row r="2694" customFormat="false" ht="15" hidden="false" customHeight="false" outlineLevel="0" collapsed="false">
      <c r="A2694" s="7" t="str">
        <f aca="false">IF('Outro banco'!A2694="","",IF(LEFT('Outro banco'!A2694,1)="(","",'Outro banco'!A2694))</f>
        <v/>
      </c>
      <c r="B2694" s="7" t="str">
        <f aca="false">IF(A2694="","",'Outro banco'!B2694)</f>
        <v/>
      </c>
      <c r="C2694" s="7" t="str">
        <f aca="false">IF(A2694="","",'Outro banco'!C2694)</f>
        <v/>
      </c>
      <c r="D2694" s="7" t="str">
        <f aca="false">IF(A2694="","",'Outro banco'!D2694)</f>
        <v/>
      </c>
      <c r="E2694" s="9"/>
      <c r="F2694" s="9"/>
      <c r="G2694" s="7" t="str">
        <f aca="false">IF(A2694="","",IF(COUNTIF(Tabelas!$A:$A,IF(E2694="",A2694,E2694))&gt;0,"sim","não"))</f>
        <v/>
      </c>
      <c r="H2694" s="7" t="str">
        <f aca="false">IF(A2694="","",IF(E2694="",A2694,E2694)&amp;"."&amp;IF(F2694="",B2694,F2694))</f>
        <v/>
      </c>
      <c r="I2694" s="7" t="str">
        <f aca="false">IF(A2694="","",IFERROR(INDEX('Campos Growths'!$F:$F,MATCH(H2694,'Campos Growths'!$A:$A,0)),""))</f>
        <v/>
      </c>
      <c r="J2694" s="7" t="str">
        <f aca="false">IF(A2694="","",IFERROR(VLOOKUP(IF(ISNUMBER(SEARCH("(",C2694)),LEFT(C2694,SEARCH("(",C2694)-1),C2694),Tipos!$A:$B,2,FALSE()),"outro"))</f>
        <v/>
      </c>
      <c r="K2694" s="7" t="str">
        <f aca="false">IF(I2694="","",IFERROR(INDEX('Campos Growths'!$L:$L,MATCH(H2694,'Campos Growths'!$A:$A,0)),""))</f>
        <v/>
      </c>
      <c r="L2694" s="7" t="str">
        <f aca="false">IF(A2694="","",IF(G2694="não","Sem tabela no Growths",IF(I2694="","Sem campo no Growths",IF(J2694=K2694,"Importa direto","Ajustar tipo"))))</f>
        <v/>
      </c>
      <c r="M2694" s="9"/>
    </row>
    <row r="2695" customFormat="false" ht="15" hidden="false" customHeight="false" outlineLevel="0" collapsed="false">
      <c r="A2695" s="7" t="str">
        <f aca="false">IF('Outro banco'!A2695="","",IF(LEFT('Outro banco'!A2695,1)="(","",'Outro banco'!A2695))</f>
        <v/>
      </c>
      <c r="B2695" s="7" t="str">
        <f aca="false">IF(A2695="","",'Outro banco'!B2695)</f>
        <v/>
      </c>
      <c r="C2695" s="7" t="str">
        <f aca="false">IF(A2695="","",'Outro banco'!C2695)</f>
        <v/>
      </c>
      <c r="D2695" s="7" t="str">
        <f aca="false">IF(A2695="","",'Outro banco'!D2695)</f>
        <v/>
      </c>
      <c r="E2695" s="9"/>
      <c r="F2695" s="9"/>
      <c r="G2695" s="7" t="str">
        <f aca="false">IF(A2695="","",IF(COUNTIF(Tabelas!$A:$A,IF(E2695="",A2695,E2695))&gt;0,"sim","não"))</f>
        <v/>
      </c>
      <c r="H2695" s="7" t="str">
        <f aca="false">IF(A2695="","",IF(E2695="",A2695,E2695)&amp;"."&amp;IF(F2695="",B2695,F2695))</f>
        <v/>
      </c>
      <c r="I2695" s="7" t="str">
        <f aca="false">IF(A2695="","",IFERROR(INDEX('Campos Growths'!$F:$F,MATCH(H2695,'Campos Growths'!$A:$A,0)),""))</f>
        <v/>
      </c>
      <c r="J2695" s="7" t="str">
        <f aca="false">IF(A2695="","",IFERROR(VLOOKUP(IF(ISNUMBER(SEARCH("(",C2695)),LEFT(C2695,SEARCH("(",C2695)-1),C2695),Tipos!$A:$B,2,FALSE()),"outro"))</f>
        <v/>
      </c>
      <c r="K2695" s="7" t="str">
        <f aca="false">IF(I2695="","",IFERROR(INDEX('Campos Growths'!$L:$L,MATCH(H2695,'Campos Growths'!$A:$A,0)),""))</f>
        <v/>
      </c>
      <c r="L2695" s="7" t="str">
        <f aca="false">IF(A2695="","",IF(G2695="não","Sem tabela no Growths",IF(I2695="","Sem campo no Growths",IF(J2695=K2695,"Importa direto","Ajustar tipo"))))</f>
        <v/>
      </c>
      <c r="M2695" s="9"/>
    </row>
    <row r="2696" customFormat="false" ht="15" hidden="false" customHeight="false" outlineLevel="0" collapsed="false">
      <c r="A2696" s="7" t="str">
        <f aca="false">IF('Outro banco'!A2696="","",IF(LEFT('Outro banco'!A2696,1)="(","",'Outro banco'!A2696))</f>
        <v/>
      </c>
      <c r="B2696" s="7" t="str">
        <f aca="false">IF(A2696="","",'Outro banco'!B2696)</f>
        <v/>
      </c>
      <c r="C2696" s="7" t="str">
        <f aca="false">IF(A2696="","",'Outro banco'!C2696)</f>
        <v/>
      </c>
      <c r="D2696" s="7" t="str">
        <f aca="false">IF(A2696="","",'Outro banco'!D2696)</f>
        <v/>
      </c>
      <c r="E2696" s="9"/>
      <c r="F2696" s="9"/>
      <c r="G2696" s="7" t="str">
        <f aca="false">IF(A2696="","",IF(COUNTIF(Tabelas!$A:$A,IF(E2696="",A2696,E2696))&gt;0,"sim","não"))</f>
        <v/>
      </c>
      <c r="H2696" s="7" t="str">
        <f aca="false">IF(A2696="","",IF(E2696="",A2696,E2696)&amp;"."&amp;IF(F2696="",B2696,F2696))</f>
        <v/>
      </c>
      <c r="I2696" s="7" t="str">
        <f aca="false">IF(A2696="","",IFERROR(INDEX('Campos Growths'!$F:$F,MATCH(H2696,'Campos Growths'!$A:$A,0)),""))</f>
        <v/>
      </c>
      <c r="J2696" s="7" t="str">
        <f aca="false">IF(A2696="","",IFERROR(VLOOKUP(IF(ISNUMBER(SEARCH("(",C2696)),LEFT(C2696,SEARCH("(",C2696)-1),C2696),Tipos!$A:$B,2,FALSE()),"outro"))</f>
        <v/>
      </c>
      <c r="K2696" s="7" t="str">
        <f aca="false">IF(I2696="","",IFERROR(INDEX('Campos Growths'!$L:$L,MATCH(H2696,'Campos Growths'!$A:$A,0)),""))</f>
        <v/>
      </c>
      <c r="L2696" s="7" t="str">
        <f aca="false">IF(A2696="","",IF(G2696="não","Sem tabela no Growths",IF(I2696="","Sem campo no Growths",IF(J2696=K2696,"Importa direto","Ajustar tipo"))))</f>
        <v/>
      </c>
      <c r="M2696" s="9"/>
    </row>
    <row r="2697" customFormat="false" ht="15" hidden="false" customHeight="false" outlineLevel="0" collapsed="false">
      <c r="A2697" s="7" t="str">
        <f aca="false">IF('Outro banco'!A2697="","",IF(LEFT('Outro banco'!A2697,1)="(","",'Outro banco'!A2697))</f>
        <v/>
      </c>
      <c r="B2697" s="7" t="str">
        <f aca="false">IF(A2697="","",'Outro banco'!B2697)</f>
        <v/>
      </c>
      <c r="C2697" s="7" t="str">
        <f aca="false">IF(A2697="","",'Outro banco'!C2697)</f>
        <v/>
      </c>
      <c r="D2697" s="7" t="str">
        <f aca="false">IF(A2697="","",'Outro banco'!D2697)</f>
        <v/>
      </c>
      <c r="E2697" s="9"/>
      <c r="F2697" s="9"/>
      <c r="G2697" s="7" t="str">
        <f aca="false">IF(A2697="","",IF(COUNTIF(Tabelas!$A:$A,IF(E2697="",A2697,E2697))&gt;0,"sim","não"))</f>
        <v/>
      </c>
      <c r="H2697" s="7" t="str">
        <f aca="false">IF(A2697="","",IF(E2697="",A2697,E2697)&amp;"."&amp;IF(F2697="",B2697,F2697))</f>
        <v/>
      </c>
      <c r="I2697" s="7" t="str">
        <f aca="false">IF(A2697="","",IFERROR(INDEX('Campos Growths'!$F:$F,MATCH(H2697,'Campos Growths'!$A:$A,0)),""))</f>
        <v/>
      </c>
      <c r="J2697" s="7" t="str">
        <f aca="false">IF(A2697="","",IFERROR(VLOOKUP(IF(ISNUMBER(SEARCH("(",C2697)),LEFT(C2697,SEARCH("(",C2697)-1),C2697),Tipos!$A:$B,2,FALSE()),"outro"))</f>
        <v/>
      </c>
      <c r="K2697" s="7" t="str">
        <f aca="false">IF(I2697="","",IFERROR(INDEX('Campos Growths'!$L:$L,MATCH(H2697,'Campos Growths'!$A:$A,0)),""))</f>
        <v/>
      </c>
      <c r="L2697" s="7" t="str">
        <f aca="false">IF(A2697="","",IF(G2697="não","Sem tabela no Growths",IF(I2697="","Sem campo no Growths",IF(J2697=K2697,"Importa direto","Ajustar tipo"))))</f>
        <v/>
      </c>
      <c r="M2697" s="9"/>
    </row>
    <row r="2698" customFormat="false" ht="15" hidden="false" customHeight="false" outlineLevel="0" collapsed="false">
      <c r="A2698" s="7" t="str">
        <f aca="false">IF('Outro banco'!A2698="","",IF(LEFT('Outro banco'!A2698,1)="(","",'Outro banco'!A2698))</f>
        <v/>
      </c>
      <c r="B2698" s="7" t="str">
        <f aca="false">IF(A2698="","",'Outro banco'!B2698)</f>
        <v/>
      </c>
      <c r="C2698" s="7" t="str">
        <f aca="false">IF(A2698="","",'Outro banco'!C2698)</f>
        <v/>
      </c>
      <c r="D2698" s="7" t="str">
        <f aca="false">IF(A2698="","",'Outro banco'!D2698)</f>
        <v/>
      </c>
      <c r="E2698" s="9"/>
      <c r="F2698" s="9"/>
      <c r="G2698" s="7" t="str">
        <f aca="false">IF(A2698="","",IF(COUNTIF(Tabelas!$A:$A,IF(E2698="",A2698,E2698))&gt;0,"sim","não"))</f>
        <v/>
      </c>
      <c r="H2698" s="7" t="str">
        <f aca="false">IF(A2698="","",IF(E2698="",A2698,E2698)&amp;"."&amp;IF(F2698="",B2698,F2698))</f>
        <v/>
      </c>
      <c r="I2698" s="7" t="str">
        <f aca="false">IF(A2698="","",IFERROR(INDEX('Campos Growths'!$F:$F,MATCH(H2698,'Campos Growths'!$A:$A,0)),""))</f>
        <v/>
      </c>
      <c r="J2698" s="7" t="str">
        <f aca="false">IF(A2698="","",IFERROR(VLOOKUP(IF(ISNUMBER(SEARCH("(",C2698)),LEFT(C2698,SEARCH("(",C2698)-1),C2698),Tipos!$A:$B,2,FALSE()),"outro"))</f>
        <v/>
      </c>
      <c r="K2698" s="7" t="str">
        <f aca="false">IF(I2698="","",IFERROR(INDEX('Campos Growths'!$L:$L,MATCH(H2698,'Campos Growths'!$A:$A,0)),""))</f>
        <v/>
      </c>
      <c r="L2698" s="7" t="str">
        <f aca="false">IF(A2698="","",IF(G2698="não","Sem tabela no Growths",IF(I2698="","Sem campo no Growths",IF(J2698=K2698,"Importa direto","Ajustar tipo"))))</f>
        <v/>
      </c>
      <c r="M2698" s="9"/>
    </row>
    <row r="2699" customFormat="false" ht="15" hidden="false" customHeight="false" outlineLevel="0" collapsed="false">
      <c r="A2699" s="7" t="str">
        <f aca="false">IF('Outro banco'!A2699="","",IF(LEFT('Outro banco'!A2699,1)="(","",'Outro banco'!A2699))</f>
        <v/>
      </c>
      <c r="B2699" s="7" t="str">
        <f aca="false">IF(A2699="","",'Outro banco'!B2699)</f>
        <v/>
      </c>
      <c r="C2699" s="7" t="str">
        <f aca="false">IF(A2699="","",'Outro banco'!C2699)</f>
        <v/>
      </c>
      <c r="D2699" s="7" t="str">
        <f aca="false">IF(A2699="","",'Outro banco'!D2699)</f>
        <v/>
      </c>
      <c r="E2699" s="9"/>
      <c r="F2699" s="9"/>
      <c r="G2699" s="7" t="str">
        <f aca="false">IF(A2699="","",IF(COUNTIF(Tabelas!$A:$A,IF(E2699="",A2699,E2699))&gt;0,"sim","não"))</f>
        <v/>
      </c>
      <c r="H2699" s="7" t="str">
        <f aca="false">IF(A2699="","",IF(E2699="",A2699,E2699)&amp;"."&amp;IF(F2699="",B2699,F2699))</f>
        <v/>
      </c>
      <c r="I2699" s="7" t="str">
        <f aca="false">IF(A2699="","",IFERROR(INDEX('Campos Growths'!$F:$F,MATCH(H2699,'Campos Growths'!$A:$A,0)),""))</f>
        <v/>
      </c>
      <c r="J2699" s="7" t="str">
        <f aca="false">IF(A2699="","",IFERROR(VLOOKUP(IF(ISNUMBER(SEARCH("(",C2699)),LEFT(C2699,SEARCH("(",C2699)-1),C2699),Tipos!$A:$B,2,FALSE()),"outro"))</f>
        <v/>
      </c>
      <c r="K2699" s="7" t="str">
        <f aca="false">IF(I2699="","",IFERROR(INDEX('Campos Growths'!$L:$L,MATCH(H2699,'Campos Growths'!$A:$A,0)),""))</f>
        <v/>
      </c>
      <c r="L2699" s="7" t="str">
        <f aca="false">IF(A2699="","",IF(G2699="não","Sem tabela no Growths",IF(I2699="","Sem campo no Growths",IF(J2699=K2699,"Importa direto","Ajustar tipo"))))</f>
        <v/>
      </c>
      <c r="M2699" s="9"/>
    </row>
    <row r="2700" customFormat="false" ht="15" hidden="false" customHeight="false" outlineLevel="0" collapsed="false">
      <c r="A2700" s="7" t="str">
        <f aca="false">IF('Outro banco'!A2700="","",IF(LEFT('Outro banco'!A2700,1)="(","",'Outro banco'!A2700))</f>
        <v/>
      </c>
      <c r="B2700" s="7" t="str">
        <f aca="false">IF(A2700="","",'Outro banco'!B2700)</f>
        <v/>
      </c>
      <c r="C2700" s="7" t="str">
        <f aca="false">IF(A2700="","",'Outro banco'!C2700)</f>
        <v/>
      </c>
      <c r="D2700" s="7" t="str">
        <f aca="false">IF(A2700="","",'Outro banco'!D2700)</f>
        <v/>
      </c>
      <c r="E2700" s="9"/>
      <c r="F2700" s="9"/>
      <c r="G2700" s="7" t="str">
        <f aca="false">IF(A2700="","",IF(COUNTIF(Tabelas!$A:$A,IF(E2700="",A2700,E2700))&gt;0,"sim","não"))</f>
        <v/>
      </c>
      <c r="H2700" s="7" t="str">
        <f aca="false">IF(A2700="","",IF(E2700="",A2700,E2700)&amp;"."&amp;IF(F2700="",B2700,F2700))</f>
        <v/>
      </c>
      <c r="I2700" s="7" t="str">
        <f aca="false">IF(A2700="","",IFERROR(INDEX('Campos Growths'!$F:$F,MATCH(H2700,'Campos Growths'!$A:$A,0)),""))</f>
        <v/>
      </c>
      <c r="J2700" s="7" t="str">
        <f aca="false">IF(A2700="","",IFERROR(VLOOKUP(IF(ISNUMBER(SEARCH("(",C2700)),LEFT(C2700,SEARCH("(",C2700)-1),C2700),Tipos!$A:$B,2,FALSE()),"outro"))</f>
        <v/>
      </c>
      <c r="K2700" s="7" t="str">
        <f aca="false">IF(I2700="","",IFERROR(INDEX('Campos Growths'!$L:$L,MATCH(H2700,'Campos Growths'!$A:$A,0)),""))</f>
        <v/>
      </c>
      <c r="L2700" s="7" t="str">
        <f aca="false">IF(A2700="","",IF(G2700="não","Sem tabela no Growths",IF(I2700="","Sem campo no Growths",IF(J2700=K2700,"Importa direto","Ajustar tipo"))))</f>
        <v/>
      </c>
      <c r="M2700" s="9"/>
    </row>
    <row r="2701" customFormat="false" ht="15" hidden="false" customHeight="false" outlineLevel="0" collapsed="false">
      <c r="A2701" s="7" t="str">
        <f aca="false">IF('Outro banco'!A2701="","",IF(LEFT('Outro banco'!A2701,1)="(","",'Outro banco'!A2701))</f>
        <v/>
      </c>
      <c r="B2701" s="7" t="str">
        <f aca="false">IF(A2701="","",'Outro banco'!B2701)</f>
        <v/>
      </c>
      <c r="C2701" s="7" t="str">
        <f aca="false">IF(A2701="","",'Outro banco'!C2701)</f>
        <v/>
      </c>
      <c r="D2701" s="7" t="str">
        <f aca="false">IF(A2701="","",'Outro banco'!D2701)</f>
        <v/>
      </c>
      <c r="E2701" s="9"/>
      <c r="F2701" s="9"/>
      <c r="G2701" s="7" t="str">
        <f aca="false">IF(A2701="","",IF(COUNTIF(Tabelas!$A:$A,IF(E2701="",A2701,E2701))&gt;0,"sim","não"))</f>
        <v/>
      </c>
      <c r="H2701" s="7" t="str">
        <f aca="false">IF(A2701="","",IF(E2701="",A2701,E2701)&amp;"."&amp;IF(F2701="",B2701,F2701))</f>
        <v/>
      </c>
      <c r="I2701" s="7" t="str">
        <f aca="false">IF(A2701="","",IFERROR(INDEX('Campos Growths'!$F:$F,MATCH(H2701,'Campos Growths'!$A:$A,0)),""))</f>
        <v/>
      </c>
      <c r="J2701" s="7" t="str">
        <f aca="false">IF(A2701="","",IFERROR(VLOOKUP(IF(ISNUMBER(SEARCH("(",C2701)),LEFT(C2701,SEARCH("(",C2701)-1),C2701),Tipos!$A:$B,2,FALSE()),"outro"))</f>
        <v/>
      </c>
      <c r="K2701" s="7" t="str">
        <f aca="false">IF(I2701="","",IFERROR(INDEX('Campos Growths'!$L:$L,MATCH(H2701,'Campos Growths'!$A:$A,0)),""))</f>
        <v/>
      </c>
      <c r="L2701" s="7" t="str">
        <f aca="false">IF(A2701="","",IF(G2701="não","Sem tabela no Growths",IF(I2701="","Sem campo no Growths",IF(J2701=K2701,"Importa direto","Ajustar tipo"))))</f>
        <v/>
      </c>
      <c r="M2701" s="9"/>
    </row>
    <row r="2702" customFormat="false" ht="15" hidden="false" customHeight="false" outlineLevel="0" collapsed="false">
      <c r="A2702" s="7" t="str">
        <f aca="false">IF('Outro banco'!A2702="","",IF(LEFT('Outro banco'!A2702,1)="(","",'Outro banco'!A2702))</f>
        <v/>
      </c>
      <c r="B2702" s="7" t="str">
        <f aca="false">IF(A2702="","",'Outro banco'!B2702)</f>
        <v/>
      </c>
      <c r="C2702" s="7" t="str">
        <f aca="false">IF(A2702="","",'Outro banco'!C2702)</f>
        <v/>
      </c>
      <c r="D2702" s="7" t="str">
        <f aca="false">IF(A2702="","",'Outro banco'!D2702)</f>
        <v/>
      </c>
      <c r="E2702" s="9"/>
      <c r="F2702" s="9"/>
      <c r="G2702" s="7" t="str">
        <f aca="false">IF(A2702="","",IF(COUNTIF(Tabelas!$A:$A,IF(E2702="",A2702,E2702))&gt;0,"sim","não"))</f>
        <v/>
      </c>
      <c r="H2702" s="7" t="str">
        <f aca="false">IF(A2702="","",IF(E2702="",A2702,E2702)&amp;"."&amp;IF(F2702="",B2702,F2702))</f>
        <v/>
      </c>
      <c r="I2702" s="7" t="str">
        <f aca="false">IF(A2702="","",IFERROR(INDEX('Campos Growths'!$F:$F,MATCH(H2702,'Campos Growths'!$A:$A,0)),""))</f>
        <v/>
      </c>
      <c r="J2702" s="7" t="str">
        <f aca="false">IF(A2702="","",IFERROR(VLOOKUP(IF(ISNUMBER(SEARCH("(",C2702)),LEFT(C2702,SEARCH("(",C2702)-1),C2702),Tipos!$A:$B,2,FALSE()),"outro"))</f>
        <v/>
      </c>
      <c r="K2702" s="7" t="str">
        <f aca="false">IF(I2702="","",IFERROR(INDEX('Campos Growths'!$L:$L,MATCH(H2702,'Campos Growths'!$A:$A,0)),""))</f>
        <v/>
      </c>
      <c r="L2702" s="7" t="str">
        <f aca="false">IF(A2702="","",IF(G2702="não","Sem tabela no Growths",IF(I2702="","Sem campo no Growths",IF(J2702=K2702,"Importa direto","Ajustar tipo"))))</f>
        <v/>
      </c>
      <c r="M2702" s="9"/>
    </row>
    <row r="2703" customFormat="false" ht="15" hidden="false" customHeight="false" outlineLevel="0" collapsed="false">
      <c r="A2703" s="7" t="str">
        <f aca="false">IF('Outro banco'!A2703="","",IF(LEFT('Outro banco'!A2703,1)="(","",'Outro banco'!A2703))</f>
        <v/>
      </c>
      <c r="B2703" s="7" t="str">
        <f aca="false">IF(A2703="","",'Outro banco'!B2703)</f>
        <v/>
      </c>
      <c r="C2703" s="7" t="str">
        <f aca="false">IF(A2703="","",'Outro banco'!C2703)</f>
        <v/>
      </c>
      <c r="D2703" s="7" t="str">
        <f aca="false">IF(A2703="","",'Outro banco'!D2703)</f>
        <v/>
      </c>
      <c r="E2703" s="9"/>
      <c r="F2703" s="9"/>
      <c r="G2703" s="7" t="str">
        <f aca="false">IF(A2703="","",IF(COUNTIF(Tabelas!$A:$A,IF(E2703="",A2703,E2703))&gt;0,"sim","não"))</f>
        <v/>
      </c>
      <c r="H2703" s="7" t="str">
        <f aca="false">IF(A2703="","",IF(E2703="",A2703,E2703)&amp;"."&amp;IF(F2703="",B2703,F2703))</f>
        <v/>
      </c>
      <c r="I2703" s="7" t="str">
        <f aca="false">IF(A2703="","",IFERROR(INDEX('Campos Growths'!$F:$F,MATCH(H2703,'Campos Growths'!$A:$A,0)),""))</f>
        <v/>
      </c>
      <c r="J2703" s="7" t="str">
        <f aca="false">IF(A2703="","",IFERROR(VLOOKUP(IF(ISNUMBER(SEARCH("(",C2703)),LEFT(C2703,SEARCH("(",C2703)-1),C2703),Tipos!$A:$B,2,FALSE()),"outro"))</f>
        <v/>
      </c>
      <c r="K2703" s="7" t="str">
        <f aca="false">IF(I2703="","",IFERROR(INDEX('Campos Growths'!$L:$L,MATCH(H2703,'Campos Growths'!$A:$A,0)),""))</f>
        <v/>
      </c>
      <c r="L2703" s="7" t="str">
        <f aca="false">IF(A2703="","",IF(G2703="não","Sem tabela no Growths",IF(I2703="","Sem campo no Growths",IF(J2703=K2703,"Importa direto","Ajustar tipo"))))</f>
        <v/>
      </c>
      <c r="M2703" s="9"/>
    </row>
    <row r="2704" customFormat="false" ht="15" hidden="false" customHeight="false" outlineLevel="0" collapsed="false">
      <c r="A2704" s="7" t="str">
        <f aca="false">IF('Outro banco'!A2704="","",IF(LEFT('Outro banco'!A2704,1)="(","",'Outro banco'!A2704))</f>
        <v/>
      </c>
      <c r="B2704" s="7" t="str">
        <f aca="false">IF(A2704="","",'Outro banco'!B2704)</f>
        <v/>
      </c>
      <c r="C2704" s="7" t="str">
        <f aca="false">IF(A2704="","",'Outro banco'!C2704)</f>
        <v/>
      </c>
      <c r="D2704" s="7" t="str">
        <f aca="false">IF(A2704="","",'Outro banco'!D2704)</f>
        <v/>
      </c>
      <c r="E2704" s="9"/>
      <c r="F2704" s="9"/>
      <c r="G2704" s="7" t="str">
        <f aca="false">IF(A2704="","",IF(COUNTIF(Tabelas!$A:$A,IF(E2704="",A2704,E2704))&gt;0,"sim","não"))</f>
        <v/>
      </c>
      <c r="H2704" s="7" t="str">
        <f aca="false">IF(A2704="","",IF(E2704="",A2704,E2704)&amp;"."&amp;IF(F2704="",B2704,F2704))</f>
        <v/>
      </c>
      <c r="I2704" s="7" t="str">
        <f aca="false">IF(A2704="","",IFERROR(INDEX('Campos Growths'!$F:$F,MATCH(H2704,'Campos Growths'!$A:$A,0)),""))</f>
        <v/>
      </c>
      <c r="J2704" s="7" t="str">
        <f aca="false">IF(A2704="","",IFERROR(VLOOKUP(IF(ISNUMBER(SEARCH("(",C2704)),LEFT(C2704,SEARCH("(",C2704)-1),C2704),Tipos!$A:$B,2,FALSE()),"outro"))</f>
        <v/>
      </c>
      <c r="K2704" s="7" t="str">
        <f aca="false">IF(I2704="","",IFERROR(INDEX('Campos Growths'!$L:$L,MATCH(H2704,'Campos Growths'!$A:$A,0)),""))</f>
        <v/>
      </c>
      <c r="L2704" s="7" t="str">
        <f aca="false">IF(A2704="","",IF(G2704="não","Sem tabela no Growths",IF(I2704="","Sem campo no Growths",IF(J2704=K2704,"Importa direto","Ajustar tipo"))))</f>
        <v/>
      </c>
      <c r="M2704" s="9"/>
    </row>
    <row r="2705" customFormat="false" ht="15" hidden="false" customHeight="false" outlineLevel="0" collapsed="false">
      <c r="A2705" s="7" t="str">
        <f aca="false">IF('Outro banco'!A2705="","",IF(LEFT('Outro banco'!A2705,1)="(","",'Outro banco'!A2705))</f>
        <v/>
      </c>
      <c r="B2705" s="7" t="str">
        <f aca="false">IF(A2705="","",'Outro banco'!B2705)</f>
        <v/>
      </c>
      <c r="C2705" s="7" t="str">
        <f aca="false">IF(A2705="","",'Outro banco'!C2705)</f>
        <v/>
      </c>
      <c r="D2705" s="7" t="str">
        <f aca="false">IF(A2705="","",'Outro banco'!D2705)</f>
        <v/>
      </c>
      <c r="E2705" s="9"/>
      <c r="F2705" s="9"/>
      <c r="G2705" s="7" t="str">
        <f aca="false">IF(A2705="","",IF(COUNTIF(Tabelas!$A:$A,IF(E2705="",A2705,E2705))&gt;0,"sim","não"))</f>
        <v/>
      </c>
      <c r="H2705" s="7" t="str">
        <f aca="false">IF(A2705="","",IF(E2705="",A2705,E2705)&amp;"."&amp;IF(F2705="",B2705,F2705))</f>
        <v/>
      </c>
      <c r="I2705" s="7" t="str">
        <f aca="false">IF(A2705="","",IFERROR(INDEX('Campos Growths'!$F:$F,MATCH(H2705,'Campos Growths'!$A:$A,0)),""))</f>
        <v/>
      </c>
      <c r="J2705" s="7" t="str">
        <f aca="false">IF(A2705="","",IFERROR(VLOOKUP(IF(ISNUMBER(SEARCH("(",C2705)),LEFT(C2705,SEARCH("(",C2705)-1),C2705),Tipos!$A:$B,2,FALSE()),"outro"))</f>
        <v/>
      </c>
      <c r="K2705" s="7" t="str">
        <f aca="false">IF(I2705="","",IFERROR(INDEX('Campos Growths'!$L:$L,MATCH(H2705,'Campos Growths'!$A:$A,0)),""))</f>
        <v/>
      </c>
      <c r="L2705" s="7" t="str">
        <f aca="false">IF(A2705="","",IF(G2705="não","Sem tabela no Growths",IF(I2705="","Sem campo no Growths",IF(J2705=K2705,"Importa direto","Ajustar tipo"))))</f>
        <v/>
      </c>
      <c r="M2705" s="9"/>
    </row>
    <row r="2706" customFormat="false" ht="15" hidden="false" customHeight="false" outlineLevel="0" collapsed="false">
      <c r="A2706" s="7" t="str">
        <f aca="false">IF('Outro banco'!A2706="","",IF(LEFT('Outro banco'!A2706,1)="(","",'Outro banco'!A2706))</f>
        <v/>
      </c>
      <c r="B2706" s="7" t="str">
        <f aca="false">IF(A2706="","",'Outro banco'!B2706)</f>
        <v/>
      </c>
      <c r="C2706" s="7" t="str">
        <f aca="false">IF(A2706="","",'Outro banco'!C2706)</f>
        <v/>
      </c>
      <c r="D2706" s="7" t="str">
        <f aca="false">IF(A2706="","",'Outro banco'!D2706)</f>
        <v/>
      </c>
      <c r="E2706" s="9"/>
      <c r="F2706" s="9"/>
      <c r="G2706" s="7" t="str">
        <f aca="false">IF(A2706="","",IF(COUNTIF(Tabelas!$A:$A,IF(E2706="",A2706,E2706))&gt;0,"sim","não"))</f>
        <v/>
      </c>
      <c r="H2706" s="7" t="str">
        <f aca="false">IF(A2706="","",IF(E2706="",A2706,E2706)&amp;"."&amp;IF(F2706="",B2706,F2706))</f>
        <v/>
      </c>
      <c r="I2706" s="7" t="str">
        <f aca="false">IF(A2706="","",IFERROR(INDEX('Campos Growths'!$F:$F,MATCH(H2706,'Campos Growths'!$A:$A,0)),""))</f>
        <v/>
      </c>
      <c r="J2706" s="7" t="str">
        <f aca="false">IF(A2706="","",IFERROR(VLOOKUP(IF(ISNUMBER(SEARCH("(",C2706)),LEFT(C2706,SEARCH("(",C2706)-1),C2706),Tipos!$A:$B,2,FALSE()),"outro"))</f>
        <v/>
      </c>
      <c r="K2706" s="7" t="str">
        <f aca="false">IF(I2706="","",IFERROR(INDEX('Campos Growths'!$L:$L,MATCH(H2706,'Campos Growths'!$A:$A,0)),""))</f>
        <v/>
      </c>
      <c r="L2706" s="7" t="str">
        <f aca="false">IF(A2706="","",IF(G2706="não","Sem tabela no Growths",IF(I2706="","Sem campo no Growths",IF(J2706=K2706,"Importa direto","Ajustar tipo"))))</f>
        <v/>
      </c>
      <c r="M2706" s="9"/>
    </row>
    <row r="2707" customFormat="false" ht="15" hidden="false" customHeight="false" outlineLevel="0" collapsed="false">
      <c r="A2707" s="7" t="str">
        <f aca="false">IF('Outro banco'!A2707="","",IF(LEFT('Outro banco'!A2707,1)="(","",'Outro banco'!A2707))</f>
        <v/>
      </c>
      <c r="B2707" s="7" t="str">
        <f aca="false">IF(A2707="","",'Outro banco'!B2707)</f>
        <v/>
      </c>
      <c r="C2707" s="7" t="str">
        <f aca="false">IF(A2707="","",'Outro banco'!C2707)</f>
        <v/>
      </c>
      <c r="D2707" s="7" t="str">
        <f aca="false">IF(A2707="","",'Outro banco'!D2707)</f>
        <v/>
      </c>
      <c r="E2707" s="9"/>
      <c r="F2707" s="9"/>
      <c r="G2707" s="7" t="str">
        <f aca="false">IF(A2707="","",IF(COUNTIF(Tabelas!$A:$A,IF(E2707="",A2707,E2707))&gt;0,"sim","não"))</f>
        <v/>
      </c>
      <c r="H2707" s="7" t="str">
        <f aca="false">IF(A2707="","",IF(E2707="",A2707,E2707)&amp;"."&amp;IF(F2707="",B2707,F2707))</f>
        <v/>
      </c>
      <c r="I2707" s="7" t="str">
        <f aca="false">IF(A2707="","",IFERROR(INDEX('Campos Growths'!$F:$F,MATCH(H2707,'Campos Growths'!$A:$A,0)),""))</f>
        <v/>
      </c>
      <c r="J2707" s="7" t="str">
        <f aca="false">IF(A2707="","",IFERROR(VLOOKUP(IF(ISNUMBER(SEARCH("(",C2707)),LEFT(C2707,SEARCH("(",C2707)-1),C2707),Tipos!$A:$B,2,FALSE()),"outro"))</f>
        <v/>
      </c>
      <c r="K2707" s="7" t="str">
        <f aca="false">IF(I2707="","",IFERROR(INDEX('Campos Growths'!$L:$L,MATCH(H2707,'Campos Growths'!$A:$A,0)),""))</f>
        <v/>
      </c>
      <c r="L2707" s="7" t="str">
        <f aca="false">IF(A2707="","",IF(G2707="não","Sem tabela no Growths",IF(I2707="","Sem campo no Growths",IF(J2707=K2707,"Importa direto","Ajustar tipo"))))</f>
        <v/>
      </c>
      <c r="M2707" s="9"/>
    </row>
    <row r="2708" customFormat="false" ht="15" hidden="false" customHeight="false" outlineLevel="0" collapsed="false">
      <c r="A2708" s="7" t="str">
        <f aca="false">IF('Outro banco'!A2708="","",IF(LEFT('Outro banco'!A2708,1)="(","",'Outro banco'!A2708))</f>
        <v/>
      </c>
      <c r="B2708" s="7" t="str">
        <f aca="false">IF(A2708="","",'Outro banco'!B2708)</f>
        <v/>
      </c>
      <c r="C2708" s="7" t="str">
        <f aca="false">IF(A2708="","",'Outro banco'!C2708)</f>
        <v/>
      </c>
      <c r="D2708" s="7" t="str">
        <f aca="false">IF(A2708="","",'Outro banco'!D2708)</f>
        <v/>
      </c>
      <c r="E2708" s="9"/>
      <c r="F2708" s="9"/>
      <c r="G2708" s="7" t="str">
        <f aca="false">IF(A2708="","",IF(COUNTIF(Tabelas!$A:$A,IF(E2708="",A2708,E2708))&gt;0,"sim","não"))</f>
        <v/>
      </c>
      <c r="H2708" s="7" t="str">
        <f aca="false">IF(A2708="","",IF(E2708="",A2708,E2708)&amp;"."&amp;IF(F2708="",B2708,F2708))</f>
        <v/>
      </c>
      <c r="I2708" s="7" t="str">
        <f aca="false">IF(A2708="","",IFERROR(INDEX('Campos Growths'!$F:$F,MATCH(H2708,'Campos Growths'!$A:$A,0)),""))</f>
        <v/>
      </c>
      <c r="J2708" s="7" t="str">
        <f aca="false">IF(A2708="","",IFERROR(VLOOKUP(IF(ISNUMBER(SEARCH("(",C2708)),LEFT(C2708,SEARCH("(",C2708)-1),C2708),Tipos!$A:$B,2,FALSE()),"outro"))</f>
        <v/>
      </c>
      <c r="K2708" s="7" t="str">
        <f aca="false">IF(I2708="","",IFERROR(INDEX('Campos Growths'!$L:$L,MATCH(H2708,'Campos Growths'!$A:$A,0)),""))</f>
        <v/>
      </c>
      <c r="L2708" s="7" t="str">
        <f aca="false">IF(A2708="","",IF(G2708="não","Sem tabela no Growths",IF(I2708="","Sem campo no Growths",IF(J2708=K2708,"Importa direto","Ajustar tipo"))))</f>
        <v/>
      </c>
      <c r="M2708" s="9"/>
    </row>
    <row r="2709" customFormat="false" ht="15" hidden="false" customHeight="false" outlineLevel="0" collapsed="false">
      <c r="A2709" s="7" t="str">
        <f aca="false">IF('Outro banco'!A2709="","",IF(LEFT('Outro banco'!A2709,1)="(","",'Outro banco'!A2709))</f>
        <v/>
      </c>
      <c r="B2709" s="7" t="str">
        <f aca="false">IF(A2709="","",'Outro banco'!B2709)</f>
        <v/>
      </c>
      <c r="C2709" s="7" t="str">
        <f aca="false">IF(A2709="","",'Outro banco'!C2709)</f>
        <v/>
      </c>
      <c r="D2709" s="7" t="str">
        <f aca="false">IF(A2709="","",'Outro banco'!D2709)</f>
        <v/>
      </c>
      <c r="E2709" s="9"/>
      <c r="F2709" s="9"/>
      <c r="G2709" s="7" t="str">
        <f aca="false">IF(A2709="","",IF(COUNTIF(Tabelas!$A:$A,IF(E2709="",A2709,E2709))&gt;0,"sim","não"))</f>
        <v/>
      </c>
      <c r="H2709" s="7" t="str">
        <f aca="false">IF(A2709="","",IF(E2709="",A2709,E2709)&amp;"."&amp;IF(F2709="",B2709,F2709))</f>
        <v/>
      </c>
      <c r="I2709" s="7" t="str">
        <f aca="false">IF(A2709="","",IFERROR(INDEX('Campos Growths'!$F:$F,MATCH(H2709,'Campos Growths'!$A:$A,0)),""))</f>
        <v/>
      </c>
      <c r="J2709" s="7" t="str">
        <f aca="false">IF(A2709="","",IFERROR(VLOOKUP(IF(ISNUMBER(SEARCH("(",C2709)),LEFT(C2709,SEARCH("(",C2709)-1),C2709),Tipos!$A:$B,2,FALSE()),"outro"))</f>
        <v/>
      </c>
      <c r="K2709" s="7" t="str">
        <f aca="false">IF(I2709="","",IFERROR(INDEX('Campos Growths'!$L:$L,MATCH(H2709,'Campos Growths'!$A:$A,0)),""))</f>
        <v/>
      </c>
      <c r="L2709" s="7" t="str">
        <f aca="false">IF(A2709="","",IF(G2709="não","Sem tabela no Growths",IF(I2709="","Sem campo no Growths",IF(J2709=K2709,"Importa direto","Ajustar tipo"))))</f>
        <v/>
      </c>
      <c r="M2709" s="9"/>
    </row>
    <row r="2710" customFormat="false" ht="15" hidden="false" customHeight="false" outlineLevel="0" collapsed="false">
      <c r="A2710" s="7" t="str">
        <f aca="false">IF('Outro banco'!A2710="","",IF(LEFT('Outro banco'!A2710,1)="(","",'Outro banco'!A2710))</f>
        <v/>
      </c>
      <c r="B2710" s="7" t="str">
        <f aca="false">IF(A2710="","",'Outro banco'!B2710)</f>
        <v/>
      </c>
      <c r="C2710" s="7" t="str">
        <f aca="false">IF(A2710="","",'Outro banco'!C2710)</f>
        <v/>
      </c>
      <c r="D2710" s="7" t="str">
        <f aca="false">IF(A2710="","",'Outro banco'!D2710)</f>
        <v/>
      </c>
      <c r="E2710" s="9"/>
      <c r="F2710" s="9"/>
      <c r="G2710" s="7" t="str">
        <f aca="false">IF(A2710="","",IF(COUNTIF(Tabelas!$A:$A,IF(E2710="",A2710,E2710))&gt;0,"sim","não"))</f>
        <v/>
      </c>
      <c r="H2710" s="7" t="str">
        <f aca="false">IF(A2710="","",IF(E2710="",A2710,E2710)&amp;"."&amp;IF(F2710="",B2710,F2710))</f>
        <v/>
      </c>
      <c r="I2710" s="7" t="str">
        <f aca="false">IF(A2710="","",IFERROR(INDEX('Campos Growths'!$F:$F,MATCH(H2710,'Campos Growths'!$A:$A,0)),""))</f>
        <v/>
      </c>
      <c r="J2710" s="7" t="str">
        <f aca="false">IF(A2710="","",IFERROR(VLOOKUP(IF(ISNUMBER(SEARCH("(",C2710)),LEFT(C2710,SEARCH("(",C2710)-1),C2710),Tipos!$A:$B,2,FALSE()),"outro"))</f>
        <v/>
      </c>
      <c r="K2710" s="7" t="str">
        <f aca="false">IF(I2710="","",IFERROR(INDEX('Campos Growths'!$L:$L,MATCH(H2710,'Campos Growths'!$A:$A,0)),""))</f>
        <v/>
      </c>
      <c r="L2710" s="7" t="str">
        <f aca="false">IF(A2710="","",IF(G2710="não","Sem tabela no Growths",IF(I2710="","Sem campo no Growths",IF(J2710=K2710,"Importa direto","Ajustar tipo"))))</f>
        <v/>
      </c>
      <c r="M2710" s="9"/>
    </row>
    <row r="2711" customFormat="false" ht="15" hidden="false" customHeight="false" outlineLevel="0" collapsed="false">
      <c r="A2711" s="7" t="str">
        <f aca="false">IF('Outro banco'!A2711="","",IF(LEFT('Outro banco'!A2711,1)="(","",'Outro banco'!A2711))</f>
        <v/>
      </c>
      <c r="B2711" s="7" t="str">
        <f aca="false">IF(A2711="","",'Outro banco'!B2711)</f>
        <v/>
      </c>
      <c r="C2711" s="7" t="str">
        <f aca="false">IF(A2711="","",'Outro banco'!C2711)</f>
        <v/>
      </c>
      <c r="D2711" s="7" t="str">
        <f aca="false">IF(A2711="","",'Outro banco'!D2711)</f>
        <v/>
      </c>
      <c r="E2711" s="9"/>
      <c r="F2711" s="9"/>
      <c r="G2711" s="7" t="str">
        <f aca="false">IF(A2711="","",IF(COUNTIF(Tabelas!$A:$A,IF(E2711="",A2711,E2711))&gt;0,"sim","não"))</f>
        <v/>
      </c>
      <c r="H2711" s="7" t="str">
        <f aca="false">IF(A2711="","",IF(E2711="",A2711,E2711)&amp;"."&amp;IF(F2711="",B2711,F2711))</f>
        <v/>
      </c>
      <c r="I2711" s="7" t="str">
        <f aca="false">IF(A2711="","",IFERROR(INDEX('Campos Growths'!$F:$F,MATCH(H2711,'Campos Growths'!$A:$A,0)),""))</f>
        <v/>
      </c>
      <c r="J2711" s="7" t="str">
        <f aca="false">IF(A2711="","",IFERROR(VLOOKUP(IF(ISNUMBER(SEARCH("(",C2711)),LEFT(C2711,SEARCH("(",C2711)-1),C2711),Tipos!$A:$B,2,FALSE()),"outro"))</f>
        <v/>
      </c>
      <c r="K2711" s="7" t="str">
        <f aca="false">IF(I2711="","",IFERROR(INDEX('Campos Growths'!$L:$L,MATCH(H2711,'Campos Growths'!$A:$A,0)),""))</f>
        <v/>
      </c>
      <c r="L2711" s="7" t="str">
        <f aca="false">IF(A2711="","",IF(G2711="não","Sem tabela no Growths",IF(I2711="","Sem campo no Growths",IF(J2711=K2711,"Importa direto","Ajustar tipo"))))</f>
        <v/>
      </c>
      <c r="M2711" s="9"/>
    </row>
    <row r="2712" customFormat="false" ht="15" hidden="false" customHeight="false" outlineLevel="0" collapsed="false">
      <c r="A2712" s="7" t="str">
        <f aca="false">IF('Outro banco'!A2712="","",IF(LEFT('Outro banco'!A2712,1)="(","",'Outro banco'!A2712))</f>
        <v/>
      </c>
      <c r="B2712" s="7" t="str">
        <f aca="false">IF(A2712="","",'Outro banco'!B2712)</f>
        <v/>
      </c>
      <c r="C2712" s="7" t="str">
        <f aca="false">IF(A2712="","",'Outro banco'!C2712)</f>
        <v/>
      </c>
      <c r="D2712" s="7" t="str">
        <f aca="false">IF(A2712="","",'Outro banco'!D2712)</f>
        <v/>
      </c>
      <c r="E2712" s="9"/>
      <c r="F2712" s="9"/>
      <c r="G2712" s="7" t="str">
        <f aca="false">IF(A2712="","",IF(COUNTIF(Tabelas!$A:$A,IF(E2712="",A2712,E2712))&gt;0,"sim","não"))</f>
        <v/>
      </c>
      <c r="H2712" s="7" t="str">
        <f aca="false">IF(A2712="","",IF(E2712="",A2712,E2712)&amp;"."&amp;IF(F2712="",B2712,F2712))</f>
        <v/>
      </c>
      <c r="I2712" s="7" t="str">
        <f aca="false">IF(A2712="","",IFERROR(INDEX('Campos Growths'!$F:$F,MATCH(H2712,'Campos Growths'!$A:$A,0)),""))</f>
        <v/>
      </c>
      <c r="J2712" s="7" t="str">
        <f aca="false">IF(A2712="","",IFERROR(VLOOKUP(IF(ISNUMBER(SEARCH("(",C2712)),LEFT(C2712,SEARCH("(",C2712)-1),C2712),Tipos!$A:$B,2,FALSE()),"outro"))</f>
        <v/>
      </c>
      <c r="K2712" s="7" t="str">
        <f aca="false">IF(I2712="","",IFERROR(INDEX('Campos Growths'!$L:$L,MATCH(H2712,'Campos Growths'!$A:$A,0)),""))</f>
        <v/>
      </c>
      <c r="L2712" s="7" t="str">
        <f aca="false">IF(A2712="","",IF(G2712="não","Sem tabela no Growths",IF(I2712="","Sem campo no Growths",IF(J2712=K2712,"Importa direto","Ajustar tipo"))))</f>
        <v/>
      </c>
      <c r="M2712" s="9"/>
    </row>
    <row r="2713" customFormat="false" ht="15" hidden="false" customHeight="false" outlineLevel="0" collapsed="false">
      <c r="A2713" s="7" t="str">
        <f aca="false">IF('Outro banco'!A2713="","",IF(LEFT('Outro banco'!A2713,1)="(","",'Outro banco'!A2713))</f>
        <v/>
      </c>
      <c r="B2713" s="7" t="str">
        <f aca="false">IF(A2713="","",'Outro banco'!B2713)</f>
        <v/>
      </c>
      <c r="C2713" s="7" t="str">
        <f aca="false">IF(A2713="","",'Outro banco'!C2713)</f>
        <v/>
      </c>
      <c r="D2713" s="7" t="str">
        <f aca="false">IF(A2713="","",'Outro banco'!D2713)</f>
        <v/>
      </c>
      <c r="E2713" s="9"/>
      <c r="F2713" s="9"/>
      <c r="G2713" s="7" t="str">
        <f aca="false">IF(A2713="","",IF(COUNTIF(Tabelas!$A:$A,IF(E2713="",A2713,E2713))&gt;0,"sim","não"))</f>
        <v/>
      </c>
      <c r="H2713" s="7" t="str">
        <f aca="false">IF(A2713="","",IF(E2713="",A2713,E2713)&amp;"."&amp;IF(F2713="",B2713,F2713))</f>
        <v/>
      </c>
      <c r="I2713" s="7" t="str">
        <f aca="false">IF(A2713="","",IFERROR(INDEX('Campos Growths'!$F:$F,MATCH(H2713,'Campos Growths'!$A:$A,0)),""))</f>
        <v/>
      </c>
      <c r="J2713" s="7" t="str">
        <f aca="false">IF(A2713="","",IFERROR(VLOOKUP(IF(ISNUMBER(SEARCH("(",C2713)),LEFT(C2713,SEARCH("(",C2713)-1),C2713),Tipos!$A:$B,2,FALSE()),"outro"))</f>
        <v/>
      </c>
      <c r="K2713" s="7" t="str">
        <f aca="false">IF(I2713="","",IFERROR(INDEX('Campos Growths'!$L:$L,MATCH(H2713,'Campos Growths'!$A:$A,0)),""))</f>
        <v/>
      </c>
      <c r="L2713" s="7" t="str">
        <f aca="false">IF(A2713="","",IF(G2713="não","Sem tabela no Growths",IF(I2713="","Sem campo no Growths",IF(J2713=K2713,"Importa direto","Ajustar tipo"))))</f>
        <v/>
      </c>
      <c r="M2713" s="9"/>
    </row>
    <row r="2714" customFormat="false" ht="15" hidden="false" customHeight="false" outlineLevel="0" collapsed="false">
      <c r="A2714" s="7" t="str">
        <f aca="false">IF('Outro banco'!A2714="","",IF(LEFT('Outro banco'!A2714,1)="(","",'Outro banco'!A2714))</f>
        <v/>
      </c>
      <c r="B2714" s="7" t="str">
        <f aca="false">IF(A2714="","",'Outro banco'!B2714)</f>
        <v/>
      </c>
      <c r="C2714" s="7" t="str">
        <f aca="false">IF(A2714="","",'Outro banco'!C2714)</f>
        <v/>
      </c>
      <c r="D2714" s="7" t="str">
        <f aca="false">IF(A2714="","",'Outro banco'!D2714)</f>
        <v/>
      </c>
      <c r="E2714" s="9"/>
      <c r="F2714" s="9"/>
      <c r="G2714" s="7" t="str">
        <f aca="false">IF(A2714="","",IF(COUNTIF(Tabelas!$A:$A,IF(E2714="",A2714,E2714))&gt;0,"sim","não"))</f>
        <v/>
      </c>
      <c r="H2714" s="7" t="str">
        <f aca="false">IF(A2714="","",IF(E2714="",A2714,E2714)&amp;"."&amp;IF(F2714="",B2714,F2714))</f>
        <v/>
      </c>
      <c r="I2714" s="7" t="str">
        <f aca="false">IF(A2714="","",IFERROR(INDEX('Campos Growths'!$F:$F,MATCH(H2714,'Campos Growths'!$A:$A,0)),""))</f>
        <v/>
      </c>
      <c r="J2714" s="7" t="str">
        <f aca="false">IF(A2714="","",IFERROR(VLOOKUP(IF(ISNUMBER(SEARCH("(",C2714)),LEFT(C2714,SEARCH("(",C2714)-1),C2714),Tipos!$A:$B,2,FALSE()),"outro"))</f>
        <v/>
      </c>
      <c r="K2714" s="7" t="str">
        <f aca="false">IF(I2714="","",IFERROR(INDEX('Campos Growths'!$L:$L,MATCH(H2714,'Campos Growths'!$A:$A,0)),""))</f>
        <v/>
      </c>
      <c r="L2714" s="7" t="str">
        <f aca="false">IF(A2714="","",IF(G2714="não","Sem tabela no Growths",IF(I2714="","Sem campo no Growths",IF(J2714=K2714,"Importa direto","Ajustar tipo"))))</f>
        <v/>
      </c>
      <c r="M2714" s="9"/>
    </row>
    <row r="2715" customFormat="false" ht="15" hidden="false" customHeight="false" outlineLevel="0" collapsed="false">
      <c r="A2715" s="7" t="str">
        <f aca="false">IF('Outro banco'!A2715="","",IF(LEFT('Outro banco'!A2715,1)="(","",'Outro banco'!A2715))</f>
        <v/>
      </c>
      <c r="B2715" s="7" t="str">
        <f aca="false">IF(A2715="","",'Outro banco'!B2715)</f>
        <v/>
      </c>
      <c r="C2715" s="7" t="str">
        <f aca="false">IF(A2715="","",'Outro banco'!C2715)</f>
        <v/>
      </c>
      <c r="D2715" s="7" t="str">
        <f aca="false">IF(A2715="","",'Outro banco'!D2715)</f>
        <v/>
      </c>
      <c r="E2715" s="9"/>
      <c r="F2715" s="9"/>
      <c r="G2715" s="7" t="str">
        <f aca="false">IF(A2715="","",IF(COUNTIF(Tabelas!$A:$A,IF(E2715="",A2715,E2715))&gt;0,"sim","não"))</f>
        <v/>
      </c>
      <c r="H2715" s="7" t="str">
        <f aca="false">IF(A2715="","",IF(E2715="",A2715,E2715)&amp;"."&amp;IF(F2715="",B2715,F2715))</f>
        <v/>
      </c>
      <c r="I2715" s="7" t="str">
        <f aca="false">IF(A2715="","",IFERROR(INDEX('Campos Growths'!$F:$F,MATCH(H2715,'Campos Growths'!$A:$A,0)),""))</f>
        <v/>
      </c>
      <c r="J2715" s="7" t="str">
        <f aca="false">IF(A2715="","",IFERROR(VLOOKUP(IF(ISNUMBER(SEARCH("(",C2715)),LEFT(C2715,SEARCH("(",C2715)-1),C2715),Tipos!$A:$B,2,FALSE()),"outro"))</f>
        <v/>
      </c>
      <c r="K2715" s="7" t="str">
        <f aca="false">IF(I2715="","",IFERROR(INDEX('Campos Growths'!$L:$L,MATCH(H2715,'Campos Growths'!$A:$A,0)),""))</f>
        <v/>
      </c>
      <c r="L2715" s="7" t="str">
        <f aca="false">IF(A2715="","",IF(G2715="não","Sem tabela no Growths",IF(I2715="","Sem campo no Growths",IF(J2715=K2715,"Importa direto","Ajustar tipo"))))</f>
        <v/>
      </c>
      <c r="M2715" s="9"/>
    </row>
    <row r="2716" customFormat="false" ht="15" hidden="false" customHeight="false" outlineLevel="0" collapsed="false">
      <c r="A2716" s="7" t="str">
        <f aca="false">IF('Outro banco'!A2716="","",IF(LEFT('Outro banco'!A2716,1)="(","",'Outro banco'!A2716))</f>
        <v/>
      </c>
      <c r="B2716" s="7" t="str">
        <f aca="false">IF(A2716="","",'Outro banco'!B2716)</f>
        <v/>
      </c>
      <c r="C2716" s="7" t="str">
        <f aca="false">IF(A2716="","",'Outro banco'!C2716)</f>
        <v/>
      </c>
      <c r="D2716" s="7" t="str">
        <f aca="false">IF(A2716="","",'Outro banco'!D2716)</f>
        <v/>
      </c>
      <c r="E2716" s="9"/>
      <c r="F2716" s="9"/>
      <c r="G2716" s="7" t="str">
        <f aca="false">IF(A2716="","",IF(COUNTIF(Tabelas!$A:$A,IF(E2716="",A2716,E2716))&gt;0,"sim","não"))</f>
        <v/>
      </c>
      <c r="H2716" s="7" t="str">
        <f aca="false">IF(A2716="","",IF(E2716="",A2716,E2716)&amp;"."&amp;IF(F2716="",B2716,F2716))</f>
        <v/>
      </c>
      <c r="I2716" s="7" t="str">
        <f aca="false">IF(A2716="","",IFERROR(INDEX('Campos Growths'!$F:$F,MATCH(H2716,'Campos Growths'!$A:$A,0)),""))</f>
        <v/>
      </c>
      <c r="J2716" s="7" t="str">
        <f aca="false">IF(A2716="","",IFERROR(VLOOKUP(IF(ISNUMBER(SEARCH("(",C2716)),LEFT(C2716,SEARCH("(",C2716)-1),C2716),Tipos!$A:$B,2,FALSE()),"outro"))</f>
        <v/>
      </c>
      <c r="K2716" s="7" t="str">
        <f aca="false">IF(I2716="","",IFERROR(INDEX('Campos Growths'!$L:$L,MATCH(H2716,'Campos Growths'!$A:$A,0)),""))</f>
        <v/>
      </c>
      <c r="L2716" s="7" t="str">
        <f aca="false">IF(A2716="","",IF(G2716="não","Sem tabela no Growths",IF(I2716="","Sem campo no Growths",IF(J2716=K2716,"Importa direto","Ajustar tipo"))))</f>
        <v/>
      </c>
      <c r="M2716" s="9"/>
    </row>
    <row r="2717" customFormat="false" ht="15" hidden="false" customHeight="false" outlineLevel="0" collapsed="false">
      <c r="A2717" s="7" t="str">
        <f aca="false">IF('Outro banco'!A2717="","",IF(LEFT('Outro banco'!A2717,1)="(","",'Outro banco'!A2717))</f>
        <v/>
      </c>
      <c r="B2717" s="7" t="str">
        <f aca="false">IF(A2717="","",'Outro banco'!B2717)</f>
        <v/>
      </c>
      <c r="C2717" s="7" t="str">
        <f aca="false">IF(A2717="","",'Outro banco'!C2717)</f>
        <v/>
      </c>
      <c r="D2717" s="7" t="str">
        <f aca="false">IF(A2717="","",'Outro banco'!D2717)</f>
        <v/>
      </c>
      <c r="E2717" s="9"/>
      <c r="F2717" s="9"/>
      <c r="G2717" s="7" t="str">
        <f aca="false">IF(A2717="","",IF(COUNTIF(Tabelas!$A:$A,IF(E2717="",A2717,E2717))&gt;0,"sim","não"))</f>
        <v/>
      </c>
      <c r="H2717" s="7" t="str">
        <f aca="false">IF(A2717="","",IF(E2717="",A2717,E2717)&amp;"."&amp;IF(F2717="",B2717,F2717))</f>
        <v/>
      </c>
      <c r="I2717" s="7" t="str">
        <f aca="false">IF(A2717="","",IFERROR(INDEX('Campos Growths'!$F:$F,MATCH(H2717,'Campos Growths'!$A:$A,0)),""))</f>
        <v/>
      </c>
      <c r="J2717" s="7" t="str">
        <f aca="false">IF(A2717="","",IFERROR(VLOOKUP(IF(ISNUMBER(SEARCH("(",C2717)),LEFT(C2717,SEARCH("(",C2717)-1),C2717),Tipos!$A:$B,2,FALSE()),"outro"))</f>
        <v/>
      </c>
      <c r="K2717" s="7" t="str">
        <f aca="false">IF(I2717="","",IFERROR(INDEX('Campos Growths'!$L:$L,MATCH(H2717,'Campos Growths'!$A:$A,0)),""))</f>
        <v/>
      </c>
      <c r="L2717" s="7" t="str">
        <f aca="false">IF(A2717="","",IF(G2717="não","Sem tabela no Growths",IF(I2717="","Sem campo no Growths",IF(J2717=K2717,"Importa direto","Ajustar tipo"))))</f>
        <v/>
      </c>
      <c r="M2717" s="9"/>
    </row>
    <row r="2718" customFormat="false" ht="15" hidden="false" customHeight="false" outlineLevel="0" collapsed="false">
      <c r="A2718" s="7" t="str">
        <f aca="false">IF('Outro banco'!A2718="","",IF(LEFT('Outro banco'!A2718,1)="(","",'Outro banco'!A2718))</f>
        <v/>
      </c>
      <c r="B2718" s="7" t="str">
        <f aca="false">IF(A2718="","",'Outro banco'!B2718)</f>
        <v/>
      </c>
      <c r="C2718" s="7" t="str">
        <f aca="false">IF(A2718="","",'Outro banco'!C2718)</f>
        <v/>
      </c>
      <c r="D2718" s="7" t="str">
        <f aca="false">IF(A2718="","",'Outro banco'!D2718)</f>
        <v/>
      </c>
      <c r="E2718" s="9"/>
      <c r="F2718" s="9"/>
      <c r="G2718" s="7" t="str">
        <f aca="false">IF(A2718="","",IF(COUNTIF(Tabelas!$A:$A,IF(E2718="",A2718,E2718))&gt;0,"sim","não"))</f>
        <v/>
      </c>
      <c r="H2718" s="7" t="str">
        <f aca="false">IF(A2718="","",IF(E2718="",A2718,E2718)&amp;"."&amp;IF(F2718="",B2718,F2718))</f>
        <v/>
      </c>
      <c r="I2718" s="7" t="str">
        <f aca="false">IF(A2718="","",IFERROR(INDEX('Campos Growths'!$F:$F,MATCH(H2718,'Campos Growths'!$A:$A,0)),""))</f>
        <v/>
      </c>
      <c r="J2718" s="7" t="str">
        <f aca="false">IF(A2718="","",IFERROR(VLOOKUP(IF(ISNUMBER(SEARCH("(",C2718)),LEFT(C2718,SEARCH("(",C2718)-1),C2718),Tipos!$A:$B,2,FALSE()),"outro"))</f>
        <v/>
      </c>
      <c r="K2718" s="7" t="str">
        <f aca="false">IF(I2718="","",IFERROR(INDEX('Campos Growths'!$L:$L,MATCH(H2718,'Campos Growths'!$A:$A,0)),""))</f>
        <v/>
      </c>
      <c r="L2718" s="7" t="str">
        <f aca="false">IF(A2718="","",IF(G2718="não","Sem tabela no Growths",IF(I2718="","Sem campo no Growths",IF(J2718=K2718,"Importa direto","Ajustar tipo"))))</f>
        <v/>
      </c>
      <c r="M2718" s="9"/>
    </row>
    <row r="2719" customFormat="false" ht="15" hidden="false" customHeight="false" outlineLevel="0" collapsed="false">
      <c r="A2719" s="7" t="str">
        <f aca="false">IF('Outro banco'!A2719="","",IF(LEFT('Outro banco'!A2719,1)="(","",'Outro banco'!A2719))</f>
        <v/>
      </c>
      <c r="B2719" s="7" t="str">
        <f aca="false">IF(A2719="","",'Outro banco'!B2719)</f>
        <v/>
      </c>
      <c r="C2719" s="7" t="str">
        <f aca="false">IF(A2719="","",'Outro banco'!C2719)</f>
        <v/>
      </c>
      <c r="D2719" s="7" t="str">
        <f aca="false">IF(A2719="","",'Outro banco'!D2719)</f>
        <v/>
      </c>
      <c r="E2719" s="9"/>
      <c r="F2719" s="9"/>
      <c r="G2719" s="7" t="str">
        <f aca="false">IF(A2719="","",IF(COUNTIF(Tabelas!$A:$A,IF(E2719="",A2719,E2719))&gt;0,"sim","não"))</f>
        <v/>
      </c>
      <c r="H2719" s="7" t="str">
        <f aca="false">IF(A2719="","",IF(E2719="",A2719,E2719)&amp;"."&amp;IF(F2719="",B2719,F2719))</f>
        <v/>
      </c>
      <c r="I2719" s="7" t="str">
        <f aca="false">IF(A2719="","",IFERROR(INDEX('Campos Growths'!$F:$F,MATCH(H2719,'Campos Growths'!$A:$A,0)),""))</f>
        <v/>
      </c>
      <c r="J2719" s="7" t="str">
        <f aca="false">IF(A2719="","",IFERROR(VLOOKUP(IF(ISNUMBER(SEARCH("(",C2719)),LEFT(C2719,SEARCH("(",C2719)-1),C2719),Tipos!$A:$B,2,FALSE()),"outro"))</f>
        <v/>
      </c>
      <c r="K2719" s="7" t="str">
        <f aca="false">IF(I2719="","",IFERROR(INDEX('Campos Growths'!$L:$L,MATCH(H2719,'Campos Growths'!$A:$A,0)),""))</f>
        <v/>
      </c>
      <c r="L2719" s="7" t="str">
        <f aca="false">IF(A2719="","",IF(G2719="não","Sem tabela no Growths",IF(I2719="","Sem campo no Growths",IF(J2719=K2719,"Importa direto","Ajustar tipo"))))</f>
        <v/>
      </c>
      <c r="M2719" s="9"/>
    </row>
    <row r="2720" customFormat="false" ht="15" hidden="false" customHeight="false" outlineLevel="0" collapsed="false">
      <c r="A2720" s="7" t="str">
        <f aca="false">IF('Outro banco'!A2720="","",IF(LEFT('Outro banco'!A2720,1)="(","",'Outro banco'!A2720))</f>
        <v/>
      </c>
      <c r="B2720" s="7" t="str">
        <f aca="false">IF(A2720="","",'Outro banco'!B2720)</f>
        <v/>
      </c>
      <c r="C2720" s="7" t="str">
        <f aca="false">IF(A2720="","",'Outro banco'!C2720)</f>
        <v/>
      </c>
      <c r="D2720" s="7" t="str">
        <f aca="false">IF(A2720="","",'Outro banco'!D2720)</f>
        <v/>
      </c>
      <c r="E2720" s="9"/>
      <c r="F2720" s="9"/>
      <c r="G2720" s="7" t="str">
        <f aca="false">IF(A2720="","",IF(COUNTIF(Tabelas!$A:$A,IF(E2720="",A2720,E2720))&gt;0,"sim","não"))</f>
        <v/>
      </c>
      <c r="H2720" s="7" t="str">
        <f aca="false">IF(A2720="","",IF(E2720="",A2720,E2720)&amp;"."&amp;IF(F2720="",B2720,F2720))</f>
        <v/>
      </c>
      <c r="I2720" s="7" t="str">
        <f aca="false">IF(A2720="","",IFERROR(INDEX('Campos Growths'!$F:$F,MATCH(H2720,'Campos Growths'!$A:$A,0)),""))</f>
        <v/>
      </c>
      <c r="J2720" s="7" t="str">
        <f aca="false">IF(A2720="","",IFERROR(VLOOKUP(IF(ISNUMBER(SEARCH("(",C2720)),LEFT(C2720,SEARCH("(",C2720)-1),C2720),Tipos!$A:$B,2,FALSE()),"outro"))</f>
        <v/>
      </c>
      <c r="K2720" s="7" t="str">
        <f aca="false">IF(I2720="","",IFERROR(INDEX('Campos Growths'!$L:$L,MATCH(H2720,'Campos Growths'!$A:$A,0)),""))</f>
        <v/>
      </c>
      <c r="L2720" s="7" t="str">
        <f aca="false">IF(A2720="","",IF(G2720="não","Sem tabela no Growths",IF(I2720="","Sem campo no Growths",IF(J2720=K2720,"Importa direto","Ajustar tipo"))))</f>
        <v/>
      </c>
      <c r="M2720" s="9"/>
    </row>
    <row r="2721" customFormat="false" ht="15" hidden="false" customHeight="false" outlineLevel="0" collapsed="false">
      <c r="A2721" s="7" t="str">
        <f aca="false">IF('Outro banco'!A2721="","",IF(LEFT('Outro banco'!A2721,1)="(","",'Outro banco'!A2721))</f>
        <v/>
      </c>
      <c r="B2721" s="7" t="str">
        <f aca="false">IF(A2721="","",'Outro banco'!B2721)</f>
        <v/>
      </c>
      <c r="C2721" s="7" t="str">
        <f aca="false">IF(A2721="","",'Outro banco'!C2721)</f>
        <v/>
      </c>
      <c r="D2721" s="7" t="str">
        <f aca="false">IF(A2721="","",'Outro banco'!D2721)</f>
        <v/>
      </c>
      <c r="E2721" s="9"/>
      <c r="F2721" s="9"/>
      <c r="G2721" s="7" t="str">
        <f aca="false">IF(A2721="","",IF(COUNTIF(Tabelas!$A:$A,IF(E2721="",A2721,E2721))&gt;0,"sim","não"))</f>
        <v/>
      </c>
      <c r="H2721" s="7" t="str">
        <f aca="false">IF(A2721="","",IF(E2721="",A2721,E2721)&amp;"."&amp;IF(F2721="",B2721,F2721))</f>
        <v/>
      </c>
      <c r="I2721" s="7" t="str">
        <f aca="false">IF(A2721="","",IFERROR(INDEX('Campos Growths'!$F:$F,MATCH(H2721,'Campos Growths'!$A:$A,0)),""))</f>
        <v/>
      </c>
      <c r="J2721" s="7" t="str">
        <f aca="false">IF(A2721="","",IFERROR(VLOOKUP(IF(ISNUMBER(SEARCH("(",C2721)),LEFT(C2721,SEARCH("(",C2721)-1),C2721),Tipos!$A:$B,2,FALSE()),"outro"))</f>
        <v/>
      </c>
      <c r="K2721" s="7" t="str">
        <f aca="false">IF(I2721="","",IFERROR(INDEX('Campos Growths'!$L:$L,MATCH(H2721,'Campos Growths'!$A:$A,0)),""))</f>
        <v/>
      </c>
      <c r="L2721" s="7" t="str">
        <f aca="false">IF(A2721="","",IF(G2721="não","Sem tabela no Growths",IF(I2721="","Sem campo no Growths",IF(J2721=K2721,"Importa direto","Ajustar tipo"))))</f>
        <v/>
      </c>
      <c r="M2721" s="9"/>
    </row>
    <row r="2722" customFormat="false" ht="15" hidden="false" customHeight="false" outlineLevel="0" collapsed="false">
      <c r="A2722" s="7" t="str">
        <f aca="false">IF('Outro banco'!A2722="","",IF(LEFT('Outro banco'!A2722,1)="(","",'Outro banco'!A2722))</f>
        <v/>
      </c>
      <c r="B2722" s="7" t="str">
        <f aca="false">IF(A2722="","",'Outro banco'!B2722)</f>
        <v/>
      </c>
      <c r="C2722" s="7" t="str">
        <f aca="false">IF(A2722="","",'Outro banco'!C2722)</f>
        <v/>
      </c>
      <c r="D2722" s="7" t="str">
        <f aca="false">IF(A2722="","",'Outro banco'!D2722)</f>
        <v/>
      </c>
      <c r="E2722" s="9"/>
      <c r="F2722" s="9"/>
      <c r="G2722" s="7" t="str">
        <f aca="false">IF(A2722="","",IF(COUNTIF(Tabelas!$A:$A,IF(E2722="",A2722,E2722))&gt;0,"sim","não"))</f>
        <v/>
      </c>
      <c r="H2722" s="7" t="str">
        <f aca="false">IF(A2722="","",IF(E2722="",A2722,E2722)&amp;"."&amp;IF(F2722="",B2722,F2722))</f>
        <v/>
      </c>
      <c r="I2722" s="7" t="str">
        <f aca="false">IF(A2722="","",IFERROR(INDEX('Campos Growths'!$F:$F,MATCH(H2722,'Campos Growths'!$A:$A,0)),""))</f>
        <v/>
      </c>
      <c r="J2722" s="7" t="str">
        <f aca="false">IF(A2722="","",IFERROR(VLOOKUP(IF(ISNUMBER(SEARCH("(",C2722)),LEFT(C2722,SEARCH("(",C2722)-1),C2722),Tipos!$A:$B,2,FALSE()),"outro"))</f>
        <v/>
      </c>
      <c r="K2722" s="7" t="str">
        <f aca="false">IF(I2722="","",IFERROR(INDEX('Campos Growths'!$L:$L,MATCH(H2722,'Campos Growths'!$A:$A,0)),""))</f>
        <v/>
      </c>
      <c r="L2722" s="7" t="str">
        <f aca="false">IF(A2722="","",IF(G2722="não","Sem tabela no Growths",IF(I2722="","Sem campo no Growths",IF(J2722=K2722,"Importa direto","Ajustar tipo"))))</f>
        <v/>
      </c>
      <c r="M2722" s="9"/>
    </row>
    <row r="2723" customFormat="false" ht="15" hidden="false" customHeight="false" outlineLevel="0" collapsed="false">
      <c r="A2723" s="7" t="str">
        <f aca="false">IF('Outro banco'!A2723="","",IF(LEFT('Outro banco'!A2723,1)="(","",'Outro banco'!A2723))</f>
        <v/>
      </c>
      <c r="B2723" s="7" t="str">
        <f aca="false">IF(A2723="","",'Outro banco'!B2723)</f>
        <v/>
      </c>
      <c r="C2723" s="7" t="str">
        <f aca="false">IF(A2723="","",'Outro banco'!C2723)</f>
        <v/>
      </c>
      <c r="D2723" s="7" t="str">
        <f aca="false">IF(A2723="","",'Outro banco'!D2723)</f>
        <v/>
      </c>
      <c r="E2723" s="9"/>
      <c r="F2723" s="9"/>
      <c r="G2723" s="7" t="str">
        <f aca="false">IF(A2723="","",IF(COUNTIF(Tabelas!$A:$A,IF(E2723="",A2723,E2723))&gt;0,"sim","não"))</f>
        <v/>
      </c>
      <c r="H2723" s="7" t="str">
        <f aca="false">IF(A2723="","",IF(E2723="",A2723,E2723)&amp;"."&amp;IF(F2723="",B2723,F2723))</f>
        <v/>
      </c>
      <c r="I2723" s="7" t="str">
        <f aca="false">IF(A2723="","",IFERROR(INDEX('Campos Growths'!$F:$F,MATCH(H2723,'Campos Growths'!$A:$A,0)),""))</f>
        <v/>
      </c>
      <c r="J2723" s="7" t="str">
        <f aca="false">IF(A2723="","",IFERROR(VLOOKUP(IF(ISNUMBER(SEARCH("(",C2723)),LEFT(C2723,SEARCH("(",C2723)-1),C2723),Tipos!$A:$B,2,FALSE()),"outro"))</f>
        <v/>
      </c>
      <c r="K2723" s="7" t="str">
        <f aca="false">IF(I2723="","",IFERROR(INDEX('Campos Growths'!$L:$L,MATCH(H2723,'Campos Growths'!$A:$A,0)),""))</f>
        <v/>
      </c>
      <c r="L2723" s="7" t="str">
        <f aca="false">IF(A2723="","",IF(G2723="não","Sem tabela no Growths",IF(I2723="","Sem campo no Growths",IF(J2723=K2723,"Importa direto","Ajustar tipo"))))</f>
        <v/>
      </c>
      <c r="M2723" s="9"/>
    </row>
    <row r="2724" customFormat="false" ht="15" hidden="false" customHeight="false" outlineLevel="0" collapsed="false">
      <c r="A2724" s="7" t="str">
        <f aca="false">IF('Outro banco'!A2724="","",IF(LEFT('Outro banco'!A2724,1)="(","",'Outro banco'!A2724))</f>
        <v/>
      </c>
      <c r="B2724" s="7" t="str">
        <f aca="false">IF(A2724="","",'Outro banco'!B2724)</f>
        <v/>
      </c>
      <c r="C2724" s="7" t="str">
        <f aca="false">IF(A2724="","",'Outro banco'!C2724)</f>
        <v/>
      </c>
      <c r="D2724" s="7" t="str">
        <f aca="false">IF(A2724="","",'Outro banco'!D2724)</f>
        <v/>
      </c>
      <c r="E2724" s="9"/>
      <c r="F2724" s="9"/>
      <c r="G2724" s="7" t="str">
        <f aca="false">IF(A2724="","",IF(COUNTIF(Tabelas!$A:$A,IF(E2724="",A2724,E2724))&gt;0,"sim","não"))</f>
        <v/>
      </c>
      <c r="H2724" s="7" t="str">
        <f aca="false">IF(A2724="","",IF(E2724="",A2724,E2724)&amp;"."&amp;IF(F2724="",B2724,F2724))</f>
        <v/>
      </c>
      <c r="I2724" s="7" t="str">
        <f aca="false">IF(A2724="","",IFERROR(INDEX('Campos Growths'!$F:$F,MATCH(H2724,'Campos Growths'!$A:$A,0)),""))</f>
        <v/>
      </c>
      <c r="J2724" s="7" t="str">
        <f aca="false">IF(A2724="","",IFERROR(VLOOKUP(IF(ISNUMBER(SEARCH("(",C2724)),LEFT(C2724,SEARCH("(",C2724)-1),C2724),Tipos!$A:$B,2,FALSE()),"outro"))</f>
        <v/>
      </c>
      <c r="K2724" s="7" t="str">
        <f aca="false">IF(I2724="","",IFERROR(INDEX('Campos Growths'!$L:$L,MATCH(H2724,'Campos Growths'!$A:$A,0)),""))</f>
        <v/>
      </c>
      <c r="L2724" s="7" t="str">
        <f aca="false">IF(A2724="","",IF(G2724="não","Sem tabela no Growths",IF(I2724="","Sem campo no Growths",IF(J2724=K2724,"Importa direto","Ajustar tipo"))))</f>
        <v/>
      </c>
      <c r="M2724" s="9"/>
    </row>
    <row r="2725" customFormat="false" ht="15" hidden="false" customHeight="false" outlineLevel="0" collapsed="false">
      <c r="A2725" s="7" t="str">
        <f aca="false">IF('Outro banco'!A2725="","",IF(LEFT('Outro banco'!A2725,1)="(","",'Outro banco'!A2725))</f>
        <v/>
      </c>
      <c r="B2725" s="7" t="str">
        <f aca="false">IF(A2725="","",'Outro banco'!B2725)</f>
        <v/>
      </c>
      <c r="C2725" s="7" t="str">
        <f aca="false">IF(A2725="","",'Outro banco'!C2725)</f>
        <v/>
      </c>
      <c r="D2725" s="7" t="str">
        <f aca="false">IF(A2725="","",'Outro banco'!D2725)</f>
        <v/>
      </c>
      <c r="E2725" s="9"/>
      <c r="F2725" s="9"/>
      <c r="G2725" s="7" t="str">
        <f aca="false">IF(A2725="","",IF(COUNTIF(Tabelas!$A:$A,IF(E2725="",A2725,E2725))&gt;0,"sim","não"))</f>
        <v/>
      </c>
      <c r="H2725" s="7" t="str">
        <f aca="false">IF(A2725="","",IF(E2725="",A2725,E2725)&amp;"."&amp;IF(F2725="",B2725,F2725))</f>
        <v/>
      </c>
      <c r="I2725" s="7" t="str">
        <f aca="false">IF(A2725="","",IFERROR(INDEX('Campos Growths'!$F:$F,MATCH(H2725,'Campos Growths'!$A:$A,0)),""))</f>
        <v/>
      </c>
      <c r="J2725" s="7" t="str">
        <f aca="false">IF(A2725="","",IFERROR(VLOOKUP(IF(ISNUMBER(SEARCH("(",C2725)),LEFT(C2725,SEARCH("(",C2725)-1),C2725),Tipos!$A:$B,2,FALSE()),"outro"))</f>
        <v/>
      </c>
      <c r="K2725" s="7" t="str">
        <f aca="false">IF(I2725="","",IFERROR(INDEX('Campos Growths'!$L:$L,MATCH(H2725,'Campos Growths'!$A:$A,0)),""))</f>
        <v/>
      </c>
      <c r="L2725" s="7" t="str">
        <f aca="false">IF(A2725="","",IF(G2725="não","Sem tabela no Growths",IF(I2725="","Sem campo no Growths",IF(J2725=K2725,"Importa direto","Ajustar tipo"))))</f>
        <v/>
      </c>
      <c r="M2725" s="9"/>
    </row>
    <row r="2726" customFormat="false" ht="15" hidden="false" customHeight="false" outlineLevel="0" collapsed="false">
      <c r="A2726" s="7" t="str">
        <f aca="false">IF('Outro banco'!A2726="","",IF(LEFT('Outro banco'!A2726,1)="(","",'Outro banco'!A2726))</f>
        <v/>
      </c>
      <c r="B2726" s="7" t="str">
        <f aca="false">IF(A2726="","",'Outro banco'!B2726)</f>
        <v/>
      </c>
      <c r="C2726" s="7" t="str">
        <f aca="false">IF(A2726="","",'Outro banco'!C2726)</f>
        <v/>
      </c>
      <c r="D2726" s="7" t="str">
        <f aca="false">IF(A2726="","",'Outro banco'!D2726)</f>
        <v/>
      </c>
      <c r="E2726" s="9"/>
      <c r="F2726" s="9"/>
      <c r="G2726" s="7" t="str">
        <f aca="false">IF(A2726="","",IF(COUNTIF(Tabelas!$A:$A,IF(E2726="",A2726,E2726))&gt;0,"sim","não"))</f>
        <v/>
      </c>
      <c r="H2726" s="7" t="str">
        <f aca="false">IF(A2726="","",IF(E2726="",A2726,E2726)&amp;"."&amp;IF(F2726="",B2726,F2726))</f>
        <v/>
      </c>
      <c r="I2726" s="7" t="str">
        <f aca="false">IF(A2726="","",IFERROR(INDEX('Campos Growths'!$F:$F,MATCH(H2726,'Campos Growths'!$A:$A,0)),""))</f>
        <v/>
      </c>
      <c r="J2726" s="7" t="str">
        <f aca="false">IF(A2726="","",IFERROR(VLOOKUP(IF(ISNUMBER(SEARCH("(",C2726)),LEFT(C2726,SEARCH("(",C2726)-1),C2726),Tipos!$A:$B,2,FALSE()),"outro"))</f>
        <v/>
      </c>
      <c r="K2726" s="7" t="str">
        <f aca="false">IF(I2726="","",IFERROR(INDEX('Campos Growths'!$L:$L,MATCH(H2726,'Campos Growths'!$A:$A,0)),""))</f>
        <v/>
      </c>
      <c r="L2726" s="7" t="str">
        <f aca="false">IF(A2726="","",IF(G2726="não","Sem tabela no Growths",IF(I2726="","Sem campo no Growths",IF(J2726=K2726,"Importa direto","Ajustar tipo"))))</f>
        <v/>
      </c>
      <c r="M2726" s="9"/>
    </row>
    <row r="2727" customFormat="false" ht="15" hidden="false" customHeight="false" outlineLevel="0" collapsed="false">
      <c r="A2727" s="7" t="str">
        <f aca="false">IF('Outro banco'!A2727="","",IF(LEFT('Outro banco'!A2727,1)="(","",'Outro banco'!A2727))</f>
        <v/>
      </c>
      <c r="B2727" s="7" t="str">
        <f aca="false">IF(A2727="","",'Outro banco'!B2727)</f>
        <v/>
      </c>
      <c r="C2727" s="7" t="str">
        <f aca="false">IF(A2727="","",'Outro banco'!C2727)</f>
        <v/>
      </c>
      <c r="D2727" s="7" t="str">
        <f aca="false">IF(A2727="","",'Outro banco'!D2727)</f>
        <v/>
      </c>
      <c r="E2727" s="9"/>
      <c r="F2727" s="9"/>
      <c r="G2727" s="7" t="str">
        <f aca="false">IF(A2727="","",IF(COUNTIF(Tabelas!$A:$A,IF(E2727="",A2727,E2727))&gt;0,"sim","não"))</f>
        <v/>
      </c>
      <c r="H2727" s="7" t="str">
        <f aca="false">IF(A2727="","",IF(E2727="",A2727,E2727)&amp;"."&amp;IF(F2727="",B2727,F2727))</f>
        <v/>
      </c>
      <c r="I2727" s="7" t="str">
        <f aca="false">IF(A2727="","",IFERROR(INDEX('Campos Growths'!$F:$F,MATCH(H2727,'Campos Growths'!$A:$A,0)),""))</f>
        <v/>
      </c>
      <c r="J2727" s="7" t="str">
        <f aca="false">IF(A2727="","",IFERROR(VLOOKUP(IF(ISNUMBER(SEARCH("(",C2727)),LEFT(C2727,SEARCH("(",C2727)-1),C2727),Tipos!$A:$B,2,FALSE()),"outro"))</f>
        <v/>
      </c>
      <c r="K2727" s="7" t="str">
        <f aca="false">IF(I2727="","",IFERROR(INDEX('Campos Growths'!$L:$L,MATCH(H2727,'Campos Growths'!$A:$A,0)),""))</f>
        <v/>
      </c>
      <c r="L2727" s="7" t="str">
        <f aca="false">IF(A2727="","",IF(G2727="não","Sem tabela no Growths",IF(I2727="","Sem campo no Growths",IF(J2727=K2727,"Importa direto","Ajustar tipo"))))</f>
        <v/>
      </c>
      <c r="M2727" s="9"/>
    </row>
    <row r="2728" customFormat="false" ht="15" hidden="false" customHeight="false" outlineLevel="0" collapsed="false">
      <c r="A2728" s="7" t="str">
        <f aca="false">IF('Outro banco'!A2728="","",IF(LEFT('Outro banco'!A2728,1)="(","",'Outro banco'!A2728))</f>
        <v/>
      </c>
      <c r="B2728" s="7" t="str">
        <f aca="false">IF(A2728="","",'Outro banco'!B2728)</f>
        <v/>
      </c>
      <c r="C2728" s="7" t="str">
        <f aca="false">IF(A2728="","",'Outro banco'!C2728)</f>
        <v/>
      </c>
      <c r="D2728" s="7" t="str">
        <f aca="false">IF(A2728="","",'Outro banco'!D2728)</f>
        <v/>
      </c>
      <c r="E2728" s="9"/>
      <c r="F2728" s="9"/>
      <c r="G2728" s="7" t="str">
        <f aca="false">IF(A2728="","",IF(COUNTIF(Tabelas!$A:$A,IF(E2728="",A2728,E2728))&gt;0,"sim","não"))</f>
        <v/>
      </c>
      <c r="H2728" s="7" t="str">
        <f aca="false">IF(A2728="","",IF(E2728="",A2728,E2728)&amp;"."&amp;IF(F2728="",B2728,F2728))</f>
        <v/>
      </c>
      <c r="I2728" s="7" t="str">
        <f aca="false">IF(A2728="","",IFERROR(INDEX('Campos Growths'!$F:$F,MATCH(H2728,'Campos Growths'!$A:$A,0)),""))</f>
        <v/>
      </c>
      <c r="J2728" s="7" t="str">
        <f aca="false">IF(A2728="","",IFERROR(VLOOKUP(IF(ISNUMBER(SEARCH("(",C2728)),LEFT(C2728,SEARCH("(",C2728)-1),C2728),Tipos!$A:$B,2,FALSE()),"outro"))</f>
        <v/>
      </c>
      <c r="K2728" s="7" t="str">
        <f aca="false">IF(I2728="","",IFERROR(INDEX('Campos Growths'!$L:$L,MATCH(H2728,'Campos Growths'!$A:$A,0)),""))</f>
        <v/>
      </c>
      <c r="L2728" s="7" t="str">
        <f aca="false">IF(A2728="","",IF(G2728="não","Sem tabela no Growths",IF(I2728="","Sem campo no Growths",IF(J2728=K2728,"Importa direto","Ajustar tipo"))))</f>
        <v/>
      </c>
      <c r="M2728" s="9"/>
    </row>
    <row r="2729" customFormat="false" ht="15" hidden="false" customHeight="false" outlineLevel="0" collapsed="false">
      <c r="A2729" s="7" t="str">
        <f aca="false">IF('Outro banco'!A2729="","",IF(LEFT('Outro banco'!A2729,1)="(","",'Outro banco'!A2729))</f>
        <v/>
      </c>
      <c r="B2729" s="7" t="str">
        <f aca="false">IF(A2729="","",'Outro banco'!B2729)</f>
        <v/>
      </c>
      <c r="C2729" s="7" t="str">
        <f aca="false">IF(A2729="","",'Outro banco'!C2729)</f>
        <v/>
      </c>
      <c r="D2729" s="7" t="str">
        <f aca="false">IF(A2729="","",'Outro banco'!D2729)</f>
        <v/>
      </c>
      <c r="E2729" s="9"/>
      <c r="F2729" s="9"/>
      <c r="G2729" s="7" t="str">
        <f aca="false">IF(A2729="","",IF(COUNTIF(Tabelas!$A:$A,IF(E2729="",A2729,E2729))&gt;0,"sim","não"))</f>
        <v/>
      </c>
      <c r="H2729" s="7" t="str">
        <f aca="false">IF(A2729="","",IF(E2729="",A2729,E2729)&amp;"."&amp;IF(F2729="",B2729,F2729))</f>
        <v/>
      </c>
      <c r="I2729" s="7" t="str">
        <f aca="false">IF(A2729="","",IFERROR(INDEX('Campos Growths'!$F:$F,MATCH(H2729,'Campos Growths'!$A:$A,0)),""))</f>
        <v/>
      </c>
      <c r="J2729" s="7" t="str">
        <f aca="false">IF(A2729="","",IFERROR(VLOOKUP(IF(ISNUMBER(SEARCH("(",C2729)),LEFT(C2729,SEARCH("(",C2729)-1),C2729),Tipos!$A:$B,2,FALSE()),"outro"))</f>
        <v/>
      </c>
      <c r="K2729" s="7" t="str">
        <f aca="false">IF(I2729="","",IFERROR(INDEX('Campos Growths'!$L:$L,MATCH(H2729,'Campos Growths'!$A:$A,0)),""))</f>
        <v/>
      </c>
      <c r="L2729" s="7" t="str">
        <f aca="false">IF(A2729="","",IF(G2729="não","Sem tabela no Growths",IF(I2729="","Sem campo no Growths",IF(J2729=K2729,"Importa direto","Ajustar tipo"))))</f>
        <v/>
      </c>
      <c r="M2729" s="9"/>
    </row>
    <row r="2730" customFormat="false" ht="15" hidden="false" customHeight="false" outlineLevel="0" collapsed="false">
      <c r="A2730" s="7" t="str">
        <f aca="false">IF('Outro banco'!A2730="","",IF(LEFT('Outro banco'!A2730,1)="(","",'Outro banco'!A2730))</f>
        <v/>
      </c>
      <c r="B2730" s="7" t="str">
        <f aca="false">IF(A2730="","",'Outro banco'!B2730)</f>
        <v/>
      </c>
      <c r="C2730" s="7" t="str">
        <f aca="false">IF(A2730="","",'Outro banco'!C2730)</f>
        <v/>
      </c>
      <c r="D2730" s="7" t="str">
        <f aca="false">IF(A2730="","",'Outro banco'!D2730)</f>
        <v/>
      </c>
      <c r="E2730" s="9"/>
      <c r="F2730" s="9"/>
      <c r="G2730" s="7" t="str">
        <f aca="false">IF(A2730="","",IF(COUNTIF(Tabelas!$A:$A,IF(E2730="",A2730,E2730))&gt;0,"sim","não"))</f>
        <v/>
      </c>
      <c r="H2730" s="7" t="str">
        <f aca="false">IF(A2730="","",IF(E2730="",A2730,E2730)&amp;"."&amp;IF(F2730="",B2730,F2730))</f>
        <v/>
      </c>
      <c r="I2730" s="7" t="str">
        <f aca="false">IF(A2730="","",IFERROR(INDEX('Campos Growths'!$F:$F,MATCH(H2730,'Campos Growths'!$A:$A,0)),""))</f>
        <v/>
      </c>
      <c r="J2730" s="7" t="str">
        <f aca="false">IF(A2730="","",IFERROR(VLOOKUP(IF(ISNUMBER(SEARCH("(",C2730)),LEFT(C2730,SEARCH("(",C2730)-1),C2730),Tipos!$A:$B,2,FALSE()),"outro"))</f>
        <v/>
      </c>
      <c r="K2730" s="7" t="str">
        <f aca="false">IF(I2730="","",IFERROR(INDEX('Campos Growths'!$L:$L,MATCH(H2730,'Campos Growths'!$A:$A,0)),""))</f>
        <v/>
      </c>
      <c r="L2730" s="7" t="str">
        <f aca="false">IF(A2730="","",IF(G2730="não","Sem tabela no Growths",IF(I2730="","Sem campo no Growths",IF(J2730=K2730,"Importa direto","Ajustar tipo"))))</f>
        <v/>
      </c>
      <c r="M2730" s="9"/>
    </row>
    <row r="2731" customFormat="false" ht="15" hidden="false" customHeight="false" outlineLevel="0" collapsed="false">
      <c r="A2731" s="7" t="str">
        <f aca="false">IF('Outro banco'!A2731="","",IF(LEFT('Outro banco'!A2731,1)="(","",'Outro banco'!A2731))</f>
        <v/>
      </c>
      <c r="B2731" s="7" t="str">
        <f aca="false">IF(A2731="","",'Outro banco'!B2731)</f>
        <v/>
      </c>
      <c r="C2731" s="7" t="str">
        <f aca="false">IF(A2731="","",'Outro banco'!C2731)</f>
        <v/>
      </c>
      <c r="D2731" s="7" t="str">
        <f aca="false">IF(A2731="","",'Outro banco'!D2731)</f>
        <v/>
      </c>
      <c r="E2731" s="9"/>
      <c r="F2731" s="9"/>
      <c r="G2731" s="7" t="str">
        <f aca="false">IF(A2731="","",IF(COUNTIF(Tabelas!$A:$A,IF(E2731="",A2731,E2731))&gt;0,"sim","não"))</f>
        <v/>
      </c>
      <c r="H2731" s="7" t="str">
        <f aca="false">IF(A2731="","",IF(E2731="",A2731,E2731)&amp;"."&amp;IF(F2731="",B2731,F2731))</f>
        <v/>
      </c>
      <c r="I2731" s="7" t="str">
        <f aca="false">IF(A2731="","",IFERROR(INDEX('Campos Growths'!$F:$F,MATCH(H2731,'Campos Growths'!$A:$A,0)),""))</f>
        <v/>
      </c>
      <c r="J2731" s="7" t="str">
        <f aca="false">IF(A2731="","",IFERROR(VLOOKUP(IF(ISNUMBER(SEARCH("(",C2731)),LEFT(C2731,SEARCH("(",C2731)-1),C2731),Tipos!$A:$B,2,FALSE()),"outro"))</f>
        <v/>
      </c>
      <c r="K2731" s="7" t="str">
        <f aca="false">IF(I2731="","",IFERROR(INDEX('Campos Growths'!$L:$L,MATCH(H2731,'Campos Growths'!$A:$A,0)),""))</f>
        <v/>
      </c>
      <c r="L2731" s="7" t="str">
        <f aca="false">IF(A2731="","",IF(G2731="não","Sem tabela no Growths",IF(I2731="","Sem campo no Growths",IF(J2731=K2731,"Importa direto","Ajustar tipo"))))</f>
        <v/>
      </c>
      <c r="M2731" s="9"/>
    </row>
    <row r="2732" customFormat="false" ht="15" hidden="false" customHeight="false" outlineLevel="0" collapsed="false">
      <c r="A2732" s="7" t="str">
        <f aca="false">IF('Outro banco'!A2732="","",IF(LEFT('Outro banco'!A2732,1)="(","",'Outro banco'!A2732))</f>
        <v/>
      </c>
      <c r="B2732" s="7" t="str">
        <f aca="false">IF(A2732="","",'Outro banco'!B2732)</f>
        <v/>
      </c>
      <c r="C2732" s="7" t="str">
        <f aca="false">IF(A2732="","",'Outro banco'!C2732)</f>
        <v/>
      </c>
      <c r="D2732" s="7" t="str">
        <f aca="false">IF(A2732="","",'Outro banco'!D2732)</f>
        <v/>
      </c>
      <c r="E2732" s="9"/>
      <c r="F2732" s="9"/>
      <c r="G2732" s="7" t="str">
        <f aca="false">IF(A2732="","",IF(COUNTIF(Tabelas!$A:$A,IF(E2732="",A2732,E2732))&gt;0,"sim","não"))</f>
        <v/>
      </c>
      <c r="H2732" s="7" t="str">
        <f aca="false">IF(A2732="","",IF(E2732="",A2732,E2732)&amp;"."&amp;IF(F2732="",B2732,F2732))</f>
        <v/>
      </c>
      <c r="I2732" s="7" t="str">
        <f aca="false">IF(A2732="","",IFERROR(INDEX('Campos Growths'!$F:$F,MATCH(H2732,'Campos Growths'!$A:$A,0)),""))</f>
        <v/>
      </c>
      <c r="J2732" s="7" t="str">
        <f aca="false">IF(A2732="","",IFERROR(VLOOKUP(IF(ISNUMBER(SEARCH("(",C2732)),LEFT(C2732,SEARCH("(",C2732)-1),C2732),Tipos!$A:$B,2,FALSE()),"outro"))</f>
        <v/>
      </c>
      <c r="K2732" s="7" t="str">
        <f aca="false">IF(I2732="","",IFERROR(INDEX('Campos Growths'!$L:$L,MATCH(H2732,'Campos Growths'!$A:$A,0)),""))</f>
        <v/>
      </c>
      <c r="L2732" s="7" t="str">
        <f aca="false">IF(A2732="","",IF(G2732="não","Sem tabela no Growths",IF(I2732="","Sem campo no Growths",IF(J2732=K2732,"Importa direto","Ajustar tipo"))))</f>
        <v/>
      </c>
      <c r="M2732" s="9"/>
    </row>
    <row r="2733" customFormat="false" ht="15" hidden="false" customHeight="false" outlineLevel="0" collapsed="false">
      <c r="A2733" s="7" t="str">
        <f aca="false">IF('Outro banco'!A2733="","",IF(LEFT('Outro banco'!A2733,1)="(","",'Outro banco'!A2733))</f>
        <v/>
      </c>
      <c r="B2733" s="7" t="str">
        <f aca="false">IF(A2733="","",'Outro banco'!B2733)</f>
        <v/>
      </c>
      <c r="C2733" s="7" t="str">
        <f aca="false">IF(A2733="","",'Outro banco'!C2733)</f>
        <v/>
      </c>
      <c r="D2733" s="7" t="str">
        <f aca="false">IF(A2733="","",'Outro banco'!D2733)</f>
        <v/>
      </c>
      <c r="E2733" s="9"/>
      <c r="F2733" s="9"/>
      <c r="G2733" s="7" t="str">
        <f aca="false">IF(A2733="","",IF(COUNTIF(Tabelas!$A:$A,IF(E2733="",A2733,E2733))&gt;0,"sim","não"))</f>
        <v/>
      </c>
      <c r="H2733" s="7" t="str">
        <f aca="false">IF(A2733="","",IF(E2733="",A2733,E2733)&amp;"."&amp;IF(F2733="",B2733,F2733))</f>
        <v/>
      </c>
      <c r="I2733" s="7" t="str">
        <f aca="false">IF(A2733="","",IFERROR(INDEX('Campos Growths'!$F:$F,MATCH(H2733,'Campos Growths'!$A:$A,0)),""))</f>
        <v/>
      </c>
      <c r="J2733" s="7" t="str">
        <f aca="false">IF(A2733="","",IFERROR(VLOOKUP(IF(ISNUMBER(SEARCH("(",C2733)),LEFT(C2733,SEARCH("(",C2733)-1),C2733),Tipos!$A:$B,2,FALSE()),"outro"))</f>
        <v/>
      </c>
      <c r="K2733" s="7" t="str">
        <f aca="false">IF(I2733="","",IFERROR(INDEX('Campos Growths'!$L:$L,MATCH(H2733,'Campos Growths'!$A:$A,0)),""))</f>
        <v/>
      </c>
      <c r="L2733" s="7" t="str">
        <f aca="false">IF(A2733="","",IF(G2733="não","Sem tabela no Growths",IF(I2733="","Sem campo no Growths",IF(J2733=K2733,"Importa direto","Ajustar tipo"))))</f>
        <v/>
      </c>
      <c r="M2733" s="9"/>
    </row>
    <row r="2734" customFormat="false" ht="15" hidden="false" customHeight="false" outlineLevel="0" collapsed="false">
      <c r="A2734" s="7" t="str">
        <f aca="false">IF('Outro banco'!A2734="","",IF(LEFT('Outro banco'!A2734,1)="(","",'Outro banco'!A2734))</f>
        <v/>
      </c>
      <c r="B2734" s="7" t="str">
        <f aca="false">IF(A2734="","",'Outro banco'!B2734)</f>
        <v/>
      </c>
      <c r="C2734" s="7" t="str">
        <f aca="false">IF(A2734="","",'Outro banco'!C2734)</f>
        <v/>
      </c>
      <c r="D2734" s="7" t="str">
        <f aca="false">IF(A2734="","",'Outro banco'!D2734)</f>
        <v/>
      </c>
      <c r="E2734" s="9"/>
      <c r="F2734" s="9"/>
      <c r="G2734" s="7" t="str">
        <f aca="false">IF(A2734="","",IF(COUNTIF(Tabelas!$A:$A,IF(E2734="",A2734,E2734))&gt;0,"sim","não"))</f>
        <v/>
      </c>
      <c r="H2734" s="7" t="str">
        <f aca="false">IF(A2734="","",IF(E2734="",A2734,E2734)&amp;"."&amp;IF(F2734="",B2734,F2734))</f>
        <v/>
      </c>
      <c r="I2734" s="7" t="str">
        <f aca="false">IF(A2734="","",IFERROR(INDEX('Campos Growths'!$F:$F,MATCH(H2734,'Campos Growths'!$A:$A,0)),""))</f>
        <v/>
      </c>
      <c r="J2734" s="7" t="str">
        <f aca="false">IF(A2734="","",IFERROR(VLOOKUP(IF(ISNUMBER(SEARCH("(",C2734)),LEFT(C2734,SEARCH("(",C2734)-1),C2734),Tipos!$A:$B,2,FALSE()),"outro"))</f>
        <v/>
      </c>
      <c r="K2734" s="7" t="str">
        <f aca="false">IF(I2734="","",IFERROR(INDEX('Campos Growths'!$L:$L,MATCH(H2734,'Campos Growths'!$A:$A,0)),""))</f>
        <v/>
      </c>
      <c r="L2734" s="7" t="str">
        <f aca="false">IF(A2734="","",IF(G2734="não","Sem tabela no Growths",IF(I2734="","Sem campo no Growths",IF(J2734=K2734,"Importa direto","Ajustar tipo"))))</f>
        <v/>
      </c>
      <c r="M2734" s="9"/>
    </row>
    <row r="2735" customFormat="false" ht="15" hidden="false" customHeight="false" outlineLevel="0" collapsed="false">
      <c r="A2735" s="7" t="str">
        <f aca="false">IF('Outro banco'!A2735="","",IF(LEFT('Outro banco'!A2735,1)="(","",'Outro banco'!A2735))</f>
        <v/>
      </c>
      <c r="B2735" s="7" t="str">
        <f aca="false">IF(A2735="","",'Outro banco'!B2735)</f>
        <v/>
      </c>
      <c r="C2735" s="7" t="str">
        <f aca="false">IF(A2735="","",'Outro banco'!C2735)</f>
        <v/>
      </c>
      <c r="D2735" s="7" t="str">
        <f aca="false">IF(A2735="","",'Outro banco'!D2735)</f>
        <v/>
      </c>
      <c r="E2735" s="9"/>
      <c r="F2735" s="9"/>
      <c r="G2735" s="7" t="str">
        <f aca="false">IF(A2735="","",IF(COUNTIF(Tabelas!$A:$A,IF(E2735="",A2735,E2735))&gt;0,"sim","não"))</f>
        <v/>
      </c>
      <c r="H2735" s="7" t="str">
        <f aca="false">IF(A2735="","",IF(E2735="",A2735,E2735)&amp;"."&amp;IF(F2735="",B2735,F2735))</f>
        <v/>
      </c>
      <c r="I2735" s="7" t="str">
        <f aca="false">IF(A2735="","",IFERROR(INDEX('Campos Growths'!$F:$F,MATCH(H2735,'Campos Growths'!$A:$A,0)),""))</f>
        <v/>
      </c>
      <c r="J2735" s="7" t="str">
        <f aca="false">IF(A2735="","",IFERROR(VLOOKUP(IF(ISNUMBER(SEARCH("(",C2735)),LEFT(C2735,SEARCH("(",C2735)-1),C2735),Tipos!$A:$B,2,FALSE()),"outro"))</f>
        <v/>
      </c>
      <c r="K2735" s="7" t="str">
        <f aca="false">IF(I2735="","",IFERROR(INDEX('Campos Growths'!$L:$L,MATCH(H2735,'Campos Growths'!$A:$A,0)),""))</f>
        <v/>
      </c>
      <c r="L2735" s="7" t="str">
        <f aca="false">IF(A2735="","",IF(G2735="não","Sem tabela no Growths",IF(I2735="","Sem campo no Growths",IF(J2735=K2735,"Importa direto","Ajustar tipo"))))</f>
        <v/>
      </c>
      <c r="M2735" s="9"/>
    </row>
    <row r="2736" customFormat="false" ht="15" hidden="false" customHeight="false" outlineLevel="0" collapsed="false">
      <c r="A2736" s="7" t="str">
        <f aca="false">IF('Outro banco'!A2736="","",IF(LEFT('Outro banco'!A2736,1)="(","",'Outro banco'!A2736))</f>
        <v/>
      </c>
      <c r="B2736" s="7" t="str">
        <f aca="false">IF(A2736="","",'Outro banco'!B2736)</f>
        <v/>
      </c>
      <c r="C2736" s="7" t="str">
        <f aca="false">IF(A2736="","",'Outro banco'!C2736)</f>
        <v/>
      </c>
      <c r="D2736" s="7" t="str">
        <f aca="false">IF(A2736="","",'Outro banco'!D2736)</f>
        <v/>
      </c>
      <c r="E2736" s="9"/>
      <c r="F2736" s="9"/>
      <c r="G2736" s="7" t="str">
        <f aca="false">IF(A2736="","",IF(COUNTIF(Tabelas!$A:$A,IF(E2736="",A2736,E2736))&gt;0,"sim","não"))</f>
        <v/>
      </c>
      <c r="H2736" s="7" t="str">
        <f aca="false">IF(A2736="","",IF(E2736="",A2736,E2736)&amp;"."&amp;IF(F2736="",B2736,F2736))</f>
        <v/>
      </c>
      <c r="I2736" s="7" t="str">
        <f aca="false">IF(A2736="","",IFERROR(INDEX('Campos Growths'!$F:$F,MATCH(H2736,'Campos Growths'!$A:$A,0)),""))</f>
        <v/>
      </c>
      <c r="J2736" s="7" t="str">
        <f aca="false">IF(A2736="","",IFERROR(VLOOKUP(IF(ISNUMBER(SEARCH("(",C2736)),LEFT(C2736,SEARCH("(",C2736)-1),C2736),Tipos!$A:$B,2,FALSE()),"outro"))</f>
        <v/>
      </c>
      <c r="K2736" s="7" t="str">
        <f aca="false">IF(I2736="","",IFERROR(INDEX('Campos Growths'!$L:$L,MATCH(H2736,'Campos Growths'!$A:$A,0)),""))</f>
        <v/>
      </c>
      <c r="L2736" s="7" t="str">
        <f aca="false">IF(A2736="","",IF(G2736="não","Sem tabela no Growths",IF(I2736="","Sem campo no Growths",IF(J2736=K2736,"Importa direto","Ajustar tipo"))))</f>
        <v/>
      </c>
      <c r="M2736" s="9"/>
    </row>
    <row r="2737" customFormat="false" ht="15" hidden="false" customHeight="false" outlineLevel="0" collapsed="false">
      <c r="A2737" s="7" t="str">
        <f aca="false">IF('Outro banco'!A2737="","",IF(LEFT('Outro banco'!A2737,1)="(","",'Outro banco'!A2737))</f>
        <v/>
      </c>
      <c r="B2737" s="7" t="str">
        <f aca="false">IF(A2737="","",'Outro banco'!B2737)</f>
        <v/>
      </c>
      <c r="C2737" s="7" t="str">
        <f aca="false">IF(A2737="","",'Outro banco'!C2737)</f>
        <v/>
      </c>
      <c r="D2737" s="7" t="str">
        <f aca="false">IF(A2737="","",'Outro banco'!D2737)</f>
        <v/>
      </c>
      <c r="E2737" s="9"/>
      <c r="F2737" s="9"/>
      <c r="G2737" s="7" t="str">
        <f aca="false">IF(A2737="","",IF(COUNTIF(Tabelas!$A:$A,IF(E2737="",A2737,E2737))&gt;0,"sim","não"))</f>
        <v/>
      </c>
      <c r="H2737" s="7" t="str">
        <f aca="false">IF(A2737="","",IF(E2737="",A2737,E2737)&amp;"."&amp;IF(F2737="",B2737,F2737))</f>
        <v/>
      </c>
      <c r="I2737" s="7" t="str">
        <f aca="false">IF(A2737="","",IFERROR(INDEX('Campos Growths'!$F:$F,MATCH(H2737,'Campos Growths'!$A:$A,0)),""))</f>
        <v/>
      </c>
      <c r="J2737" s="7" t="str">
        <f aca="false">IF(A2737="","",IFERROR(VLOOKUP(IF(ISNUMBER(SEARCH("(",C2737)),LEFT(C2737,SEARCH("(",C2737)-1),C2737),Tipos!$A:$B,2,FALSE()),"outro"))</f>
        <v/>
      </c>
      <c r="K2737" s="7" t="str">
        <f aca="false">IF(I2737="","",IFERROR(INDEX('Campos Growths'!$L:$L,MATCH(H2737,'Campos Growths'!$A:$A,0)),""))</f>
        <v/>
      </c>
      <c r="L2737" s="7" t="str">
        <f aca="false">IF(A2737="","",IF(G2737="não","Sem tabela no Growths",IF(I2737="","Sem campo no Growths",IF(J2737=K2737,"Importa direto","Ajustar tipo"))))</f>
        <v/>
      </c>
      <c r="M2737" s="9"/>
    </row>
    <row r="2738" customFormat="false" ht="15" hidden="false" customHeight="false" outlineLevel="0" collapsed="false">
      <c r="A2738" s="7" t="str">
        <f aca="false">IF('Outro banco'!A2738="","",IF(LEFT('Outro banco'!A2738,1)="(","",'Outro banco'!A2738))</f>
        <v/>
      </c>
      <c r="B2738" s="7" t="str">
        <f aca="false">IF(A2738="","",'Outro banco'!B2738)</f>
        <v/>
      </c>
      <c r="C2738" s="7" t="str">
        <f aca="false">IF(A2738="","",'Outro banco'!C2738)</f>
        <v/>
      </c>
      <c r="D2738" s="7" t="str">
        <f aca="false">IF(A2738="","",'Outro banco'!D2738)</f>
        <v/>
      </c>
      <c r="E2738" s="9"/>
      <c r="F2738" s="9"/>
      <c r="G2738" s="7" t="str">
        <f aca="false">IF(A2738="","",IF(COUNTIF(Tabelas!$A:$A,IF(E2738="",A2738,E2738))&gt;0,"sim","não"))</f>
        <v/>
      </c>
      <c r="H2738" s="7" t="str">
        <f aca="false">IF(A2738="","",IF(E2738="",A2738,E2738)&amp;"."&amp;IF(F2738="",B2738,F2738))</f>
        <v/>
      </c>
      <c r="I2738" s="7" t="str">
        <f aca="false">IF(A2738="","",IFERROR(INDEX('Campos Growths'!$F:$F,MATCH(H2738,'Campos Growths'!$A:$A,0)),""))</f>
        <v/>
      </c>
      <c r="J2738" s="7" t="str">
        <f aca="false">IF(A2738="","",IFERROR(VLOOKUP(IF(ISNUMBER(SEARCH("(",C2738)),LEFT(C2738,SEARCH("(",C2738)-1),C2738),Tipos!$A:$B,2,FALSE()),"outro"))</f>
        <v/>
      </c>
      <c r="K2738" s="7" t="str">
        <f aca="false">IF(I2738="","",IFERROR(INDEX('Campos Growths'!$L:$L,MATCH(H2738,'Campos Growths'!$A:$A,0)),""))</f>
        <v/>
      </c>
      <c r="L2738" s="7" t="str">
        <f aca="false">IF(A2738="","",IF(G2738="não","Sem tabela no Growths",IF(I2738="","Sem campo no Growths",IF(J2738=K2738,"Importa direto","Ajustar tipo"))))</f>
        <v/>
      </c>
      <c r="M2738" s="9"/>
    </row>
    <row r="2739" customFormat="false" ht="15" hidden="false" customHeight="false" outlineLevel="0" collapsed="false">
      <c r="A2739" s="7" t="str">
        <f aca="false">IF('Outro banco'!A2739="","",IF(LEFT('Outro banco'!A2739,1)="(","",'Outro banco'!A2739))</f>
        <v/>
      </c>
      <c r="B2739" s="7" t="str">
        <f aca="false">IF(A2739="","",'Outro banco'!B2739)</f>
        <v/>
      </c>
      <c r="C2739" s="7" t="str">
        <f aca="false">IF(A2739="","",'Outro banco'!C2739)</f>
        <v/>
      </c>
      <c r="D2739" s="7" t="str">
        <f aca="false">IF(A2739="","",'Outro banco'!D2739)</f>
        <v/>
      </c>
      <c r="E2739" s="9"/>
      <c r="F2739" s="9"/>
      <c r="G2739" s="7" t="str">
        <f aca="false">IF(A2739="","",IF(COUNTIF(Tabelas!$A:$A,IF(E2739="",A2739,E2739))&gt;0,"sim","não"))</f>
        <v/>
      </c>
      <c r="H2739" s="7" t="str">
        <f aca="false">IF(A2739="","",IF(E2739="",A2739,E2739)&amp;"."&amp;IF(F2739="",B2739,F2739))</f>
        <v/>
      </c>
      <c r="I2739" s="7" t="str">
        <f aca="false">IF(A2739="","",IFERROR(INDEX('Campos Growths'!$F:$F,MATCH(H2739,'Campos Growths'!$A:$A,0)),""))</f>
        <v/>
      </c>
      <c r="J2739" s="7" t="str">
        <f aca="false">IF(A2739="","",IFERROR(VLOOKUP(IF(ISNUMBER(SEARCH("(",C2739)),LEFT(C2739,SEARCH("(",C2739)-1),C2739),Tipos!$A:$B,2,FALSE()),"outro"))</f>
        <v/>
      </c>
      <c r="K2739" s="7" t="str">
        <f aca="false">IF(I2739="","",IFERROR(INDEX('Campos Growths'!$L:$L,MATCH(H2739,'Campos Growths'!$A:$A,0)),""))</f>
        <v/>
      </c>
      <c r="L2739" s="7" t="str">
        <f aca="false">IF(A2739="","",IF(G2739="não","Sem tabela no Growths",IF(I2739="","Sem campo no Growths",IF(J2739=K2739,"Importa direto","Ajustar tipo"))))</f>
        <v/>
      </c>
      <c r="M2739" s="9"/>
    </row>
    <row r="2740" customFormat="false" ht="15" hidden="false" customHeight="false" outlineLevel="0" collapsed="false">
      <c r="A2740" s="7" t="str">
        <f aca="false">IF('Outro banco'!A2740="","",IF(LEFT('Outro banco'!A2740,1)="(","",'Outro banco'!A2740))</f>
        <v/>
      </c>
      <c r="B2740" s="7" t="str">
        <f aca="false">IF(A2740="","",'Outro banco'!B2740)</f>
        <v/>
      </c>
      <c r="C2740" s="7" t="str">
        <f aca="false">IF(A2740="","",'Outro banco'!C2740)</f>
        <v/>
      </c>
      <c r="D2740" s="7" t="str">
        <f aca="false">IF(A2740="","",'Outro banco'!D2740)</f>
        <v/>
      </c>
      <c r="E2740" s="9"/>
      <c r="F2740" s="9"/>
      <c r="G2740" s="7" t="str">
        <f aca="false">IF(A2740="","",IF(COUNTIF(Tabelas!$A:$A,IF(E2740="",A2740,E2740))&gt;0,"sim","não"))</f>
        <v/>
      </c>
      <c r="H2740" s="7" t="str">
        <f aca="false">IF(A2740="","",IF(E2740="",A2740,E2740)&amp;"."&amp;IF(F2740="",B2740,F2740))</f>
        <v/>
      </c>
      <c r="I2740" s="7" t="str">
        <f aca="false">IF(A2740="","",IFERROR(INDEX('Campos Growths'!$F:$F,MATCH(H2740,'Campos Growths'!$A:$A,0)),""))</f>
        <v/>
      </c>
      <c r="J2740" s="7" t="str">
        <f aca="false">IF(A2740="","",IFERROR(VLOOKUP(IF(ISNUMBER(SEARCH("(",C2740)),LEFT(C2740,SEARCH("(",C2740)-1),C2740),Tipos!$A:$B,2,FALSE()),"outro"))</f>
        <v/>
      </c>
      <c r="K2740" s="7" t="str">
        <f aca="false">IF(I2740="","",IFERROR(INDEX('Campos Growths'!$L:$L,MATCH(H2740,'Campos Growths'!$A:$A,0)),""))</f>
        <v/>
      </c>
      <c r="L2740" s="7" t="str">
        <f aca="false">IF(A2740="","",IF(G2740="não","Sem tabela no Growths",IF(I2740="","Sem campo no Growths",IF(J2740=K2740,"Importa direto","Ajustar tipo"))))</f>
        <v/>
      </c>
      <c r="M2740" s="9"/>
    </row>
    <row r="2741" customFormat="false" ht="15" hidden="false" customHeight="false" outlineLevel="0" collapsed="false">
      <c r="A2741" s="7" t="str">
        <f aca="false">IF('Outro banco'!A2741="","",IF(LEFT('Outro banco'!A2741,1)="(","",'Outro banco'!A2741))</f>
        <v/>
      </c>
      <c r="B2741" s="7" t="str">
        <f aca="false">IF(A2741="","",'Outro banco'!B2741)</f>
        <v/>
      </c>
      <c r="C2741" s="7" t="str">
        <f aca="false">IF(A2741="","",'Outro banco'!C2741)</f>
        <v/>
      </c>
      <c r="D2741" s="7" t="str">
        <f aca="false">IF(A2741="","",'Outro banco'!D2741)</f>
        <v/>
      </c>
      <c r="E2741" s="9"/>
      <c r="F2741" s="9"/>
      <c r="G2741" s="7" t="str">
        <f aca="false">IF(A2741="","",IF(COUNTIF(Tabelas!$A:$A,IF(E2741="",A2741,E2741))&gt;0,"sim","não"))</f>
        <v/>
      </c>
      <c r="H2741" s="7" t="str">
        <f aca="false">IF(A2741="","",IF(E2741="",A2741,E2741)&amp;"."&amp;IF(F2741="",B2741,F2741))</f>
        <v/>
      </c>
      <c r="I2741" s="7" t="str">
        <f aca="false">IF(A2741="","",IFERROR(INDEX('Campos Growths'!$F:$F,MATCH(H2741,'Campos Growths'!$A:$A,0)),""))</f>
        <v/>
      </c>
      <c r="J2741" s="7" t="str">
        <f aca="false">IF(A2741="","",IFERROR(VLOOKUP(IF(ISNUMBER(SEARCH("(",C2741)),LEFT(C2741,SEARCH("(",C2741)-1),C2741),Tipos!$A:$B,2,FALSE()),"outro"))</f>
        <v/>
      </c>
      <c r="K2741" s="7" t="str">
        <f aca="false">IF(I2741="","",IFERROR(INDEX('Campos Growths'!$L:$L,MATCH(H2741,'Campos Growths'!$A:$A,0)),""))</f>
        <v/>
      </c>
      <c r="L2741" s="7" t="str">
        <f aca="false">IF(A2741="","",IF(G2741="não","Sem tabela no Growths",IF(I2741="","Sem campo no Growths",IF(J2741=K2741,"Importa direto","Ajustar tipo"))))</f>
        <v/>
      </c>
      <c r="M2741" s="9"/>
    </row>
    <row r="2742" customFormat="false" ht="15" hidden="false" customHeight="false" outlineLevel="0" collapsed="false">
      <c r="A2742" s="7" t="str">
        <f aca="false">IF('Outro banco'!A2742="","",IF(LEFT('Outro banco'!A2742,1)="(","",'Outro banco'!A2742))</f>
        <v/>
      </c>
      <c r="B2742" s="7" t="str">
        <f aca="false">IF(A2742="","",'Outro banco'!B2742)</f>
        <v/>
      </c>
      <c r="C2742" s="7" t="str">
        <f aca="false">IF(A2742="","",'Outro banco'!C2742)</f>
        <v/>
      </c>
      <c r="D2742" s="7" t="str">
        <f aca="false">IF(A2742="","",'Outro banco'!D2742)</f>
        <v/>
      </c>
      <c r="E2742" s="9"/>
      <c r="F2742" s="9"/>
      <c r="G2742" s="7" t="str">
        <f aca="false">IF(A2742="","",IF(COUNTIF(Tabelas!$A:$A,IF(E2742="",A2742,E2742))&gt;0,"sim","não"))</f>
        <v/>
      </c>
      <c r="H2742" s="7" t="str">
        <f aca="false">IF(A2742="","",IF(E2742="",A2742,E2742)&amp;"."&amp;IF(F2742="",B2742,F2742))</f>
        <v/>
      </c>
      <c r="I2742" s="7" t="str">
        <f aca="false">IF(A2742="","",IFERROR(INDEX('Campos Growths'!$F:$F,MATCH(H2742,'Campos Growths'!$A:$A,0)),""))</f>
        <v/>
      </c>
      <c r="J2742" s="7" t="str">
        <f aca="false">IF(A2742="","",IFERROR(VLOOKUP(IF(ISNUMBER(SEARCH("(",C2742)),LEFT(C2742,SEARCH("(",C2742)-1),C2742),Tipos!$A:$B,2,FALSE()),"outro"))</f>
        <v/>
      </c>
      <c r="K2742" s="7" t="str">
        <f aca="false">IF(I2742="","",IFERROR(INDEX('Campos Growths'!$L:$L,MATCH(H2742,'Campos Growths'!$A:$A,0)),""))</f>
        <v/>
      </c>
      <c r="L2742" s="7" t="str">
        <f aca="false">IF(A2742="","",IF(G2742="não","Sem tabela no Growths",IF(I2742="","Sem campo no Growths",IF(J2742=K2742,"Importa direto","Ajustar tipo"))))</f>
        <v/>
      </c>
      <c r="M2742" s="9"/>
    </row>
    <row r="2743" customFormat="false" ht="15" hidden="false" customHeight="false" outlineLevel="0" collapsed="false">
      <c r="A2743" s="7" t="str">
        <f aca="false">IF('Outro banco'!A2743="","",IF(LEFT('Outro banco'!A2743,1)="(","",'Outro banco'!A2743))</f>
        <v/>
      </c>
      <c r="B2743" s="7" t="str">
        <f aca="false">IF(A2743="","",'Outro banco'!B2743)</f>
        <v/>
      </c>
      <c r="C2743" s="7" t="str">
        <f aca="false">IF(A2743="","",'Outro banco'!C2743)</f>
        <v/>
      </c>
      <c r="D2743" s="7" t="str">
        <f aca="false">IF(A2743="","",'Outro banco'!D2743)</f>
        <v/>
      </c>
      <c r="E2743" s="9"/>
      <c r="F2743" s="9"/>
      <c r="G2743" s="7" t="str">
        <f aca="false">IF(A2743="","",IF(COUNTIF(Tabelas!$A:$A,IF(E2743="",A2743,E2743))&gt;0,"sim","não"))</f>
        <v/>
      </c>
      <c r="H2743" s="7" t="str">
        <f aca="false">IF(A2743="","",IF(E2743="",A2743,E2743)&amp;"."&amp;IF(F2743="",B2743,F2743))</f>
        <v/>
      </c>
      <c r="I2743" s="7" t="str">
        <f aca="false">IF(A2743="","",IFERROR(INDEX('Campos Growths'!$F:$F,MATCH(H2743,'Campos Growths'!$A:$A,0)),""))</f>
        <v/>
      </c>
      <c r="J2743" s="7" t="str">
        <f aca="false">IF(A2743="","",IFERROR(VLOOKUP(IF(ISNUMBER(SEARCH("(",C2743)),LEFT(C2743,SEARCH("(",C2743)-1),C2743),Tipos!$A:$B,2,FALSE()),"outro"))</f>
        <v/>
      </c>
      <c r="K2743" s="7" t="str">
        <f aca="false">IF(I2743="","",IFERROR(INDEX('Campos Growths'!$L:$L,MATCH(H2743,'Campos Growths'!$A:$A,0)),""))</f>
        <v/>
      </c>
      <c r="L2743" s="7" t="str">
        <f aca="false">IF(A2743="","",IF(G2743="não","Sem tabela no Growths",IF(I2743="","Sem campo no Growths",IF(J2743=K2743,"Importa direto","Ajustar tipo"))))</f>
        <v/>
      </c>
      <c r="M2743" s="9"/>
    </row>
    <row r="2744" customFormat="false" ht="15" hidden="false" customHeight="false" outlineLevel="0" collapsed="false">
      <c r="A2744" s="7" t="str">
        <f aca="false">IF('Outro banco'!A2744="","",IF(LEFT('Outro banco'!A2744,1)="(","",'Outro banco'!A2744))</f>
        <v/>
      </c>
      <c r="B2744" s="7" t="str">
        <f aca="false">IF(A2744="","",'Outro banco'!B2744)</f>
        <v/>
      </c>
      <c r="C2744" s="7" t="str">
        <f aca="false">IF(A2744="","",'Outro banco'!C2744)</f>
        <v/>
      </c>
      <c r="D2744" s="7" t="str">
        <f aca="false">IF(A2744="","",'Outro banco'!D2744)</f>
        <v/>
      </c>
      <c r="E2744" s="9"/>
      <c r="F2744" s="9"/>
      <c r="G2744" s="7" t="str">
        <f aca="false">IF(A2744="","",IF(COUNTIF(Tabelas!$A:$A,IF(E2744="",A2744,E2744))&gt;0,"sim","não"))</f>
        <v/>
      </c>
      <c r="H2744" s="7" t="str">
        <f aca="false">IF(A2744="","",IF(E2744="",A2744,E2744)&amp;"."&amp;IF(F2744="",B2744,F2744))</f>
        <v/>
      </c>
      <c r="I2744" s="7" t="str">
        <f aca="false">IF(A2744="","",IFERROR(INDEX('Campos Growths'!$F:$F,MATCH(H2744,'Campos Growths'!$A:$A,0)),""))</f>
        <v/>
      </c>
      <c r="J2744" s="7" t="str">
        <f aca="false">IF(A2744="","",IFERROR(VLOOKUP(IF(ISNUMBER(SEARCH("(",C2744)),LEFT(C2744,SEARCH("(",C2744)-1),C2744),Tipos!$A:$B,2,FALSE()),"outro"))</f>
        <v/>
      </c>
      <c r="K2744" s="7" t="str">
        <f aca="false">IF(I2744="","",IFERROR(INDEX('Campos Growths'!$L:$L,MATCH(H2744,'Campos Growths'!$A:$A,0)),""))</f>
        <v/>
      </c>
      <c r="L2744" s="7" t="str">
        <f aca="false">IF(A2744="","",IF(G2744="não","Sem tabela no Growths",IF(I2744="","Sem campo no Growths",IF(J2744=K2744,"Importa direto","Ajustar tipo"))))</f>
        <v/>
      </c>
      <c r="M2744" s="9"/>
    </row>
    <row r="2745" customFormat="false" ht="15" hidden="false" customHeight="false" outlineLevel="0" collapsed="false">
      <c r="A2745" s="7" t="str">
        <f aca="false">IF('Outro banco'!A2745="","",IF(LEFT('Outro banco'!A2745,1)="(","",'Outro banco'!A2745))</f>
        <v/>
      </c>
      <c r="B2745" s="7" t="str">
        <f aca="false">IF(A2745="","",'Outro banco'!B2745)</f>
        <v/>
      </c>
      <c r="C2745" s="7" t="str">
        <f aca="false">IF(A2745="","",'Outro banco'!C2745)</f>
        <v/>
      </c>
      <c r="D2745" s="7" t="str">
        <f aca="false">IF(A2745="","",'Outro banco'!D2745)</f>
        <v/>
      </c>
      <c r="E2745" s="9"/>
      <c r="F2745" s="9"/>
      <c r="G2745" s="7" t="str">
        <f aca="false">IF(A2745="","",IF(COUNTIF(Tabelas!$A:$A,IF(E2745="",A2745,E2745))&gt;0,"sim","não"))</f>
        <v/>
      </c>
      <c r="H2745" s="7" t="str">
        <f aca="false">IF(A2745="","",IF(E2745="",A2745,E2745)&amp;"."&amp;IF(F2745="",B2745,F2745))</f>
        <v/>
      </c>
      <c r="I2745" s="7" t="str">
        <f aca="false">IF(A2745="","",IFERROR(INDEX('Campos Growths'!$F:$F,MATCH(H2745,'Campos Growths'!$A:$A,0)),""))</f>
        <v/>
      </c>
      <c r="J2745" s="7" t="str">
        <f aca="false">IF(A2745="","",IFERROR(VLOOKUP(IF(ISNUMBER(SEARCH("(",C2745)),LEFT(C2745,SEARCH("(",C2745)-1),C2745),Tipos!$A:$B,2,FALSE()),"outro"))</f>
        <v/>
      </c>
      <c r="K2745" s="7" t="str">
        <f aca="false">IF(I2745="","",IFERROR(INDEX('Campos Growths'!$L:$L,MATCH(H2745,'Campos Growths'!$A:$A,0)),""))</f>
        <v/>
      </c>
      <c r="L2745" s="7" t="str">
        <f aca="false">IF(A2745="","",IF(G2745="não","Sem tabela no Growths",IF(I2745="","Sem campo no Growths",IF(J2745=K2745,"Importa direto","Ajustar tipo"))))</f>
        <v/>
      </c>
      <c r="M2745" s="9"/>
    </row>
    <row r="2746" customFormat="false" ht="15" hidden="false" customHeight="false" outlineLevel="0" collapsed="false">
      <c r="A2746" s="7" t="str">
        <f aca="false">IF('Outro banco'!A2746="","",IF(LEFT('Outro banco'!A2746,1)="(","",'Outro banco'!A2746))</f>
        <v/>
      </c>
      <c r="B2746" s="7" t="str">
        <f aca="false">IF(A2746="","",'Outro banco'!B2746)</f>
        <v/>
      </c>
      <c r="C2746" s="7" t="str">
        <f aca="false">IF(A2746="","",'Outro banco'!C2746)</f>
        <v/>
      </c>
      <c r="D2746" s="7" t="str">
        <f aca="false">IF(A2746="","",'Outro banco'!D2746)</f>
        <v/>
      </c>
      <c r="E2746" s="9"/>
      <c r="F2746" s="9"/>
      <c r="G2746" s="7" t="str">
        <f aca="false">IF(A2746="","",IF(COUNTIF(Tabelas!$A:$A,IF(E2746="",A2746,E2746))&gt;0,"sim","não"))</f>
        <v/>
      </c>
      <c r="H2746" s="7" t="str">
        <f aca="false">IF(A2746="","",IF(E2746="",A2746,E2746)&amp;"."&amp;IF(F2746="",B2746,F2746))</f>
        <v/>
      </c>
      <c r="I2746" s="7" t="str">
        <f aca="false">IF(A2746="","",IFERROR(INDEX('Campos Growths'!$F:$F,MATCH(H2746,'Campos Growths'!$A:$A,0)),""))</f>
        <v/>
      </c>
      <c r="J2746" s="7" t="str">
        <f aca="false">IF(A2746="","",IFERROR(VLOOKUP(IF(ISNUMBER(SEARCH("(",C2746)),LEFT(C2746,SEARCH("(",C2746)-1),C2746),Tipos!$A:$B,2,FALSE()),"outro"))</f>
        <v/>
      </c>
      <c r="K2746" s="7" t="str">
        <f aca="false">IF(I2746="","",IFERROR(INDEX('Campos Growths'!$L:$L,MATCH(H2746,'Campos Growths'!$A:$A,0)),""))</f>
        <v/>
      </c>
      <c r="L2746" s="7" t="str">
        <f aca="false">IF(A2746="","",IF(G2746="não","Sem tabela no Growths",IF(I2746="","Sem campo no Growths",IF(J2746=K2746,"Importa direto","Ajustar tipo"))))</f>
        <v/>
      </c>
      <c r="M2746" s="9"/>
    </row>
    <row r="2747" customFormat="false" ht="15" hidden="false" customHeight="false" outlineLevel="0" collapsed="false">
      <c r="A2747" s="7" t="str">
        <f aca="false">IF('Outro banco'!A2747="","",IF(LEFT('Outro banco'!A2747,1)="(","",'Outro banco'!A2747))</f>
        <v/>
      </c>
      <c r="B2747" s="7" t="str">
        <f aca="false">IF(A2747="","",'Outro banco'!B2747)</f>
        <v/>
      </c>
      <c r="C2747" s="7" t="str">
        <f aca="false">IF(A2747="","",'Outro banco'!C2747)</f>
        <v/>
      </c>
      <c r="D2747" s="7" t="str">
        <f aca="false">IF(A2747="","",'Outro banco'!D2747)</f>
        <v/>
      </c>
      <c r="E2747" s="9"/>
      <c r="F2747" s="9"/>
      <c r="G2747" s="7" t="str">
        <f aca="false">IF(A2747="","",IF(COUNTIF(Tabelas!$A:$A,IF(E2747="",A2747,E2747))&gt;0,"sim","não"))</f>
        <v/>
      </c>
      <c r="H2747" s="7" t="str">
        <f aca="false">IF(A2747="","",IF(E2747="",A2747,E2747)&amp;"."&amp;IF(F2747="",B2747,F2747))</f>
        <v/>
      </c>
      <c r="I2747" s="7" t="str">
        <f aca="false">IF(A2747="","",IFERROR(INDEX('Campos Growths'!$F:$F,MATCH(H2747,'Campos Growths'!$A:$A,0)),""))</f>
        <v/>
      </c>
      <c r="J2747" s="7" t="str">
        <f aca="false">IF(A2747="","",IFERROR(VLOOKUP(IF(ISNUMBER(SEARCH("(",C2747)),LEFT(C2747,SEARCH("(",C2747)-1),C2747),Tipos!$A:$B,2,FALSE()),"outro"))</f>
        <v/>
      </c>
      <c r="K2747" s="7" t="str">
        <f aca="false">IF(I2747="","",IFERROR(INDEX('Campos Growths'!$L:$L,MATCH(H2747,'Campos Growths'!$A:$A,0)),""))</f>
        <v/>
      </c>
      <c r="L2747" s="7" t="str">
        <f aca="false">IF(A2747="","",IF(G2747="não","Sem tabela no Growths",IF(I2747="","Sem campo no Growths",IF(J2747=K2747,"Importa direto","Ajustar tipo"))))</f>
        <v/>
      </c>
      <c r="M2747" s="9"/>
    </row>
    <row r="2748" customFormat="false" ht="15" hidden="false" customHeight="false" outlineLevel="0" collapsed="false">
      <c r="A2748" s="7" t="str">
        <f aca="false">IF('Outro banco'!A2748="","",IF(LEFT('Outro banco'!A2748,1)="(","",'Outro banco'!A2748))</f>
        <v/>
      </c>
      <c r="B2748" s="7" t="str">
        <f aca="false">IF(A2748="","",'Outro banco'!B2748)</f>
        <v/>
      </c>
      <c r="C2748" s="7" t="str">
        <f aca="false">IF(A2748="","",'Outro banco'!C2748)</f>
        <v/>
      </c>
      <c r="D2748" s="7" t="str">
        <f aca="false">IF(A2748="","",'Outro banco'!D2748)</f>
        <v/>
      </c>
      <c r="E2748" s="9"/>
      <c r="F2748" s="9"/>
      <c r="G2748" s="7" t="str">
        <f aca="false">IF(A2748="","",IF(COUNTIF(Tabelas!$A:$A,IF(E2748="",A2748,E2748))&gt;0,"sim","não"))</f>
        <v/>
      </c>
      <c r="H2748" s="7" t="str">
        <f aca="false">IF(A2748="","",IF(E2748="",A2748,E2748)&amp;"."&amp;IF(F2748="",B2748,F2748))</f>
        <v/>
      </c>
      <c r="I2748" s="7" t="str">
        <f aca="false">IF(A2748="","",IFERROR(INDEX('Campos Growths'!$F:$F,MATCH(H2748,'Campos Growths'!$A:$A,0)),""))</f>
        <v/>
      </c>
      <c r="J2748" s="7" t="str">
        <f aca="false">IF(A2748="","",IFERROR(VLOOKUP(IF(ISNUMBER(SEARCH("(",C2748)),LEFT(C2748,SEARCH("(",C2748)-1),C2748),Tipos!$A:$B,2,FALSE()),"outro"))</f>
        <v/>
      </c>
      <c r="K2748" s="7" t="str">
        <f aca="false">IF(I2748="","",IFERROR(INDEX('Campos Growths'!$L:$L,MATCH(H2748,'Campos Growths'!$A:$A,0)),""))</f>
        <v/>
      </c>
      <c r="L2748" s="7" t="str">
        <f aca="false">IF(A2748="","",IF(G2748="não","Sem tabela no Growths",IF(I2748="","Sem campo no Growths",IF(J2748=K2748,"Importa direto","Ajustar tipo"))))</f>
        <v/>
      </c>
      <c r="M2748" s="9"/>
    </row>
    <row r="2749" customFormat="false" ht="15" hidden="false" customHeight="false" outlineLevel="0" collapsed="false">
      <c r="A2749" s="7" t="str">
        <f aca="false">IF('Outro banco'!A2749="","",IF(LEFT('Outro banco'!A2749,1)="(","",'Outro banco'!A2749))</f>
        <v/>
      </c>
      <c r="B2749" s="7" t="str">
        <f aca="false">IF(A2749="","",'Outro banco'!B2749)</f>
        <v/>
      </c>
      <c r="C2749" s="7" t="str">
        <f aca="false">IF(A2749="","",'Outro banco'!C2749)</f>
        <v/>
      </c>
      <c r="D2749" s="7" t="str">
        <f aca="false">IF(A2749="","",'Outro banco'!D2749)</f>
        <v/>
      </c>
      <c r="E2749" s="9"/>
      <c r="F2749" s="9"/>
      <c r="G2749" s="7" t="str">
        <f aca="false">IF(A2749="","",IF(COUNTIF(Tabelas!$A:$A,IF(E2749="",A2749,E2749))&gt;0,"sim","não"))</f>
        <v/>
      </c>
      <c r="H2749" s="7" t="str">
        <f aca="false">IF(A2749="","",IF(E2749="",A2749,E2749)&amp;"."&amp;IF(F2749="",B2749,F2749))</f>
        <v/>
      </c>
      <c r="I2749" s="7" t="str">
        <f aca="false">IF(A2749="","",IFERROR(INDEX('Campos Growths'!$F:$F,MATCH(H2749,'Campos Growths'!$A:$A,0)),""))</f>
        <v/>
      </c>
      <c r="J2749" s="7" t="str">
        <f aca="false">IF(A2749="","",IFERROR(VLOOKUP(IF(ISNUMBER(SEARCH("(",C2749)),LEFT(C2749,SEARCH("(",C2749)-1),C2749),Tipos!$A:$B,2,FALSE()),"outro"))</f>
        <v/>
      </c>
      <c r="K2749" s="7" t="str">
        <f aca="false">IF(I2749="","",IFERROR(INDEX('Campos Growths'!$L:$L,MATCH(H2749,'Campos Growths'!$A:$A,0)),""))</f>
        <v/>
      </c>
      <c r="L2749" s="7" t="str">
        <f aca="false">IF(A2749="","",IF(G2749="não","Sem tabela no Growths",IF(I2749="","Sem campo no Growths",IF(J2749=K2749,"Importa direto","Ajustar tipo"))))</f>
        <v/>
      </c>
      <c r="M2749" s="9"/>
    </row>
    <row r="2750" customFormat="false" ht="15" hidden="false" customHeight="false" outlineLevel="0" collapsed="false">
      <c r="A2750" s="7" t="str">
        <f aca="false">IF('Outro banco'!A2750="","",IF(LEFT('Outro banco'!A2750,1)="(","",'Outro banco'!A2750))</f>
        <v/>
      </c>
      <c r="B2750" s="7" t="str">
        <f aca="false">IF(A2750="","",'Outro banco'!B2750)</f>
        <v/>
      </c>
      <c r="C2750" s="7" t="str">
        <f aca="false">IF(A2750="","",'Outro banco'!C2750)</f>
        <v/>
      </c>
      <c r="D2750" s="7" t="str">
        <f aca="false">IF(A2750="","",'Outro banco'!D2750)</f>
        <v/>
      </c>
      <c r="E2750" s="9"/>
      <c r="F2750" s="9"/>
      <c r="G2750" s="7" t="str">
        <f aca="false">IF(A2750="","",IF(COUNTIF(Tabelas!$A:$A,IF(E2750="",A2750,E2750))&gt;0,"sim","não"))</f>
        <v/>
      </c>
      <c r="H2750" s="7" t="str">
        <f aca="false">IF(A2750="","",IF(E2750="",A2750,E2750)&amp;"."&amp;IF(F2750="",B2750,F2750))</f>
        <v/>
      </c>
      <c r="I2750" s="7" t="str">
        <f aca="false">IF(A2750="","",IFERROR(INDEX('Campos Growths'!$F:$F,MATCH(H2750,'Campos Growths'!$A:$A,0)),""))</f>
        <v/>
      </c>
      <c r="J2750" s="7" t="str">
        <f aca="false">IF(A2750="","",IFERROR(VLOOKUP(IF(ISNUMBER(SEARCH("(",C2750)),LEFT(C2750,SEARCH("(",C2750)-1),C2750),Tipos!$A:$B,2,FALSE()),"outro"))</f>
        <v/>
      </c>
      <c r="K2750" s="7" t="str">
        <f aca="false">IF(I2750="","",IFERROR(INDEX('Campos Growths'!$L:$L,MATCH(H2750,'Campos Growths'!$A:$A,0)),""))</f>
        <v/>
      </c>
      <c r="L2750" s="7" t="str">
        <f aca="false">IF(A2750="","",IF(G2750="não","Sem tabela no Growths",IF(I2750="","Sem campo no Growths",IF(J2750=K2750,"Importa direto","Ajustar tipo"))))</f>
        <v/>
      </c>
      <c r="M2750" s="9"/>
    </row>
    <row r="2751" customFormat="false" ht="15" hidden="false" customHeight="false" outlineLevel="0" collapsed="false">
      <c r="A2751" s="7" t="str">
        <f aca="false">IF('Outro banco'!A2751="","",IF(LEFT('Outro banco'!A2751,1)="(","",'Outro banco'!A2751))</f>
        <v/>
      </c>
      <c r="B2751" s="7" t="str">
        <f aca="false">IF(A2751="","",'Outro banco'!B2751)</f>
        <v/>
      </c>
      <c r="C2751" s="7" t="str">
        <f aca="false">IF(A2751="","",'Outro banco'!C2751)</f>
        <v/>
      </c>
      <c r="D2751" s="7" t="str">
        <f aca="false">IF(A2751="","",'Outro banco'!D2751)</f>
        <v/>
      </c>
      <c r="E2751" s="9"/>
      <c r="F2751" s="9"/>
      <c r="G2751" s="7" t="str">
        <f aca="false">IF(A2751="","",IF(COUNTIF(Tabelas!$A:$A,IF(E2751="",A2751,E2751))&gt;0,"sim","não"))</f>
        <v/>
      </c>
      <c r="H2751" s="7" t="str">
        <f aca="false">IF(A2751="","",IF(E2751="",A2751,E2751)&amp;"."&amp;IF(F2751="",B2751,F2751))</f>
        <v/>
      </c>
      <c r="I2751" s="7" t="str">
        <f aca="false">IF(A2751="","",IFERROR(INDEX('Campos Growths'!$F:$F,MATCH(H2751,'Campos Growths'!$A:$A,0)),""))</f>
        <v/>
      </c>
      <c r="J2751" s="7" t="str">
        <f aca="false">IF(A2751="","",IFERROR(VLOOKUP(IF(ISNUMBER(SEARCH("(",C2751)),LEFT(C2751,SEARCH("(",C2751)-1),C2751),Tipos!$A:$B,2,FALSE()),"outro"))</f>
        <v/>
      </c>
      <c r="K2751" s="7" t="str">
        <f aca="false">IF(I2751="","",IFERROR(INDEX('Campos Growths'!$L:$L,MATCH(H2751,'Campos Growths'!$A:$A,0)),""))</f>
        <v/>
      </c>
      <c r="L2751" s="7" t="str">
        <f aca="false">IF(A2751="","",IF(G2751="não","Sem tabela no Growths",IF(I2751="","Sem campo no Growths",IF(J2751=K2751,"Importa direto","Ajustar tipo"))))</f>
        <v/>
      </c>
      <c r="M2751" s="9"/>
    </row>
    <row r="2752" customFormat="false" ht="15" hidden="false" customHeight="false" outlineLevel="0" collapsed="false">
      <c r="A2752" s="7" t="str">
        <f aca="false">IF('Outro banco'!A2752="","",IF(LEFT('Outro banco'!A2752,1)="(","",'Outro banco'!A2752))</f>
        <v/>
      </c>
      <c r="B2752" s="7" t="str">
        <f aca="false">IF(A2752="","",'Outro banco'!B2752)</f>
        <v/>
      </c>
      <c r="C2752" s="7" t="str">
        <f aca="false">IF(A2752="","",'Outro banco'!C2752)</f>
        <v/>
      </c>
      <c r="D2752" s="7" t="str">
        <f aca="false">IF(A2752="","",'Outro banco'!D2752)</f>
        <v/>
      </c>
      <c r="E2752" s="9"/>
      <c r="F2752" s="9"/>
      <c r="G2752" s="7" t="str">
        <f aca="false">IF(A2752="","",IF(COUNTIF(Tabelas!$A:$A,IF(E2752="",A2752,E2752))&gt;0,"sim","não"))</f>
        <v/>
      </c>
      <c r="H2752" s="7" t="str">
        <f aca="false">IF(A2752="","",IF(E2752="",A2752,E2752)&amp;"."&amp;IF(F2752="",B2752,F2752))</f>
        <v/>
      </c>
      <c r="I2752" s="7" t="str">
        <f aca="false">IF(A2752="","",IFERROR(INDEX('Campos Growths'!$F:$F,MATCH(H2752,'Campos Growths'!$A:$A,0)),""))</f>
        <v/>
      </c>
      <c r="J2752" s="7" t="str">
        <f aca="false">IF(A2752="","",IFERROR(VLOOKUP(IF(ISNUMBER(SEARCH("(",C2752)),LEFT(C2752,SEARCH("(",C2752)-1),C2752),Tipos!$A:$B,2,FALSE()),"outro"))</f>
        <v/>
      </c>
      <c r="K2752" s="7" t="str">
        <f aca="false">IF(I2752="","",IFERROR(INDEX('Campos Growths'!$L:$L,MATCH(H2752,'Campos Growths'!$A:$A,0)),""))</f>
        <v/>
      </c>
      <c r="L2752" s="7" t="str">
        <f aca="false">IF(A2752="","",IF(G2752="não","Sem tabela no Growths",IF(I2752="","Sem campo no Growths",IF(J2752=K2752,"Importa direto","Ajustar tipo"))))</f>
        <v/>
      </c>
      <c r="M2752" s="9"/>
    </row>
    <row r="2753" customFormat="false" ht="15" hidden="false" customHeight="false" outlineLevel="0" collapsed="false">
      <c r="A2753" s="7" t="str">
        <f aca="false">IF('Outro banco'!A2753="","",IF(LEFT('Outro banco'!A2753,1)="(","",'Outro banco'!A2753))</f>
        <v/>
      </c>
      <c r="B2753" s="7" t="str">
        <f aca="false">IF(A2753="","",'Outro banco'!B2753)</f>
        <v/>
      </c>
      <c r="C2753" s="7" t="str">
        <f aca="false">IF(A2753="","",'Outro banco'!C2753)</f>
        <v/>
      </c>
      <c r="D2753" s="7" t="str">
        <f aca="false">IF(A2753="","",'Outro banco'!D2753)</f>
        <v/>
      </c>
      <c r="E2753" s="9"/>
      <c r="F2753" s="9"/>
      <c r="G2753" s="7" t="str">
        <f aca="false">IF(A2753="","",IF(COUNTIF(Tabelas!$A:$A,IF(E2753="",A2753,E2753))&gt;0,"sim","não"))</f>
        <v/>
      </c>
      <c r="H2753" s="7" t="str">
        <f aca="false">IF(A2753="","",IF(E2753="",A2753,E2753)&amp;"."&amp;IF(F2753="",B2753,F2753))</f>
        <v/>
      </c>
      <c r="I2753" s="7" t="str">
        <f aca="false">IF(A2753="","",IFERROR(INDEX('Campos Growths'!$F:$F,MATCH(H2753,'Campos Growths'!$A:$A,0)),""))</f>
        <v/>
      </c>
      <c r="J2753" s="7" t="str">
        <f aca="false">IF(A2753="","",IFERROR(VLOOKUP(IF(ISNUMBER(SEARCH("(",C2753)),LEFT(C2753,SEARCH("(",C2753)-1),C2753),Tipos!$A:$B,2,FALSE()),"outro"))</f>
        <v/>
      </c>
      <c r="K2753" s="7" t="str">
        <f aca="false">IF(I2753="","",IFERROR(INDEX('Campos Growths'!$L:$L,MATCH(H2753,'Campos Growths'!$A:$A,0)),""))</f>
        <v/>
      </c>
      <c r="L2753" s="7" t="str">
        <f aca="false">IF(A2753="","",IF(G2753="não","Sem tabela no Growths",IF(I2753="","Sem campo no Growths",IF(J2753=K2753,"Importa direto","Ajustar tipo"))))</f>
        <v/>
      </c>
      <c r="M2753" s="9"/>
    </row>
    <row r="2754" customFormat="false" ht="15" hidden="false" customHeight="false" outlineLevel="0" collapsed="false">
      <c r="A2754" s="7" t="str">
        <f aca="false">IF('Outro banco'!A2754="","",IF(LEFT('Outro banco'!A2754,1)="(","",'Outro banco'!A2754))</f>
        <v/>
      </c>
      <c r="B2754" s="7" t="str">
        <f aca="false">IF(A2754="","",'Outro banco'!B2754)</f>
        <v/>
      </c>
      <c r="C2754" s="7" t="str">
        <f aca="false">IF(A2754="","",'Outro banco'!C2754)</f>
        <v/>
      </c>
      <c r="D2754" s="7" t="str">
        <f aca="false">IF(A2754="","",'Outro banco'!D2754)</f>
        <v/>
      </c>
      <c r="E2754" s="9"/>
      <c r="F2754" s="9"/>
      <c r="G2754" s="7" t="str">
        <f aca="false">IF(A2754="","",IF(COUNTIF(Tabelas!$A:$A,IF(E2754="",A2754,E2754))&gt;0,"sim","não"))</f>
        <v/>
      </c>
      <c r="H2754" s="7" t="str">
        <f aca="false">IF(A2754="","",IF(E2754="",A2754,E2754)&amp;"."&amp;IF(F2754="",B2754,F2754))</f>
        <v/>
      </c>
      <c r="I2754" s="7" t="str">
        <f aca="false">IF(A2754="","",IFERROR(INDEX('Campos Growths'!$F:$F,MATCH(H2754,'Campos Growths'!$A:$A,0)),""))</f>
        <v/>
      </c>
      <c r="J2754" s="7" t="str">
        <f aca="false">IF(A2754="","",IFERROR(VLOOKUP(IF(ISNUMBER(SEARCH("(",C2754)),LEFT(C2754,SEARCH("(",C2754)-1),C2754),Tipos!$A:$B,2,FALSE()),"outro"))</f>
        <v/>
      </c>
      <c r="K2754" s="7" t="str">
        <f aca="false">IF(I2754="","",IFERROR(INDEX('Campos Growths'!$L:$L,MATCH(H2754,'Campos Growths'!$A:$A,0)),""))</f>
        <v/>
      </c>
      <c r="L2754" s="7" t="str">
        <f aca="false">IF(A2754="","",IF(G2754="não","Sem tabela no Growths",IF(I2754="","Sem campo no Growths",IF(J2754=K2754,"Importa direto","Ajustar tipo"))))</f>
        <v/>
      </c>
      <c r="M2754" s="9"/>
    </row>
    <row r="2755" customFormat="false" ht="15" hidden="false" customHeight="false" outlineLevel="0" collapsed="false">
      <c r="A2755" s="7" t="str">
        <f aca="false">IF('Outro banco'!A2755="","",IF(LEFT('Outro banco'!A2755,1)="(","",'Outro banco'!A2755))</f>
        <v/>
      </c>
      <c r="B2755" s="7" t="str">
        <f aca="false">IF(A2755="","",'Outro banco'!B2755)</f>
        <v/>
      </c>
      <c r="C2755" s="7" t="str">
        <f aca="false">IF(A2755="","",'Outro banco'!C2755)</f>
        <v/>
      </c>
      <c r="D2755" s="7" t="str">
        <f aca="false">IF(A2755="","",'Outro banco'!D2755)</f>
        <v/>
      </c>
      <c r="E2755" s="9"/>
      <c r="F2755" s="9"/>
      <c r="G2755" s="7" t="str">
        <f aca="false">IF(A2755="","",IF(COUNTIF(Tabelas!$A:$A,IF(E2755="",A2755,E2755))&gt;0,"sim","não"))</f>
        <v/>
      </c>
      <c r="H2755" s="7" t="str">
        <f aca="false">IF(A2755="","",IF(E2755="",A2755,E2755)&amp;"."&amp;IF(F2755="",B2755,F2755))</f>
        <v/>
      </c>
      <c r="I2755" s="7" t="str">
        <f aca="false">IF(A2755="","",IFERROR(INDEX('Campos Growths'!$F:$F,MATCH(H2755,'Campos Growths'!$A:$A,0)),""))</f>
        <v/>
      </c>
      <c r="J2755" s="7" t="str">
        <f aca="false">IF(A2755="","",IFERROR(VLOOKUP(IF(ISNUMBER(SEARCH("(",C2755)),LEFT(C2755,SEARCH("(",C2755)-1),C2755),Tipos!$A:$B,2,FALSE()),"outro"))</f>
        <v/>
      </c>
      <c r="K2755" s="7" t="str">
        <f aca="false">IF(I2755="","",IFERROR(INDEX('Campos Growths'!$L:$L,MATCH(H2755,'Campos Growths'!$A:$A,0)),""))</f>
        <v/>
      </c>
      <c r="L2755" s="7" t="str">
        <f aca="false">IF(A2755="","",IF(G2755="não","Sem tabela no Growths",IF(I2755="","Sem campo no Growths",IF(J2755=K2755,"Importa direto","Ajustar tipo"))))</f>
        <v/>
      </c>
      <c r="M2755" s="9"/>
    </row>
    <row r="2756" customFormat="false" ht="15" hidden="false" customHeight="false" outlineLevel="0" collapsed="false">
      <c r="A2756" s="7" t="str">
        <f aca="false">IF('Outro banco'!A2756="","",IF(LEFT('Outro banco'!A2756,1)="(","",'Outro banco'!A2756))</f>
        <v/>
      </c>
      <c r="B2756" s="7" t="str">
        <f aca="false">IF(A2756="","",'Outro banco'!B2756)</f>
        <v/>
      </c>
      <c r="C2756" s="7" t="str">
        <f aca="false">IF(A2756="","",'Outro banco'!C2756)</f>
        <v/>
      </c>
      <c r="D2756" s="7" t="str">
        <f aca="false">IF(A2756="","",'Outro banco'!D2756)</f>
        <v/>
      </c>
      <c r="E2756" s="9"/>
      <c r="F2756" s="9"/>
      <c r="G2756" s="7" t="str">
        <f aca="false">IF(A2756="","",IF(COUNTIF(Tabelas!$A:$A,IF(E2756="",A2756,E2756))&gt;0,"sim","não"))</f>
        <v/>
      </c>
      <c r="H2756" s="7" t="str">
        <f aca="false">IF(A2756="","",IF(E2756="",A2756,E2756)&amp;"."&amp;IF(F2756="",B2756,F2756))</f>
        <v/>
      </c>
      <c r="I2756" s="7" t="str">
        <f aca="false">IF(A2756="","",IFERROR(INDEX('Campos Growths'!$F:$F,MATCH(H2756,'Campos Growths'!$A:$A,0)),""))</f>
        <v/>
      </c>
      <c r="J2756" s="7" t="str">
        <f aca="false">IF(A2756="","",IFERROR(VLOOKUP(IF(ISNUMBER(SEARCH("(",C2756)),LEFT(C2756,SEARCH("(",C2756)-1),C2756),Tipos!$A:$B,2,FALSE()),"outro"))</f>
        <v/>
      </c>
      <c r="K2756" s="7" t="str">
        <f aca="false">IF(I2756="","",IFERROR(INDEX('Campos Growths'!$L:$L,MATCH(H2756,'Campos Growths'!$A:$A,0)),""))</f>
        <v/>
      </c>
      <c r="L2756" s="7" t="str">
        <f aca="false">IF(A2756="","",IF(G2756="não","Sem tabela no Growths",IF(I2756="","Sem campo no Growths",IF(J2756=K2756,"Importa direto","Ajustar tipo"))))</f>
        <v/>
      </c>
      <c r="M2756" s="9"/>
    </row>
    <row r="2757" customFormat="false" ht="15" hidden="false" customHeight="false" outlineLevel="0" collapsed="false">
      <c r="A2757" s="7" t="str">
        <f aca="false">IF('Outro banco'!A2757="","",IF(LEFT('Outro banco'!A2757,1)="(","",'Outro banco'!A2757))</f>
        <v/>
      </c>
      <c r="B2757" s="7" t="str">
        <f aca="false">IF(A2757="","",'Outro banco'!B2757)</f>
        <v/>
      </c>
      <c r="C2757" s="7" t="str">
        <f aca="false">IF(A2757="","",'Outro banco'!C2757)</f>
        <v/>
      </c>
      <c r="D2757" s="7" t="str">
        <f aca="false">IF(A2757="","",'Outro banco'!D2757)</f>
        <v/>
      </c>
      <c r="E2757" s="9"/>
      <c r="F2757" s="9"/>
      <c r="G2757" s="7" t="str">
        <f aca="false">IF(A2757="","",IF(COUNTIF(Tabelas!$A:$A,IF(E2757="",A2757,E2757))&gt;0,"sim","não"))</f>
        <v/>
      </c>
      <c r="H2757" s="7" t="str">
        <f aca="false">IF(A2757="","",IF(E2757="",A2757,E2757)&amp;"."&amp;IF(F2757="",B2757,F2757))</f>
        <v/>
      </c>
      <c r="I2757" s="7" t="str">
        <f aca="false">IF(A2757="","",IFERROR(INDEX('Campos Growths'!$F:$F,MATCH(H2757,'Campos Growths'!$A:$A,0)),""))</f>
        <v/>
      </c>
      <c r="J2757" s="7" t="str">
        <f aca="false">IF(A2757="","",IFERROR(VLOOKUP(IF(ISNUMBER(SEARCH("(",C2757)),LEFT(C2757,SEARCH("(",C2757)-1),C2757),Tipos!$A:$B,2,FALSE()),"outro"))</f>
        <v/>
      </c>
      <c r="K2757" s="7" t="str">
        <f aca="false">IF(I2757="","",IFERROR(INDEX('Campos Growths'!$L:$L,MATCH(H2757,'Campos Growths'!$A:$A,0)),""))</f>
        <v/>
      </c>
      <c r="L2757" s="7" t="str">
        <f aca="false">IF(A2757="","",IF(G2757="não","Sem tabela no Growths",IF(I2757="","Sem campo no Growths",IF(J2757=K2757,"Importa direto","Ajustar tipo"))))</f>
        <v/>
      </c>
      <c r="M2757" s="9"/>
    </row>
    <row r="2758" customFormat="false" ht="15" hidden="false" customHeight="false" outlineLevel="0" collapsed="false">
      <c r="A2758" s="7" t="str">
        <f aca="false">IF('Outro banco'!A2758="","",IF(LEFT('Outro banco'!A2758,1)="(","",'Outro banco'!A2758))</f>
        <v/>
      </c>
      <c r="B2758" s="7" t="str">
        <f aca="false">IF(A2758="","",'Outro banco'!B2758)</f>
        <v/>
      </c>
      <c r="C2758" s="7" t="str">
        <f aca="false">IF(A2758="","",'Outro banco'!C2758)</f>
        <v/>
      </c>
      <c r="D2758" s="7" t="str">
        <f aca="false">IF(A2758="","",'Outro banco'!D2758)</f>
        <v/>
      </c>
      <c r="E2758" s="9"/>
      <c r="F2758" s="9"/>
      <c r="G2758" s="7" t="str">
        <f aca="false">IF(A2758="","",IF(COUNTIF(Tabelas!$A:$A,IF(E2758="",A2758,E2758))&gt;0,"sim","não"))</f>
        <v/>
      </c>
      <c r="H2758" s="7" t="str">
        <f aca="false">IF(A2758="","",IF(E2758="",A2758,E2758)&amp;"."&amp;IF(F2758="",B2758,F2758))</f>
        <v/>
      </c>
      <c r="I2758" s="7" t="str">
        <f aca="false">IF(A2758="","",IFERROR(INDEX('Campos Growths'!$F:$F,MATCH(H2758,'Campos Growths'!$A:$A,0)),""))</f>
        <v/>
      </c>
      <c r="J2758" s="7" t="str">
        <f aca="false">IF(A2758="","",IFERROR(VLOOKUP(IF(ISNUMBER(SEARCH("(",C2758)),LEFT(C2758,SEARCH("(",C2758)-1),C2758),Tipos!$A:$B,2,FALSE()),"outro"))</f>
        <v/>
      </c>
      <c r="K2758" s="7" t="str">
        <f aca="false">IF(I2758="","",IFERROR(INDEX('Campos Growths'!$L:$L,MATCH(H2758,'Campos Growths'!$A:$A,0)),""))</f>
        <v/>
      </c>
      <c r="L2758" s="7" t="str">
        <f aca="false">IF(A2758="","",IF(G2758="não","Sem tabela no Growths",IF(I2758="","Sem campo no Growths",IF(J2758=K2758,"Importa direto","Ajustar tipo"))))</f>
        <v/>
      </c>
      <c r="M2758" s="9"/>
    </row>
    <row r="2759" customFormat="false" ht="15" hidden="false" customHeight="false" outlineLevel="0" collapsed="false">
      <c r="A2759" s="7" t="str">
        <f aca="false">IF('Outro banco'!A2759="","",IF(LEFT('Outro banco'!A2759,1)="(","",'Outro banco'!A2759))</f>
        <v/>
      </c>
      <c r="B2759" s="7" t="str">
        <f aca="false">IF(A2759="","",'Outro banco'!B2759)</f>
        <v/>
      </c>
      <c r="C2759" s="7" t="str">
        <f aca="false">IF(A2759="","",'Outro banco'!C2759)</f>
        <v/>
      </c>
      <c r="D2759" s="7" t="str">
        <f aca="false">IF(A2759="","",'Outro banco'!D2759)</f>
        <v/>
      </c>
      <c r="E2759" s="9"/>
      <c r="F2759" s="9"/>
      <c r="G2759" s="7" t="str">
        <f aca="false">IF(A2759="","",IF(COUNTIF(Tabelas!$A:$A,IF(E2759="",A2759,E2759))&gt;0,"sim","não"))</f>
        <v/>
      </c>
      <c r="H2759" s="7" t="str">
        <f aca="false">IF(A2759="","",IF(E2759="",A2759,E2759)&amp;"."&amp;IF(F2759="",B2759,F2759))</f>
        <v/>
      </c>
      <c r="I2759" s="7" t="str">
        <f aca="false">IF(A2759="","",IFERROR(INDEX('Campos Growths'!$F:$F,MATCH(H2759,'Campos Growths'!$A:$A,0)),""))</f>
        <v/>
      </c>
      <c r="J2759" s="7" t="str">
        <f aca="false">IF(A2759="","",IFERROR(VLOOKUP(IF(ISNUMBER(SEARCH("(",C2759)),LEFT(C2759,SEARCH("(",C2759)-1),C2759),Tipos!$A:$B,2,FALSE()),"outro"))</f>
        <v/>
      </c>
      <c r="K2759" s="7" t="str">
        <f aca="false">IF(I2759="","",IFERROR(INDEX('Campos Growths'!$L:$L,MATCH(H2759,'Campos Growths'!$A:$A,0)),""))</f>
        <v/>
      </c>
      <c r="L2759" s="7" t="str">
        <f aca="false">IF(A2759="","",IF(G2759="não","Sem tabela no Growths",IF(I2759="","Sem campo no Growths",IF(J2759=K2759,"Importa direto","Ajustar tipo"))))</f>
        <v/>
      </c>
      <c r="M2759" s="9"/>
    </row>
    <row r="2760" customFormat="false" ht="15" hidden="false" customHeight="false" outlineLevel="0" collapsed="false">
      <c r="A2760" s="7" t="str">
        <f aca="false">IF('Outro banco'!A2760="","",IF(LEFT('Outro banco'!A2760,1)="(","",'Outro banco'!A2760))</f>
        <v/>
      </c>
      <c r="B2760" s="7" t="str">
        <f aca="false">IF(A2760="","",'Outro banco'!B2760)</f>
        <v/>
      </c>
      <c r="C2760" s="7" t="str">
        <f aca="false">IF(A2760="","",'Outro banco'!C2760)</f>
        <v/>
      </c>
      <c r="D2760" s="7" t="str">
        <f aca="false">IF(A2760="","",'Outro banco'!D2760)</f>
        <v/>
      </c>
      <c r="E2760" s="9"/>
      <c r="F2760" s="9"/>
      <c r="G2760" s="7" t="str">
        <f aca="false">IF(A2760="","",IF(COUNTIF(Tabelas!$A:$A,IF(E2760="",A2760,E2760))&gt;0,"sim","não"))</f>
        <v/>
      </c>
      <c r="H2760" s="7" t="str">
        <f aca="false">IF(A2760="","",IF(E2760="",A2760,E2760)&amp;"."&amp;IF(F2760="",B2760,F2760))</f>
        <v/>
      </c>
      <c r="I2760" s="7" t="str">
        <f aca="false">IF(A2760="","",IFERROR(INDEX('Campos Growths'!$F:$F,MATCH(H2760,'Campos Growths'!$A:$A,0)),""))</f>
        <v/>
      </c>
      <c r="J2760" s="7" t="str">
        <f aca="false">IF(A2760="","",IFERROR(VLOOKUP(IF(ISNUMBER(SEARCH("(",C2760)),LEFT(C2760,SEARCH("(",C2760)-1),C2760),Tipos!$A:$B,2,FALSE()),"outro"))</f>
        <v/>
      </c>
      <c r="K2760" s="7" t="str">
        <f aca="false">IF(I2760="","",IFERROR(INDEX('Campos Growths'!$L:$L,MATCH(H2760,'Campos Growths'!$A:$A,0)),""))</f>
        <v/>
      </c>
      <c r="L2760" s="7" t="str">
        <f aca="false">IF(A2760="","",IF(G2760="não","Sem tabela no Growths",IF(I2760="","Sem campo no Growths",IF(J2760=K2760,"Importa direto","Ajustar tipo"))))</f>
        <v/>
      </c>
      <c r="M2760" s="9"/>
    </row>
    <row r="2761" customFormat="false" ht="15" hidden="false" customHeight="false" outlineLevel="0" collapsed="false">
      <c r="A2761" s="7" t="str">
        <f aca="false">IF('Outro banco'!A2761="","",IF(LEFT('Outro banco'!A2761,1)="(","",'Outro banco'!A2761))</f>
        <v/>
      </c>
      <c r="B2761" s="7" t="str">
        <f aca="false">IF(A2761="","",'Outro banco'!B2761)</f>
        <v/>
      </c>
      <c r="C2761" s="7" t="str">
        <f aca="false">IF(A2761="","",'Outro banco'!C2761)</f>
        <v/>
      </c>
      <c r="D2761" s="7" t="str">
        <f aca="false">IF(A2761="","",'Outro banco'!D2761)</f>
        <v/>
      </c>
      <c r="E2761" s="9"/>
      <c r="F2761" s="9"/>
      <c r="G2761" s="7" t="str">
        <f aca="false">IF(A2761="","",IF(COUNTIF(Tabelas!$A:$A,IF(E2761="",A2761,E2761))&gt;0,"sim","não"))</f>
        <v/>
      </c>
      <c r="H2761" s="7" t="str">
        <f aca="false">IF(A2761="","",IF(E2761="",A2761,E2761)&amp;"."&amp;IF(F2761="",B2761,F2761))</f>
        <v/>
      </c>
      <c r="I2761" s="7" t="str">
        <f aca="false">IF(A2761="","",IFERROR(INDEX('Campos Growths'!$F:$F,MATCH(H2761,'Campos Growths'!$A:$A,0)),""))</f>
        <v/>
      </c>
      <c r="J2761" s="7" t="str">
        <f aca="false">IF(A2761="","",IFERROR(VLOOKUP(IF(ISNUMBER(SEARCH("(",C2761)),LEFT(C2761,SEARCH("(",C2761)-1),C2761),Tipos!$A:$B,2,FALSE()),"outro"))</f>
        <v/>
      </c>
      <c r="K2761" s="7" t="str">
        <f aca="false">IF(I2761="","",IFERROR(INDEX('Campos Growths'!$L:$L,MATCH(H2761,'Campos Growths'!$A:$A,0)),""))</f>
        <v/>
      </c>
      <c r="L2761" s="7" t="str">
        <f aca="false">IF(A2761="","",IF(G2761="não","Sem tabela no Growths",IF(I2761="","Sem campo no Growths",IF(J2761=K2761,"Importa direto","Ajustar tipo"))))</f>
        <v/>
      </c>
      <c r="M2761" s="9"/>
    </row>
    <row r="2762" customFormat="false" ht="15" hidden="false" customHeight="false" outlineLevel="0" collapsed="false">
      <c r="A2762" s="7" t="str">
        <f aca="false">IF('Outro banco'!A2762="","",IF(LEFT('Outro banco'!A2762,1)="(","",'Outro banco'!A2762))</f>
        <v/>
      </c>
      <c r="B2762" s="7" t="str">
        <f aca="false">IF(A2762="","",'Outro banco'!B2762)</f>
        <v/>
      </c>
      <c r="C2762" s="7" t="str">
        <f aca="false">IF(A2762="","",'Outro banco'!C2762)</f>
        <v/>
      </c>
      <c r="D2762" s="7" t="str">
        <f aca="false">IF(A2762="","",'Outro banco'!D2762)</f>
        <v/>
      </c>
      <c r="E2762" s="9"/>
      <c r="F2762" s="9"/>
      <c r="G2762" s="7" t="str">
        <f aca="false">IF(A2762="","",IF(COUNTIF(Tabelas!$A:$A,IF(E2762="",A2762,E2762))&gt;0,"sim","não"))</f>
        <v/>
      </c>
      <c r="H2762" s="7" t="str">
        <f aca="false">IF(A2762="","",IF(E2762="",A2762,E2762)&amp;"."&amp;IF(F2762="",B2762,F2762))</f>
        <v/>
      </c>
      <c r="I2762" s="7" t="str">
        <f aca="false">IF(A2762="","",IFERROR(INDEX('Campos Growths'!$F:$F,MATCH(H2762,'Campos Growths'!$A:$A,0)),""))</f>
        <v/>
      </c>
      <c r="J2762" s="7" t="str">
        <f aca="false">IF(A2762="","",IFERROR(VLOOKUP(IF(ISNUMBER(SEARCH("(",C2762)),LEFT(C2762,SEARCH("(",C2762)-1),C2762),Tipos!$A:$B,2,FALSE()),"outro"))</f>
        <v/>
      </c>
      <c r="K2762" s="7" t="str">
        <f aca="false">IF(I2762="","",IFERROR(INDEX('Campos Growths'!$L:$L,MATCH(H2762,'Campos Growths'!$A:$A,0)),""))</f>
        <v/>
      </c>
      <c r="L2762" s="7" t="str">
        <f aca="false">IF(A2762="","",IF(G2762="não","Sem tabela no Growths",IF(I2762="","Sem campo no Growths",IF(J2762=K2762,"Importa direto","Ajustar tipo"))))</f>
        <v/>
      </c>
      <c r="M2762" s="9"/>
    </row>
    <row r="2763" customFormat="false" ht="15" hidden="false" customHeight="false" outlineLevel="0" collapsed="false">
      <c r="A2763" s="7" t="str">
        <f aca="false">IF('Outro banco'!A2763="","",IF(LEFT('Outro banco'!A2763,1)="(","",'Outro banco'!A2763))</f>
        <v/>
      </c>
      <c r="B2763" s="7" t="str">
        <f aca="false">IF(A2763="","",'Outro banco'!B2763)</f>
        <v/>
      </c>
      <c r="C2763" s="7" t="str">
        <f aca="false">IF(A2763="","",'Outro banco'!C2763)</f>
        <v/>
      </c>
      <c r="D2763" s="7" t="str">
        <f aca="false">IF(A2763="","",'Outro banco'!D2763)</f>
        <v/>
      </c>
      <c r="E2763" s="9"/>
      <c r="F2763" s="9"/>
      <c r="G2763" s="7" t="str">
        <f aca="false">IF(A2763="","",IF(COUNTIF(Tabelas!$A:$A,IF(E2763="",A2763,E2763))&gt;0,"sim","não"))</f>
        <v/>
      </c>
      <c r="H2763" s="7" t="str">
        <f aca="false">IF(A2763="","",IF(E2763="",A2763,E2763)&amp;"."&amp;IF(F2763="",B2763,F2763))</f>
        <v/>
      </c>
      <c r="I2763" s="7" t="str">
        <f aca="false">IF(A2763="","",IFERROR(INDEX('Campos Growths'!$F:$F,MATCH(H2763,'Campos Growths'!$A:$A,0)),""))</f>
        <v/>
      </c>
      <c r="J2763" s="7" t="str">
        <f aca="false">IF(A2763="","",IFERROR(VLOOKUP(IF(ISNUMBER(SEARCH("(",C2763)),LEFT(C2763,SEARCH("(",C2763)-1),C2763),Tipos!$A:$B,2,FALSE()),"outro"))</f>
        <v/>
      </c>
      <c r="K2763" s="7" t="str">
        <f aca="false">IF(I2763="","",IFERROR(INDEX('Campos Growths'!$L:$L,MATCH(H2763,'Campos Growths'!$A:$A,0)),""))</f>
        <v/>
      </c>
      <c r="L2763" s="7" t="str">
        <f aca="false">IF(A2763="","",IF(G2763="não","Sem tabela no Growths",IF(I2763="","Sem campo no Growths",IF(J2763=K2763,"Importa direto","Ajustar tipo"))))</f>
        <v/>
      </c>
      <c r="M2763" s="9"/>
    </row>
    <row r="2764" customFormat="false" ht="15" hidden="false" customHeight="false" outlineLevel="0" collapsed="false">
      <c r="A2764" s="7" t="str">
        <f aca="false">IF('Outro banco'!A2764="","",IF(LEFT('Outro banco'!A2764,1)="(","",'Outro banco'!A2764))</f>
        <v/>
      </c>
      <c r="B2764" s="7" t="str">
        <f aca="false">IF(A2764="","",'Outro banco'!B2764)</f>
        <v/>
      </c>
      <c r="C2764" s="7" t="str">
        <f aca="false">IF(A2764="","",'Outro banco'!C2764)</f>
        <v/>
      </c>
      <c r="D2764" s="7" t="str">
        <f aca="false">IF(A2764="","",'Outro banco'!D2764)</f>
        <v/>
      </c>
      <c r="E2764" s="9"/>
      <c r="F2764" s="9"/>
      <c r="G2764" s="7" t="str">
        <f aca="false">IF(A2764="","",IF(COUNTIF(Tabelas!$A:$A,IF(E2764="",A2764,E2764))&gt;0,"sim","não"))</f>
        <v/>
      </c>
      <c r="H2764" s="7" t="str">
        <f aca="false">IF(A2764="","",IF(E2764="",A2764,E2764)&amp;"."&amp;IF(F2764="",B2764,F2764))</f>
        <v/>
      </c>
      <c r="I2764" s="7" t="str">
        <f aca="false">IF(A2764="","",IFERROR(INDEX('Campos Growths'!$F:$F,MATCH(H2764,'Campos Growths'!$A:$A,0)),""))</f>
        <v/>
      </c>
      <c r="J2764" s="7" t="str">
        <f aca="false">IF(A2764="","",IFERROR(VLOOKUP(IF(ISNUMBER(SEARCH("(",C2764)),LEFT(C2764,SEARCH("(",C2764)-1),C2764),Tipos!$A:$B,2,FALSE()),"outro"))</f>
        <v/>
      </c>
      <c r="K2764" s="7" t="str">
        <f aca="false">IF(I2764="","",IFERROR(INDEX('Campos Growths'!$L:$L,MATCH(H2764,'Campos Growths'!$A:$A,0)),""))</f>
        <v/>
      </c>
      <c r="L2764" s="7" t="str">
        <f aca="false">IF(A2764="","",IF(G2764="não","Sem tabela no Growths",IF(I2764="","Sem campo no Growths",IF(J2764=K2764,"Importa direto","Ajustar tipo"))))</f>
        <v/>
      </c>
      <c r="M2764" s="9"/>
    </row>
    <row r="2765" customFormat="false" ht="15" hidden="false" customHeight="false" outlineLevel="0" collapsed="false">
      <c r="A2765" s="7" t="str">
        <f aca="false">IF('Outro banco'!A2765="","",IF(LEFT('Outro banco'!A2765,1)="(","",'Outro banco'!A2765))</f>
        <v/>
      </c>
      <c r="B2765" s="7" t="str">
        <f aca="false">IF(A2765="","",'Outro banco'!B2765)</f>
        <v/>
      </c>
      <c r="C2765" s="7" t="str">
        <f aca="false">IF(A2765="","",'Outro banco'!C2765)</f>
        <v/>
      </c>
      <c r="D2765" s="7" t="str">
        <f aca="false">IF(A2765="","",'Outro banco'!D2765)</f>
        <v/>
      </c>
      <c r="E2765" s="9"/>
      <c r="F2765" s="9"/>
      <c r="G2765" s="7" t="str">
        <f aca="false">IF(A2765="","",IF(COUNTIF(Tabelas!$A:$A,IF(E2765="",A2765,E2765))&gt;0,"sim","não"))</f>
        <v/>
      </c>
      <c r="H2765" s="7" t="str">
        <f aca="false">IF(A2765="","",IF(E2765="",A2765,E2765)&amp;"."&amp;IF(F2765="",B2765,F2765))</f>
        <v/>
      </c>
      <c r="I2765" s="7" t="str">
        <f aca="false">IF(A2765="","",IFERROR(INDEX('Campos Growths'!$F:$F,MATCH(H2765,'Campos Growths'!$A:$A,0)),""))</f>
        <v/>
      </c>
      <c r="J2765" s="7" t="str">
        <f aca="false">IF(A2765="","",IFERROR(VLOOKUP(IF(ISNUMBER(SEARCH("(",C2765)),LEFT(C2765,SEARCH("(",C2765)-1),C2765),Tipos!$A:$B,2,FALSE()),"outro"))</f>
        <v/>
      </c>
      <c r="K2765" s="7" t="str">
        <f aca="false">IF(I2765="","",IFERROR(INDEX('Campos Growths'!$L:$L,MATCH(H2765,'Campos Growths'!$A:$A,0)),""))</f>
        <v/>
      </c>
      <c r="L2765" s="7" t="str">
        <f aca="false">IF(A2765="","",IF(G2765="não","Sem tabela no Growths",IF(I2765="","Sem campo no Growths",IF(J2765=K2765,"Importa direto","Ajustar tipo"))))</f>
        <v/>
      </c>
      <c r="M2765" s="9"/>
    </row>
    <row r="2766" customFormat="false" ht="15" hidden="false" customHeight="false" outlineLevel="0" collapsed="false">
      <c r="A2766" s="7" t="str">
        <f aca="false">IF('Outro banco'!A2766="","",IF(LEFT('Outro banco'!A2766,1)="(","",'Outro banco'!A2766))</f>
        <v/>
      </c>
      <c r="B2766" s="7" t="str">
        <f aca="false">IF(A2766="","",'Outro banco'!B2766)</f>
        <v/>
      </c>
      <c r="C2766" s="7" t="str">
        <f aca="false">IF(A2766="","",'Outro banco'!C2766)</f>
        <v/>
      </c>
      <c r="D2766" s="7" t="str">
        <f aca="false">IF(A2766="","",'Outro banco'!D2766)</f>
        <v/>
      </c>
      <c r="E2766" s="9"/>
      <c r="F2766" s="9"/>
      <c r="G2766" s="7" t="str">
        <f aca="false">IF(A2766="","",IF(COUNTIF(Tabelas!$A:$A,IF(E2766="",A2766,E2766))&gt;0,"sim","não"))</f>
        <v/>
      </c>
      <c r="H2766" s="7" t="str">
        <f aca="false">IF(A2766="","",IF(E2766="",A2766,E2766)&amp;"."&amp;IF(F2766="",B2766,F2766))</f>
        <v/>
      </c>
      <c r="I2766" s="7" t="str">
        <f aca="false">IF(A2766="","",IFERROR(INDEX('Campos Growths'!$F:$F,MATCH(H2766,'Campos Growths'!$A:$A,0)),""))</f>
        <v/>
      </c>
      <c r="J2766" s="7" t="str">
        <f aca="false">IF(A2766="","",IFERROR(VLOOKUP(IF(ISNUMBER(SEARCH("(",C2766)),LEFT(C2766,SEARCH("(",C2766)-1),C2766),Tipos!$A:$B,2,FALSE()),"outro"))</f>
        <v/>
      </c>
      <c r="K2766" s="7" t="str">
        <f aca="false">IF(I2766="","",IFERROR(INDEX('Campos Growths'!$L:$L,MATCH(H2766,'Campos Growths'!$A:$A,0)),""))</f>
        <v/>
      </c>
      <c r="L2766" s="7" t="str">
        <f aca="false">IF(A2766="","",IF(G2766="não","Sem tabela no Growths",IF(I2766="","Sem campo no Growths",IF(J2766=K2766,"Importa direto","Ajustar tipo"))))</f>
        <v/>
      </c>
      <c r="M2766" s="9"/>
    </row>
    <row r="2767" customFormat="false" ht="15" hidden="false" customHeight="false" outlineLevel="0" collapsed="false">
      <c r="A2767" s="7" t="str">
        <f aca="false">IF('Outro banco'!A2767="","",IF(LEFT('Outro banco'!A2767,1)="(","",'Outro banco'!A2767))</f>
        <v/>
      </c>
      <c r="B2767" s="7" t="str">
        <f aca="false">IF(A2767="","",'Outro banco'!B2767)</f>
        <v/>
      </c>
      <c r="C2767" s="7" t="str">
        <f aca="false">IF(A2767="","",'Outro banco'!C2767)</f>
        <v/>
      </c>
      <c r="D2767" s="7" t="str">
        <f aca="false">IF(A2767="","",'Outro banco'!D2767)</f>
        <v/>
      </c>
      <c r="E2767" s="9"/>
      <c r="F2767" s="9"/>
      <c r="G2767" s="7" t="str">
        <f aca="false">IF(A2767="","",IF(COUNTIF(Tabelas!$A:$A,IF(E2767="",A2767,E2767))&gt;0,"sim","não"))</f>
        <v/>
      </c>
      <c r="H2767" s="7" t="str">
        <f aca="false">IF(A2767="","",IF(E2767="",A2767,E2767)&amp;"."&amp;IF(F2767="",B2767,F2767))</f>
        <v/>
      </c>
      <c r="I2767" s="7" t="str">
        <f aca="false">IF(A2767="","",IFERROR(INDEX('Campos Growths'!$F:$F,MATCH(H2767,'Campos Growths'!$A:$A,0)),""))</f>
        <v/>
      </c>
      <c r="J2767" s="7" t="str">
        <f aca="false">IF(A2767="","",IFERROR(VLOOKUP(IF(ISNUMBER(SEARCH("(",C2767)),LEFT(C2767,SEARCH("(",C2767)-1),C2767),Tipos!$A:$B,2,FALSE()),"outro"))</f>
        <v/>
      </c>
      <c r="K2767" s="7" t="str">
        <f aca="false">IF(I2767="","",IFERROR(INDEX('Campos Growths'!$L:$L,MATCH(H2767,'Campos Growths'!$A:$A,0)),""))</f>
        <v/>
      </c>
      <c r="L2767" s="7" t="str">
        <f aca="false">IF(A2767="","",IF(G2767="não","Sem tabela no Growths",IF(I2767="","Sem campo no Growths",IF(J2767=K2767,"Importa direto","Ajustar tipo"))))</f>
        <v/>
      </c>
      <c r="M2767" s="9"/>
    </row>
    <row r="2768" customFormat="false" ht="15" hidden="false" customHeight="false" outlineLevel="0" collapsed="false">
      <c r="A2768" s="7" t="str">
        <f aca="false">IF('Outro banco'!A2768="","",IF(LEFT('Outro banco'!A2768,1)="(","",'Outro banco'!A2768))</f>
        <v/>
      </c>
      <c r="B2768" s="7" t="str">
        <f aca="false">IF(A2768="","",'Outro banco'!B2768)</f>
        <v/>
      </c>
      <c r="C2768" s="7" t="str">
        <f aca="false">IF(A2768="","",'Outro banco'!C2768)</f>
        <v/>
      </c>
      <c r="D2768" s="7" t="str">
        <f aca="false">IF(A2768="","",'Outro banco'!D2768)</f>
        <v/>
      </c>
      <c r="E2768" s="9"/>
      <c r="F2768" s="9"/>
      <c r="G2768" s="7" t="str">
        <f aca="false">IF(A2768="","",IF(COUNTIF(Tabelas!$A:$A,IF(E2768="",A2768,E2768))&gt;0,"sim","não"))</f>
        <v/>
      </c>
      <c r="H2768" s="7" t="str">
        <f aca="false">IF(A2768="","",IF(E2768="",A2768,E2768)&amp;"."&amp;IF(F2768="",B2768,F2768))</f>
        <v/>
      </c>
      <c r="I2768" s="7" t="str">
        <f aca="false">IF(A2768="","",IFERROR(INDEX('Campos Growths'!$F:$F,MATCH(H2768,'Campos Growths'!$A:$A,0)),""))</f>
        <v/>
      </c>
      <c r="J2768" s="7" t="str">
        <f aca="false">IF(A2768="","",IFERROR(VLOOKUP(IF(ISNUMBER(SEARCH("(",C2768)),LEFT(C2768,SEARCH("(",C2768)-1),C2768),Tipos!$A:$B,2,FALSE()),"outro"))</f>
        <v/>
      </c>
      <c r="K2768" s="7" t="str">
        <f aca="false">IF(I2768="","",IFERROR(INDEX('Campos Growths'!$L:$L,MATCH(H2768,'Campos Growths'!$A:$A,0)),""))</f>
        <v/>
      </c>
      <c r="L2768" s="7" t="str">
        <f aca="false">IF(A2768="","",IF(G2768="não","Sem tabela no Growths",IF(I2768="","Sem campo no Growths",IF(J2768=K2768,"Importa direto","Ajustar tipo"))))</f>
        <v/>
      </c>
      <c r="M2768" s="9"/>
    </row>
    <row r="2769" customFormat="false" ht="15" hidden="false" customHeight="false" outlineLevel="0" collapsed="false">
      <c r="A2769" s="7" t="str">
        <f aca="false">IF('Outro banco'!A2769="","",IF(LEFT('Outro banco'!A2769,1)="(","",'Outro banco'!A2769))</f>
        <v/>
      </c>
      <c r="B2769" s="7" t="str">
        <f aca="false">IF(A2769="","",'Outro banco'!B2769)</f>
        <v/>
      </c>
      <c r="C2769" s="7" t="str">
        <f aca="false">IF(A2769="","",'Outro banco'!C2769)</f>
        <v/>
      </c>
      <c r="D2769" s="7" t="str">
        <f aca="false">IF(A2769="","",'Outro banco'!D2769)</f>
        <v/>
      </c>
      <c r="E2769" s="9"/>
      <c r="F2769" s="9"/>
      <c r="G2769" s="7" t="str">
        <f aca="false">IF(A2769="","",IF(COUNTIF(Tabelas!$A:$A,IF(E2769="",A2769,E2769))&gt;0,"sim","não"))</f>
        <v/>
      </c>
      <c r="H2769" s="7" t="str">
        <f aca="false">IF(A2769="","",IF(E2769="",A2769,E2769)&amp;"."&amp;IF(F2769="",B2769,F2769))</f>
        <v/>
      </c>
      <c r="I2769" s="7" t="str">
        <f aca="false">IF(A2769="","",IFERROR(INDEX('Campos Growths'!$F:$F,MATCH(H2769,'Campos Growths'!$A:$A,0)),""))</f>
        <v/>
      </c>
      <c r="J2769" s="7" t="str">
        <f aca="false">IF(A2769="","",IFERROR(VLOOKUP(IF(ISNUMBER(SEARCH("(",C2769)),LEFT(C2769,SEARCH("(",C2769)-1),C2769),Tipos!$A:$B,2,FALSE()),"outro"))</f>
        <v/>
      </c>
      <c r="K2769" s="7" t="str">
        <f aca="false">IF(I2769="","",IFERROR(INDEX('Campos Growths'!$L:$L,MATCH(H2769,'Campos Growths'!$A:$A,0)),""))</f>
        <v/>
      </c>
      <c r="L2769" s="7" t="str">
        <f aca="false">IF(A2769="","",IF(G2769="não","Sem tabela no Growths",IF(I2769="","Sem campo no Growths",IF(J2769=K2769,"Importa direto","Ajustar tipo"))))</f>
        <v/>
      </c>
      <c r="M2769" s="9"/>
    </row>
    <row r="2770" customFormat="false" ht="15" hidden="false" customHeight="false" outlineLevel="0" collapsed="false">
      <c r="A2770" s="7" t="str">
        <f aca="false">IF('Outro banco'!A2770="","",IF(LEFT('Outro banco'!A2770,1)="(","",'Outro banco'!A2770))</f>
        <v/>
      </c>
      <c r="B2770" s="7" t="str">
        <f aca="false">IF(A2770="","",'Outro banco'!B2770)</f>
        <v/>
      </c>
      <c r="C2770" s="7" t="str">
        <f aca="false">IF(A2770="","",'Outro banco'!C2770)</f>
        <v/>
      </c>
      <c r="D2770" s="7" t="str">
        <f aca="false">IF(A2770="","",'Outro banco'!D2770)</f>
        <v/>
      </c>
      <c r="E2770" s="9"/>
      <c r="F2770" s="9"/>
      <c r="G2770" s="7" t="str">
        <f aca="false">IF(A2770="","",IF(COUNTIF(Tabelas!$A:$A,IF(E2770="",A2770,E2770))&gt;0,"sim","não"))</f>
        <v/>
      </c>
      <c r="H2770" s="7" t="str">
        <f aca="false">IF(A2770="","",IF(E2770="",A2770,E2770)&amp;"."&amp;IF(F2770="",B2770,F2770))</f>
        <v/>
      </c>
      <c r="I2770" s="7" t="str">
        <f aca="false">IF(A2770="","",IFERROR(INDEX('Campos Growths'!$F:$F,MATCH(H2770,'Campos Growths'!$A:$A,0)),""))</f>
        <v/>
      </c>
      <c r="J2770" s="7" t="str">
        <f aca="false">IF(A2770="","",IFERROR(VLOOKUP(IF(ISNUMBER(SEARCH("(",C2770)),LEFT(C2770,SEARCH("(",C2770)-1),C2770),Tipos!$A:$B,2,FALSE()),"outro"))</f>
        <v/>
      </c>
      <c r="K2770" s="7" t="str">
        <f aca="false">IF(I2770="","",IFERROR(INDEX('Campos Growths'!$L:$L,MATCH(H2770,'Campos Growths'!$A:$A,0)),""))</f>
        <v/>
      </c>
      <c r="L2770" s="7" t="str">
        <f aca="false">IF(A2770="","",IF(G2770="não","Sem tabela no Growths",IF(I2770="","Sem campo no Growths",IF(J2770=K2770,"Importa direto","Ajustar tipo"))))</f>
        <v/>
      </c>
      <c r="M2770" s="9"/>
    </row>
    <row r="2771" customFormat="false" ht="15" hidden="false" customHeight="false" outlineLevel="0" collapsed="false">
      <c r="A2771" s="7" t="str">
        <f aca="false">IF('Outro banco'!A2771="","",IF(LEFT('Outro banco'!A2771,1)="(","",'Outro banco'!A2771))</f>
        <v/>
      </c>
      <c r="B2771" s="7" t="str">
        <f aca="false">IF(A2771="","",'Outro banco'!B2771)</f>
        <v/>
      </c>
      <c r="C2771" s="7" t="str">
        <f aca="false">IF(A2771="","",'Outro banco'!C2771)</f>
        <v/>
      </c>
      <c r="D2771" s="7" t="str">
        <f aca="false">IF(A2771="","",'Outro banco'!D2771)</f>
        <v/>
      </c>
      <c r="E2771" s="9"/>
      <c r="F2771" s="9"/>
      <c r="G2771" s="7" t="str">
        <f aca="false">IF(A2771="","",IF(COUNTIF(Tabelas!$A:$A,IF(E2771="",A2771,E2771))&gt;0,"sim","não"))</f>
        <v/>
      </c>
      <c r="H2771" s="7" t="str">
        <f aca="false">IF(A2771="","",IF(E2771="",A2771,E2771)&amp;"."&amp;IF(F2771="",B2771,F2771))</f>
        <v/>
      </c>
      <c r="I2771" s="7" t="str">
        <f aca="false">IF(A2771="","",IFERROR(INDEX('Campos Growths'!$F:$F,MATCH(H2771,'Campos Growths'!$A:$A,0)),""))</f>
        <v/>
      </c>
      <c r="J2771" s="7" t="str">
        <f aca="false">IF(A2771="","",IFERROR(VLOOKUP(IF(ISNUMBER(SEARCH("(",C2771)),LEFT(C2771,SEARCH("(",C2771)-1),C2771),Tipos!$A:$B,2,FALSE()),"outro"))</f>
        <v/>
      </c>
      <c r="K2771" s="7" t="str">
        <f aca="false">IF(I2771="","",IFERROR(INDEX('Campos Growths'!$L:$L,MATCH(H2771,'Campos Growths'!$A:$A,0)),""))</f>
        <v/>
      </c>
      <c r="L2771" s="7" t="str">
        <f aca="false">IF(A2771="","",IF(G2771="não","Sem tabela no Growths",IF(I2771="","Sem campo no Growths",IF(J2771=K2771,"Importa direto","Ajustar tipo"))))</f>
        <v/>
      </c>
      <c r="M2771" s="9"/>
    </row>
    <row r="2772" customFormat="false" ht="15" hidden="false" customHeight="false" outlineLevel="0" collapsed="false">
      <c r="A2772" s="7" t="str">
        <f aca="false">IF('Outro banco'!A2772="","",IF(LEFT('Outro banco'!A2772,1)="(","",'Outro banco'!A2772))</f>
        <v/>
      </c>
      <c r="B2772" s="7" t="str">
        <f aca="false">IF(A2772="","",'Outro banco'!B2772)</f>
        <v/>
      </c>
      <c r="C2772" s="7" t="str">
        <f aca="false">IF(A2772="","",'Outro banco'!C2772)</f>
        <v/>
      </c>
      <c r="D2772" s="7" t="str">
        <f aca="false">IF(A2772="","",'Outro banco'!D2772)</f>
        <v/>
      </c>
      <c r="E2772" s="9"/>
      <c r="F2772" s="9"/>
      <c r="G2772" s="7" t="str">
        <f aca="false">IF(A2772="","",IF(COUNTIF(Tabelas!$A:$A,IF(E2772="",A2772,E2772))&gt;0,"sim","não"))</f>
        <v/>
      </c>
      <c r="H2772" s="7" t="str">
        <f aca="false">IF(A2772="","",IF(E2772="",A2772,E2772)&amp;"."&amp;IF(F2772="",B2772,F2772))</f>
        <v/>
      </c>
      <c r="I2772" s="7" t="str">
        <f aca="false">IF(A2772="","",IFERROR(INDEX('Campos Growths'!$F:$F,MATCH(H2772,'Campos Growths'!$A:$A,0)),""))</f>
        <v/>
      </c>
      <c r="J2772" s="7" t="str">
        <f aca="false">IF(A2772="","",IFERROR(VLOOKUP(IF(ISNUMBER(SEARCH("(",C2772)),LEFT(C2772,SEARCH("(",C2772)-1),C2772),Tipos!$A:$B,2,FALSE()),"outro"))</f>
        <v/>
      </c>
      <c r="K2772" s="7" t="str">
        <f aca="false">IF(I2772="","",IFERROR(INDEX('Campos Growths'!$L:$L,MATCH(H2772,'Campos Growths'!$A:$A,0)),""))</f>
        <v/>
      </c>
      <c r="L2772" s="7" t="str">
        <f aca="false">IF(A2772="","",IF(G2772="não","Sem tabela no Growths",IF(I2772="","Sem campo no Growths",IF(J2772=K2772,"Importa direto","Ajustar tipo"))))</f>
        <v/>
      </c>
      <c r="M2772" s="9"/>
    </row>
    <row r="2773" customFormat="false" ht="15" hidden="false" customHeight="false" outlineLevel="0" collapsed="false">
      <c r="A2773" s="7" t="str">
        <f aca="false">IF('Outro banco'!A2773="","",IF(LEFT('Outro banco'!A2773,1)="(","",'Outro banco'!A2773))</f>
        <v/>
      </c>
      <c r="B2773" s="7" t="str">
        <f aca="false">IF(A2773="","",'Outro banco'!B2773)</f>
        <v/>
      </c>
      <c r="C2773" s="7" t="str">
        <f aca="false">IF(A2773="","",'Outro banco'!C2773)</f>
        <v/>
      </c>
      <c r="D2773" s="7" t="str">
        <f aca="false">IF(A2773="","",'Outro banco'!D2773)</f>
        <v/>
      </c>
      <c r="E2773" s="9"/>
      <c r="F2773" s="9"/>
      <c r="G2773" s="7" t="str">
        <f aca="false">IF(A2773="","",IF(COUNTIF(Tabelas!$A:$A,IF(E2773="",A2773,E2773))&gt;0,"sim","não"))</f>
        <v/>
      </c>
      <c r="H2773" s="7" t="str">
        <f aca="false">IF(A2773="","",IF(E2773="",A2773,E2773)&amp;"."&amp;IF(F2773="",B2773,F2773))</f>
        <v/>
      </c>
      <c r="I2773" s="7" t="str">
        <f aca="false">IF(A2773="","",IFERROR(INDEX('Campos Growths'!$F:$F,MATCH(H2773,'Campos Growths'!$A:$A,0)),""))</f>
        <v/>
      </c>
      <c r="J2773" s="7" t="str">
        <f aca="false">IF(A2773="","",IFERROR(VLOOKUP(IF(ISNUMBER(SEARCH("(",C2773)),LEFT(C2773,SEARCH("(",C2773)-1),C2773),Tipos!$A:$B,2,FALSE()),"outro"))</f>
        <v/>
      </c>
      <c r="K2773" s="7" t="str">
        <f aca="false">IF(I2773="","",IFERROR(INDEX('Campos Growths'!$L:$L,MATCH(H2773,'Campos Growths'!$A:$A,0)),""))</f>
        <v/>
      </c>
      <c r="L2773" s="7" t="str">
        <f aca="false">IF(A2773="","",IF(G2773="não","Sem tabela no Growths",IF(I2773="","Sem campo no Growths",IF(J2773=K2773,"Importa direto","Ajustar tipo"))))</f>
        <v/>
      </c>
      <c r="M2773" s="9"/>
    </row>
    <row r="2774" customFormat="false" ht="15" hidden="false" customHeight="false" outlineLevel="0" collapsed="false">
      <c r="A2774" s="7" t="str">
        <f aca="false">IF('Outro banco'!A2774="","",IF(LEFT('Outro banco'!A2774,1)="(","",'Outro banco'!A2774))</f>
        <v/>
      </c>
      <c r="B2774" s="7" t="str">
        <f aca="false">IF(A2774="","",'Outro banco'!B2774)</f>
        <v/>
      </c>
      <c r="C2774" s="7" t="str">
        <f aca="false">IF(A2774="","",'Outro banco'!C2774)</f>
        <v/>
      </c>
      <c r="D2774" s="7" t="str">
        <f aca="false">IF(A2774="","",'Outro banco'!D2774)</f>
        <v/>
      </c>
      <c r="E2774" s="9"/>
      <c r="F2774" s="9"/>
      <c r="G2774" s="7" t="str">
        <f aca="false">IF(A2774="","",IF(COUNTIF(Tabelas!$A:$A,IF(E2774="",A2774,E2774))&gt;0,"sim","não"))</f>
        <v/>
      </c>
      <c r="H2774" s="7" t="str">
        <f aca="false">IF(A2774="","",IF(E2774="",A2774,E2774)&amp;"."&amp;IF(F2774="",B2774,F2774))</f>
        <v/>
      </c>
      <c r="I2774" s="7" t="str">
        <f aca="false">IF(A2774="","",IFERROR(INDEX('Campos Growths'!$F:$F,MATCH(H2774,'Campos Growths'!$A:$A,0)),""))</f>
        <v/>
      </c>
      <c r="J2774" s="7" t="str">
        <f aca="false">IF(A2774="","",IFERROR(VLOOKUP(IF(ISNUMBER(SEARCH("(",C2774)),LEFT(C2774,SEARCH("(",C2774)-1),C2774),Tipos!$A:$B,2,FALSE()),"outro"))</f>
        <v/>
      </c>
      <c r="K2774" s="7" t="str">
        <f aca="false">IF(I2774="","",IFERROR(INDEX('Campos Growths'!$L:$L,MATCH(H2774,'Campos Growths'!$A:$A,0)),""))</f>
        <v/>
      </c>
      <c r="L2774" s="7" t="str">
        <f aca="false">IF(A2774="","",IF(G2774="não","Sem tabela no Growths",IF(I2774="","Sem campo no Growths",IF(J2774=K2774,"Importa direto","Ajustar tipo"))))</f>
        <v/>
      </c>
      <c r="M2774" s="9"/>
    </row>
    <row r="2775" customFormat="false" ht="15" hidden="false" customHeight="false" outlineLevel="0" collapsed="false">
      <c r="A2775" s="7" t="str">
        <f aca="false">IF('Outro banco'!A2775="","",IF(LEFT('Outro banco'!A2775,1)="(","",'Outro banco'!A2775))</f>
        <v/>
      </c>
      <c r="B2775" s="7" t="str">
        <f aca="false">IF(A2775="","",'Outro banco'!B2775)</f>
        <v/>
      </c>
      <c r="C2775" s="7" t="str">
        <f aca="false">IF(A2775="","",'Outro banco'!C2775)</f>
        <v/>
      </c>
      <c r="D2775" s="7" t="str">
        <f aca="false">IF(A2775="","",'Outro banco'!D2775)</f>
        <v/>
      </c>
      <c r="E2775" s="9"/>
      <c r="F2775" s="9"/>
      <c r="G2775" s="7" t="str">
        <f aca="false">IF(A2775="","",IF(COUNTIF(Tabelas!$A:$A,IF(E2775="",A2775,E2775))&gt;0,"sim","não"))</f>
        <v/>
      </c>
      <c r="H2775" s="7" t="str">
        <f aca="false">IF(A2775="","",IF(E2775="",A2775,E2775)&amp;"."&amp;IF(F2775="",B2775,F2775))</f>
        <v/>
      </c>
      <c r="I2775" s="7" t="str">
        <f aca="false">IF(A2775="","",IFERROR(INDEX('Campos Growths'!$F:$F,MATCH(H2775,'Campos Growths'!$A:$A,0)),""))</f>
        <v/>
      </c>
      <c r="J2775" s="7" t="str">
        <f aca="false">IF(A2775="","",IFERROR(VLOOKUP(IF(ISNUMBER(SEARCH("(",C2775)),LEFT(C2775,SEARCH("(",C2775)-1),C2775),Tipos!$A:$B,2,FALSE()),"outro"))</f>
        <v/>
      </c>
      <c r="K2775" s="7" t="str">
        <f aca="false">IF(I2775="","",IFERROR(INDEX('Campos Growths'!$L:$L,MATCH(H2775,'Campos Growths'!$A:$A,0)),""))</f>
        <v/>
      </c>
      <c r="L2775" s="7" t="str">
        <f aca="false">IF(A2775="","",IF(G2775="não","Sem tabela no Growths",IF(I2775="","Sem campo no Growths",IF(J2775=K2775,"Importa direto","Ajustar tipo"))))</f>
        <v/>
      </c>
      <c r="M2775" s="9"/>
    </row>
    <row r="2776" customFormat="false" ht="15" hidden="false" customHeight="false" outlineLevel="0" collapsed="false">
      <c r="A2776" s="7" t="str">
        <f aca="false">IF('Outro banco'!A2776="","",IF(LEFT('Outro banco'!A2776,1)="(","",'Outro banco'!A2776))</f>
        <v/>
      </c>
      <c r="B2776" s="7" t="str">
        <f aca="false">IF(A2776="","",'Outro banco'!B2776)</f>
        <v/>
      </c>
      <c r="C2776" s="7" t="str">
        <f aca="false">IF(A2776="","",'Outro banco'!C2776)</f>
        <v/>
      </c>
      <c r="D2776" s="7" t="str">
        <f aca="false">IF(A2776="","",'Outro banco'!D2776)</f>
        <v/>
      </c>
      <c r="E2776" s="9"/>
      <c r="F2776" s="9"/>
      <c r="G2776" s="7" t="str">
        <f aca="false">IF(A2776="","",IF(COUNTIF(Tabelas!$A:$A,IF(E2776="",A2776,E2776))&gt;0,"sim","não"))</f>
        <v/>
      </c>
      <c r="H2776" s="7" t="str">
        <f aca="false">IF(A2776="","",IF(E2776="",A2776,E2776)&amp;"."&amp;IF(F2776="",B2776,F2776))</f>
        <v/>
      </c>
      <c r="I2776" s="7" t="str">
        <f aca="false">IF(A2776="","",IFERROR(INDEX('Campos Growths'!$F:$F,MATCH(H2776,'Campos Growths'!$A:$A,0)),""))</f>
        <v/>
      </c>
      <c r="J2776" s="7" t="str">
        <f aca="false">IF(A2776="","",IFERROR(VLOOKUP(IF(ISNUMBER(SEARCH("(",C2776)),LEFT(C2776,SEARCH("(",C2776)-1),C2776),Tipos!$A:$B,2,FALSE()),"outro"))</f>
        <v/>
      </c>
      <c r="K2776" s="7" t="str">
        <f aca="false">IF(I2776="","",IFERROR(INDEX('Campos Growths'!$L:$L,MATCH(H2776,'Campos Growths'!$A:$A,0)),""))</f>
        <v/>
      </c>
      <c r="L2776" s="7" t="str">
        <f aca="false">IF(A2776="","",IF(G2776="não","Sem tabela no Growths",IF(I2776="","Sem campo no Growths",IF(J2776=K2776,"Importa direto","Ajustar tipo"))))</f>
        <v/>
      </c>
      <c r="M2776" s="9"/>
    </row>
    <row r="2777" customFormat="false" ht="15" hidden="false" customHeight="false" outlineLevel="0" collapsed="false">
      <c r="A2777" s="7" t="str">
        <f aca="false">IF('Outro banco'!A2777="","",IF(LEFT('Outro banco'!A2777,1)="(","",'Outro banco'!A2777))</f>
        <v/>
      </c>
      <c r="B2777" s="7" t="str">
        <f aca="false">IF(A2777="","",'Outro banco'!B2777)</f>
        <v/>
      </c>
      <c r="C2777" s="7" t="str">
        <f aca="false">IF(A2777="","",'Outro banco'!C2777)</f>
        <v/>
      </c>
      <c r="D2777" s="7" t="str">
        <f aca="false">IF(A2777="","",'Outro banco'!D2777)</f>
        <v/>
      </c>
      <c r="E2777" s="9"/>
      <c r="F2777" s="9"/>
      <c r="G2777" s="7" t="str">
        <f aca="false">IF(A2777="","",IF(COUNTIF(Tabelas!$A:$A,IF(E2777="",A2777,E2777))&gt;0,"sim","não"))</f>
        <v/>
      </c>
      <c r="H2777" s="7" t="str">
        <f aca="false">IF(A2777="","",IF(E2777="",A2777,E2777)&amp;"."&amp;IF(F2777="",B2777,F2777))</f>
        <v/>
      </c>
      <c r="I2777" s="7" t="str">
        <f aca="false">IF(A2777="","",IFERROR(INDEX('Campos Growths'!$F:$F,MATCH(H2777,'Campos Growths'!$A:$A,0)),""))</f>
        <v/>
      </c>
      <c r="J2777" s="7" t="str">
        <f aca="false">IF(A2777="","",IFERROR(VLOOKUP(IF(ISNUMBER(SEARCH("(",C2777)),LEFT(C2777,SEARCH("(",C2777)-1),C2777),Tipos!$A:$B,2,FALSE()),"outro"))</f>
        <v/>
      </c>
      <c r="K2777" s="7" t="str">
        <f aca="false">IF(I2777="","",IFERROR(INDEX('Campos Growths'!$L:$L,MATCH(H2777,'Campos Growths'!$A:$A,0)),""))</f>
        <v/>
      </c>
      <c r="L2777" s="7" t="str">
        <f aca="false">IF(A2777="","",IF(G2777="não","Sem tabela no Growths",IF(I2777="","Sem campo no Growths",IF(J2777=K2777,"Importa direto","Ajustar tipo"))))</f>
        <v/>
      </c>
      <c r="M2777" s="9"/>
    </row>
    <row r="2778" customFormat="false" ht="15" hidden="false" customHeight="false" outlineLevel="0" collapsed="false">
      <c r="A2778" s="7" t="str">
        <f aca="false">IF('Outro banco'!A2778="","",IF(LEFT('Outro banco'!A2778,1)="(","",'Outro banco'!A2778))</f>
        <v/>
      </c>
      <c r="B2778" s="7" t="str">
        <f aca="false">IF(A2778="","",'Outro banco'!B2778)</f>
        <v/>
      </c>
      <c r="C2778" s="7" t="str">
        <f aca="false">IF(A2778="","",'Outro banco'!C2778)</f>
        <v/>
      </c>
      <c r="D2778" s="7" t="str">
        <f aca="false">IF(A2778="","",'Outro banco'!D2778)</f>
        <v/>
      </c>
      <c r="E2778" s="9"/>
      <c r="F2778" s="9"/>
      <c r="G2778" s="7" t="str">
        <f aca="false">IF(A2778="","",IF(COUNTIF(Tabelas!$A:$A,IF(E2778="",A2778,E2778))&gt;0,"sim","não"))</f>
        <v/>
      </c>
      <c r="H2778" s="7" t="str">
        <f aca="false">IF(A2778="","",IF(E2778="",A2778,E2778)&amp;"."&amp;IF(F2778="",B2778,F2778))</f>
        <v/>
      </c>
      <c r="I2778" s="7" t="str">
        <f aca="false">IF(A2778="","",IFERROR(INDEX('Campos Growths'!$F:$F,MATCH(H2778,'Campos Growths'!$A:$A,0)),""))</f>
        <v/>
      </c>
      <c r="J2778" s="7" t="str">
        <f aca="false">IF(A2778="","",IFERROR(VLOOKUP(IF(ISNUMBER(SEARCH("(",C2778)),LEFT(C2778,SEARCH("(",C2778)-1),C2778),Tipos!$A:$B,2,FALSE()),"outro"))</f>
        <v/>
      </c>
      <c r="K2778" s="7" t="str">
        <f aca="false">IF(I2778="","",IFERROR(INDEX('Campos Growths'!$L:$L,MATCH(H2778,'Campos Growths'!$A:$A,0)),""))</f>
        <v/>
      </c>
      <c r="L2778" s="7" t="str">
        <f aca="false">IF(A2778="","",IF(G2778="não","Sem tabela no Growths",IF(I2778="","Sem campo no Growths",IF(J2778=K2778,"Importa direto","Ajustar tipo"))))</f>
        <v/>
      </c>
      <c r="M2778" s="9"/>
    </row>
    <row r="2779" customFormat="false" ht="15" hidden="false" customHeight="false" outlineLevel="0" collapsed="false">
      <c r="A2779" s="7" t="str">
        <f aca="false">IF('Outro banco'!A2779="","",IF(LEFT('Outro banco'!A2779,1)="(","",'Outro banco'!A2779))</f>
        <v/>
      </c>
      <c r="B2779" s="7" t="str">
        <f aca="false">IF(A2779="","",'Outro banco'!B2779)</f>
        <v/>
      </c>
      <c r="C2779" s="7" t="str">
        <f aca="false">IF(A2779="","",'Outro banco'!C2779)</f>
        <v/>
      </c>
      <c r="D2779" s="7" t="str">
        <f aca="false">IF(A2779="","",'Outro banco'!D2779)</f>
        <v/>
      </c>
      <c r="E2779" s="9"/>
      <c r="F2779" s="9"/>
      <c r="G2779" s="7" t="str">
        <f aca="false">IF(A2779="","",IF(COUNTIF(Tabelas!$A:$A,IF(E2779="",A2779,E2779))&gt;0,"sim","não"))</f>
        <v/>
      </c>
      <c r="H2779" s="7" t="str">
        <f aca="false">IF(A2779="","",IF(E2779="",A2779,E2779)&amp;"."&amp;IF(F2779="",B2779,F2779))</f>
        <v/>
      </c>
      <c r="I2779" s="7" t="str">
        <f aca="false">IF(A2779="","",IFERROR(INDEX('Campos Growths'!$F:$F,MATCH(H2779,'Campos Growths'!$A:$A,0)),""))</f>
        <v/>
      </c>
      <c r="J2779" s="7" t="str">
        <f aca="false">IF(A2779="","",IFERROR(VLOOKUP(IF(ISNUMBER(SEARCH("(",C2779)),LEFT(C2779,SEARCH("(",C2779)-1),C2779),Tipos!$A:$B,2,FALSE()),"outro"))</f>
        <v/>
      </c>
      <c r="K2779" s="7" t="str">
        <f aca="false">IF(I2779="","",IFERROR(INDEX('Campos Growths'!$L:$L,MATCH(H2779,'Campos Growths'!$A:$A,0)),""))</f>
        <v/>
      </c>
      <c r="L2779" s="7" t="str">
        <f aca="false">IF(A2779="","",IF(G2779="não","Sem tabela no Growths",IF(I2779="","Sem campo no Growths",IF(J2779=K2779,"Importa direto","Ajustar tipo"))))</f>
        <v/>
      </c>
      <c r="M2779" s="9"/>
    </row>
    <row r="2780" customFormat="false" ht="15" hidden="false" customHeight="false" outlineLevel="0" collapsed="false">
      <c r="A2780" s="7" t="str">
        <f aca="false">IF('Outro banco'!A2780="","",IF(LEFT('Outro banco'!A2780,1)="(","",'Outro banco'!A2780))</f>
        <v/>
      </c>
      <c r="B2780" s="7" t="str">
        <f aca="false">IF(A2780="","",'Outro banco'!B2780)</f>
        <v/>
      </c>
      <c r="C2780" s="7" t="str">
        <f aca="false">IF(A2780="","",'Outro banco'!C2780)</f>
        <v/>
      </c>
      <c r="D2780" s="7" t="str">
        <f aca="false">IF(A2780="","",'Outro banco'!D2780)</f>
        <v/>
      </c>
      <c r="E2780" s="9"/>
      <c r="F2780" s="9"/>
      <c r="G2780" s="7" t="str">
        <f aca="false">IF(A2780="","",IF(COUNTIF(Tabelas!$A:$A,IF(E2780="",A2780,E2780))&gt;0,"sim","não"))</f>
        <v/>
      </c>
      <c r="H2780" s="7" t="str">
        <f aca="false">IF(A2780="","",IF(E2780="",A2780,E2780)&amp;"."&amp;IF(F2780="",B2780,F2780))</f>
        <v/>
      </c>
      <c r="I2780" s="7" t="str">
        <f aca="false">IF(A2780="","",IFERROR(INDEX('Campos Growths'!$F:$F,MATCH(H2780,'Campos Growths'!$A:$A,0)),""))</f>
        <v/>
      </c>
      <c r="J2780" s="7" t="str">
        <f aca="false">IF(A2780="","",IFERROR(VLOOKUP(IF(ISNUMBER(SEARCH("(",C2780)),LEFT(C2780,SEARCH("(",C2780)-1),C2780),Tipos!$A:$B,2,FALSE()),"outro"))</f>
        <v/>
      </c>
      <c r="K2780" s="7" t="str">
        <f aca="false">IF(I2780="","",IFERROR(INDEX('Campos Growths'!$L:$L,MATCH(H2780,'Campos Growths'!$A:$A,0)),""))</f>
        <v/>
      </c>
      <c r="L2780" s="7" t="str">
        <f aca="false">IF(A2780="","",IF(G2780="não","Sem tabela no Growths",IF(I2780="","Sem campo no Growths",IF(J2780=K2780,"Importa direto","Ajustar tipo"))))</f>
        <v/>
      </c>
      <c r="M2780" s="9"/>
    </row>
    <row r="2781" customFormat="false" ht="15" hidden="false" customHeight="false" outlineLevel="0" collapsed="false">
      <c r="A2781" s="7" t="str">
        <f aca="false">IF('Outro banco'!A2781="","",IF(LEFT('Outro banco'!A2781,1)="(","",'Outro banco'!A2781))</f>
        <v/>
      </c>
      <c r="B2781" s="7" t="str">
        <f aca="false">IF(A2781="","",'Outro banco'!B2781)</f>
        <v/>
      </c>
      <c r="C2781" s="7" t="str">
        <f aca="false">IF(A2781="","",'Outro banco'!C2781)</f>
        <v/>
      </c>
      <c r="D2781" s="7" t="str">
        <f aca="false">IF(A2781="","",'Outro banco'!D2781)</f>
        <v/>
      </c>
      <c r="E2781" s="9"/>
      <c r="F2781" s="9"/>
      <c r="G2781" s="7" t="str">
        <f aca="false">IF(A2781="","",IF(COUNTIF(Tabelas!$A:$A,IF(E2781="",A2781,E2781))&gt;0,"sim","não"))</f>
        <v/>
      </c>
      <c r="H2781" s="7" t="str">
        <f aca="false">IF(A2781="","",IF(E2781="",A2781,E2781)&amp;"."&amp;IF(F2781="",B2781,F2781))</f>
        <v/>
      </c>
      <c r="I2781" s="7" t="str">
        <f aca="false">IF(A2781="","",IFERROR(INDEX('Campos Growths'!$F:$F,MATCH(H2781,'Campos Growths'!$A:$A,0)),""))</f>
        <v/>
      </c>
      <c r="J2781" s="7" t="str">
        <f aca="false">IF(A2781="","",IFERROR(VLOOKUP(IF(ISNUMBER(SEARCH("(",C2781)),LEFT(C2781,SEARCH("(",C2781)-1),C2781),Tipos!$A:$B,2,FALSE()),"outro"))</f>
        <v/>
      </c>
      <c r="K2781" s="7" t="str">
        <f aca="false">IF(I2781="","",IFERROR(INDEX('Campos Growths'!$L:$L,MATCH(H2781,'Campos Growths'!$A:$A,0)),""))</f>
        <v/>
      </c>
      <c r="L2781" s="7" t="str">
        <f aca="false">IF(A2781="","",IF(G2781="não","Sem tabela no Growths",IF(I2781="","Sem campo no Growths",IF(J2781=K2781,"Importa direto","Ajustar tipo"))))</f>
        <v/>
      </c>
      <c r="M2781" s="9"/>
    </row>
    <row r="2782" customFormat="false" ht="15" hidden="false" customHeight="false" outlineLevel="0" collapsed="false">
      <c r="A2782" s="7" t="str">
        <f aca="false">IF('Outro banco'!A2782="","",IF(LEFT('Outro banco'!A2782,1)="(","",'Outro banco'!A2782))</f>
        <v/>
      </c>
      <c r="B2782" s="7" t="str">
        <f aca="false">IF(A2782="","",'Outro banco'!B2782)</f>
        <v/>
      </c>
      <c r="C2782" s="7" t="str">
        <f aca="false">IF(A2782="","",'Outro banco'!C2782)</f>
        <v/>
      </c>
      <c r="D2782" s="7" t="str">
        <f aca="false">IF(A2782="","",'Outro banco'!D2782)</f>
        <v/>
      </c>
      <c r="E2782" s="9"/>
      <c r="F2782" s="9"/>
      <c r="G2782" s="7" t="str">
        <f aca="false">IF(A2782="","",IF(COUNTIF(Tabelas!$A:$A,IF(E2782="",A2782,E2782))&gt;0,"sim","não"))</f>
        <v/>
      </c>
      <c r="H2782" s="7" t="str">
        <f aca="false">IF(A2782="","",IF(E2782="",A2782,E2782)&amp;"."&amp;IF(F2782="",B2782,F2782))</f>
        <v/>
      </c>
      <c r="I2782" s="7" t="str">
        <f aca="false">IF(A2782="","",IFERROR(INDEX('Campos Growths'!$F:$F,MATCH(H2782,'Campos Growths'!$A:$A,0)),""))</f>
        <v/>
      </c>
      <c r="J2782" s="7" t="str">
        <f aca="false">IF(A2782="","",IFERROR(VLOOKUP(IF(ISNUMBER(SEARCH("(",C2782)),LEFT(C2782,SEARCH("(",C2782)-1),C2782),Tipos!$A:$B,2,FALSE()),"outro"))</f>
        <v/>
      </c>
      <c r="K2782" s="7" t="str">
        <f aca="false">IF(I2782="","",IFERROR(INDEX('Campos Growths'!$L:$L,MATCH(H2782,'Campos Growths'!$A:$A,0)),""))</f>
        <v/>
      </c>
      <c r="L2782" s="7" t="str">
        <f aca="false">IF(A2782="","",IF(G2782="não","Sem tabela no Growths",IF(I2782="","Sem campo no Growths",IF(J2782=K2782,"Importa direto","Ajustar tipo"))))</f>
        <v/>
      </c>
      <c r="M2782" s="9"/>
    </row>
    <row r="2783" customFormat="false" ht="15" hidden="false" customHeight="false" outlineLevel="0" collapsed="false">
      <c r="A2783" s="7" t="str">
        <f aca="false">IF('Outro banco'!A2783="","",IF(LEFT('Outro banco'!A2783,1)="(","",'Outro banco'!A2783))</f>
        <v/>
      </c>
      <c r="B2783" s="7" t="str">
        <f aca="false">IF(A2783="","",'Outro banco'!B2783)</f>
        <v/>
      </c>
      <c r="C2783" s="7" t="str">
        <f aca="false">IF(A2783="","",'Outro banco'!C2783)</f>
        <v/>
      </c>
      <c r="D2783" s="7" t="str">
        <f aca="false">IF(A2783="","",'Outro banco'!D2783)</f>
        <v/>
      </c>
      <c r="E2783" s="9"/>
      <c r="F2783" s="9"/>
      <c r="G2783" s="7" t="str">
        <f aca="false">IF(A2783="","",IF(COUNTIF(Tabelas!$A:$A,IF(E2783="",A2783,E2783))&gt;0,"sim","não"))</f>
        <v/>
      </c>
      <c r="H2783" s="7" t="str">
        <f aca="false">IF(A2783="","",IF(E2783="",A2783,E2783)&amp;"."&amp;IF(F2783="",B2783,F2783))</f>
        <v/>
      </c>
      <c r="I2783" s="7" t="str">
        <f aca="false">IF(A2783="","",IFERROR(INDEX('Campos Growths'!$F:$F,MATCH(H2783,'Campos Growths'!$A:$A,0)),""))</f>
        <v/>
      </c>
      <c r="J2783" s="7" t="str">
        <f aca="false">IF(A2783="","",IFERROR(VLOOKUP(IF(ISNUMBER(SEARCH("(",C2783)),LEFT(C2783,SEARCH("(",C2783)-1),C2783),Tipos!$A:$B,2,FALSE()),"outro"))</f>
        <v/>
      </c>
      <c r="K2783" s="7" t="str">
        <f aca="false">IF(I2783="","",IFERROR(INDEX('Campos Growths'!$L:$L,MATCH(H2783,'Campos Growths'!$A:$A,0)),""))</f>
        <v/>
      </c>
      <c r="L2783" s="7" t="str">
        <f aca="false">IF(A2783="","",IF(G2783="não","Sem tabela no Growths",IF(I2783="","Sem campo no Growths",IF(J2783=K2783,"Importa direto","Ajustar tipo"))))</f>
        <v/>
      </c>
      <c r="M2783" s="9"/>
    </row>
    <row r="2784" customFormat="false" ht="15" hidden="false" customHeight="false" outlineLevel="0" collapsed="false">
      <c r="A2784" s="7" t="str">
        <f aca="false">IF('Outro banco'!A2784="","",IF(LEFT('Outro banco'!A2784,1)="(","",'Outro banco'!A2784))</f>
        <v/>
      </c>
      <c r="B2784" s="7" t="str">
        <f aca="false">IF(A2784="","",'Outro banco'!B2784)</f>
        <v/>
      </c>
      <c r="C2784" s="7" t="str">
        <f aca="false">IF(A2784="","",'Outro banco'!C2784)</f>
        <v/>
      </c>
      <c r="D2784" s="7" t="str">
        <f aca="false">IF(A2784="","",'Outro banco'!D2784)</f>
        <v/>
      </c>
      <c r="E2784" s="9"/>
      <c r="F2784" s="9"/>
      <c r="G2784" s="7" t="str">
        <f aca="false">IF(A2784="","",IF(COUNTIF(Tabelas!$A:$A,IF(E2784="",A2784,E2784))&gt;0,"sim","não"))</f>
        <v/>
      </c>
      <c r="H2784" s="7" t="str">
        <f aca="false">IF(A2784="","",IF(E2784="",A2784,E2784)&amp;"."&amp;IF(F2784="",B2784,F2784))</f>
        <v/>
      </c>
      <c r="I2784" s="7" t="str">
        <f aca="false">IF(A2784="","",IFERROR(INDEX('Campos Growths'!$F:$F,MATCH(H2784,'Campos Growths'!$A:$A,0)),""))</f>
        <v/>
      </c>
      <c r="J2784" s="7" t="str">
        <f aca="false">IF(A2784="","",IFERROR(VLOOKUP(IF(ISNUMBER(SEARCH("(",C2784)),LEFT(C2784,SEARCH("(",C2784)-1),C2784),Tipos!$A:$B,2,FALSE()),"outro"))</f>
        <v/>
      </c>
      <c r="K2784" s="7" t="str">
        <f aca="false">IF(I2784="","",IFERROR(INDEX('Campos Growths'!$L:$L,MATCH(H2784,'Campos Growths'!$A:$A,0)),""))</f>
        <v/>
      </c>
      <c r="L2784" s="7" t="str">
        <f aca="false">IF(A2784="","",IF(G2784="não","Sem tabela no Growths",IF(I2784="","Sem campo no Growths",IF(J2784=K2784,"Importa direto","Ajustar tipo"))))</f>
        <v/>
      </c>
      <c r="M2784" s="9"/>
    </row>
    <row r="2785" customFormat="false" ht="15" hidden="false" customHeight="false" outlineLevel="0" collapsed="false">
      <c r="A2785" s="7" t="str">
        <f aca="false">IF('Outro banco'!A2785="","",IF(LEFT('Outro banco'!A2785,1)="(","",'Outro banco'!A2785))</f>
        <v/>
      </c>
      <c r="B2785" s="7" t="str">
        <f aca="false">IF(A2785="","",'Outro banco'!B2785)</f>
        <v/>
      </c>
      <c r="C2785" s="7" t="str">
        <f aca="false">IF(A2785="","",'Outro banco'!C2785)</f>
        <v/>
      </c>
      <c r="D2785" s="7" t="str">
        <f aca="false">IF(A2785="","",'Outro banco'!D2785)</f>
        <v/>
      </c>
      <c r="E2785" s="9"/>
      <c r="F2785" s="9"/>
      <c r="G2785" s="7" t="str">
        <f aca="false">IF(A2785="","",IF(COUNTIF(Tabelas!$A:$A,IF(E2785="",A2785,E2785))&gt;0,"sim","não"))</f>
        <v/>
      </c>
      <c r="H2785" s="7" t="str">
        <f aca="false">IF(A2785="","",IF(E2785="",A2785,E2785)&amp;"."&amp;IF(F2785="",B2785,F2785))</f>
        <v/>
      </c>
      <c r="I2785" s="7" t="str">
        <f aca="false">IF(A2785="","",IFERROR(INDEX('Campos Growths'!$F:$F,MATCH(H2785,'Campos Growths'!$A:$A,0)),""))</f>
        <v/>
      </c>
      <c r="J2785" s="7" t="str">
        <f aca="false">IF(A2785="","",IFERROR(VLOOKUP(IF(ISNUMBER(SEARCH("(",C2785)),LEFT(C2785,SEARCH("(",C2785)-1),C2785),Tipos!$A:$B,2,FALSE()),"outro"))</f>
        <v/>
      </c>
      <c r="K2785" s="7" t="str">
        <f aca="false">IF(I2785="","",IFERROR(INDEX('Campos Growths'!$L:$L,MATCH(H2785,'Campos Growths'!$A:$A,0)),""))</f>
        <v/>
      </c>
      <c r="L2785" s="7" t="str">
        <f aca="false">IF(A2785="","",IF(G2785="não","Sem tabela no Growths",IF(I2785="","Sem campo no Growths",IF(J2785=K2785,"Importa direto","Ajustar tipo"))))</f>
        <v/>
      </c>
      <c r="M2785" s="9"/>
    </row>
    <row r="2786" customFormat="false" ht="15" hidden="false" customHeight="false" outlineLevel="0" collapsed="false">
      <c r="A2786" s="7" t="str">
        <f aca="false">IF('Outro banco'!A2786="","",IF(LEFT('Outro banco'!A2786,1)="(","",'Outro banco'!A2786))</f>
        <v/>
      </c>
      <c r="B2786" s="7" t="str">
        <f aca="false">IF(A2786="","",'Outro banco'!B2786)</f>
        <v/>
      </c>
      <c r="C2786" s="7" t="str">
        <f aca="false">IF(A2786="","",'Outro banco'!C2786)</f>
        <v/>
      </c>
      <c r="D2786" s="7" t="str">
        <f aca="false">IF(A2786="","",'Outro banco'!D2786)</f>
        <v/>
      </c>
      <c r="E2786" s="9"/>
      <c r="F2786" s="9"/>
      <c r="G2786" s="7" t="str">
        <f aca="false">IF(A2786="","",IF(COUNTIF(Tabelas!$A:$A,IF(E2786="",A2786,E2786))&gt;0,"sim","não"))</f>
        <v/>
      </c>
      <c r="H2786" s="7" t="str">
        <f aca="false">IF(A2786="","",IF(E2786="",A2786,E2786)&amp;"."&amp;IF(F2786="",B2786,F2786))</f>
        <v/>
      </c>
      <c r="I2786" s="7" t="str">
        <f aca="false">IF(A2786="","",IFERROR(INDEX('Campos Growths'!$F:$F,MATCH(H2786,'Campos Growths'!$A:$A,0)),""))</f>
        <v/>
      </c>
      <c r="J2786" s="7" t="str">
        <f aca="false">IF(A2786="","",IFERROR(VLOOKUP(IF(ISNUMBER(SEARCH("(",C2786)),LEFT(C2786,SEARCH("(",C2786)-1),C2786),Tipos!$A:$B,2,FALSE()),"outro"))</f>
        <v/>
      </c>
      <c r="K2786" s="7" t="str">
        <f aca="false">IF(I2786="","",IFERROR(INDEX('Campos Growths'!$L:$L,MATCH(H2786,'Campos Growths'!$A:$A,0)),""))</f>
        <v/>
      </c>
      <c r="L2786" s="7" t="str">
        <f aca="false">IF(A2786="","",IF(G2786="não","Sem tabela no Growths",IF(I2786="","Sem campo no Growths",IF(J2786=K2786,"Importa direto","Ajustar tipo"))))</f>
        <v/>
      </c>
      <c r="M2786" s="9"/>
    </row>
    <row r="2787" customFormat="false" ht="15" hidden="false" customHeight="false" outlineLevel="0" collapsed="false">
      <c r="A2787" s="7" t="str">
        <f aca="false">IF('Outro banco'!A2787="","",IF(LEFT('Outro banco'!A2787,1)="(","",'Outro banco'!A2787))</f>
        <v/>
      </c>
      <c r="B2787" s="7" t="str">
        <f aca="false">IF(A2787="","",'Outro banco'!B2787)</f>
        <v/>
      </c>
      <c r="C2787" s="7" t="str">
        <f aca="false">IF(A2787="","",'Outro banco'!C2787)</f>
        <v/>
      </c>
      <c r="D2787" s="7" t="str">
        <f aca="false">IF(A2787="","",'Outro banco'!D2787)</f>
        <v/>
      </c>
      <c r="E2787" s="9"/>
      <c r="F2787" s="9"/>
      <c r="G2787" s="7" t="str">
        <f aca="false">IF(A2787="","",IF(COUNTIF(Tabelas!$A:$A,IF(E2787="",A2787,E2787))&gt;0,"sim","não"))</f>
        <v/>
      </c>
      <c r="H2787" s="7" t="str">
        <f aca="false">IF(A2787="","",IF(E2787="",A2787,E2787)&amp;"."&amp;IF(F2787="",B2787,F2787))</f>
        <v/>
      </c>
      <c r="I2787" s="7" t="str">
        <f aca="false">IF(A2787="","",IFERROR(INDEX('Campos Growths'!$F:$F,MATCH(H2787,'Campos Growths'!$A:$A,0)),""))</f>
        <v/>
      </c>
      <c r="J2787" s="7" t="str">
        <f aca="false">IF(A2787="","",IFERROR(VLOOKUP(IF(ISNUMBER(SEARCH("(",C2787)),LEFT(C2787,SEARCH("(",C2787)-1),C2787),Tipos!$A:$B,2,FALSE()),"outro"))</f>
        <v/>
      </c>
      <c r="K2787" s="7" t="str">
        <f aca="false">IF(I2787="","",IFERROR(INDEX('Campos Growths'!$L:$L,MATCH(H2787,'Campos Growths'!$A:$A,0)),""))</f>
        <v/>
      </c>
      <c r="L2787" s="7" t="str">
        <f aca="false">IF(A2787="","",IF(G2787="não","Sem tabela no Growths",IF(I2787="","Sem campo no Growths",IF(J2787=K2787,"Importa direto","Ajustar tipo"))))</f>
        <v/>
      </c>
      <c r="M2787" s="9"/>
    </row>
    <row r="2788" customFormat="false" ht="15" hidden="false" customHeight="false" outlineLevel="0" collapsed="false">
      <c r="A2788" s="7" t="str">
        <f aca="false">IF('Outro banco'!A2788="","",IF(LEFT('Outro banco'!A2788,1)="(","",'Outro banco'!A2788))</f>
        <v/>
      </c>
      <c r="B2788" s="7" t="str">
        <f aca="false">IF(A2788="","",'Outro banco'!B2788)</f>
        <v/>
      </c>
      <c r="C2788" s="7" t="str">
        <f aca="false">IF(A2788="","",'Outro banco'!C2788)</f>
        <v/>
      </c>
      <c r="D2788" s="7" t="str">
        <f aca="false">IF(A2788="","",'Outro banco'!D2788)</f>
        <v/>
      </c>
      <c r="E2788" s="9"/>
      <c r="F2788" s="9"/>
      <c r="G2788" s="7" t="str">
        <f aca="false">IF(A2788="","",IF(COUNTIF(Tabelas!$A:$A,IF(E2788="",A2788,E2788))&gt;0,"sim","não"))</f>
        <v/>
      </c>
      <c r="H2788" s="7" t="str">
        <f aca="false">IF(A2788="","",IF(E2788="",A2788,E2788)&amp;"."&amp;IF(F2788="",B2788,F2788))</f>
        <v/>
      </c>
      <c r="I2788" s="7" t="str">
        <f aca="false">IF(A2788="","",IFERROR(INDEX('Campos Growths'!$F:$F,MATCH(H2788,'Campos Growths'!$A:$A,0)),""))</f>
        <v/>
      </c>
      <c r="J2788" s="7" t="str">
        <f aca="false">IF(A2788="","",IFERROR(VLOOKUP(IF(ISNUMBER(SEARCH("(",C2788)),LEFT(C2788,SEARCH("(",C2788)-1),C2788),Tipos!$A:$B,2,FALSE()),"outro"))</f>
        <v/>
      </c>
      <c r="K2788" s="7" t="str">
        <f aca="false">IF(I2788="","",IFERROR(INDEX('Campos Growths'!$L:$L,MATCH(H2788,'Campos Growths'!$A:$A,0)),""))</f>
        <v/>
      </c>
      <c r="L2788" s="7" t="str">
        <f aca="false">IF(A2788="","",IF(G2788="não","Sem tabela no Growths",IF(I2788="","Sem campo no Growths",IF(J2788=K2788,"Importa direto","Ajustar tipo"))))</f>
        <v/>
      </c>
      <c r="M2788" s="9"/>
    </row>
    <row r="2789" customFormat="false" ht="15" hidden="false" customHeight="false" outlineLevel="0" collapsed="false">
      <c r="A2789" s="7" t="str">
        <f aca="false">IF('Outro banco'!A2789="","",IF(LEFT('Outro banco'!A2789,1)="(","",'Outro banco'!A2789))</f>
        <v/>
      </c>
      <c r="B2789" s="7" t="str">
        <f aca="false">IF(A2789="","",'Outro banco'!B2789)</f>
        <v/>
      </c>
      <c r="C2789" s="7" t="str">
        <f aca="false">IF(A2789="","",'Outro banco'!C2789)</f>
        <v/>
      </c>
      <c r="D2789" s="7" t="str">
        <f aca="false">IF(A2789="","",'Outro banco'!D2789)</f>
        <v/>
      </c>
      <c r="E2789" s="9"/>
      <c r="F2789" s="9"/>
      <c r="G2789" s="7" t="str">
        <f aca="false">IF(A2789="","",IF(COUNTIF(Tabelas!$A:$A,IF(E2789="",A2789,E2789))&gt;0,"sim","não"))</f>
        <v/>
      </c>
      <c r="H2789" s="7" t="str">
        <f aca="false">IF(A2789="","",IF(E2789="",A2789,E2789)&amp;"."&amp;IF(F2789="",B2789,F2789))</f>
        <v/>
      </c>
      <c r="I2789" s="7" t="str">
        <f aca="false">IF(A2789="","",IFERROR(INDEX('Campos Growths'!$F:$F,MATCH(H2789,'Campos Growths'!$A:$A,0)),""))</f>
        <v/>
      </c>
      <c r="J2789" s="7" t="str">
        <f aca="false">IF(A2789="","",IFERROR(VLOOKUP(IF(ISNUMBER(SEARCH("(",C2789)),LEFT(C2789,SEARCH("(",C2789)-1),C2789),Tipos!$A:$B,2,FALSE()),"outro"))</f>
        <v/>
      </c>
      <c r="K2789" s="7" t="str">
        <f aca="false">IF(I2789="","",IFERROR(INDEX('Campos Growths'!$L:$L,MATCH(H2789,'Campos Growths'!$A:$A,0)),""))</f>
        <v/>
      </c>
      <c r="L2789" s="7" t="str">
        <f aca="false">IF(A2789="","",IF(G2789="não","Sem tabela no Growths",IF(I2789="","Sem campo no Growths",IF(J2789=K2789,"Importa direto","Ajustar tipo"))))</f>
        <v/>
      </c>
      <c r="M2789" s="9"/>
    </row>
    <row r="2790" customFormat="false" ht="15" hidden="false" customHeight="false" outlineLevel="0" collapsed="false">
      <c r="A2790" s="7" t="str">
        <f aca="false">IF('Outro banco'!A2790="","",IF(LEFT('Outro banco'!A2790,1)="(","",'Outro banco'!A2790))</f>
        <v/>
      </c>
      <c r="B2790" s="7" t="str">
        <f aca="false">IF(A2790="","",'Outro banco'!B2790)</f>
        <v/>
      </c>
      <c r="C2790" s="7" t="str">
        <f aca="false">IF(A2790="","",'Outro banco'!C2790)</f>
        <v/>
      </c>
      <c r="D2790" s="7" t="str">
        <f aca="false">IF(A2790="","",'Outro banco'!D2790)</f>
        <v/>
      </c>
      <c r="E2790" s="9"/>
      <c r="F2790" s="9"/>
      <c r="G2790" s="7" t="str">
        <f aca="false">IF(A2790="","",IF(COUNTIF(Tabelas!$A:$A,IF(E2790="",A2790,E2790))&gt;0,"sim","não"))</f>
        <v/>
      </c>
      <c r="H2790" s="7" t="str">
        <f aca="false">IF(A2790="","",IF(E2790="",A2790,E2790)&amp;"."&amp;IF(F2790="",B2790,F2790))</f>
        <v/>
      </c>
      <c r="I2790" s="7" t="str">
        <f aca="false">IF(A2790="","",IFERROR(INDEX('Campos Growths'!$F:$F,MATCH(H2790,'Campos Growths'!$A:$A,0)),""))</f>
        <v/>
      </c>
      <c r="J2790" s="7" t="str">
        <f aca="false">IF(A2790="","",IFERROR(VLOOKUP(IF(ISNUMBER(SEARCH("(",C2790)),LEFT(C2790,SEARCH("(",C2790)-1),C2790),Tipos!$A:$B,2,FALSE()),"outro"))</f>
        <v/>
      </c>
      <c r="K2790" s="7" t="str">
        <f aca="false">IF(I2790="","",IFERROR(INDEX('Campos Growths'!$L:$L,MATCH(H2790,'Campos Growths'!$A:$A,0)),""))</f>
        <v/>
      </c>
      <c r="L2790" s="7" t="str">
        <f aca="false">IF(A2790="","",IF(G2790="não","Sem tabela no Growths",IF(I2790="","Sem campo no Growths",IF(J2790=K2790,"Importa direto","Ajustar tipo"))))</f>
        <v/>
      </c>
      <c r="M2790" s="9"/>
    </row>
    <row r="2791" customFormat="false" ht="15" hidden="false" customHeight="false" outlineLevel="0" collapsed="false">
      <c r="A2791" s="7" t="str">
        <f aca="false">IF('Outro banco'!A2791="","",IF(LEFT('Outro banco'!A2791,1)="(","",'Outro banco'!A2791))</f>
        <v/>
      </c>
      <c r="B2791" s="7" t="str">
        <f aca="false">IF(A2791="","",'Outro banco'!B2791)</f>
        <v/>
      </c>
      <c r="C2791" s="7" t="str">
        <f aca="false">IF(A2791="","",'Outro banco'!C2791)</f>
        <v/>
      </c>
      <c r="D2791" s="7" t="str">
        <f aca="false">IF(A2791="","",'Outro banco'!D2791)</f>
        <v/>
      </c>
      <c r="E2791" s="9"/>
      <c r="F2791" s="9"/>
      <c r="G2791" s="7" t="str">
        <f aca="false">IF(A2791="","",IF(COUNTIF(Tabelas!$A:$A,IF(E2791="",A2791,E2791))&gt;0,"sim","não"))</f>
        <v/>
      </c>
      <c r="H2791" s="7" t="str">
        <f aca="false">IF(A2791="","",IF(E2791="",A2791,E2791)&amp;"."&amp;IF(F2791="",B2791,F2791))</f>
        <v/>
      </c>
      <c r="I2791" s="7" t="str">
        <f aca="false">IF(A2791="","",IFERROR(INDEX('Campos Growths'!$F:$F,MATCH(H2791,'Campos Growths'!$A:$A,0)),""))</f>
        <v/>
      </c>
      <c r="J2791" s="7" t="str">
        <f aca="false">IF(A2791="","",IFERROR(VLOOKUP(IF(ISNUMBER(SEARCH("(",C2791)),LEFT(C2791,SEARCH("(",C2791)-1),C2791),Tipos!$A:$B,2,FALSE()),"outro"))</f>
        <v/>
      </c>
      <c r="K2791" s="7" t="str">
        <f aca="false">IF(I2791="","",IFERROR(INDEX('Campos Growths'!$L:$L,MATCH(H2791,'Campos Growths'!$A:$A,0)),""))</f>
        <v/>
      </c>
      <c r="L2791" s="7" t="str">
        <f aca="false">IF(A2791="","",IF(G2791="não","Sem tabela no Growths",IF(I2791="","Sem campo no Growths",IF(J2791=K2791,"Importa direto","Ajustar tipo"))))</f>
        <v/>
      </c>
      <c r="M2791" s="9"/>
    </row>
    <row r="2792" customFormat="false" ht="15" hidden="false" customHeight="false" outlineLevel="0" collapsed="false">
      <c r="A2792" s="7" t="str">
        <f aca="false">IF('Outro banco'!A2792="","",IF(LEFT('Outro banco'!A2792,1)="(","",'Outro banco'!A2792))</f>
        <v/>
      </c>
      <c r="B2792" s="7" t="str">
        <f aca="false">IF(A2792="","",'Outro banco'!B2792)</f>
        <v/>
      </c>
      <c r="C2792" s="7" t="str">
        <f aca="false">IF(A2792="","",'Outro banco'!C2792)</f>
        <v/>
      </c>
      <c r="D2792" s="7" t="str">
        <f aca="false">IF(A2792="","",'Outro banco'!D2792)</f>
        <v/>
      </c>
      <c r="E2792" s="9"/>
      <c r="F2792" s="9"/>
      <c r="G2792" s="7" t="str">
        <f aca="false">IF(A2792="","",IF(COUNTIF(Tabelas!$A:$A,IF(E2792="",A2792,E2792))&gt;0,"sim","não"))</f>
        <v/>
      </c>
      <c r="H2792" s="7" t="str">
        <f aca="false">IF(A2792="","",IF(E2792="",A2792,E2792)&amp;"."&amp;IF(F2792="",B2792,F2792))</f>
        <v/>
      </c>
      <c r="I2792" s="7" t="str">
        <f aca="false">IF(A2792="","",IFERROR(INDEX('Campos Growths'!$F:$F,MATCH(H2792,'Campos Growths'!$A:$A,0)),""))</f>
        <v/>
      </c>
      <c r="J2792" s="7" t="str">
        <f aca="false">IF(A2792="","",IFERROR(VLOOKUP(IF(ISNUMBER(SEARCH("(",C2792)),LEFT(C2792,SEARCH("(",C2792)-1),C2792),Tipos!$A:$B,2,FALSE()),"outro"))</f>
        <v/>
      </c>
      <c r="K2792" s="7" t="str">
        <f aca="false">IF(I2792="","",IFERROR(INDEX('Campos Growths'!$L:$L,MATCH(H2792,'Campos Growths'!$A:$A,0)),""))</f>
        <v/>
      </c>
      <c r="L2792" s="7" t="str">
        <f aca="false">IF(A2792="","",IF(G2792="não","Sem tabela no Growths",IF(I2792="","Sem campo no Growths",IF(J2792=K2792,"Importa direto","Ajustar tipo"))))</f>
        <v/>
      </c>
      <c r="M2792" s="9"/>
    </row>
    <row r="2793" customFormat="false" ht="15" hidden="false" customHeight="false" outlineLevel="0" collapsed="false">
      <c r="A2793" s="7" t="str">
        <f aca="false">IF('Outro banco'!A2793="","",IF(LEFT('Outro banco'!A2793,1)="(","",'Outro banco'!A2793))</f>
        <v/>
      </c>
      <c r="B2793" s="7" t="str">
        <f aca="false">IF(A2793="","",'Outro banco'!B2793)</f>
        <v/>
      </c>
      <c r="C2793" s="7" t="str">
        <f aca="false">IF(A2793="","",'Outro banco'!C2793)</f>
        <v/>
      </c>
      <c r="D2793" s="7" t="str">
        <f aca="false">IF(A2793="","",'Outro banco'!D2793)</f>
        <v/>
      </c>
      <c r="E2793" s="9"/>
      <c r="F2793" s="9"/>
      <c r="G2793" s="7" t="str">
        <f aca="false">IF(A2793="","",IF(COUNTIF(Tabelas!$A:$A,IF(E2793="",A2793,E2793))&gt;0,"sim","não"))</f>
        <v/>
      </c>
      <c r="H2793" s="7" t="str">
        <f aca="false">IF(A2793="","",IF(E2793="",A2793,E2793)&amp;"."&amp;IF(F2793="",B2793,F2793))</f>
        <v/>
      </c>
      <c r="I2793" s="7" t="str">
        <f aca="false">IF(A2793="","",IFERROR(INDEX('Campos Growths'!$F:$F,MATCH(H2793,'Campos Growths'!$A:$A,0)),""))</f>
        <v/>
      </c>
      <c r="J2793" s="7" t="str">
        <f aca="false">IF(A2793="","",IFERROR(VLOOKUP(IF(ISNUMBER(SEARCH("(",C2793)),LEFT(C2793,SEARCH("(",C2793)-1),C2793),Tipos!$A:$B,2,FALSE()),"outro"))</f>
        <v/>
      </c>
      <c r="K2793" s="7" t="str">
        <f aca="false">IF(I2793="","",IFERROR(INDEX('Campos Growths'!$L:$L,MATCH(H2793,'Campos Growths'!$A:$A,0)),""))</f>
        <v/>
      </c>
      <c r="L2793" s="7" t="str">
        <f aca="false">IF(A2793="","",IF(G2793="não","Sem tabela no Growths",IF(I2793="","Sem campo no Growths",IF(J2793=K2793,"Importa direto","Ajustar tipo"))))</f>
        <v/>
      </c>
      <c r="M2793" s="9"/>
    </row>
    <row r="2794" customFormat="false" ht="15" hidden="false" customHeight="false" outlineLevel="0" collapsed="false">
      <c r="A2794" s="7" t="str">
        <f aca="false">IF('Outro banco'!A2794="","",IF(LEFT('Outro banco'!A2794,1)="(","",'Outro banco'!A2794))</f>
        <v/>
      </c>
      <c r="B2794" s="7" t="str">
        <f aca="false">IF(A2794="","",'Outro banco'!B2794)</f>
        <v/>
      </c>
      <c r="C2794" s="7" t="str">
        <f aca="false">IF(A2794="","",'Outro banco'!C2794)</f>
        <v/>
      </c>
      <c r="D2794" s="7" t="str">
        <f aca="false">IF(A2794="","",'Outro banco'!D2794)</f>
        <v/>
      </c>
      <c r="E2794" s="9"/>
      <c r="F2794" s="9"/>
      <c r="G2794" s="7" t="str">
        <f aca="false">IF(A2794="","",IF(COUNTIF(Tabelas!$A:$A,IF(E2794="",A2794,E2794))&gt;0,"sim","não"))</f>
        <v/>
      </c>
      <c r="H2794" s="7" t="str">
        <f aca="false">IF(A2794="","",IF(E2794="",A2794,E2794)&amp;"."&amp;IF(F2794="",B2794,F2794))</f>
        <v/>
      </c>
      <c r="I2794" s="7" t="str">
        <f aca="false">IF(A2794="","",IFERROR(INDEX('Campos Growths'!$F:$F,MATCH(H2794,'Campos Growths'!$A:$A,0)),""))</f>
        <v/>
      </c>
      <c r="J2794" s="7" t="str">
        <f aca="false">IF(A2794="","",IFERROR(VLOOKUP(IF(ISNUMBER(SEARCH("(",C2794)),LEFT(C2794,SEARCH("(",C2794)-1),C2794),Tipos!$A:$B,2,FALSE()),"outro"))</f>
        <v/>
      </c>
      <c r="K2794" s="7" t="str">
        <f aca="false">IF(I2794="","",IFERROR(INDEX('Campos Growths'!$L:$L,MATCH(H2794,'Campos Growths'!$A:$A,0)),""))</f>
        <v/>
      </c>
      <c r="L2794" s="7" t="str">
        <f aca="false">IF(A2794="","",IF(G2794="não","Sem tabela no Growths",IF(I2794="","Sem campo no Growths",IF(J2794=K2794,"Importa direto","Ajustar tipo"))))</f>
        <v/>
      </c>
      <c r="M2794" s="9"/>
    </row>
    <row r="2795" customFormat="false" ht="15" hidden="false" customHeight="false" outlineLevel="0" collapsed="false">
      <c r="A2795" s="7" t="str">
        <f aca="false">IF('Outro banco'!A2795="","",IF(LEFT('Outro banco'!A2795,1)="(","",'Outro banco'!A2795))</f>
        <v/>
      </c>
      <c r="B2795" s="7" t="str">
        <f aca="false">IF(A2795="","",'Outro banco'!B2795)</f>
        <v/>
      </c>
      <c r="C2795" s="7" t="str">
        <f aca="false">IF(A2795="","",'Outro banco'!C2795)</f>
        <v/>
      </c>
      <c r="D2795" s="7" t="str">
        <f aca="false">IF(A2795="","",'Outro banco'!D2795)</f>
        <v/>
      </c>
      <c r="E2795" s="9"/>
      <c r="F2795" s="9"/>
      <c r="G2795" s="7" t="str">
        <f aca="false">IF(A2795="","",IF(COUNTIF(Tabelas!$A:$A,IF(E2795="",A2795,E2795))&gt;0,"sim","não"))</f>
        <v/>
      </c>
      <c r="H2795" s="7" t="str">
        <f aca="false">IF(A2795="","",IF(E2795="",A2795,E2795)&amp;"."&amp;IF(F2795="",B2795,F2795))</f>
        <v/>
      </c>
      <c r="I2795" s="7" t="str">
        <f aca="false">IF(A2795="","",IFERROR(INDEX('Campos Growths'!$F:$F,MATCH(H2795,'Campos Growths'!$A:$A,0)),""))</f>
        <v/>
      </c>
      <c r="J2795" s="7" t="str">
        <f aca="false">IF(A2795="","",IFERROR(VLOOKUP(IF(ISNUMBER(SEARCH("(",C2795)),LEFT(C2795,SEARCH("(",C2795)-1),C2795),Tipos!$A:$B,2,FALSE()),"outro"))</f>
        <v/>
      </c>
      <c r="K2795" s="7" t="str">
        <f aca="false">IF(I2795="","",IFERROR(INDEX('Campos Growths'!$L:$L,MATCH(H2795,'Campos Growths'!$A:$A,0)),""))</f>
        <v/>
      </c>
      <c r="L2795" s="7" t="str">
        <f aca="false">IF(A2795="","",IF(G2795="não","Sem tabela no Growths",IF(I2795="","Sem campo no Growths",IF(J2795=K2795,"Importa direto","Ajustar tipo"))))</f>
        <v/>
      </c>
      <c r="M2795" s="9"/>
    </row>
    <row r="2796" customFormat="false" ht="15" hidden="false" customHeight="false" outlineLevel="0" collapsed="false">
      <c r="A2796" s="7" t="str">
        <f aca="false">IF('Outro banco'!A2796="","",IF(LEFT('Outro banco'!A2796,1)="(","",'Outro banco'!A2796))</f>
        <v/>
      </c>
      <c r="B2796" s="7" t="str">
        <f aca="false">IF(A2796="","",'Outro banco'!B2796)</f>
        <v/>
      </c>
      <c r="C2796" s="7" t="str">
        <f aca="false">IF(A2796="","",'Outro banco'!C2796)</f>
        <v/>
      </c>
      <c r="D2796" s="7" t="str">
        <f aca="false">IF(A2796="","",'Outro banco'!D2796)</f>
        <v/>
      </c>
      <c r="E2796" s="9"/>
      <c r="F2796" s="9"/>
      <c r="G2796" s="7" t="str">
        <f aca="false">IF(A2796="","",IF(COUNTIF(Tabelas!$A:$A,IF(E2796="",A2796,E2796))&gt;0,"sim","não"))</f>
        <v/>
      </c>
      <c r="H2796" s="7" t="str">
        <f aca="false">IF(A2796="","",IF(E2796="",A2796,E2796)&amp;"."&amp;IF(F2796="",B2796,F2796))</f>
        <v/>
      </c>
      <c r="I2796" s="7" t="str">
        <f aca="false">IF(A2796="","",IFERROR(INDEX('Campos Growths'!$F:$F,MATCH(H2796,'Campos Growths'!$A:$A,0)),""))</f>
        <v/>
      </c>
      <c r="J2796" s="7" t="str">
        <f aca="false">IF(A2796="","",IFERROR(VLOOKUP(IF(ISNUMBER(SEARCH("(",C2796)),LEFT(C2796,SEARCH("(",C2796)-1),C2796),Tipos!$A:$B,2,FALSE()),"outro"))</f>
        <v/>
      </c>
      <c r="K2796" s="7" t="str">
        <f aca="false">IF(I2796="","",IFERROR(INDEX('Campos Growths'!$L:$L,MATCH(H2796,'Campos Growths'!$A:$A,0)),""))</f>
        <v/>
      </c>
      <c r="L2796" s="7" t="str">
        <f aca="false">IF(A2796="","",IF(G2796="não","Sem tabela no Growths",IF(I2796="","Sem campo no Growths",IF(J2796=K2796,"Importa direto","Ajustar tipo"))))</f>
        <v/>
      </c>
      <c r="M2796" s="9"/>
    </row>
    <row r="2797" customFormat="false" ht="15" hidden="false" customHeight="false" outlineLevel="0" collapsed="false">
      <c r="A2797" s="7" t="str">
        <f aca="false">IF('Outro banco'!A2797="","",IF(LEFT('Outro banco'!A2797,1)="(","",'Outro banco'!A2797))</f>
        <v/>
      </c>
      <c r="B2797" s="7" t="str">
        <f aca="false">IF(A2797="","",'Outro banco'!B2797)</f>
        <v/>
      </c>
      <c r="C2797" s="7" t="str">
        <f aca="false">IF(A2797="","",'Outro banco'!C2797)</f>
        <v/>
      </c>
      <c r="D2797" s="7" t="str">
        <f aca="false">IF(A2797="","",'Outro banco'!D2797)</f>
        <v/>
      </c>
      <c r="E2797" s="9"/>
      <c r="F2797" s="9"/>
      <c r="G2797" s="7" t="str">
        <f aca="false">IF(A2797="","",IF(COUNTIF(Tabelas!$A:$A,IF(E2797="",A2797,E2797))&gt;0,"sim","não"))</f>
        <v/>
      </c>
      <c r="H2797" s="7" t="str">
        <f aca="false">IF(A2797="","",IF(E2797="",A2797,E2797)&amp;"."&amp;IF(F2797="",B2797,F2797))</f>
        <v/>
      </c>
      <c r="I2797" s="7" t="str">
        <f aca="false">IF(A2797="","",IFERROR(INDEX('Campos Growths'!$F:$F,MATCH(H2797,'Campos Growths'!$A:$A,0)),""))</f>
        <v/>
      </c>
      <c r="J2797" s="7" t="str">
        <f aca="false">IF(A2797="","",IFERROR(VLOOKUP(IF(ISNUMBER(SEARCH("(",C2797)),LEFT(C2797,SEARCH("(",C2797)-1),C2797),Tipos!$A:$B,2,FALSE()),"outro"))</f>
        <v/>
      </c>
      <c r="K2797" s="7" t="str">
        <f aca="false">IF(I2797="","",IFERROR(INDEX('Campos Growths'!$L:$L,MATCH(H2797,'Campos Growths'!$A:$A,0)),""))</f>
        <v/>
      </c>
      <c r="L2797" s="7" t="str">
        <f aca="false">IF(A2797="","",IF(G2797="não","Sem tabela no Growths",IF(I2797="","Sem campo no Growths",IF(J2797=K2797,"Importa direto","Ajustar tipo"))))</f>
        <v/>
      </c>
      <c r="M2797" s="9"/>
    </row>
    <row r="2798" customFormat="false" ht="15" hidden="false" customHeight="false" outlineLevel="0" collapsed="false">
      <c r="A2798" s="7" t="str">
        <f aca="false">IF('Outro banco'!A2798="","",IF(LEFT('Outro banco'!A2798,1)="(","",'Outro banco'!A2798))</f>
        <v/>
      </c>
      <c r="B2798" s="7" t="str">
        <f aca="false">IF(A2798="","",'Outro banco'!B2798)</f>
        <v/>
      </c>
      <c r="C2798" s="7" t="str">
        <f aca="false">IF(A2798="","",'Outro banco'!C2798)</f>
        <v/>
      </c>
      <c r="D2798" s="7" t="str">
        <f aca="false">IF(A2798="","",'Outro banco'!D2798)</f>
        <v/>
      </c>
      <c r="E2798" s="9"/>
      <c r="F2798" s="9"/>
      <c r="G2798" s="7" t="str">
        <f aca="false">IF(A2798="","",IF(COUNTIF(Tabelas!$A:$A,IF(E2798="",A2798,E2798))&gt;0,"sim","não"))</f>
        <v/>
      </c>
      <c r="H2798" s="7" t="str">
        <f aca="false">IF(A2798="","",IF(E2798="",A2798,E2798)&amp;"."&amp;IF(F2798="",B2798,F2798))</f>
        <v/>
      </c>
      <c r="I2798" s="7" t="str">
        <f aca="false">IF(A2798="","",IFERROR(INDEX('Campos Growths'!$F:$F,MATCH(H2798,'Campos Growths'!$A:$A,0)),""))</f>
        <v/>
      </c>
      <c r="J2798" s="7" t="str">
        <f aca="false">IF(A2798="","",IFERROR(VLOOKUP(IF(ISNUMBER(SEARCH("(",C2798)),LEFT(C2798,SEARCH("(",C2798)-1),C2798),Tipos!$A:$B,2,FALSE()),"outro"))</f>
        <v/>
      </c>
      <c r="K2798" s="7" t="str">
        <f aca="false">IF(I2798="","",IFERROR(INDEX('Campos Growths'!$L:$L,MATCH(H2798,'Campos Growths'!$A:$A,0)),""))</f>
        <v/>
      </c>
      <c r="L2798" s="7" t="str">
        <f aca="false">IF(A2798="","",IF(G2798="não","Sem tabela no Growths",IF(I2798="","Sem campo no Growths",IF(J2798=K2798,"Importa direto","Ajustar tipo"))))</f>
        <v/>
      </c>
      <c r="M2798" s="9"/>
    </row>
    <row r="2799" customFormat="false" ht="15" hidden="false" customHeight="false" outlineLevel="0" collapsed="false">
      <c r="A2799" s="7" t="str">
        <f aca="false">IF('Outro banco'!A2799="","",IF(LEFT('Outro banco'!A2799,1)="(","",'Outro banco'!A2799))</f>
        <v/>
      </c>
      <c r="B2799" s="7" t="str">
        <f aca="false">IF(A2799="","",'Outro banco'!B2799)</f>
        <v/>
      </c>
      <c r="C2799" s="7" t="str">
        <f aca="false">IF(A2799="","",'Outro banco'!C2799)</f>
        <v/>
      </c>
      <c r="D2799" s="7" t="str">
        <f aca="false">IF(A2799="","",'Outro banco'!D2799)</f>
        <v/>
      </c>
      <c r="E2799" s="9"/>
      <c r="F2799" s="9"/>
      <c r="G2799" s="7" t="str">
        <f aca="false">IF(A2799="","",IF(COUNTIF(Tabelas!$A:$A,IF(E2799="",A2799,E2799))&gt;0,"sim","não"))</f>
        <v/>
      </c>
      <c r="H2799" s="7" t="str">
        <f aca="false">IF(A2799="","",IF(E2799="",A2799,E2799)&amp;"."&amp;IF(F2799="",B2799,F2799))</f>
        <v/>
      </c>
      <c r="I2799" s="7" t="str">
        <f aca="false">IF(A2799="","",IFERROR(INDEX('Campos Growths'!$F:$F,MATCH(H2799,'Campos Growths'!$A:$A,0)),""))</f>
        <v/>
      </c>
      <c r="J2799" s="7" t="str">
        <f aca="false">IF(A2799="","",IFERROR(VLOOKUP(IF(ISNUMBER(SEARCH("(",C2799)),LEFT(C2799,SEARCH("(",C2799)-1),C2799),Tipos!$A:$B,2,FALSE()),"outro"))</f>
        <v/>
      </c>
      <c r="K2799" s="7" t="str">
        <f aca="false">IF(I2799="","",IFERROR(INDEX('Campos Growths'!$L:$L,MATCH(H2799,'Campos Growths'!$A:$A,0)),""))</f>
        <v/>
      </c>
      <c r="L2799" s="7" t="str">
        <f aca="false">IF(A2799="","",IF(G2799="não","Sem tabela no Growths",IF(I2799="","Sem campo no Growths",IF(J2799=K2799,"Importa direto","Ajustar tipo"))))</f>
        <v/>
      </c>
      <c r="M2799" s="9"/>
    </row>
    <row r="2800" customFormat="false" ht="15" hidden="false" customHeight="false" outlineLevel="0" collapsed="false">
      <c r="A2800" s="7" t="str">
        <f aca="false">IF('Outro banco'!A2800="","",IF(LEFT('Outro banco'!A2800,1)="(","",'Outro banco'!A2800))</f>
        <v/>
      </c>
      <c r="B2800" s="7" t="str">
        <f aca="false">IF(A2800="","",'Outro banco'!B2800)</f>
        <v/>
      </c>
      <c r="C2800" s="7" t="str">
        <f aca="false">IF(A2800="","",'Outro banco'!C2800)</f>
        <v/>
      </c>
      <c r="D2800" s="7" t="str">
        <f aca="false">IF(A2800="","",'Outro banco'!D2800)</f>
        <v/>
      </c>
      <c r="E2800" s="9"/>
      <c r="F2800" s="9"/>
      <c r="G2800" s="7" t="str">
        <f aca="false">IF(A2800="","",IF(COUNTIF(Tabelas!$A:$A,IF(E2800="",A2800,E2800))&gt;0,"sim","não"))</f>
        <v/>
      </c>
      <c r="H2800" s="7" t="str">
        <f aca="false">IF(A2800="","",IF(E2800="",A2800,E2800)&amp;"."&amp;IF(F2800="",B2800,F2800))</f>
        <v/>
      </c>
      <c r="I2800" s="7" t="str">
        <f aca="false">IF(A2800="","",IFERROR(INDEX('Campos Growths'!$F:$F,MATCH(H2800,'Campos Growths'!$A:$A,0)),""))</f>
        <v/>
      </c>
      <c r="J2800" s="7" t="str">
        <f aca="false">IF(A2800="","",IFERROR(VLOOKUP(IF(ISNUMBER(SEARCH("(",C2800)),LEFT(C2800,SEARCH("(",C2800)-1),C2800),Tipos!$A:$B,2,FALSE()),"outro"))</f>
        <v/>
      </c>
      <c r="K2800" s="7" t="str">
        <f aca="false">IF(I2800="","",IFERROR(INDEX('Campos Growths'!$L:$L,MATCH(H2800,'Campos Growths'!$A:$A,0)),""))</f>
        <v/>
      </c>
      <c r="L2800" s="7" t="str">
        <f aca="false">IF(A2800="","",IF(G2800="não","Sem tabela no Growths",IF(I2800="","Sem campo no Growths",IF(J2800=K2800,"Importa direto","Ajustar tipo"))))</f>
        <v/>
      </c>
      <c r="M2800" s="9"/>
    </row>
    <row r="2801" customFormat="false" ht="15" hidden="false" customHeight="false" outlineLevel="0" collapsed="false">
      <c r="A2801" s="7" t="str">
        <f aca="false">IF('Outro banco'!A2801="","",IF(LEFT('Outro banco'!A2801,1)="(","",'Outro banco'!A2801))</f>
        <v/>
      </c>
      <c r="B2801" s="7" t="str">
        <f aca="false">IF(A2801="","",'Outro banco'!B2801)</f>
        <v/>
      </c>
      <c r="C2801" s="7" t="str">
        <f aca="false">IF(A2801="","",'Outro banco'!C2801)</f>
        <v/>
      </c>
      <c r="D2801" s="7" t="str">
        <f aca="false">IF(A2801="","",'Outro banco'!D2801)</f>
        <v/>
      </c>
      <c r="E2801" s="9"/>
      <c r="F2801" s="9"/>
      <c r="G2801" s="7" t="str">
        <f aca="false">IF(A2801="","",IF(COUNTIF(Tabelas!$A:$A,IF(E2801="",A2801,E2801))&gt;0,"sim","não"))</f>
        <v/>
      </c>
      <c r="H2801" s="7" t="str">
        <f aca="false">IF(A2801="","",IF(E2801="",A2801,E2801)&amp;"."&amp;IF(F2801="",B2801,F2801))</f>
        <v/>
      </c>
      <c r="I2801" s="7" t="str">
        <f aca="false">IF(A2801="","",IFERROR(INDEX('Campos Growths'!$F:$F,MATCH(H2801,'Campos Growths'!$A:$A,0)),""))</f>
        <v/>
      </c>
      <c r="J2801" s="7" t="str">
        <f aca="false">IF(A2801="","",IFERROR(VLOOKUP(IF(ISNUMBER(SEARCH("(",C2801)),LEFT(C2801,SEARCH("(",C2801)-1),C2801),Tipos!$A:$B,2,FALSE()),"outro"))</f>
        <v/>
      </c>
      <c r="K2801" s="7" t="str">
        <f aca="false">IF(I2801="","",IFERROR(INDEX('Campos Growths'!$L:$L,MATCH(H2801,'Campos Growths'!$A:$A,0)),""))</f>
        <v/>
      </c>
      <c r="L2801" s="7" t="str">
        <f aca="false">IF(A2801="","",IF(G2801="não","Sem tabela no Growths",IF(I2801="","Sem campo no Growths",IF(J2801=K2801,"Importa direto","Ajustar tipo"))))</f>
        <v/>
      </c>
      <c r="M2801" s="9"/>
    </row>
    <row r="2802" customFormat="false" ht="15" hidden="false" customHeight="false" outlineLevel="0" collapsed="false">
      <c r="A2802" s="7" t="str">
        <f aca="false">IF('Outro banco'!A2802="","",IF(LEFT('Outro banco'!A2802,1)="(","",'Outro banco'!A2802))</f>
        <v/>
      </c>
      <c r="B2802" s="7" t="str">
        <f aca="false">IF(A2802="","",'Outro banco'!B2802)</f>
        <v/>
      </c>
      <c r="C2802" s="7" t="str">
        <f aca="false">IF(A2802="","",'Outro banco'!C2802)</f>
        <v/>
      </c>
      <c r="D2802" s="7" t="str">
        <f aca="false">IF(A2802="","",'Outro banco'!D2802)</f>
        <v/>
      </c>
      <c r="E2802" s="9"/>
      <c r="F2802" s="9"/>
      <c r="G2802" s="7" t="str">
        <f aca="false">IF(A2802="","",IF(COUNTIF(Tabelas!$A:$A,IF(E2802="",A2802,E2802))&gt;0,"sim","não"))</f>
        <v/>
      </c>
      <c r="H2802" s="7" t="str">
        <f aca="false">IF(A2802="","",IF(E2802="",A2802,E2802)&amp;"."&amp;IF(F2802="",B2802,F2802))</f>
        <v/>
      </c>
      <c r="I2802" s="7" t="str">
        <f aca="false">IF(A2802="","",IFERROR(INDEX('Campos Growths'!$F:$F,MATCH(H2802,'Campos Growths'!$A:$A,0)),""))</f>
        <v/>
      </c>
      <c r="J2802" s="7" t="str">
        <f aca="false">IF(A2802="","",IFERROR(VLOOKUP(IF(ISNUMBER(SEARCH("(",C2802)),LEFT(C2802,SEARCH("(",C2802)-1),C2802),Tipos!$A:$B,2,FALSE()),"outro"))</f>
        <v/>
      </c>
      <c r="K2802" s="7" t="str">
        <f aca="false">IF(I2802="","",IFERROR(INDEX('Campos Growths'!$L:$L,MATCH(H2802,'Campos Growths'!$A:$A,0)),""))</f>
        <v/>
      </c>
      <c r="L2802" s="7" t="str">
        <f aca="false">IF(A2802="","",IF(G2802="não","Sem tabela no Growths",IF(I2802="","Sem campo no Growths",IF(J2802=K2802,"Importa direto","Ajustar tipo"))))</f>
        <v/>
      </c>
      <c r="M2802" s="9"/>
    </row>
    <row r="2803" customFormat="false" ht="15" hidden="false" customHeight="false" outlineLevel="0" collapsed="false">
      <c r="A2803" s="7" t="str">
        <f aca="false">IF('Outro banco'!A2803="","",IF(LEFT('Outro banco'!A2803,1)="(","",'Outro banco'!A2803))</f>
        <v/>
      </c>
      <c r="B2803" s="7" t="str">
        <f aca="false">IF(A2803="","",'Outro banco'!B2803)</f>
        <v/>
      </c>
      <c r="C2803" s="7" t="str">
        <f aca="false">IF(A2803="","",'Outro banco'!C2803)</f>
        <v/>
      </c>
      <c r="D2803" s="7" t="str">
        <f aca="false">IF(A2803="","",'Outro banco'!D2803)</f>
        <v/>
      </c>
      <c r="E2803" s="9"/>
      <c r="F2803" s="9"/>
      <c r="G2803" s="7" t="str">
        <f aca="false">IF(A2803="","",IF(COUNTIF(Tabelas!$A:$A,IF(E2803="",A2803,E2803))&gt;0,"sim","não"))</f>
        <v/>
      </c>
      <c r="H2803" s="7" t="str">
        <f aca="false">IF(A2803="","",IF(E2803="",A2803,E2803)&amp;"."&amp;IF(F2803="",B2803,F2803))</f>
        <v/>
      </c>
      <c r="I2803" s="7" t="str">
        <f aca="false">IF(A2803="","",IFERROR(INDEX('Campos Growths'!$F:$F,MATCH(H2803,'Campos Growths'!$A:$A,0)),""))</f>
        <v/>
      </c>
      <c r="J2803" s="7" t="str">
        <f aca="false">IF(A2803="","",IFERROR(VLOOKUP(IF(ISNUMBER(SEARCH("(",C2803)),LEFT(C2803,SEARCH("(",C2803)-1),C2803),Tipos!$A:$B,2,FALSE()),"outro"))</f>
        <v/>
      </c>
      <c r="K2803" s="7" t="str">
        <f aca="false">IF(I2803="","",IFERROR(INDEX('Campos Growths'!$L:$L,MATCH(H2803,'Campos Growths'!$A:$A,0)),""))</f>
        <v/>
      </c>
      <c r="L2803" s="7" t="str">
        <f aca="false">IF(A2803="","",IF(G2803="não","Sem tabela no Growths",IF(I2803="","Sem campo no Growths",IF(J2803=K2803,"Importa direto","Ajustar tipo"))))</f>
        <v/>
      </c>
      <c r="M2803" s="9"/>
    </row>
    <row r="2804" customFormat="false" ht="15" hidden="false" customHeight="false" outlineLevel="0" collapsed="false">
      <c r="A2804" s="7" t="str">
        <f aca="false">IF('Outro banco'!A2804="","",IF(LEFT('Outro banco'!A2804,1)="(","",'Outro banco'!A2804))</f>
        <v/>
      </c>
      <c r="B2804" s="7" t="str">
        <f aca="false">IF(A2804="","",'Outro banco'!B2804)</f>
        <v/>
      </c>
      <c r="C2804" s="7" t="str">
        <f aca="false">IF(A2804="","",'Outro banco'!C2804)</f>
        <v/>
      </c>
      <c r="D2804" s="7" t="str">
        <f aca="false">IF(A2804="","",'Outro banco'!D2804)</f>
        <v/>
      </c>
      <c r="E2804" s="9"/>
      <c r="F2804" s="9"/>
      <c r="G2804" s="7" t="str">
        <f aca="false">IF(A2804="","",IF(COUNTIF(Tabelas!$A:$A,IF(E2804="",A2804,E2804))&gt;0,"sim","não"))</f>
        <v/>
      </c>
      <c r="H2804" s="7" t="str">
        <f aca="false">IF(A2804="","",IF(E2804="",A2804,E2804)&amp;"."&amp;IF(F2804="",B2804,F2804))</f>
        <v/>
      </c>
      <c r="I2804" s="7" t="str">
        <f aca="false">IF(A2804="","",IFERROR(INDEX('Campos Growths'!$F:$F,MATCH(H2804,'Campos Growths'!$A:$A,0)),""))</f>
        <v/>
      </c>
      <c r="J2804" s="7" t="str">
        <f aca="false">IF(A2804="","",IFERROR(VLOOKUP(IF(ISNUMBER(SEARCH("(",C2804)),LEFT(C2804,SEARCH("(",C2804)-1),C2804),Tipos!$A:$B,2,FALSE()),"outro"))</f>
        <v/>
      </c>
      <c r="K2804" s="7" t="str">
        <f aca="false">IF(I2804="","",IFERROR(INDEX('Campos Growths'!$L:$L,MATCH(H2804,'Campos Growths'!$A:$A,0)),""))</f>
        <v/>
      </c>
      <c r="L2804" s="7" t="str">
        <f aca="false">IF(A2804="","",IF(G2804="não","Sem tabela no Growths",IF(I2804="","Sem campo no Growths",IF(J2804=K2804,"Importa direto","Ajustar tipo"))))</f>
        <v/>
      </c>
      <c r="M2804" s="9"/>
    </row>
    <row r="2805" customFormat="false" ht="15" hidden="false" customHeight="false" outlineLevel="0" collapsed="false">
      <c r="A2805" s="7" t="str">
        <f aca="false">IF('Outro banco'!A2805="","",IF(LEFT('Outro banco'!A2805,1)="(","",'Outro banco'!A2805))</f>
        <v/>
      </c>
      <c r="B2805" s="7" t="str">
        <f aca="false">IF(A2805="","",'Outro banco'!B2805)</f>
        <v/>
      </c>
      <c r="C2805" s="7" t="str">
        <f aca="false">IF(A2805="","",'Outro banco'!C2805)</f>
        <v/>
      </c>
      <c r="D2805" s="7" t="str">
        <f aca="false">IF(A2805="","",'Outro banco'!D2805)</f>
        <v/>
      </c>
      <c r="E2805" s="9"/>
      <c r="F2805" s="9"/>
      <c r="G2805" s="7" t="str">
        <f aca="false">IF(A2805="","",IF(COUNTIF(Tabelas!$A:$A,IF(E2805="",A2805,E2805))&gt;0,"sim","não"))</f>
        <v/>
      </c>
      <c r="H2805" s="7" t="str">
        <f aca="false">IF(A2805="","",IF(E2805="",A2805,E2805)&amp;"."&amp;IF(F2805="",B2805,F2805))</f>
        <v/>
      </c>
      <c r="I2805" s="7" t="str">
        <f aca="false">IF(A2805="","",IFERROR(INDEX('Campos Growths'!$F:$F,MATCH(H2805,'Campos Growths'!$A:$A,0)),""))</f>
        <v/>
      </c>
      <c r="J2805" s="7" t="str">
        <f aca="false">IF(A2805="","",IFERROR(VLOOKUP(IF(ISNUMBER(SEARCH("(",C2805)),LEFT(C2805,SEARCH("(",C2805)-1),C2805),Tipos!$A:$B,2,FALSE()),"outro"))</f>
        <v/>
      </c>
      <c r="K2805" s="7" t="str">
        <f aca="false">IF(I2805="","",IFERROR(INDEX('Campos Growths'!$L:$L,MATCH(H2805,'Campos Growths'!$A:$A,0)),""))</f>
        <v/>
      </c>
      <c r="L2805" s="7" t="str">
        <f aca="false">IF(A2805="","",IF(G2805="não","Sem tabela no Growths",IF(I2805="","Sem campo no Growths",IF(J2805=K2805,"Importa direto","Ajustar tipo"))))</f>
        <v/>
      </c>
      <c r="M2805" s="9"/>
    </row>
    <row r="2806" customFormat="false" ht="15" hidden="false" customHeight="false" outlineLevel="0" collapsed="false">
      <c r="A2806" s="7" t="str">
        <f aca="false">IF('Outro banco'!A2806="","",IF(LEFT('Outro banco'!A2806,1)="(","",'Outro banco'!A2806))</f>
        <v/>
      </c>
      <c r="B2806" s="7" t="str">
        <f aca="false">IF(A2806="","",'Outro banco'!B2806)</f>
        <v/>
      </c>
      <c r="C2806" s="7" t="str">
        <f aca="false">IF(A2806="","",'Outro banco'!C2806)</f>
        <v/>
      </c>
      <c r="D2806" s="7" t="str">
        <f aca="false">IF(A2806="","",'Outro banco'!D2806)</f>
        <v/>
      </c>
      <c r="E2806" s="9"/>
      <c r="F2806" s="9"/>
      <c r="G2806" s="7" t="str">
        <f aca="false">IF(A2806="","",IF(COUNTIF(Tabelas!$A:$A,IF(E2806="",A2806,E2806))&gt;0,"sim","não"))</f>
        <v/>
      </c>
      <c r="H2806" s="7" t="str">
        <f aca="false">IF(A2806="","",IF(E2806="",A2806,E2806)&amp;"."&amp;IF(F2806="",B2806,F2806))</f>
        <v/>
      </c>
      <c r="I2806" s="7" t="str">
        <f aca="false">IF(A2806="","",IFERROR(INDEX('Campos Growths'!$F:$F,MATCH(H2806,'Campos Growths'!$A:$A,0)),""))</f>
        <v/>
      </c>
      <c r="J2806" s="7" t="str">
        <f aca="false">IF(A2806="","",IFERROR(VLOOKUP(IF(ISNUMBER(SEARCH("(",C2806)),LEFT(C2806,SEARCH("(",C2806)-1),C2806),Tipos!$A:$B,2,FALSE()),"outro"))</f>
        <v/>
      </c>
      <c r="K2806" s="7" t="str">
        <f aca="false">IF(I2806="","",IFERROR(INDEX('Campos Growths'!$L:$L,MATCH(H2806,'Campos Growths'!$A:$A,0)),""))</f>
        <v/>
      </c>
      <c r="L2806" s="7" t="str">
        <f aca="false">IF(A2806="","",IF(G2806="não","Sem tabela no Growths",IF(I2806="","Sem campo no Growths",IF(J2806=K2806,"Importa direto","Ajustar tipo"))))</f>
        <v/>
      </c>
      <c r="M2806" s="9"/>
    </row>
    <row r="2807" customFormat="false" ht="15" hidden="false" customHeight="false" outlineLevel="0" collapsed="false">
      <c r="A2807" s="7" t="str">
        <f aca="false">IF('Outro banco'!A2807="","",IF(LEFT('Outro banco'!A2807,1)="(","",'Outro banco'!A2807))</f>
        <v/>
      </c>
      <c r="B2807" s="7" t="str">
        <f aca="false">IF(A2807="","",'Outro banco'!B2807)</f>
        <v/>
      </c>
      <c r="C2807" s="7" t="str">
        <f aca="false">IF(A2807="","",'Outro banco'!C2807)</f>
        <v/>
      </c>
      <c r="D2807" s="7" t="str">
        <f aca="false">IF(A2807="","",'Outro banco'!D2807)</f>
        <v/>
      </c>
      <c r="E2807" s="9"/>
      <c r="F2807" s="9"/>
      <c r="G2807" s="7" t="str">
        <f aca="false">IF(A2807="","",IF(COUNTIF(Tabelas!$A:$A,IF(E2807="",A2807,E2807))&gt;0,"sim","não"))</f>
        <v/>
      </c>
      <c r="H2807" s="7" t="str">
        <f aca="false">IF(A2807="","",IF(E2807="",A2807,E2807)&amp;"."&amp;IF(F2807="",B2807,F2807))</f>
        <v/>
      </c>
      <c r="I2807" s="7" t="str">
        <f aca="false">IF(A2807="","",IFERROR(INDEX('Campos Growths'!$F:$F,MATCH(H2807,'Campos Growths'!$A:$A,0)),""))</f>
        <v/>
      </c>
      <c r="J2807" s="7" t="str">
        <f aca="false">IF(A2807="","",IFERROR(VLOOKUP(IF(ISNUMBER(SEARCH("(",C2807)),LEFT(C2807,SEARCH("(",C2807)-1),C2807),Tipos!$A:$B,2,FALSE()),"outro"))</f>
        <v/>
      </c>
      <c r="K2807" s="7" t="str">
        <f aca="false">IF(I2807="","",IFERROR(INDEX('Campos Growths'!$L:$L,MATCH(H2807,'Campos Growths'!$A:$A,0)),""))</f>
        <v/>
      </c>
      <c r="L2807" s="7" t="str">
        <f aca="false">IF(A2807="","",IF(G2807="não","Sem tabela no Growths",IF(I2807="","Sem campo no Growths",IF(J2807=K2807,"Importa direto","Ajustar tipo"))))</f>
        <v/>
      </c>
      <c r="M2807" s="9"/>
    </row>
    <row r="2808" customFormat="false" ht="15" hidden="false" customHeight="false" outlineLevel="0" collapsed="false">
      <c r="A2808" s="7" t="str">
        <f aca="false">IF('Outro banco'!A2808="","",IF(LEFT('Outro banco'!A2808,1)="(","",'Outro banco'!A2808))</f>
        <v/>
      </c>
      <c r="B2808" s="7" t="str">
        <f aca="false">IF(A2808="","",'Outro banco'!B2808)</f>
        <v/>
      </c>
      <c r="C2808" s="7" t="str">
        <f aca="false">IF(A2808="","",'Outro banco'!C2808)</f>
        <v/>
      </c>
      <c r="D2808" s="7" t="str">
        <f aca="false">IF(A2808="","",'Outro banco'!D2808)</f>
        <v/>
      </c>
      <c r="E2808" s="9"/>
      <c r="F2808" s="9"/>
      <c r="G2808" s="7" t="str">
        <f aca="false">IF(A2808="","",IF(COUNTIF(Tabelas!$A:$A,IF(E2808="",A2808,E2808))&gt;0,"sim","não"))</f>
        <v/>
      </c>
      <c r="H2808" s="7" t="str">
        <f aca="false">IF(A2808="","",IF(E2808="",A2808,E2808)&amp;"."&amp;IF(F2808="",B2808,F2808))</f>
        <v/>
      </c>
      <c r="I2808" s="7" t="str">
        <f aca="false">IF(A2808="","",IFERROR(INDEX('Campos Growths'!$F:$F,MATCH(H2808,'Campos Growths'!$A:$A,0)),""))</f>
        <v/>
      </c>
      <c r="J2808" s="7" t="str">
        <f aca="false">IF(A2808="","",IFERROR(VLOOKUP(IF(ISNUMBER(SEARCH("(",C2808)),LEFT(C2808,SEARCH("(",C2808)-1),C2808),Tipos!$A:$B,2,FALSE()),"outro"))</f>
        <v/>
      </c>
      <c r="K2808" s="7" t="str">
        <f aca="false">IF(I2808="","",IFERROR(INDEX('Campos Growths'!$L:$L,MATCH(H2808,'Campos Growths'!$A:$A,0)),""))</f>
        <v/>
      </c>
      <c r="L2808" s="7" t="str">
        <f aca="false">IF(A2808="","",IF(G2808="não","Sem tabela no Growths",IF(I2808="","Sem campo no Growths",IF(J2808=K2808,"Importa direto","Ajustar tipo"))))</f>
        <v/>
      </c>
      <c r="M2808" s="9"/>
    </row>
    <row r="2809" customFormat="false" ht="15" hidden="false" customHeight="false" outlineLevel="0" collapsed="false">
      <c r="A2809" s="7" t="str">
        <f aca="false">IF('Outro banco'!A2809="","",IF(LEFT('Outro banco'!A2809,1)="(","",'Outro banco'!A2809))</f>
        <v/>
      </c>
      <c r="B2809" s="7" t="str">
        <f aca="false">IF(A2809="","",'Outro banco'!B2809)</f>
        <v/>
      </c>
      <c r="C2809" s="7" t="str">
        <f aca="false">IF(A2809="","",'Outro banco'!C2809)</f>
        <v/>
      </c>
      <c r="D2809" s="7" t="str">
        <f aca="false">IF(A2809="","",'Outro banco'!D2809)</f>
        <v/>
      </c>
      <c r="E2809" s="9"/>
      <c r="F2809" s="9"/>
      <c r="G2809" s="7" t="str">
        <f aca="false">IF(A2809="","",IF(COUNTIF(Tabelas!$A:$A,IF(E2809="",A2809,E2809))&gt;0,"sim","não"))</f>
        <v/>
      </c>
      <c r="H2809" s="7" t="str">
        <f aca="false">IF(A2809="","",IF(E2809="",A2809,E2809)&amp;"."&amp;IF(F2809="",B2809,F2809))</f>
        <v/>
      </c>
      <c r="I2809" s="7" t="str">
        <f aca="false">IF(A2809="","",IFERROR(INDEX('Campos Growths'!$F:$F,MATCH(H2809,'Campos Growths'!$A:$A,0)),""))</f>
        <v/>
      </c>
      <c r="J2809" s="7" t="str">
        <f aca="false">IF(A2809="","",IFERROR(VLOOKUP(IF(ISNUMBER(SEARCH("(",C2809)),LEFT(C2809,SEARCH("(",C2809)-1),C2809),Tipos!$A:$B,2,FALSE()),"outro"))</f>
        <v/>
      </c>
      <c r="K2809" s="7" t="str">
        <f aca="false">IF(I2809="","",IFERROR(INDEX('Campos Growths'!$L:$L,MATCH(H2809,'Campos Growths'!$A:$A,0)),""))</f>
        <v/>
      </c>
      <c r="L2809" s="7" t="str">
        <f aca="false">IF(A2809="","",IF(G2809="não","Sem tabela no Growths",IF(I2809="","Sem campo no Growths",IF(J2809=K2809,"Importa direto","Ajustar tipo"))))</f>
        <v/>
      </c>
      <c r="M2809" s="9"/>
    </row>
    <row r="2810" customFormat="false" ht="15" hidden="false" customHeight="false" outlineLevel="0" collapsed="false">
      <c r="A2810" s="7" t="str">
        <f aca="false">IF('Outro banco'!A2810="","",IF(LEFT('Outro banco'!A2810,1)="(","",'Outro banco'!A2810))</f>
        <v/>
      </c>
      <c r="B2810" s="7" t="str">
        <f aca="false">IF(A2810="","",'Outro banco'!B2810)</f>
        <v/>
      </c>
      <c r="C2810" s="7" t="str">
        <f aca="false">IF(A2810="","",'Outro banco'!C2810)</f>
        <v/>
      </c>
      <c r="D2810" s="7" t="str">
        <f aca="false">IF(A2810="","",'Outro banco'!D2810)</f>
        <v/>
      </c>
      <c r="E2810" s="9"/>
      <c r="F2810" s="9"/>
      <c r="G2810" s="7" t="str">
        <f aca="false">IF(A2810="","",IF(COUNTIF(Tabelas!$A:$A,IF(E2810="",A2810,E2810))&gt;0,"sim","não"))</f>
        <v/>
      </c>
      <c r="H2810" s="7" t="str">
        <f aca="false">IF(A2810="","",IF(E2810="",A2810,E2810)&amp;"."&amp;IF(F2810="",B2810,F2810))</f>
        <v/>
      </c>
      <c r="I2810" s="7" t="str">
        <f aca="false">IF(A2810="","",IFERROR(INDEX('Campos Growths'!$F:$F,MATCH(H2810,'Campos Growths'!$A:$A,0)),""))</f>
        <v/>
      </c>
      <c r="J2810" s="7" t="str">
        <f aca="false">IF(A2810="","",IFERROR(VLOOKUP(IF(ISNUMBER(SEARCH("(",C2810)),LEFT(C2810,SEARCH("(",C2810)-1),C2810),Tipos!$A:$B,2,FALSE()),"outro"))</f>
        <v/>
      </c>
      <c r="K2810" s="7" t="str">
        <f aca="false">IF(I2810="","",IFERROR(INDEX('Campos Growths'!$L:$L,MATCH(H2810,'Campos Growths'!$A:$A,0)),""))</f>
        <v/>
      </c>
      <c r="L2810" s="7" t="str">
        <f aca="false">IF(A2810="","",IF(G2810="não","Sem tabela no Growths",IF(I2810="","Sem campo no Growths",IF(J2810=K2810,"Importa direto","Ajustar tipo"))))</f>
        <v/>
      </c>
      <c r="M2810" s="9"/>
    </row>
    <row r="2811" customFormat="false" ht="15" hidden="false" customHeight="false" outlineLevel="0" collapsed="false">
      <c r="A2811" s="7" t="str">
        <f aca="false">IF('Outro banco'!A2811="","",IF(LEFT('Outro banco'!A2811,1)="(","",'Outro banco'!A2811))</f>
        <v/>
      </c>
      <c r="B2811" s="7" t="str">
        <f aca="false">IF(A2811="","",'Outro banco'!B2811)</f>
        <v/>
      </c>
      <c r="C2811" s="7" t="str">
        <f aca="false">IF(A2811="","",'Outro banco'!C2811)</f>
        <v/>
      </c>
      <c r="D2811" s="7" t="str">
        <f aca="false">IF(A2811="","",'Outro banco'!D2811)</f>
        <v/>
      </c>
      <c r="E2811" s="9"/>
      <c r="F2811" s="9"/>
      <c r="G2811" s="7" t="str">
        <f aca="false">IF(A2811="","",IF(COUNTIF(Tabelas!$A:$A,IF(E2811="",A2811,E2811))&gt;0,"sim","não"))</f>
        <v/>
      </c>
      <c r="H2811" s="7" t="str">
        <f aca="false">IF(A2811="","",IF(E2811="",A2811,E2811)&amp;"."&amp;IF(F2811="",B2811,F2811))</f>
        <v/>
      </c>
      <c r="I2811" s="7" t="str">
        <f aca="false">IF(A2811="","",IFERROR(INDEX('Campos Growths'!$F:$F,MATCH(H2811,'Campos Growths'!$A:$A,0)),""))</f>
        <v/>
      </c>
      <c r="J2811" s="7" t="str">
        <f aca="false">IF(A2811="","",IFERROR(VLOOKUP(IF(ISNUMBER(SEARCH("(",C2811)),LEFT(C2811,SEARCH("(",C2811)-1),C2811),Tipos!$A:$B,2,FALSE()),"outro"))</f>
        <v/>
      </c>
      <c r="K2811" s="7" t="str">
        <f aca="false">IF(I2811="","",IFERROR(INDEX('Campos Growths'!$L:$L,MATCH(H2811,'Campos Growths'!$A:$A,0)),""))</f>
        <v/>
      </c>
      <c r="L2811" s="7" t="str">
        <f aca="false">IF(A2811="","",IF(G2811="não","Sem tabela no Growths",IF(I2811="","Sem campo no Growths",IF(J2811=K2811,"Importa direto","Ajustar tipo"))))</f>
        <v/>
      </c>
      <c r="M2811" s="9"/>
    </row>
    <row r="2812" customFormat="false" ht="15" hidden="false" customHeight="false" outlineLevel="0" collapsed="false">
      <c r="A2812" s="7" t="str">
        <f aca="false">IF('Outro banco'!A2812="","",IF(LEFT('Outro banco'!A2812,1)="(","",'Outro banco'!A2812))</f>
        <v/>
      </c>
      <c r="B2812" s="7" t="str">
        <f aca="false">IF(A2812="","",'Outro banco'!B2812)</f>
        <v/>
      </c>
      <c r="C2812" s="7" t="str">
        <f aca="false">IF(A2812="","",'Outro banco'!C2812)</f>
        <v/>
      </c>
      <c r="D2812" s="7" t="str">
        <f aca="false">IF(A2812="","",'Outro banco'!D2812)</f>
        <v/>
      </c>
      <c r="E2812" s="9"/>
      <c r="F2812" s="9"/>
      <c r="G2812" s="7" t="str">
        <f aca="false">IF(A2812="","",IF(COUNTIF(Tabelas!$A:$A,IF(E2812="",A2812,E2812))&gt;0,"sim","não"))</f>
        <v/>
      </c>
      <c r="H2812" s="7" t="str">
        <f aca="false">IF(A2812="","",IF(E2812="",A2812,E2812)&amp;"."&amp;IF(F2812="",B2812,F2812))</f>
        <v/>
      </c>
      <c r="I2812" s="7" t="str">
        <f aca="false">IF(A2812="","",IFERROR(INDEX('Campos Growths'!$F:$F,MATCH(H2812,'Campos Growths'!$A:$A,0)),""))</f>
        <v/>
      </c>
      <c r="J2812" s="7" t="str">
        <f aca="false">IF(A2812="","",IFERROR(VLOOKUP(IF(ISNUMBER(SEARCH("(",C2812)),LEFT(C2812,SEARCH("(",C2812)-1),C2812),Tipos!$A:$B,2,FALSE()),"outro"))</f>
        <v/>
      </c>
      <c r="K2812" s="7" t="str">
        <f aca="false">IF(I2812="","",IFERROR(INDEX('Campos Growths'!$L:$L,MATCH(H2812,'Campos Growths'!$A:$A,0)),""))</f>
        <v/>
      </c>
      <c r="L2812" s="7" t="str">
        <f aca="false">IF(A2812="","",IF(G2812="não","Sem tabela no Growths",IF(I2812="","Sem campo no Growths",IF(J2812=K2812,"Importa direto","Ajustar tipo"))))</f>
        <v/>
      </c>
      <c r="M2812" s="9"/>
    </row>
    <row r="2813" customFormat="false" ht="15" hidden="false" customHeight="false" outlineLevel="0" collapsed="false">
      <c r="A2813" s="7" t="str">
        <f aca="false">IF('Outro banco'!A2813="","",IF(LEFT('Outro banco'!A2813,1)="(","",'Outro banco'!A2813))</f>
        <v/>
      </c>
      <c r="B2813" s="7" t="str">
        <f aca="false">IF(A2813="","",'Outro banco'!B2813)</f>
        <v/>
      </c>
      <c r="C2813" s="7" t="str">
        <f aca="false">IF(A2813="","",'Outro banco'!C2813)</f>
        <v/>
      </c>
      <c r="D2813" s="7" t="str">
        <f aca="false">IF(A2813="","",'Outro banco'!D2813)</f>
        <v/>
      </c>
      <c r="E2813" s="9"/>
      <c r="F2813" s="9"/>
      <c r="G2813" s="7" t="str">
        <f aca="false">IF(A2813="","",IF(COUNTIF(Tabelas!$A:$A,IF(E2813="",A2813,E2813))&gt;0,"sim","não"))</f>
        <v/>
      </c>
      <c r="H2813" s="7" t="str">
        <f aca="false">IF(A2813="","",IF(E2813="",A2813,E2813)&amp;"."&amp;IF(F2813="",B2813,F2813))</f>
        <v/>
      </c>
      <c r="I2813" s="7" t="str">
        <f aca="false">IF(A2813="","",IFERROR(INDEX('Campos Growths'!$F:$F,MATCH(H2813,'Campos Growths'!$A:$A,0)),""))</f>
        <v/>
      </c>
      <c r="J2813" s="7" t="str">
        <f aca="false">IF(A2813="","",IFERROR(VLOOKUP(IF(ISNUMBER(SEARCH("(",C2813)),LEFT(C2813,SEARCH("(",C2813)-1),C2813),Tipos!$A:$B,2,FALSE()),"outro"))</f>
        <v/>
      </c>
      <c r="K2813" s="7" t="str">
        <f aca="false">IF(I2813="","",IFERROR(INDEX('Campos Growths'!$L:$L,MATCH(H2813,'Campos Growths'!$A:$A,0)),""))</f>
        <v/>
      </c>
      <c r="L2813" s="7" t="str">
        <f aca="false">IF(A2813="","",IF(G2813="não","Sem tabela no Growths",IF(I2813="","Sem campo no Growths",IF(J2813=K2813,"Importa direto","Ajustar tipo"))))</f>
        <v/>
      </c>
      <c r="M2813" s="9"/>
    </row>
    <row r="2814" customFormat="false" ht="15" hidden="false" customHeight="false" outlineLevel="0" collapsed="false">
      <c r="A2814" s="7" t="str">
        <f aca="false">IF('Outro banco'!A2814="","",IF(LEFT('Outro banco'!A2814,1)="(","",'Outro banco'!A2814))</f>
        <v/>
      </c>
      <c r="B2814" s="7" t="str">
        <f aca="false">IF(A2814="","",'Outro banco'!B2814)</f>
        <v/>
      </c>
      <c r="C2814" s="7" t="str">
        <f aca="false">IF(A2814="","",'Outro banco'!C2814)</f>
        <v/>
      </c>
      <c r="D2814" s="7" t="str">
        <f aca="false">IF(A2814="","",'Outro banco'!D2814)</f>
        <v/>
      </c>
      <c r="E2814" s="9"/>
      <c r="F2814" s="9"/>
      <c r="G2814" s="7" t="str">
        <f aca="false">IF(A2814="","",IF(COUNTIF(Tabelas!$A:$A,IF(E2814="",A2814,E2814))&gt;0,"sim","não"))</f>
        <v/>
      </c>
      <c r="H2814" s="7" t="str">
        <f aca="false">IF(A2814="","",IF(E2814="",A2814,E2814)&amp;"."&amp;IF(F2814="",B2814,F2814))</f>
        <v/>
      </c>
      <c r="I2814" s="7" t="str">
        <f aca="false">IF(A2814="","",IFERROR(INDEX('Campos Growths'!$F:$F,MATCH(H2814,'Campos Growths'!$A:$A,0)),""))</f>
        <v/>
      </c>
      <c r="J2814" s="7" t="str">
        <f aca="false">IF(A2814="","",IFERROR(VLOOKUP(IF(ISNUMBER(SEARCH("(",C2814)),LEFT(C2814,SEARCH("(",C2814)-1),C2814),Tipos!$A:$B,2,FALSE()),"outro"))</f>
        <v/>
      </c>
      <c r="K2814" s="7" t="str">
        <f aca="false">IF(I2814="","",IFERROR(INDEX('Campos Growths'!$L:$L,MATCH(H2814,'Campos Growths'!$A:$A,0)),""))</f>
        <v/>
      </c>
      <c r="L2814" s="7" t="str">
        <f aca="false">IF(A2814="","",IF(G2814="não","Sem tabela no Growths",IF(I2814="","Sem campo no Growths",IF(J2814=K2814,"Importa direto","Ajustar tipo"))))</f>
        <v/>
      </c>
      <c r="M2814" s="9"/>
    </row>
    <row r="2815" customFormat="false" ht="15" hidden="false" customHeight="false" outlineLevel="0" collapsed="false">
      <c r="A2815" s="7" t="str">
        <f aca="false">IF('Outro banco'!A2815="","",IF(LEFT('Outro banco'!A2815,1)="(","",'Outro banco'!A2815))</f>
        <v/>
      </c>
      <c r="B2815" s="7" t="str">
        <f aca="false">IF(A2815="","",'Outro banco'!B2815)</f>
        <v/>
      </c>
      <c r="C2815" s="7" t="str">
        <f aca="false">IF(A2815="","",'Outro banco'!C2815)</f>
        <v/>
      </c>
      <c r="D2815" s="7" t="str">
        <f aca="false">IF(A2815="","",'Outro banco'!D2815)</f>
        <v/>
      </c>
      <c r="E2815" s="9"/>
      <c r="F2815" s="9"/>
      <c r="G2815" s="7" t="str">
        <f aca="false">IF(A2815="","",IF(COUNTIF(Tabelas!$A:$A,IF(E2815="",A2815,E2815))&gt;0,"sim","não"))</f>
        <v/>
      </c>
      <c r="H2815" s="7" t="str">
        <f aca="false">IF(A2815="","",IF(E2815="",A2815,E2815)&amp;"."&amp;IF(F2815="",B2815,F2815))</f>
        <v/>
      </c>
      <c r="I2815" s="7" t="str">
        <f aca="false">IF(A2815="","",IFERROR(INDEX('Campos Growths'!$F:$F,MATCH(H2815,'Campos Growths'!$A:$A,0)),""))</f>
        <v/>
      </c>
      <c r="J2815" s="7" t="str">
        <f aca="false">IF(A2815="","",IFERROR(VLOOKUP(IF(ISNUMBER(SEARCH("(",C2815)),LEFT(C2815,SEARCH("(",C2815)-1),C2815),Tipos!$A:$B,2,FALSE()),"outro"))</f>
        <v/>
      </c>
      <c r="K2815" s="7" t="str">
        <f aca="false">IF(I2815="","",IFERROR(INDEX('Campos Growths'!$L:$L,MATCH(H2815,'Campos Growths'!$A:$A,0)),""))</f>
        <v/>
      </c>
      <c r="L2815" s="7" t="str">
        <f aca="false">IF(A2815="","",IF(G2815="não","Sem tabela no Growths",IF(I2815="","Sem campo no Growths",IF(J2815=K2815,"Importa direto","Ajustar tipo"))))</f>
        <v/>
      </c>
      <c r="M2815" s="9"/>
    </row>
    <row r="2816" customFormat="false" ht="15" hidden="false" customHeight="false" outlineLevel="0" collapsed="false">
      <c r="A2816" s="7" t="str">
        <f aca="false">IF('Outro banco'!A2816="","",IF(LEFT('Outro banco'!A2816,1)="(","",'Outro banco'!A2816))</f>
        <v/>
      </c>
      <c r="B2816" s="7" t="str">
        <f aca="false">IF(A2816="","",'Outro banco'!B2816)</f>
        <v/>
      </c>
      <c r="C2816" s="7" t="str">
        <f aca="false">IF(A2816="","",'Outro banco'!C2816)</f>
        <v/>
      </c>
      <c r="D2816" s="7" t="str">
        <f aca="false">IF(A2816="","",'Outro banco'!D2816)</f>
        <v/>
      </c>
      <c r="E2816" s="9"/>
      <c r="F2816" s="9"/>
      <c r="G2816" s="7" t="str">
        <f aca="false">IF(A2816="","",IF(COUNTIF(Tabelas!$A:$A,IF(E2816="",A2816,E2816))&gt;0,"sim","não"))</f>
        <v/>
      </c>
      <c r="H2816" s="7" t="str">
        <f aca="false">IF(A2816="","",IF(E2816="",A2816,E2816)&amp;"."&amp;IF(F2816="",B2816,F2816))</f>
        <v/>
      </c>
      <c r="I2816" s="7" t="str">
        <f aca="false">IF(A2816="","",IFERROR(INDEX('Campos Growths'!$F:$F,MATCH(H2816,'Campos Growths'!$A:$A,0)),""))</f>
        <v/>
      </c>
      <c r="J2816" s="7" t="str">
        <f aca="false">IF(A2816="","",IFERROR(VLOOKUP(IF(ISNUMBER(SEARCH("(",C2816)),LEFT(C2816,SEARCH("(",C2816)-1),C2816),Tipos!$A:$B,2,FALSE()),"outro"))</f>
        <v/>
      </c>
      <c r="K2816" s="7" t="str">
        <f aca="false">IF(I2816="","",IFERROR(INDEX('Campos Growths'!$L:$L,MATCH(H2816,'Campos Growths'!$A:$A,0)),""))</f>
        <v/>
      </c>
      <c r="L2816" s="7" t="str">
        <f aca="false">IF(A2816="","",IF(G2816="não","Sem tabela no Growths",IF(I2816="","Sem campo no Growths",IF(J2816=K2816,"Importa direto","Ajustar tipo"))))</f>
        <v/>
      </c>
      <c r="M2816" s="9"/>
    </row>
    <row r="2817" customFormat="false" ht="15" hidden="false" customHeight="false" outlineLevel="0" collapsed="false">
      <c r="A2817" s="7" t="str">
        <f aca="false">IF('Outro banco'!A2817="","",IF(LEFT('Outro banco'!A2817,1)="(","",'Outro banco'!A2817))</f>
        <v/>
      </c>
      <c r="B2817" s="7" t="str">
        <f aca="false">IF(A2817="","",'Outro banco'!B2817)</f>
        <v/>
      </c>
      <c r="C2817" s="7" t="str">
        <f aca="false">IF(A2817="","",'Outro banco'!C2817)</f>
        <v/>
      </c>
      <c r="D2817" s="7" t="str">
        <f aca="false">IF(A2817="","",'Outro banco'!D2817)</f>
        <v/>
      </c>
      <c r="E2817" s="9"/>
      <c r="F2817" s="9"/>
      <c r="G2817" s="7" t="str">
        <f aca="false">IF(A2817="","",IF(COUNTIF(Tabelas!$A:$A,IF(E2817="",A2817,E2817))&gt;0,"sim","não"))</f>
        <v/>
      </c>
      <c r="H2817" s="7" t="str">
        <f aca="false">IF(A2817="","",IF(E2817="",A2817,E2817)&amp;"."&amp;IF(F2817="",B2817,F2817))</f>
        <v/>
      </c>
      <c r="I2817" s="7" t="str">
        <f aca="false">IF(A2817="","",IFERROR(INDEX('Campos Growths'!$F:$F,MATCH(H2817,'Campos Growths'!$A:$A,0)),""))</f>
        <v/>
      </c>
      <c r="J2817" s="7" t="str">
        <f aca="false">IF(A2817="","",IFERROR(VLOOKUP(IF(ISNUMBER(SEARCH("(",C2817)),LEFT(C2817,SEARCH("(",C2817)-1),C2817),Tipos!$A:$B,2,FALSE()),"outro"))</f>
        <v/>
      </c>
      <c r="K2817" s="7" t="str">
        <f aca="false">IF(I2817="","",IFERROR(INDEX('Campos Growths'!$L:$L,MATCH(H2817,'Campos Growths'!$A:$A,0)),""))</f>
        <v/>
      </c>
      <c r="L2817" s="7" t="str">
        <f aca="false">IF(A2817="","",IF(G2817="não","Sem tabela no Growths",IF(I2817="","Sem campo no Growths",IF(J2817=K2817,"Importa direto","Ajustar tipo"))))</f>
        <v/>
      </c>
      <c r="M2817" s="9"/>
    </row>
    <row r="2818" customFormat="false" ht="15" hidden="false" customHeight="false" outlineLevel="0" collapsed="false">
      <c r="A2818" s="7" t="str">
        <f aca="false">IF('Outro banco'!A2818="","",IF(LEFT('Outro banco'!A2818,1)="(","",'Outro banco'!A2818))</f>
        <v/>
      </c>
      <c r="B2818" s="7" t="str">
        <f aca="false">IF(A2818="","",'Outro banco'!B2818)</f>
        <v/>
      </c>
      <c r="C2818" s="7" t="str">
        <f aca="false">IF(A2818="","",'Outro banco'!C2818)</f>
        <v/>
      </c>
      <c r="D2818" s="7" t="str">
        <f aca="false">IF(A2818="","",'Outro banco'!D2818)</f>
        <v/>
      </c>
      <c r="E2818" s="9"/>
      <c r="F2818" s="9"/>
      <c r="G2818" s="7" t="str">
        <f aca="false">IF(A2818="","",IF(COUNTIF(Tabelas!$A:$A,IF(E2818="",A2818,E2818))&gt;0,"sim","não"))</f>
        <v/>
      </c>
      <c r="H2818" s="7" t="str">
        <f aca="false">IF(A2818="","",IF(E2818="",A2818,E2818)&amp;"."&amp;IF(F2818="",B2818,F2818))</f>
        <v/>
      </c>
      <c r="I2818" s="7" t="str">
        <f aca="false">IF(A2818="","",IFERROR(INDEX('Campos Growths'!$F:$F,MATCH(H2818,'Campos Growths'!$A:$A,0)),""))</f>
        <v/>
      </c>
      <c r="J2818" s="7" t="str">
        <f aca="false">IF(A2818="","",IFERROR(VLOOKUP(IF(ISNUMBER(SEARCH("(",C2818)),LEFT(C2818,SEARCH("(",C2818)-1),C2818),Tipos!$A:$B,2,FALSE()),"outro"))</f>
        <v/>
      </c>
      <c r="K2818" s="7" t="str">
        <f aca="false">IF(I2818="","",IFERROR(INDEX('Campos Growths'!$L:$L,MATCH(H2818,'Campos Growths'!$A:$A,0)),""))</f>
        <v/>
      </c>
      <c r="L2818" s="7" t="str">
        <f aca="false">IF(A2818="","",IF(G2818="não","Sem tabela no Growths",IF(I2818="","Sem campo no Growths",IF(J2818=K2818,"Importa direto","Ajustar tipo"))))</f>
        <v/>
      </c>
      <c r="M2818" s="9"/>
    </row>
    <row r="2819" customFormat="false" ht="15" hidden="false" customHeight="false" outlineLevel="0" collapsed="false">
      <c r="A2819" s="7" t="str">
        <f aca="false">IF('Outro banco'!A2819="","",IF(LEFT('Outro banco'!A2819,1)="(","",'Outro banco'!A2819))</f>
        <v/>
      </c>
      <c r="B2819" s="7" t="str">
        <f aca="false">IF(A2819="","",'Outro banco'!B2819)</f>
        <v/>
      </c>
      <c r="C2819" s="7" t="str">
        <f aca="false">IF(A2819="","",'Outro banco'!C2819)</f>
        <v/>
      </c>
      <c r="D2819" s="7" t="str">
        <f aca="false">IF(A2819="","",'Outro banco'!D2819)</f>
        <v/>
      </c>
      <c r="E2819" s="9"/>
      <c r="F2819" s="9"/>
      <c r="G2819" s="7" t="str">
        <f aca="false">IF(A2819="","",IF(COUNTIF(Tabelas!$A:$A,IF(E2819="",A2819,E2819))&gt;0,"sim","não"))</f>
        <v/>
      </c>
      <c r="H2819" s="7" t="str">
        <f aca="false">IF(A2819="","",IF(E2819="",A2819,E2819)&amp;"."&amp;IF(F2819="",B2819,F2819))</f>
        <v/>
      </c>
      <c r="I2819" s="7" t="str">
        <f aca="false">IF(A2819="","",IFERROR(INDEX('Campos Growths'!$F:$F,MATCH(H2819,'Campos Growths'!$A:$A,0)),""))</f>
        <v/>
      </c>
      <c r="J2819" s="7" t="str">
        <f aca="false">IF(A2819="","",IFERROR(VLOOKUP(IF(ISNUMBER(SEARCH("(",C2819)),LEFT(C2819,SEARCH("(",C2819)-1),C2819),Tipos!$A:$B,2,FALSE()),"outro"))</f>
        <v/>
      </c>
      <c r="K2819" s="7" t="str">
        <f aca="false">IF(I2819="","",IFERROR(INDEX('Campos Growths'!$L:$L,MATCH(H2819,'Campos Growths'!$A:$A,0)),""))</f>
        <v/>
      </c>
      <c r="L2819" s="7" t="str">
        <f aca="false">IF(A2819="","",IF(G2819="não","Sem tabela no Growths",IF(I2819="","Sem campo no Growths",IF(J2819=K2819,"Importa direto","Ajustar tipo"))))</f>
        <v/>
      </c>
      <c r="M2819" s="9"/>
    </row>
    <row r="2820" customFormat="false" ht="15" hidden="false" customHeight="false" outlineLevel="0" collapsed="false">
      <c r="A2820" s="7" t="str">
        <f aca="false">IF('Outro banco'!A2820="","",IF(LEFT('Outro banco'!A2820,1)="(","",'Outro banco'!A2820))</f>
        <v/>
      </c>
      <c r="B2820" s="7" t="str">
        <f aca="false">IF(A2820="","",'Outro banco'!B2820)</f>
        <v/>
      </c>
      <c r="C2820" s="7" t="str">
        <f aca="false">IF(A2820="","",'Outro banco'!C2820)</f>
        <v/>
      </c>
      <c r="D2820" s="7" t="str">
        <f aca="false">IF(A2820="","",'Outro banco'!D2820)</f>
        <v/>
      </c>
      <c r="E2820" s="9"/>
      <c r="F2820" s="9"/>
      <c r="G2820" s="7" t="str">
        <f aca="false">IF(A2820="","",IF(COUNTIF(Tabelas!$A:$A,IF(E2820="",A2820,E2820))&gt;0,"sim","não"))</f>
        <v/>
      </c>
      <c r="H2820" s="7" t="str">
        <f aca="false">IF(A2820="","",IF(E2820="",A2820,E2820)&amp;"."&amp;IF(F2820="",B2820,F2820))</f>
        <v/>
      </c>
      <c r="I2820" s="7" t="str">
        <f aca="false">IF(A2820="","",IFERROR(INDEX('Campos Growths'!$F:$F,MATCH(H2820,'Campos Growths'!$A:$A,0)),""))</f>
        <v/>
      </c>
      <c r="J2820" s="7" t="str">
        <f aca="false">IF(A2820="","",IFERROR(VLOOKUP(IF(ISNUMBER(SEARCH("(",C2820)),LEFT(C2820,SEARCH("(",C2820)-1),C2820),Tipos!$A:$B,2,FALSE()),"outro"))</f>
        <v/>
      </c>
      <c r="K2820" s="7" t="str">
        <f aca="false">IF(I2820="","",IFERROR(INDEX('Campos Growths'!$L:$L,MATCH(H2820,'Campos Growths'!$A:$A,0)),""))</f>
        <v/>
      </c>
      <c r="L2820" s="7" t="str">
        <f aca="false">IF(A2820="","",IF(G2820="não","Sem tabela no Growths",IF(I2820="","Sem campo no Growths",IF(J2820=K2820,"Importa direto","Ajustar tipo"))))</f>
        <v/>
      </c>
      <c r="M2820" s="9"/>
    </row>
    <row r="2821" customFormat="false" ht="15" hidden="false" customHeight="false" outlineLevel="0" collapsed="false">
      <c r="A2821" s="7" t="str">
        <f aca="false">IF('Outro banco'!A2821="","",IF(LEFT('Outro banco'!A2821,1)="(","",'Outro banco'!A2821))</f>
        <v/>
      </c>
      <c r="B2821" s="7" t="str">
        <f aca="false">IF(A2821="","",'Outro banco'!B2821)</f>
        <v/>
      </c>
      <c r="C2821" s="7" t="str">
        <f aca="false">IF(A2821="","",'Outro banco'!C2821)</f>
        <v/>
      </c>
      <c r="D2821" s="7" t="str">
        <f aca="false">IF(A2821="","",'Outro banco'!D2821)</f>
        <v/>
      </c>
      <c r="E2821" s="9"/>
      <c r="F2821" s="9"/>
      <c r="G2821" s="7" t="str">
        <f aca="false">IF(A2821="","",IF(COUNTIF(Tabelas!$A:$A,IF(E2821="",A2821,E2821))&gt;0,"sim","não"))</f>
        <v/>
      </c>
      <c r="H2821" s="7" t="str">
        <f aca="false">IF(A2821="","",IF(E2821="",A2821,E2821)&amp;"."&amp;IF(F2821="",B2821,F2821))</f>
        <v/>
      </c>
      <c r="I2821" s="7" t="str">
        <f aca="false">IF(A2821="","",IFERROR(INDEX('Campos Growths'!$F:$F,MATCH(H2821,'Campos Growths'!$A:$A,0)),""))</f>
        <v/>
      </c>
      <c r="J2821" s="7" t="str">
        <f aca="false">IF(A2821="","",IFERROR(VLOOKUP(IF(ISNUMBER(SEARCH("(",C2821)),LEFT(C2821,SEARCH("(",C2821)-1),C2821),Tipos!$A:$B,2,FALSE()),"outro"))</f>
        <v/>
      </c>
      <c r="K2821" s="7" t="str">
        <f aca="false">IF(I2821="","",IFERROR(INDEX('Campos Growths'!$L:$L,MATCH(H2821,'Campos Growths'!$A:$A,0)),""))</f>
        <v/>
      </c>
      <c r="L2821" s="7" t="str">
        <f aca="false">IF(A2821="","",IF(G2821="não","Sem tabela no Growths",IF(I2821="","Sem campo no Growths",IF(J2821=K2821,"Importa direto","Ajustar tipo"))))</f>
        <v/>
      </c>
      <c r="M2821" s="9"/>
    </row>
    <row r="2822" customFormat="false" ht="15" hidden="false" customHeight="false" outlineLevel="0" collapsed="false">
      <c r="A2822" s="7" t="str">
        <f aca="false">IF('Outro banco'!A2822="","",IF(LEFT('Outro banco'!A2822,1)="(","",'Outro banco'!A2822))</f>
        <v/>
      </c>
      <c r="B2822" s="7" t="str">
        <f aca="false">IF(A2822="","",'Outro banco'!B2822)</f>
        <v/>
      </c>
      <c r="C2822" s="7" t="str">
        <f aca="false">IF(A2822="","",'Outro banco'!C2822)</f>
        <v/>
      </c>
      <c r="D2822" s="7" t="str">
        <f aca="false">IF(A2822="","",'Outro banco'!D2822)</f>
        <v/>
      </c>
      <c r="E2822" s="9"/>
      <c r="F2822" s="9"/>
      <c r="G2822" s="7" t="str">
        <f aca="false">IF(A2822="","",IF(COUNTIF(Tabelas!$A:$A,IF(E2822="",A2822,E2822))&gt;0,"sim","não"))</f>
        <v/>
      </c>
      <c r="H2822" s="7" t="str">
        <f aca="false">IF(A2822="","",IF(E2822="",A2822,E2822)&amp;"."&amp;IF(F2822="",B2822,F2822))</f>
        <v/>
      </c>
      <c r="I2822" s="7" t="str">
        <f aca="false">IF(A2822="","",IFERROR(INDEX('Campos Growths'!$F:$F,MATCH(H2822,'Campos Growths'!$A:$A,0)),""))</f>
        <v/>
      </c>
      <c r="J2822" s="7" t="str">
        <f aca="false">IF(A2822="","",IFERROR(VLOOKUP(IF(ISNUMBER(SEARCH("(",C2822)),LEFT(C2822,SEARCH("(",C2822)-1),C2822),Tipos!$A:$B,2,FALSE()),"outro"))</f>
        <v/>
      </c>
      <c r="K2822" s="7" t="str">
        <f aca="false">IF(I2822="","",IFERROR(INDEX('Campos Growths'!$L:$L,MATCH(H2822,'Campos Growths'!$A:$A,0)),""))</f>
        <v/>
      </c>
      <c r="L2822" s="7" t="str">
        <f aca="false">IF(A2822="","",IF(G2822="não","Sem tabela no Growths",IF(I2822="","Sem campo no Growths",IF(J2822=K2822,"Importa direto","Ajustar tipo"))))</f>
        <v/>
      </c>
      <c r="M2822" s="9"/>
    </row>
    <row r="2823" customFormat="false" ht="15" hidden="false" customHeight="false" outlineLevel="0" collapsed="false">
      <c r="A2823" s="7" t="str">
        <f aca="false">IF('Outro banco'!A2823="","",IF(LEFT('Outro banco'!A2823,1)="(","",'Outro banco'!A2823))</f>
        <v/>
      </c>
      <c r="B2823" s="7" t="str">
        <f aca="false">IF(A2823="","",'Outro banco'!B2823)</f>
        <v/>
      </c>
      <c r="C2823" s="7" t="str">
        <f aca="false">IF(A2823="","",'Outro banco'!C2823)</f>
        <v/>
      </c>
      <c r="D2823" s="7" t="str">
        <f aca="false">IF(A2823="","",'Outro banco'!D2823)</f>
        <v/>
      </c>
      <c r="E2823" s="9"/>
      <c r="F2823" s="9"/>
      <c r="G2823" s="7" t="str">
        <f aca="false">IF(A2823="","",IF(COUNTIF(Tabelas!$A:$A,IF(E2823="",A2823,E2823))&gt;0,"sim","não"))</f>
        <v/>
      </c>
      <c r="H2823" s="7" t="str">
        <f aca="false">IF(A2823="","",IF(E2823="",A2823,E2823)&amp;"."&amp;IF(F2823="",B2823,F2823))</f>
        <v/>
      </c>
      <c r="I2823" s="7" t="str">
        <f aca="false">IF(A2823="","",IFERROR(INDEX('Campos Growths'!$F:$F,MATCH(H2823,'Campos Growths'!$A:$A,0)),""))</f>
        <v/>
      </c>
      <c r="J2823" s="7" t="str">
        <f aca="false">IF(A2823="","",IFERROR(VLOOKUP(IF(ISNUMBER(SEARCH("(",C2823)),LEFT(C2823,SEARCH("(",C2823)-1),C2823),Tipos!$A:$B,2,FALSE()),"outro"))</f>
        <v/>
      </c>
      <c r="K2823" s="7" t="str">
        <f aca="false">IF(I2823="","",IFERROR(INDEX('Campos Growths'!$L:$L,MATCH(H2823,'Campos Growths'!$A:$A,0)),""))</f>
        <v/>
      </c>
      <c r="L2823" s="7" t="str">
        <f aca="false">IF(A2823="","",IF(G2823="não","Sem tabela no Growths",IF(I2823="","Sem campo no Growths",IF(J2823=K2823,"Importa direto","Ajustar tipo"))))</f>
        <v/>
      </c>
      <c r="M2823" s="9"/>
    </row>
    <row r="2824" customFormat="false" ht="15" hidden="false" customHeight="false" outlineLevel="0" collapsed="false">
      <c r="A2824" s="7" t="str">
        <f aca="false">IF('Outro banco'!A2824="","",IF(LEFT('Outro banco'!A2824,1)="(","",'Outro banco'!A2824))</f>
        <v/>
      </c>
      <c r="B2824" s="7" t="str">
        <f aca="false">IF(A2824="","",'Outro banco'!B2824)</f>
        <v/>
      </c>
      <c r="C2824" s="7" t="str">
        <f aca="false">IF(A2824="","",'Outro banco'!C2824)</f>
        <v/>
      </c>
      <c r="D2824" s="7" t="str">
        <f aca="false">IF(A2824="","",'Outro banco'!D2824)</f>
        <v/>
      </c>
      <c r="E2824" s="9"/>
      <c r="F2824" s="9"/>
      <c r="G2824" s="7" t="str">
        <f aca="false">IF(A2824="","",IF(COUNTIF(Tabelas!$A:$A,IF(E2824="",A2824,E2824))&gt;0,"sim","não"))</f>
        <v/>
      </c>
      <c r="H2824" s="7" t="str">
        <f aca="false">IF(A2824="","",IF(E2824="",A2824,E2824)&amp;"."&amp;IF(F2824="",B2824,F2824))</f>
        <v/>
      </c>
      <c r="I2824" s="7" t="str">
        <f aca="false">IF(A2824="","",IFERROR(INDEX('Campos Growths'!$F:$F,MATCH(H2824,'Campos Growths'!$A:$A,0)),""))</f>
        <v/>
      </c>
      <c r="J2824" s="7" t="str">
        <f aca="false">IF(A2824="","",IFERROR(VLOOKUP(IF(ISNUMBER(SEARCH("(",C2824)),LEFT(C2824,SEARCH("(",C2824)-1),C2824),Tipos!$A:$B,2,FALSE()),"outro"))</f>
        <v/>
      </c>
      <c r="K2824" s="7" t="str">
        <f aca="false">IF(I2824="","",IFERROR(INDEX('Campos Growths'!$L:$L,MATCH(H2824,'Campos Growths'!$A:$A,0)),""))</f>
        <v/>
      </c>
      <c r="L2824" s="7" t="str">
        <f aca="false">IF(A2824="","",IF(G2824="não","Sem tabela no Growths",IF(I2824="","Sem campo no Growths",IF(J2824=K2824,"Importa direto","Ajustar tipo"))))</f>
        <v/>
      </c>
      <c r="M2824" s="9"/>
    </row>
    <row r="2825" customFormat="false" ht="15" hidden="false" customHeight="false" outlineLevel="0" collapsed="false">
      <c r="A2825" s="7" t="str">
        <f aca="false">IF('Outro banco'!A2825="","",IF(LEFT('Outro banco'!A2825,1)="(","",'Outro banco'!A2825))</f>
        <v/>
      </c>
      <c r="B2825" s="7" t="str">
        <f aca="false">IF(A2825="","",'Outro banco'!B2825)</f>
        <v/>
      </c>
      <c r="C2825" s="7" t="str">
        <f aca="false">IF(A2825="","",'Outro banco'!C2825)</f>
        <v/>
      </c>
      <c r="D2825" s="7" t="str">
        <f aca="false">IF(A2825="","",'Outro banco'!D2825)</f>
        <v/>
      </c>
      <c r="E2825" s="9"/>
      <c r="F2825" s="9"/>
      <c r="G2825" s="7" t="str">
        <f aca="false">IF(A2825="","",IF(COUNTIF(Tabelas!$A:$A,IF(E2825="",A2825,E2825))&gt;0,"sim","não"))</f>
        <v/>
      </c>
      <c r="H2825" s="7" t="str">
        <f aca="false">IF(A2825="","",IF(E2825="",A2825,E2825)&amp;"."&amp;IF(F2825="",B2825,F2825))</f>
        <v/>
      </c>
      <c r="I2825" s="7" t="str">
        <f aca="false">IF(A2825="","",IFERROR(INDEX('Campos Growths'!$F:$F,MATCH(H2825,'Campos Growths'!$A:$A,0)),""))</f>
        <v/>
      </c>
      <c r="J2825" s="7" t="str">
        <f aca="false">IF(A2825="","",IFERROR(VLOOKUP(IF(ISNUMBER(SEARCH("(",C2825)),LEFT(C2825,SEARCH("(",C2825)-1),C2825),Tipos!$A:$B,2,FALSE()),"outro"))</f>
        <v/>
      </c>
      <c r="K2825" s="7" t="str">
        <f aca="false">IF(I2825="","",IFERROR(INDEX('Campos Growths'!$L:$L,MATCH(H2825,'Campos Growths'!$A:$A,0)),""))</f>
        <v/>
      </c>
      <c r="L2825" s="7" t="str">
        <f aca="false">IF(A2825="","",IF(G2825="não","Sem tabela no Growths",IF(I2825="","Sem campo no Growths",IF(J2825=K2825,"Importa direto","Ajustar tipo"))))</f>
        <v/>
      </c>
      <c r="M2825" s="9"/>
    </row>
    <row r="2826" customFormat="false" ht="15" hidden="false" customHeight="false" outlineLevel="0" collapsed="false">
      <c r="A2826" s="7" t="str">
        <f aca="false">IF('Outro banco'!A2826="","",IF(LEFT('Outro banco'!A2826,1)="(","",'Outro banco'!A2826))</f>
        <v/>
      </c>
      <c r="B2826" s="7" t="str">
        <f aca="false">IF(A2826="","",'Outro banco'!B2826)</f>
        <v/>
      </c>
      <c r="C2826" s="7" t="str">
        <f aca="false">IF(A2826="","",'Outro banco'!C2826)</f>
        <v/>
      </c>
      <c r="D2826" s="7" t="str">
        <f aca="false">IF(A2826="","",'Outro banco'!D2826)</f>
        <v/>
      </c>
      <c r="E2826" s="9"/>
      <c r="F2826" s="9"/>
      <c r="G2826" s="7" t="str">
        <f aca="false">IF(A2826="","",IF(COUNTIF(Tabelas!$A:$A,IF(E2826="",A2826,E2826))&gt;0,"sim","não"))</f>
        <v/>
      </c>
      <c r="H2826" s="7" t="str">
        <f aca="false">IF(A2826="","",IF(E2826="",A2826,E2826)&amp;"."&amp;IF(F2826="",B2826,F2826))</f>
        <v/>
      </c>
      <c r="I2826" s="7" t="str">
        <f aca="false">IF(A2826="","",IFERROR(INDEX('Campos Growths'!$F:$F,MATCH(H2826,'Campos Growths'!$A:$A,0)),""))</f>
        <v/>
      </c>
      <c r="J2826" s="7" t="str">
        <f aca="false">IF(A2826="","",IFERROR(VLOOKUP(IF(ISNUMBER(SEARCH("(",C2826)),LEFT(C2826,SEARCH("(",C2826)-1),C2826),Tipos!$A:$B,2,FALSE()),"outro"))</f>
        <v/>
      </c>
      <c r="K2826" s="7" t="str">
        <f aca="false">IF(I2826="","",IFERROR(INDEX('Campos Growths'!$L:$L,MATCH(H2826,'Campos Growths'!$A:$A,0)),""))</f>
        <v/>
      </c>
      <c r="L2826" s="7" t="str">
        <f aca="false">IF(A2826="","",IF(G2826="não","Sem tabela no Growths",IF(I2826="","Sem campo no Growths",IF(J2826=K2826,"Importa direto","Ajustar tipo"))))</f>
        <v/>
      </c>
      <c r="M2826" s="9"/>
    </row>
    <row r="2827" customFormat="false" ht="15" hidden="false" customHeight="false" outlineLevel="0" collapsed="false">
      <c r="A2827" s="7" t="str">
        <f aca="false">IF('Outro banco'!A2827="","",IF(LEFT('Outro banco'!A2827,1)="(","",'Outro banco'!A2827))</f>
        <v/>
      </c>
      <c r="B2827" s="7" t="str">
        <f aca="false">IF(A2827="","",'Outro banco'!B2827)</f>
        <v/>
      </c>
      <c r="C2827" s="7" t="str">
        <f aca="false">IF(A2827="","",'Outro banco'!C2827)</f>
        <v/>
      </c>
      <c r="D2827" s="7" t="str">
        <f aca="false">IF(A2827="","",'Outro banco'!D2827)</f>
        <v/>
      </c>
      <c r="E2827" s="9"/>
      <c r="F2827" s="9"/>
      <c r="G2827" s="7" t="str">
        <f aca="false">IF(A2827="","",IF(COUNTIF(Tabelas!$A:$A,IF(E2827="",A2827,E2827))&gt;0,"sim","não"))</f>
        <v/>
      </c>
      <c r="H2827" s="7" t="str">
        <f aca="false">IF(A2827="","",IF(E2827="",A2827,E2827)&amp;"."&amp;IF(F2827="",B2827,F2827))</f>
        <v/>
      </c>
      <c r="I2827" s="7" t="str">
        <f aca="false">IF(A2827="","",IFERROR(INDEX('Campos Growths'!$F:$F,MATCH(H2827,'Campos Growths'!$A:$A,0)),""))</f>
        <v/>
      </c>
      <c r="J2827" s="7" t="str">
        <f aca="false">IF(A2827="","",IFERROR(VLOOKUP(IF(ISNUMBER(SEARCH("(",C2827)),LEFT(C2827,SEARCH("(",C2827)-1),C2827),Tipos!$A:$B,2,FALSE()),"outro"))</f>
        <v/>
      </c>
      <c r="K2827" s="7" t="str">
        <f aca="false">IF(I2827="","",IFERROR(INDEX('Campos Growths'!$L:$L,MATCH(H2827,'Campos Growths'!$A:$A,0)),""))</f>
        <v/>
      </c>
      <c r="L2827" s="7" t="str">
        <f aca="false">IF(A2827="","",IF(G2827="não","Sem tabela no Growths",IF(I2827="","Sem campo no Growths",IF(J2827=K2827,"Importa direto","Ajustar tipo"))))</f>
        <v/>
      </c>
      <c r="M2827" s="9"/>
    </row>
    <row r="2828" customFormat="false" ht="15" hidden="false" customHeight="false" outlineLevel="0" collapsed="false">
      <c r="A2828" s="7" t="str">
        <f aca="false">IF('Outro banco'!A2828="","",IF(LEFT('Outro banco'!A2828,1)="(","",'Outro banco'!A2828))</f>
        <v/>
      </c>
      <c r="B2828" s="7" t="str">
        <f aca="false">IF(A2828="","",'Outro banco'!B2828)</f>
        <v/>
      </c>
      <c r="C2828" s="7" t="str">
        <f aca="false">IF(A2828="","",'Outro banco'!C2828)</f>
        <v/>
      </c>
      <c r="D2828" s="7" t="str">
        <f aca="false">IF(A2828="","",'Outro banco'!D2828)</f>
        <v/>
      </c>
      <c r="E2828" s="9"/>
      <c r="F2828" s="9"/>
      <c r="G2828" s="7" t="str">
        <f aca="false">IF(A2828="","",IF(COUNTIF(Tabelas!$A:$A,IF(E2828="",A2828,E2828))&gt;0,"sim","não"))</f>
        <v/>
      </c>
      <c r="H2828" s="7" t="str">
        <f aca="false">IF(A2828="","",IF(E2828="",A2828,E2828)&amp;"."&amp;IF(F2828="",B2828,F2828))</f>
        <v/>
      </c>
      <c r="I2828" s="7" t="str">
        <f aca="false">IF(A2828="","",IFERROR(INDEX('Campos Growths'!$F:$F,MATCH(H2828,'Campos Growths'!$A:$A,0)),""))</f>
        <v/>
      </c>
      <c r="J2828" s="7" t="str">
        <f aca="false">IF(A2828="","",IFERROR(VLOOKUP(IF(ISNUMBER(SEARCH("(",C2828)),LEFT(C2828,SEARCH("(",C2828)-1),C2828),Tipos!$A:$B,2,FALSE()),"outro"))</f>
        <v/>
      </c>
      <c r="K2828" s="7" t="str">
        <f aca="false">IF(I2828="","",IFERROR(INDEX('Campos Growths'!$L:$L,MATCH(H2828,'Campos Growths'!$A:$A,0)),""))</f>
        <v/>
      </c>
      <c r="L2828" s="7" t="str">
        <f aca="false">IF(A2828="","",IF(G2828="não","Sem tabela no Growths",IF(I2828="","Sem campo no Growths",IF(J2828=K2828,"Importa direto","Ajustar tipo"))))</f>
        <v/>
      </c>
      <c r="M2828" s="9"/>
    </row>
    <row r="2829" customFormat="false" ht="15" hidden="false" customHeight="false" outlineLevel="0" collapsed="false">
      <c r="A2829" s="7" t="str">
        <f aca="false">IF('Outro banco'!A2829="","",IF(LEFT('Outro banco'!A2829,1)="(","",'Outro banco'!A2829))</f>
        <v/>
      </c>
      <c r="B2829" s="7" t="str">
        <f aca="false">IF(A2829="","",'Outro banco'!B2829)</f>
        <v/>
      </c>
      <c r="C2829" s="7" t="str">
        <f aca="false">IF(A2829="","",'Outro banco'!C2829)</f>
        <v/>
      </c>
      <c r="D2829" s="7" t="str">
        <f aca="false">IF(A2829="","",'Outro banco'!D2829)</f>
        <v/>
      </c>
      <c r="E2829" s="9"/>
      <c r="F2829" s="9"/>
      <c r="G2829" s="7" t="str">
        <f aca="false">IF(A2829="","",IF(COUNTIF(Tabelas!$A:$A,IF(E2829="",A2829,E2829))&gt;0,"sim","não"))</f>
        <v/>
      </c>
      <c r="H2829" s="7" t="str">
        <f aca="false">IF(A2829="","",IF(E2829="",A2829,E2829)&amp;"."&amp;IF(F2829="",B2829,F2829))</f>
        <v/>
      </c>
      <c r="I2829" s="7" t="str">
        <f aca="false">IF(A2829="","",IFERROR(INDEX('Campos Growths'!$F:$F,MATCH(H2829,'Campos Growths'!$A:$A,0)),""))</f>
        <v/>
      </c>
      <c r="J2829" s="7" t="str">
        <f aca="false">IF(A2829="","",IFERROR(VLOOKUP(IF(ISNUMBER(SEARCH("(",C2829)),LEFT(C2829,SEARCH("(",C2829)-1),C2829),Tipos!$A:$B,2,FALSE()),"outro"))</f>
        <v/>
      </c>
      <c r="K2829" s="7" t="str">
        <f aca="false">IF(I2829="","",IFERROR(INDEX('Campos Growths'!$L:$L,MATCH(H2829,'Campos Growths'!$A:$A,0)),""))</f>
        <v/>
      </c>
      <c r="L2829" s="7" t="str">
        <f aca="false">IF(A2829="","",IF(G2829="não","Sem tabela no Growths",IF(I2829="","Sem campo no Growths",IF(J2829=K2829,"Importa direto","Ajustar tipo"))))</f>
        <v/>
      </c>
      <c r="M2829" s="9"/>
    </row>
    <row r="2830" customFormat="false" ht="15" hidden="false" customHeight="false" outlineLevel="0" collapsed="false">
      <c r="A2830" s="7" t="str">
        <f aca="false">IF('Outro banco'!A2830="","",IF(LEFT('Outro banco'!A2830,1)="(","",'Outro banco'!A2830))</f>
        <v/>
      </c>
      <c r="B2830" s="7" t="str">
        <f aca="false">IF(A2830="","",'Outro banco'!B2830)</f>
        <v/>
      </c>
      <c r="C2830" s="7" t="str">
        <f aca="false">IF(A2830="","",'Outro banco'!C2830)</f>
        <v/>
      </c>
      <c r="D2830" s="7" t="str">
        <f aca="false">IF(A2830="","",'Outro banco'!D2830)</f>
        <v/>
      </c>
      <c r="E2830" s="9"/>
      <c r="F2830" s="9"/>
      <c r="G2830" s="7" t="str">
        <f aca="false">IF(A2830="","",IF(COUNTIF(Tabelas!$A:$A,IF(E2830="",A2830,E2830))&gt;0,"sim","não"))</f>
        <v/>
      </c>
      <c r="H2830" s="7" t="str">
        <f aca="false">IF(A2830="","",IF(E2830="",A2830,E2830)&amp;"."&amp;IF(F2830="",B2830,F2830))</f>
        <v/>
      </c>
      <c r="I2830" s="7" t="str">
        <f aca="false">IF(A2830="","",IFERROR(INDEX('Campos Growths'!$F:$F,MATCH(H2830,'Campos Growths'!$A:$A,0)),""))</f>
        <v/>
      </c>
      <c r="J2830" s="7" t="str">
        <f aca="false">IF(A2830="","",IFERROR(VLOOKUP(IF(ISNUMBER(SEARCH("(",C2830)),LEFT(C2830,SEARCH("(",C2830)-1),C2830),Tipos!$A:$B,2,FALSE()),"outro"))</f>
        <v/>
      </c>
      <c r="K2830" s="7" t="str">
        <f aca="false">IF(I2830="","",IFERROR(INDEX('Campos Growths'!$L:$L,MATCH(H2830,'Campos Growths'!$A:$A,0)),""))</f>
        <v/>
      </c>
      <c r="L2830" s="7" t="str">
        <f aca="false">IF(A2830="","",IF(G2830="não","Sem tabela no Growths",IF(I2830="","Sem campo no Growths",IF(J2830=K2830,"Importa direto","Ajustar tipo"))))</f>
        <v/>
      </c>
      <c r="M2830" s="9"/>
    </row>
    <row r="2831" customFormat="false" ht="15" hidden="false" customHeight="false" outlineLevel="0" collapsed="false">
      <c r="A2831" s="7" t="str">
        <f aca="false">IF('Outro banco'!A2831="","",IF(LEFT('Outro banco'!A2831,1)="(","",'Outro banco'!A2831))</f>
        <v/>
      </c>
      <c r="B2831" s="7" t="str">
        <f aca="false">IF(A2831="","",'Outro banco'!B2831)</f>
        <v/>
      </c>
      <c r="C2831" s="7" t="str">
        <f aca="false">IF(A2831="","",'Outro banco'!C2831)</f>
        <v/>
      </c>
      <c r="D2831" s="7" t="str">
        <f aca="false">IF(A2831="","",'Outro banco'!D2831)</f>
        <v/>
      </c>
      <c r="E2831" s="9"/>
      <c r="F2831" s="9"/>
      <c r="G2831" s="7" t="str">
        <f aca="false">IF(A2831="","",IF(COUNTIF(Tabelas!$A:$A,IF(E2831="",A2831,E2831))&gt;0,"sim","não"))</f>
        <v/>
      </c>
      <c r="H2831" s="7" t="str">
        <f aca="false">IF(A2831="","",IF(E2831="",A2831,E2831)&amp;"."&amp;IF(F2831="",B2831,F2831))</f>
        <v/>
      </c>
      <c r="I2831" s="7" t="str">
        <f aca="false">IF(A2831="","",IFERROR(INDEX('Campos Growths'!$F:$F,MATCH(H2831,'Campos Growths'!$A:$A,0)),""))</f>
        <v/>
      </c>
      <c r="J2831" s="7" t="str">
        <f aca="false">IF(A2831="","",IFERROR(VLOOKUP(IF(ISNUMBER(SEARCH("(",C2831)),LEFT(C2831,SEARCH("(",C2831)-1),C2831),Tipos!$A:$B,2,FALSE()),"outro"))</f>
        <v/>
      </c>
      <c r="K2831" s="7" t="str">
        <f aca="false">IF(I2831="","",IFERROR(INDEX('Campos Growths'!$L:$L,MATCH(H2831,'Campos Growths'!$A:$A,0)),""))</f>
        <v/>
      </c>
      <c r="L2831" s="7" t="str">
        <f aca="false">IF(A2831="","",IF(G2831="não","Sem tabela no Growths",IF(I2831="","Sem campo no Growths",IF(J2831=K2831,"Importa direto","Ajustar tipo"))))</f>
        <v/>
      </c>
      <c r="M2831" s="9"/>
    </row>
    <row r="2832" customFormat="false" ht="15" hidden="false" customHeight="false" outlineLevel="0" collapsed="false">
      <c r="A2832" s="7" t="str">
        <f aca="false">IF('Outro banco'!A2832="","",IF(LEFT('Outro banco'!A2832,1)="(","",'Outro banco'!A2832))</f>
        <v/>
      </c>
      <c r="B2832" s="7" t="str">
        <f aca="false">IF(A2832="","",'Outro banco'!B2832)</f>
        <v/>
      </c>
      <c r="C2832" s="7" t="str">
        <f aca="false">IF(A2832="","",'Outro banco'!C2832)</f>
        <v/>
      </c>
      <c r="D2832" s="7" t="str">
        <f aca="false">IF(A2832="","",'Outro banco'!D2832)</f>
        <v/>
      </c>
      <c r="E2832" s="9"/>
      <c r="F2832" s="9"/>
      <c r="G2832" s="7" t="str">
        <f aca="false">IF(A2832="","",IF(COUNTIF(Tabelas!$A:$A,IF(E2832="",A2832,E2832))&gt;0,"sim","não"))</f>
        <v/>
      </c>
      <c r="H2832" s="7" t="str">
        <f aca="false">IF(A2832="","",IF(E2832="",A2832,E2832)&amp;"."&amp;IF(F2832="",B2832,F2832))</f>
        <v/>
      </c>
      <c r="I2832" s="7" t="str">
        <f aca="false">IF(A2832="","",IFERROR(INDEX('Campos Growths'!$F:$F,MATCH(H2832,'Campos Growths'!$A:$A,0)),""))</f>
        <v/>
      </c>
      <c r="J2832" s="7" t="str">
        <f aca="false">IF(A2832="","",IFERROR(VLOOKUP(IF(ISNUMBER(SEARCH("(",C2832)),LEFT(C2832,SEARCH("(",C2832)-1),C2832),Tipos!$A:$B,2,FALSE()),"outro"))</f>
        <v/>
      </c>
      <c r="K2832" s="7" t="str">
        <f aca="false">IF(I2832="","",IFERROR(INDEX('Campos Growths'!$L:$L,MATCH(H2832,'Campos Growths'!$A:$A,0)),""))</f>
        <v/>
      </c>
      <c r="L2832" s="7" t="str">
        <f aca="false">IF(A2832="","",IF(G2832="não","Sem tabela no Growths",IF(I2832="","Sem campo no Growths",IF(J2832=K2832,"Importa direto","Ajustar tipo"))))</f>
        <v/>
      </c>
      <c r="M2832" s="9"/>
    </row>
    <row r="2833" customFormat="false" ht="15" hidden="false" customHeight="false" outlineLevel="0" collapsed="false">
      <c r="A2833" s="7" t="str">
        <f aca="false">IF('Outro banco'!A2833="","",IF(LEFT('Outro banco'!A2833,1)="(","",'Outro banco'!A2833))</f>
        <v/>
      </c>
      <c r="B2833" s="7" t="str">
        <f aca="false">IF(A2833="","",'Outro banco'!B2833)</f>
        <v/>
      </c>
      <c r="C2833" s="7" t="str">
        <f aca="false">IF(A2833="","",'Outro banco'!C2833)</f>
        <v/>
      </c>
      <c r="D2833" s="7" t="str">
        <f aca="false">IF(A2833="","",'Outro banco'!D2833)</f>
        <v/>
      </c>
      <c r="E2833" s="9"/>
      <c r="F2833" s="9"/>
      <c r="G2833" s="7" t="str">
        <f aca="false">IF(A2833="","",IF(COUNTIF(Tabelas!$A:$A,IF(E2833="",A2833,E2833))&gt;0,"sim","não"))</f>
        <v/>
      </c>
      <c r="H2833" s="7" t="str">
        <f aca="false">IF(A2833="","",IF(E2833="",A2833,E2833)&amp;"."&amp;IF(F2833="",B2833,F2833))</f>
        <v/>
      </c>
      <c r="I2833" s="7" t="str">
        <f aca="false">IF(A2833="","",IFERROR(INDEX('Campos Growths'!$F:$F,MATCH(H2833,'Campos Growths'!$A:$A,0)),""))</f>
        <v/>
      </c>
      <c r="J2833" s="7" t="str">
        <f aca="false">IF(A2833="","",IFERROR(VLOOKUP(IF(ISNUMBER(SEARCH("(",C2833)),LEFT(C2833,SEARCH("(",C2833)-1),C2833),Tipos!$A:$B,2,FALSE()),"outro"))</f>
        <v/>
      </c>
      <c r="K2833" s="7" t="str">
        <f aca="false">IF(I2833="","",IFERROR(INDEX('Campos Growths'!$L:$L,MATCH(H2833,'Campos Growths'!$A:$A,0)),""))</f>
        <v/>
      </c>
      <c r="L2833" s="7" t="str">
        <f aca="false">IF(A2833="","",IF(G2833="não","Sem tabela no Growths",IF(I2833="","Sem campo no Growths",IF(J2833=K2833,"Importa direto","Ajustar tipo"))))</f>
        <v/>
      </c>
      <c r="M2833" s="9"/>
    </row>
    <row r="2834" customFormat="false" ht="15" hidden="false" customHeight="false" outlineLevel="0" collapsed="false">
      <c r="A2834" s="7" t="str">
        <f aca="false">IF('Outro banco'!A2834="","",IF(LEFT('Outro banco'!A2834,1)="(","",'Outro banco'!A2834))</f>
        <v/>
      </c>
      <c r="B2834" s="7" t="str">
        <f aca="false">IF(A2834="","",'Outro banco'!B2834)</f>
        <v/>
      </c>
      <c r="C2834" s="7" t="str">
        <f aca="false">IF(A2834="","",'Outro banco'!C2834)</f>
        <v/>
      </c>
      <c r="D2834" s="7" t="str">
        <f aca="false">IF(A2834="","",'Outro banco'!D2834)</f>
        <v/>
      </c>
      <c r="E2834" s="9"/>
      <c r="F2834" s="9"/>
      <c r="G2834" s="7" t="str">
        <f aca="false">IF(A2834="","",IF(COUNTIF(Tabelas!$A:$A,IF(E2834="",A2834,E2834))&gt;0,"sim","não"))</f>
        <v/>
      </c>
      <c r="H2834" s="7" t="str">
        <f aca="false">IF(A2834="","",IF(E2834="",A2834,E2834)&amp;"."&amp;IF(F2834="",B2834,F2834))</f>
        <v/>
      </c>
      <c r="I2834" s="7" t="str">
        <f aca="false">IF(A2834="","",IFERROR(INDEX('Campos Growths'!$F:$F,MATCH(H2834,'Campos Growths'!$A:$A,0)),""))</f>
        <v/>
      </c>
      <c r="J2834" s="7" t="str">
        <f aca="false">IF(A2834="","",IFERROR(VLOOKUP(IF(ISNUMBER(SEARCH("(",C2834)),LEFT(C2834,SEARCH("(",C2834)-1),C2834),Tipos!$A:$B,2,FALSE()),"outro"))</f>
        <v/>
      </c>
      <c r="K2834" s="7" t="str">
        <f aca="false">IF(I2834="","",IFERROR(INDEX('Campos Growths'!$L:$L,MATCH(H2834,'Campos Growths'!$A:$A,0)),""))</f>
        <v/>
      </c>
      <c r="L2834" s="7" t="str">
        <f aca="false">IF(A2834="","",IF(G2834="não","Sem tabela no Growths",IF(I2834="","Sem campo no Growths",IF(J2834=K2834,"Importa direto","Ajustar tipo"))))</f>
        <v/>
      </c>
      <c r="M2834" s="9"/>
    </row>
    <row r="2835" customFormat="false" ht="15" hidden="false" customHeight="false" outlineLevel="0" collapsed="false">
      <c r="A2835" s="7" t="str">
        <f aca="false">IF('Outro banco'!A2835="","",IF(LEFT('Outro banco'!A2835,1)="(","",'Outro banco'!A2835))</f>
        <v/>
      </c>
      <c r="B2835" s="7" t="str">
        <f aca="false">IF(A2835="","",'Outro banco'!B2835)</f>
        <v/>
      </c>
      <c r="C2835" s="7" t="str">
        <f aca="false">IF(A2835="","",'Outro banco'!C2835)</f>
        <v/>
      </c>
      <c r="D2835" s="7" t="str">
        <f aca="false">IF(A2835="","",'Outro banco'!D2835)</f>
        <v/>
      </c>
      <c r="E2835" s="9"/>
      <c r="F2835" s="9"/>
      <c r="G2835" s="7" t="str">
        <f aca="false">IF(A2835="","",IF(COUNTIF(Tabelas!$A:$A,IF(E2835="",A2835,E2835))&gt;0,"sim","não"))</f>
        <v/>
      </c>
      <c r="H2835" s="7" t="str">
        <f aca="false">IF(A2835="","",IF(E2835="",A2835,E2835)&amp;"."&amp;IF(F2835="",B2835,F2835))</f>
        <v/>
      </c>
      <c r="I2835" s="7" t="str">
        <f aca="false">IF(A2835="","",IFERROR(INDEX('Campos Growths'!$F:$F,MATCH(H2835,'Campos Growths'!$A:$A,0)),""))</f>
        <v/>
      </c>
      <c r="J2835" s="7" t="str">
        <f aca="false">IF(A2835="","",IFERROR(VLOOKUP(IF(ISNUMBER(SEARCH("(",C2835)),LEFT(C2835,SEARCH("(",C2835)-1),C2835),Tipos!$A:$B,2,FALSE()),"outro"))</f>
        <v/>
      </c>
      <c r="K2835" s="7" t="str">
        <f aca="false">IF(I2835="","",IFERROR(INDEX('Campos Growths'!$L:$L,MATCH(H2835,'Campos Growths'!$A:$A,0)),""))</f>
        <v/>
      </c>
      <c r="L2835" s="7" t="str">
        <f aca="false">IF(A2835="","",IF(G2835="não","Sem tabela no Growths",IF(I2835="","Sem campo no Growths",IF(J2835=K2835,"Importa direto","Ajustar tipo"))))</f>
        <v/>
      </c>
      <c r="M2835" s="9"/>
    </row>
    <row r="2836" customFormat="false" ht="15" hidden="false" customHeight="false" outlineLevel="0" collapsed="false">
      <c r="A2836" s="7" t="str">
        <f aca="false">IF('Outro banco'!A2836="","",IF(LEFT('Outro banco'!A2836,1)="(","",'Outro banco'!A2836))</f>
        <v/>
      </c>
      <c r="B2836" s="7" t="str">
        <f aca="false">IF(A2836="","",'Outro banco'!B2836)</f>
        <v/>
      </c>
      <c r="C2836" s="7" t="str">
        <f aca="false">IF(A2836="","",'Outro banco'!C2836)</f>
        <v/>
      </c>
      <c r="D2836" s="7" t="str">
        <f aca="false">IF(A2836="","",'Outro banco'!D2836)</f>
        <v/>
      </c>
      <c r="E2836" s="9"/>
      <c r="F2836" s="9"/>
      <c r="G2836" s="7" t="str">
        <f aca="false">IF(A2836="","",IF(COUNTIF(Tabelas!$A:$A,IF(E2836="",A2836,E2836))&gt;0,"sim","não"))</f>
        <v/>
      </c>
      <c r="H2836" s="7" t="str">
        <f aca="false">IF(A2836="","",IF(E2836="",A2836,E2836)&amp;"."&amp;IF(F2836="",B2836,F2836))</f>
        <v/>
      </c>
      <c r="I2836" s="7" t="str">
        <f aca="false">IF(A2836="","",IFERROR(INDEX('Campos Growths'!$F:$F,MATCH(H2836,'Campos Growths'!$A:$A,0)),""))</f>
        <v/>
      </c>
      <c r="J2836" s="7" t="str">
        <f aca="false">IF(A2836="","",IFERROR(VLOOKUP(IF(ISNUMBER(SEARCH("(",C2836)),LEFT(C2836,SEARCH("(",C2836)-1),C2836),Tipos!$A:$B,2,FALSE()),"outro"))</f>
        <v/>
      </c>
      <c r="K2836" s="7" t="str">
        <f aca="false">IF(I2836="","",IFERROR(INDEX('Campos Growths'!$L:$L,MATCH(H2836,'Campos Growths'!$A:$A,0)),""))</f>
        <v/>
      </c>
      <c r="L2836" s="7" t="str">
        <f aca="false">IF(A2836="","",IF(G2836="não","Sem tabela no Growths",IF(I2836="","Sem campo no Growths",IF(J2836=K2836,"Importa direto","Ajustar tipo"))))</f>
        <v/>
      </c>
      <c r="M2836" s="9"/>
    </row>
    <row r="2837" customFormat="false" ht="15" hidden="false" customHeight="false" outlineLevel="0" collapsed="false">
      <c r="A2837" s="7" t="str">
        <f aca="false">IF('Outro banco'!A2837="","",IF(LEFT('Outro banco'!A2837,1)="(","",'Outro banco'!A2837))</f>
        <v/>
      </c>
      <c r="B2837" s="7" t="str">
        <f aca="false">IF(A2837="","",'Outro banco'!B2837)</f>
        <v/>
      </c>
      <c r="C2837" s="7" t="str">
        <f aca="false">IF(A2837="","",'Outro banco'!C2837)</f>
        <v/>
      </c>
      <c r="D2837" s="7" t="str">
        <f aca="false">IF(A2837="","",'Outro banco'!D2837)</f>
        <v/>
      </c>
      <c r="E2837" s="9"/>
      <c r="F2837" s="9"/>
      <c r="G2837" s="7" t="str">
        <f aca="false">IF(A2837="","",IF(COUNTIF(Tabelas!$A:$A,IF(E2837="",A2837,E2837))&gt;0,"sim","não"))</f>
        <v/>
      </c>
      <c r="H2837" s="7" t="str">
        <f aca="false">IF(A2837="","",IF(E2837="",A2837,E2837)&amp;"."&amp;IF(F2837="",B2837,F2837))</f>
        <v/>
      </c>
      <c r="I2837" s="7" t="str">
        <f aca="false">IF(A2837="","",IFERROR(INDEX('Campos Growths'!$F:$F,MATCH(H2837,'Campos Growths'!$A:$A,0)),""))</f>
        <v/>
      </c>
      <c r="J2837" s="7" t="str">
        <f aca="false">IF(A2837="","",IFERROR(VLOOKUP(IF(ISNUMBER(SEARCH("(",C2837)),LEFT(C2837,SEARCH("(",C2837)-1),C2837),Tipos!$A:$B,2,FALSE()),"outro"))</f>
        <v/>
      </c>
      <c r="K2837" s="7" t="str">
        <f aca="false">IF(I2837="","",IFERROR(INDEX('Campos Growths'!$L:$L,MATCH(H2837,'Campos Growths'!$A:$A,0)),""))</f>
        <v/>
      </c>
      <c r="L2837" s="7" t="str">
        <f aca="false">IF(A2837="","",IF(G2837="não","Sem tabela no Growths",IF(I2837="","Sem campo no Growths",IF(J2837=K2837,"Importa direto","Ajustar tipo"))))</f>
        <v/>
      </c>
      <c r="M2837" s="9"/>
    </row>
    <row r="2838" customFormat="false" ht="15" hidden="false" customHeight="false" outlineLevel="0" collapsed="false">
      <c r="A2838" s="7" t="str">
        <f aca="false">IF('Outro banco'!A2838="","",IF(LEFT('Outro banco'!A2838,1)="(","",'Outro banco'!A2838))</f>
        <v/>
      </c>
      <c r="B2838" s="7" t="str">
        <f aca="false">IF(A2838="","",'Outro banco'!B2838)</f>
        <v/>
      </c>
      <c r="C2838" s="7" t="str">
        <f aca="false">IF(A2838="","",'Outro banco'!C2838)</f>
        <v/>
      </c>
      <c r="D2838" s="7" t="str">
        <f aca="false">IF(A2838="","",'Outro banco'!D2838)</f>
        <v/>
      </c>
      <c r="E2838" s="9"/>
      <c r="F2838" s="9"/>
      <c r="G2838" s="7" t="str">
        <f aca="false">IF(A2838="","",IF(COUNTIF(Tabelas!$A:$A,IF(E2838="",A2838,E2838))&gt;0,"sim","não"))</f>
        <v/>
      </c>
      <c r="H2838" s="7" t="str">
        <f aca="false">IF(A2838="","",IF(E2838="",A2838,E2838)&amp;"."&amp;IF(F2838="",B2838,F2838))</f>
        <v/>
      </c>
      <c r="I2838" s="7" t="str">
        <f aca="false">IF(A2838="","",IFERROR(INDEX('Campos Growths'!$F:$F,MATCH(H2838,'Campos Growths'!$A:$A,0)),""))</f>
        <v/>
      </c>
      <c r="J2838" s="7" t="str">
        <f aca="false">IF(A2838="","",IFERROR(VLOOKUP(IF(ISNUMBER(SEARCH("(",C2838)),LEFT(C2838,SEARCH("(",C2838)-1),C2838),Tipos!$A:$B,2,FALSE()),"outro"))</f>
        <v/>
      </c>
      <c r="K2838" s="7" t="str">
        <f aca="false">IF(I2838="","",IFERROR(INDEX('Campos Growths'!$L:$L,MATCH(H2838,'Campos Growths'!$A:$A,0)),""))</f>
        <v/>
      </c>
      <c r="L2838" s="7" t="str">
        <f aca="false">IF(A2838="","",IF(G2838="não","Sem tabela no Growths",IF(I2838="","Sem campo no Growths",IF(J2838=K2838,"Importa direto","Ajustar tipo"))))</f>
        <v/>
      </c>
      <c r="M2838" s="9"/>
    </row>
    <row r="2839" customFormat="false" ht="15" hidden="false" customHeight="false" outlineLevel="0" collapsed="false">
      <c r="A2839" s="7" t="str">
        <f aca="false">IF('Outro banco'!A2839="","",IF(LEFT('Outro banco'!A2839,1)="(","",'Outro banco'!A2839))</f>
        <v/>
      </c>
      <c r="B2839" s="7" t="str">
        <f aca="false">IF(A2839="","",'Outro banco'!B2839)</f>
        <v/>
      </c>
      <c r="C2839" s="7" t="str">
        <f aca="false">IF(A2839="","",'Outro banco'!C2839)</f>
        <v/>
      </c>
      <c r="D2839" s="7" t="str">
        <f aca="false">IF(A2839="","",'Outro banco'!D2839)</f>
        <v/>
      </c>
      <c r="E2839" s="9"/>
      <c r="F2839" s="9"/>
      <c r="G2839" s="7" t="str">
        <f aca="false">IF(A2839="","",IF(COUNTIF(Tabelas!$A:$A,IF(E2839="",A2839,E2839))&gt;0,"sim","não"))</f>
        <v/>
      </c>
      <c r="H2839" s="7" t="str">
        <f aca="false">IF(A2839="","",IF(E2839="",A2839,E2839)&amp;"."&amp;IF(F2839="",B2839,F2839))</f>
        <v/>
      </c>
      <c r="I2839" s="7" t="str">
        <f aca="false">IF(A2839="","",IFERROR(INDEX('Campos Growths'!$F:$F,MATCH(H2839,'Campos Growths'!$A:$A,0)),""))</f>
        <v/>
      </c>
      <c r="J2839" s="7" t="str">
        <f aca="false">IF(A2839="","",IFERROR(VLOOKUP(IF(ISNUMBER(SEARCH("(",C2839)),LEFT(C2839,SEARCH("(",C2839)-1),C2839),Tipos!$A:$B,2,FALSE()),"outro"))</f>
        <v/>
      </c>
      <c r="K2839" s="7" t="str">
        <f aca="false">IF(I2839="","",IFERROR(INDEX('Campos Growths'!$L:$L,MATCH(H2839,'Campos Growths'!$A:$A,0)),""))</f>
        <v/>
      </c>
      <c r="L2839" s="7" t="str">
        <f aca="false">IF(A2839="","",IF(G2839="não","Sem tabela no Growths",IF(I2839="","Sem campo no Growths",IF(J2839=K2839,"Importa direto","Ajustar tipo"))))</f>
        <v/>
      </c>
      <c r="M2839" s="9"/>
    </row>
    <row r="2840" customFormat="false" ht="15" hidden="false" customHeight="false" outlineLevel="0" collapsed="false">
      <c r="A2840" s="7" t="str">
        <f aca="false">IF('Outro banco'!A2840="","",IF(LEFT('Outro banco'!A2840,1)="(","",'Outro banco'!A2840))</f>
        <v/>
      </c>
      <c r="B2840" s="7" t="str">
        <f aca="false">IF(A2840="","",'Outro banco'!B2840)</f>
        <v/>
      </c>
      <c r="C2840" s="7" t="str">
        <f aca="false">IF(A2840="","",'Outro banco'!C2840)</f>
        <v/>
      </c>
      <c r="D2840" s="7" t="str">
        <f aca="false">IF(A2840="","",'Outro banco'!D2840)</f>
        <v/>
      </c>
      <c r="E2840" s="9"/>
      <c r="F2840" s="9"/>
      <c r="G2840" s="7" t="str">
        <f aca="false">IF(A2840="","",IF(COUNTIF(Tabelas!$A:$A,IF(E2840="",A2840,E2840))&gt;0,"sim","não"))</f>
        <v/>
      </c>
      <c r="H2840" s="7" t="str">
        <f aca="false">IF(A2840="","",IF(E2840="",A2840,E2840)&amp;"."&amp;IF(F2840="",B2840,F2840))</f>
        <v/>
      </c>
      <c r="I2840" s="7" t="str">
        <f aca="false">IF(A2840="","",IFERROR(INDEX('Campos Growths'!$F:$F,MATCH(H2840,'Campos Growths'!$A:$A,0)),""))</f>
        <v/>
      </c>
      <c r="J2840" s="7" t="str">
        <f aca="false">IF(A2840="","",IFERROR(VLOOKUP(IF(ISNUMBER(SEARCH("(",C2840)),LEFT(C2840,SEARCH("(",C2840)-1),C2840),Tipos!$A:$B,2,FALSE()),"outro"))</f>
        <v/>
      </c>
      <c r="K2840" s="7" t="str">
        <f aca="false">IF(I2840="","",IFERROR(INDEX('Campos Growths'!$L:$L,MATCH(H2840,'Campos Growths'!$A:$A,0)),""))</f>
        <v/>
      </c>
      <c r="L2840" s="7" t="str">
        <f aca="false">IF(A2840="","",IF(G2840="não","Sem tabela no Growths",IF(I2840="","Sem campo no Growths",IF(J2840=K2840,"Importa direto","Ajustar tipo"))))</f>
        <v/>
      </c>
      <c r="M2840" s="9"/>
    </row>
    <row r="2841" customFormat="false" ht="15" hidden="false" customHeight="false" outlineLevel="0" collapsed="false">
      <c r="A2841" s="7" t="str">
        <f aca="false">IF('Outro banco'!A2841="","",IF(LEFT('Outro banco'!A2841,1)="(","",'Outro banco'!A2841))</f>
        <v/>
      </c>
      <c r="B2841" s="7" t="str">
        <f aca="false">IF(A2841="","",'Outro banco'!B2841)</f>
        <v/>
      </c>
      <c r="C2841" s="7" t="str">
        <f aca="false">IF(A2841="","",'Outro banco'!C2841)</f>
        <v/>
      </c>
      <c r="D2841" s="7" t="str">
        <f aca="false">IF(A2841="","",'Outro banco'!D2841)</f>
        <v/>
      </c>
      <c r="E2841" s="9"/>
      <c r="F2841" s="9"/>
      <c r="G2841" s="7" t="str">
        <f aca="false">IF(A2841="","",IF(COUNTIF(Tabelas!$A:$A,IF(E2841="",A2841,E2841))&gt;0,"sim","não"))</f>
        <v/>
      </c>
      <c r="H2841" s="7" t="str">
        <f aca="false">IF(A2841="","",IF(E2841="",A2841,E2841)&amp;"."&amp;IF(F2841="",B2841,F2841))</f>
        <v/>
      </c>
      <c r="I2841" s="7" t="str">
        <f aca="false">IF(A2841="","",IFERROR(INDEX('Campos Growths'!$F:$F,MATCH(H2841,'Campos Growths'!$A:$A,0)),""))</f>
        <v/>
      </c>
      <c r="J2841" s="7" t="str">
        <f aca="false">IF(A2841="","",IFERROR(VLOOKUP(IF(ISNUMBER(SEARCH("(",C2841)),LEFT(C2841,SEARCH("(",C2841)-1),C2841),Tipos!$A:$B,2,FALSE()),"outro"))</f>
        <v/>
      </c>
      <c r="K2841" s="7" t="str">
        <f aca="false">IF(I2841="","",IFERROR(INDEX('Campos Growths'!$L:$L,MATCH(H2841,'Campos Growths'!$A:$A,0)),""))</f>
        <v/>
      </c>
      <c r="L2841" s="7" t="str">
        <f aca="false">IF(A2841="","",IF(G2841="não","Sem tabela no Growths",IF(I2841="","Sem campo no Growths",IF(J2841=K2841,"Importa direto","Ajustar tipo"))))</f>
        <v/>
      </c>
      <c r="M2841" s="9"/>
    </row>
    <row r="2842" customFormat="false" ht="15" hidden="false" customHeight="false" outlineLevel="0" collapsed="false">
      <c r="A2842" s="7" t="str">
        <f aca="false">IF('Outro banco'!A2842="","",IF(LEFT('Outro banco'!A2842,1)="(","",'Outro banco'!A2842))</f>
        <v/>
      </c>
      <c r="B2842" s="7" t="str">
        <f aca="false">IF(A2842="","",'Outro banco'!B2842)</f>
        <v/>
      </c>
      <c r="C2842" s="7" t="str">
        <f aca="false">IF(A2842="","",'Outro banco'!C2842)</f>
        <v/>
      </c>
      <c r="D2842" s="7" t="str">
        <f aca="false">IF(A2842="","",'Outro banco'!D2842)</f>
        <v/>
      </c>
      <c r="E2842" s="9"/>
      <c r="F2842" s="9"/>
      <c r="G2842" s="7" t="str">
        <f aca="false">IF(A2842="","",IF(COUNTIF(Tabelas!$A:$A,IF(E2842="",A2842,E2842))&gt;0,"sim","não"))</f>
        <v/>
      </c>
      <c r="H2842" s="7" t="str">
        <f aca="false">IF(A2842="","",IF(E2842="",A2842,E2842)&amp;"."&amp;IF(F2842="",B2842,F2842))</f>
        <v/>
      </c>
      <c r="I2842" s="7" t="str">
        <f aca="false">IF(A2842="","",IFERROR(INDEX('Campos Growths'!$F:$F,MATCH(H2842,'Campos Growths'!$A:$A,0)),""))</f>
        <v/>
      </c>
      <c r="J2842" s="7" t="str">
        <f aca="false">IF(A2842="","",IFERROR(VLOOKUP(IF(ISNUMBER(SEARCH("(",C2842)),LEFT(C2842,SEARCH("(",C2842)-1),C2842),Tipos!$A:$B,2,FALSE()),"outro"))</f>
        <v/>
      </c>
      <c r="K2842" s="7" t="str">
        <f aca="false">IF(I2842="","",IFERROR(INDEX('Campos Growths'!$L:$L,MATCH(H2842,'Campos Growths'!$A:$A,0)),""))</f>
        <v/>
      </c>
      <c r="L2842" s="7" t="str">
        <f aca="false">IF(A2842="","",IF(G2842="não","Sem tabela no Growths",IF(I2842="","Sem campo no Growths",IF(J2842=K2842,"Importa direto","Ajustar tipo"))))</f>
        <v/>
      </c>
      <c r="M2842" s="9"/>
    </row>
    <row r="2843" customFormat="false" ht="15" hidden="false" customHeight="false" outlineLevel="0" collapsed="false">
      <c r="A2843" s="7" t="str">
        <f aca="false">IF('Outro banco'!A2843="","",IF(LEFT('Outro banco'!A2843,1)="(","",'Outro banco'!A2843))</f>
        <v/>
      </c>
      <c r="B2843" s="7" t="str">
        <f aca="false">IF(A2843="","",'Outro banco'!B2843)</f>
        <v/>
      </c>
      <c r="C2843" s="7" t="str">
        <f aca="false">IF(A2843="","",'Outro banco'!C2843)</f>
        <v/>
      </c>
      <c r="D2843" s="7" t="str">
        <f aca="false">IF(A2843="","",'Outro banco'!D2843)</f>
        <v/>
      </c>
      <c r="E2843" s="9"/>
      <c r="F2843" s="9"/>
      <c r="G2843" s="7" t="str">
        <f aca="false">IF(A2843="","",IF(COUNTIF(Tabelas!$A:$A,IF(E2843="",A2843,E2843))&gt;0,"sim","não"))</f>
        <v/>
      </c>
      <c r="H2843" s="7" t="str">
        <f aca="false">IF(A2843="","",IF(E2843="",A2843,E2843)&amp;"."&amp;IF(F2843="",B2843,F2843))</f>
        <v/>
      </c>
      <c r="I2843" s="7" t="str">
        <f aca="false">IF(A2843="","",IFERROR(INDEX('Campos Growths'!$F:$F,MATCH(H2843,'Campos Growths'!$A:$A,0)),""))</f>
        <v/>
      </c>
      <c r="J2843" s="7" t="str">
        <f aca="false">IF(A2843="","",IFERROR(VLOOKUP(IF(ISNUMBER(SEARCH("(",C2843)),LEFT(C2843,SEARCH("(",C2843)-1),C2843),Tipos!$A:$B,2,FALSE()),"outro"))</f>
        <v/>
      </c>
      <c r="K2843" s="7" t="str">
        <f aca="false">IF(I2843="","",IFERROR(INDEX('Campos Growths'!$L:$L,MATCH(H2843,'Campos Growths'!$A:$A,0)),""))</f>
        <v/>
      </c>
      <c r="L2843" s="7" t="str">
        <f aca="false">IF(A2843="","",IF(G2843="não","Sem tabela no Growths",IF(I2843="","Sem campo no Growths",IF(J2843=K2843,"Importa direto","Ajustar tipo"))))</f>
        <v/>
      </c>
      <c r="M2843" s="9"/>
    </row>
    <row r="2844" customFormat="false" ht="15" hidden="false" customHeight="false" outlineLevel="0" collapsed="false">
      <c r="A2844" s="7" t="str">
        <f aca="false">IF('Outro banco'!A2844="","",IF(LEFT('Outro banco'!A2844,1)="(","",'Outro banco'!A2844))</f>
        <v/>
      </c>
      <c r="B2844" s="7" t="str">
        <f aca="false">IF(A2844="","",'Outro banco'!B2844)</f>
        <v/>
      </c>
      <c r="C2844" s="7" t="str">
        <f aca="false">IF(A2844="","",'Outro banco'!C2844)</f>
        <v/>
      </c>
      <c r="D2844" s="7" t="str">
        <f aca="false">IF(A2844="","",'Outro banco'!D2844)</f>
        <v/>
      </c>
      <c r="E2844" s="9"/>
      <c r="F2844" s="9"/>
      <c r="G2844" s="7" t="str">
        <f aca="false">IF(A2844="","",IF(COUNTIF(Tabelas!$A:$A,IF(E2844="",A2844,E2844))&gt;0,"sim","não"))</f>
        <v/>
      </c>
      <c r="H2844" s="7" t="str">
        <f aca="false">IF(A2844="","",IF(E2844="",A2844,E2844)&amp;"."&amp;IF(F2844="",B2844,F2844))</f>
        <v/>
      </c>
      <c r="I2844" s="7" t="str">
        <f aca="false">IF(A2844="","",IFERROR(INDEX('Campos Growths'!$F:$F,MATCH(H2844,'Campos Growths'!$A:$A,0)),""))</f>
        <v/>
      </c>
      <c r="J2844" s="7" t="str">
        <f aca="false">IF(A2844="","",IFERROR(VLOOKUP(IF(ISNUMBER(SEARCH("(",C2844)),LEFT(C2844,SEARCH("(",C2844)-1),C2844),Tipos!$A:$B,2,FALSE()),"outro"))</f>
        <v/>
      </c>
      <c r="K2844" s="7" t="str">
        <f aca="false">IF(I2844="","",IFERROR(INDEX('Campos Growths'!$L:$L,MATCH(H2844,'Campos Growths'!$A:$A,0)),""))</f>
        <v/>
      </c>
      <c r="L2844" s="7" t="str">
        <f aca="false">IF(A2844="","",IF(G2844="não","Sem tabela no Growths",IF(I2844="","Sem campo no Growths",IF(J2844=K2844,"Importa direto","Ajustar tipo"))))</f>
        <v/>
      </c>
      <c r="M2844" s="9"/>
    </row>
    <row r="2845" customFormat="false" ht="15" hidden="false" customHeight="false" outlineLevel="0" collapsed="false">
      <c r="A2845" s="7" t="str">
        <f aca="false">IF('Outro banco'!A2845="","",IF(LEFT('Outro banco'!A2845,1)="(","",'Outro banco'!A2845))</f>
        <v/>
      </c>
      <c r="B2845" s="7" t="str">
        <f aca="false">IF(A2845="","",'Outro banco'!B2845)</f>
        <v/>
      </c>
      <c r="C2845" s="7" t="str">
        <f aca="false">IF(A2845="","",'Outro banco'!C2845)</f>
        <v/>
      </c>
      <c r="D2845" s="7" t="str">
        <f aca="false">IF(A2845="","",'Outro banco'!D2845)</f>
        <v/>
      </c>
      <c r="E2845" s="9"/>
      <c r="F2845" s="9"/>
      <c r="G2845" s="7" t="str">
        <f aca="false">IF(A2845="","",IF(COUNTIF(Tabelas!$A:$A,IF(E2845="",A2845,E2845))&gt;0,"sim","não"))</f>
        <v/>
      </c>
      <c r="H2845" s="7" t="str">
        <f aca="false">IF(A2845="","",IF(E2845="",A2845,E2845)&amp;"."&amp;IF(F2845="",B2845,F2845))</f>
        <v/>
      </c>
      <c r="I2845" s="7" t="str">
        <f aca="false">IF(A2845="","",IFERROR(INDEX('Campos Growths'!$F:$F,MATCH(H2845,'Campos Growths'!$A:$A,0)),""))</f>
        <v/>
      </c>
      <c r="J2845" s="7" t="str">
        <f aca="false">IF(A2845="","",IFERROR(VLOOKUP(IF(ISNUMBER(SEARCH("(",C2845)),LEFT(C2845,SEARCH("(",C2845)-1),C2845),Tipos!$A:$B,2,FALSE()),"outro"))</f>
        <v/>
      </c>
      <c r="K2845" s="7" t="str">
        <f aca="false">IF(I2845="","",IFERROR(INDEX('Campos Growths'!$L:$L,MATCH(H2845,'Campos Growths'!$A:$A,0)),""))</f>
        <v/>
      </c>
      <c r="L2845" s="7" t="str">
        <f aca="false">IF(A2845="","",IF(G2845="não","Sem tabela no Growths",IF(I2845="","Sem campo no Growths",IF(J2845=K2845,"Importa direto","Ajustar tipo"))))</f>
        <v/>
      </c>
      <c r="M2845" s="9"/>
    </row>
    <row r="2846" customFormat="false" ht="15" hidden="false" customHeight="false" outlineLevel="0" collapsed="false">
      <c r="A2846" s="7" t="str">
        <f aca="false">IF('Outro banco'!A2846="","",IF(LEFT('Outro banco'!A2846,1)="(","",'Outro banco'!A2846))</f>
        <v/>
      </c>
      <c r="B2846" s="7" t="str">
        <f aca="false">IF(A2846="","",'Outro banco'!B2846)</f>
        <v/>
      </c>
      <c r="C2846" s="7" t="str">
        <f aca="false">IF(A2846="","",'Outro banco'!C2846)</f>
        <v/>
      </c>
      <c r="D2846" s="7" t="str">
        <f aca="false">IF(A2846="","",'Outro banco'!D2846)</f>
        <v/>
      </c>
      <c r="E2846" s="9"/>
      <c r="F2846" s="9"/>
      <c r="G2846" s="7" t="str">
        <f aca="false">IF(A2846="","",IF(COUNTIF(Tabelas!$A:$A,IF(E2846="",A2846,E2846))&gt;0,"sim","não"))</f>
        <v/>
      </c>
      <c r="H2846" s="7" t="str">
        <f aca="false">IF(A2846="","",IF(E2846="",A2846,E2846)&amp;"."&amp;IF(F2846="",B2846,F2846))</f>
        <v/>
      </c>
      <c r="I2846" s="7" t="str">
        <f aca="false">IF(A2846="","",IFERROR(INDEX('Campos Growths'!$F:$F,MATCH(H2846,'Campos Growths'!$A:$A,0)),""))</f>
        <v/>
      </c>
      <c r="J2846" s="7" t="str">
        <f aca="false">IF(A2846="","",IFERROR(VLOOKUP(IF(ISNUMBER(SEARCH("(",C2846)),LEFT(C2846,SEARCH("(",C2846)-1),C2846),Tipos!$A:$B,2,FALSE()),"outro"))</f>
        <v/>
      </c>
      <c r="K2846" s="7" t="str">
        <f aca="false">IF(I2846="","",IFERROR(INDEX('Campos Growths'!$L:$L,MATCH(H2846,'Campos Growths'!$A:$A,0)),""))</f>
        <v/>
      </c>
      <c r="L2846" s="7" t="str">
        <f aca="false">IF(A2846="","",IF(G2846="não","Sem tabela no Growths",IF(I2846="","Sem campo no Growths",IF(J2846=K2846,"Importa direto","Ajustar tipo"))))</f>
        <v/>
      </c>
      <c r="M2846" s="9"/>
    </row>
    <row r="2847" customFormat="false" ht="15" hidden="false" customHeight="false" outlineLevel="0" collapsed="false">
      <c r="A2847" s="7" t="str">
        <f aca="false">IF('Outro banco'!A2847="","",IF(LEFT('Outro banco'!A2847,1)="(","",'Outro banco'!A2847))</f>
        <v/>
      </c>
      <c r="B2847" s="7" t="str">
        <f aca="false">IF(A2847="","",'Outro banco'!B2847)</f>
        <v/>
      </c>
      <c r="C2847" s="7" t="str">
        <f aca="false">IF(A2847="","",'Outro banco'!C2847)</f>
        <v/>
      </c>
      <c r="D2847" s="7" t="str">
        <f aca="false">IF(A2847="","",'Outro banco'!D2847)</f>
        <v/>
      </c>
      <c r="E2847" s="9"/>
      <c r="F2847" s="9"/>
      <c r="G2847" s="7" t="str">
        <f aca="false">IF(A2847="","",IF(COUNTIF(Tabelas!$A:$A,IF(E2847="",A2847,E2847))&gt;0,"sim","não"))</f>
        <v/>
      </c>
      <c r="H2847" s="7" t="str">
        <f aca="false">IF(A2847="","",IF(E2847="",A2847,E2847)&amp;"."&amp;IF(F2847="",B2847,F2847))</f>
        <v/>
      </c>
      <c r="I2847" s="7" t="str">
        <f aca="false">IF(A2847="","",IFERROR(INDEX('Campos Growths'!$F:$F,MATCH(H2847,'Campos Growths'!$A:$A,0)),""))</f>
        <v/>
      </c>
      <c r="J2847" s="7" t="str">
        <f aca="false">IF(A2847="","",IFERROR(VLOOKUP(IF(ISNUMBER(SEARCH("(",C2847)),LEFT(C2847,SEARCH("(",C2847)-1),C2847),Tipos!$A:$B,2,FALSE()),"outro"))</f>
        <v/>
      </c>
      <c r="K2847" s="7" t="str">
        <f aca="false">IF(I2847="","",IFERROR(INDEX('Campos Growths'!$L:$L,MATCH(H2847,'Campos Growths'!$A:$A,0)),""))</f>
        <v/>
      </c>
      <c r="L2847" s="7" t="str">
        <f aca="false">IF(A2847="","",IF(G2847="não","Sem tabela no Growths",IF(I2847="","Sem campo no Growths",IF(J2847=K2847,"Importa direto","Ajustar tipo"))))</f>
        <v/>
      </c>
      <c r="M2847" s="9"/>
    </row>
    <row r="2848" customFormat="false" ht="15" hidden="false" customHeight="false" outlineLevel="0" collapsed="false">
      <c r="A2848" s="7" t="str">
        <f aca="false">IF('Outro banco'!A2848="","",IF(LEFT('Outro banco'!A2848,1)="(","",'Outro banco'!A2848))</f>
        <v/>
      </c>
      <c r="B2848" s="7" t="str">
        <f aca="false">IF(A2848="","",'Outro banco'!B2848)</f>
        <v/>
      </c>
      <c r="C2848" s="7" t="str">
        <f aca="false">IF(A2848="","",'Outro banco'!C2848)</f>
        <v/>
      </c>
      <c r="D2848" s="7" t="str">
        <f aca="false">IF(A2848="","",'Outro banco'!D2848)</f>
        <v/>
      </c>
      <c r="E2848" s="9"/>
      <c r="F2848" s="9"/>
      <c r="G2848" s="7" t="str">
        <f aca="false">IF(A2848="","",IF(COUNTIF(Tabelas!$A:$A,IF(E2848="",A2848,E2848))&gt;0,"sim","não"))</f>
        <v/>
      </c>
      <c r="H2848" s="7" t="str">
        <f aca="false">IF(A2848="","",IF(E2848="",A2848,E2848)&amp;"."&amp;IF(F2848="",B2848,F2848))</f>
        <v/>
      </c>
      <c r="I2848" s="7" t="str">
        <f aca="false">IF(A2848="","",IFERROR(INDEX('Campos Growths'!$F:$F,MATCH(H2848,'Campos Growths'!$A:$A,0)),""))</f>
        <v/>
      </c>
      <c r="J2848" s="7" t="str">
        <f aca="false">IF(A2848="","",IFERROR(VLOOKUP(IF(ISNUMBER(SEARCH("(",C2848)),LEFT(C2848,SEARCH("(",C2848)-1),C2848),Tipos!$A:$B,2,FALSE()),"outro"))</f>
        <v/>
      </c>
      <c r="K2848" s="7" t="str">
        <f aca="false">IF(I2848="","",IFERROR(INDEX('Campos Growths'!$L:$L,MATCH(H2848,'Campos Growths'!$A:$A,0)),""))</f>
        <v/>
      </c>
      <c r="L2848" s="7" t="str">
        <f aca="false">IF(A2848="","",IF(G2848="não","Sem tabela no Growths",IF(I2848="","Sem campo no Growths",IF(J2848=K2848,"Importa direto","Ajustar tipo"))))</f>
        <v/>
      </c>
      <c r="M2848" s="9"/>
    </row>
    <row r="2849" customFormat="false" ht="15" hidden="false" customHeight="false" outlineLevel="0" collapsed="false">
      <c r="A2849" s="7" t="str">
        <f aca="false">IF('Outro banco'!A2849="","",IF(LEFT('Outro banco'!A2849,1)="(","",'Outro banco'!A2849))</f>
        <v/>
      </c>
      <c r="B2849" s="7" t="str">
        <f aca="false">IF(A2849="","",'Outro banco'!B2849)</f>
        <v/>
      </c>
      <c r="C2849" s="7" t="str">
        <f aca="false">IF(A2849="","",'Outro banco'!C2849)</f>
        <v/>
      </c>
      <c r="D2849" s="7" t="str">
        <f aca="false">IF(A2849="","",'Outro banco'!D2849)</f>
        <v/>
      </c>
      <c r="E2849" s="9"/>
      <c r="F2849" s="9"/>
      <c r="G2849" s="7" t="str">
        <f aca="false">IF(A2849="","",IF(COUNTIF(Tabelas!$A:$A,IF(E2849="",A2849,E2849))&gt;0,"sim","não"))</f>
        <v/>
      </c>
      <c r="H2849" s="7" t="str">
        <f aca="false">IF(A2849="","",IF(E2849="",A2849,E2849)&amp;"."&amp;IF(F2849="",B2849,F2849))</f>
        <v/>
      </c>
      <c r="I2849" s="7" t="str">
        <f aca="false">IF(A2849="","",IFERROR(INDEX('Campos Growths'!$F:$F,MATCH(H2849,'Campos Growths'!$A:$A,0)),""))</f>
        <v/>
      </c>
      <c r="J2849" s="7" t="str">
        <f aca="false">IF(A2849="","",IFERROR(VLOOKUP(IF(ISNUMBER(SEARCH("(",C2849)),LEFT(C2849,SEARCH("(",C2849)-1),C2849),Tipos!$A:$B,2,FALSE()),"outro"))</f>
        <v/>
      </c>
      <c r="K2849" s="7" t="str">
        <f aca="false">IF(I2849="","",IFERROR(INDEX('Campos Growths'!$L:$L,MATCH(H2849,'Campos Growths'!$A:$A,0)),""))</f>
        <v/>
      </c>
      <c r="L2849" s="7" t="str">
        <f aca="false">IF(A2849="","",IF(G2849="não","Sem tabela no Growths",IF(I2849="","Sem campo no Growths",IF(J2849=K2849,"Importa direto","Ajustar tipo"))))</f>
        <v/>
      </c>
      <c r="M2849" s="9"/>
    </row>
    <row r="2850" customFormat="false" ht="15" hidden="false" customHeight="false" outlineLevel="0" collapsed="false">
      <c r="A2850" s="7" t="str">
        <f aca="false">IF('Outro banco'!A2850="","",IF(LEFT('Outro banco'!A2850,1)="(","",'Outro banco'!A2850))</f>
        <v/>
      </c>
      <c r="B2850" s="7" t="str">
        <f aca="false">IF(A2850="","",'Outro banco'!B2850)</f>
        <v/>
      </c>
      <c r="C2850" s="7" t="str">
        <f aca="false">IF(A2850="","",'Outro banco'!C2850)</f>
        <v/>
      </c>
      <c r="D2850" s="7" t="str">
        <f aca="false">IF(A2850="","",'Outro banco'!D2850)</f>
        <v/>
      </c>
      <c r="E2850" s="9"/>
      <c r="F2850" s="9"/>
      <c r="G2850" s="7" t="str">
        <f aca="false">IF(A2850="","",IF(COUNTIF(Tabelas!$A:$A,IF(E2850="",A2850,E2850))&gt;0,"sim","não"))</f>
        <v/>
      </c>
      <c r="H2850" s="7" t="str">
        <f aca="false">IF(A2850="","",IF(E2850="",A2850,E2850)&amp;"."&amp;IF(F2850="",B2850,F2850))</f>
        <v/>
      </c>
      <c r="I2850" s="7" t="str">
        <f aca="false">IF(A2850="","",IFERROR(INDEX('Campos Growths'!$F:$F,MATCH(H2850,'Campos Growths'!$A:$A,0)),""))</f>
        <v/>
      </c>
      <c r="J2850" s="7" t="str">
        <f aca="false">IF(A2850="","",IFERROR(VLOOKUP(IF(ISNUMBER(SEARCH("(",C2850)),LEFT(C2850,SEARCH("(",C2850)-1),C2850),Tipos!$A:$B,2,FALSE()),"outro"))</f>
        <v/>
      </c>
      <c r="K2850" s="7" t="str">
        <f aca="false">IF(I2850="","",IFERROR(INDEX('Campos Growths'!$L:$L,MATCH(H2850,'Campos Growths'!$A:$A,0)),""))</f>
        <v/>
      </c>
      <c r="L2850" s="7" t="str">
        <f aca="false">IF(A2850="","",IF(G2850="não","Sem tabela no Growths",IF(I2850="","Sem campo no Growths",IF(J2850=K2850,"Importa direto","Ajustar tipo"))))</f>
        <v/>
      </c>
      <c r="M2850" s="9"/>
    </row>
    <row r="2851" customFormat="false" ht="15" hidden="false" customHeight="false" outlineLevel="0" collapsed="false">
      <c r="A2851" s="7" t="str">
        <f aca="false">IF('Outro banco'!A2851="","",IF(LEFT('Outro banco'!A2851,1)="(","",'Outro banco'!A2851))</f>
        <v/>
      </c>
      <c r="B2851" s="7" t="str">
        <f aca="false">IF(A2851="","",'Outro banco'!B2851)</f>
        <v/>
      </c>
      <c r="C2851" s="7" t="str">
        <f aca="false">IF(A2851="","",'Outro banco'!C2851)</f>
        <v/>
      </c>
      <c r="D2851" s="7" t="str">
        <f aca="false">IF(A2851="","",'Outro banco'!D2851)</f>
        <v/>
      </c>
      <c r="E2851" s="9"/>
      <c r="F2851" s="9"/>
      <c r="G2851" s="7" t="str">
        <f aca="false">IF(A2851="","",IF(COUNTIF(Tabelas!$A:$A,IF(E2851="",A2851,E2851))&gt;0,"sim","não"))</f>
        <v/>
      </c>
      <c r="H2851" s="7" t="str">
        <f aca="false">IF(A2851="","",IF(E2851="",A2851,E2851)&amp;"."&amp;IF(F2851="",B2851,F2851))</f>
        <v/>
      </c>
      <c r="I2851" s="7" t="str">
        <f aca="false">IF(A2851="","",IFERROR(INDEX('Campos Growths'!$F:$F,MATCH(H2851,'Campos Growths'!$A:$A,0)),""))</f>
        <v/>
      </c>
      <c r="J2851" s="7" t="str">
        <f aca="false">IF(A2851="","",IFERROR(VLOOKUP(IF(ISNUMBER(SEARCH("(",C2851)),LEFT(C2851,SEARCH("(",C2851)-1),C2851),Tipos!$A:$B,2,FALSE()),"outro"))</f>
        <v/>
      </c>
      <c r="K2851" s="7" t="str">
        <f aca="false">IF(I2851="","",IFERROR(INDEX('Campos Growths'!$L:$L,MATCH(H2851,'Campos Growths'!$A:$A,0)),""))</f>
        <v/>
      </c>
      <c r="L2851" s="7" t="str">
        <f aca="false">IF(A2851="","",IF(G2851="não","Sem tabela no Growths",IF(I2851="","Sem campo no Growths",IF(J2851=K2851,"Importa direto","Ajustar tipo"))))</f>
        <v/>
      </c>
      <c r="M2851" s="9"/>
    </row>
    <row r="2852" customFormat="false" ht="15" hidden="false" customHeight="false" outlineLevel="0" collapsed="false">
      <c r="A2852" s="7" t="str">
        <f aca="false">IF('Outro banco'!A2852="","",IF(LEFT('Outro banco'!A2852,1)="(","",'Outro banco'!A2852))</f>
        <v/>
      </c>
      <c r="B2852" s="7" t="str">
        <f aca="false">IF(A2852="","",'Outro banco'!B2852)</f>
        <v/>
      </c>
      <c r="C2852" s="7" t="str">
        <f aca="false">IF(A2852="","",'Outro banco'!C2852)</f>
        <v/>
      </c>
      <c r="D2852" s="7" t="str">
        <f aca="false">IF(A2852="","",'Outro banco'!D2852)</f>
        <v/>
      </c>
      <c r="E2852" s="9"/>
      <c r="F2852" s="9"/>
      <c r="G2852" s="7" t="str">
        <f aca="false">IF(A2852="","",IF(COUNTIF(Tabelas!$A:$A,IF(E2852="",A2852,E2852))&gt;0,"sim","não"))</f>
        <v/>
      </c>
      <c r="H2852" s="7" t="str">
        <f aca="false">IF(A2852="","",IF(E2852="",A2852,E2852)&amp;"."&amp;IF(F2852="",B2852,F2852))</f>
        <v/>
      </c>
      <c r="I2852" s="7" t="str">
        <f aca="false">IF(A2852="","",IFERROR(INDEX('Campos Growths'!$F:$F,MATCH(H2852,'Campos Growths'!$A:$A,0)),""))</f>
        <v/>
      </c>
      <c r="J2852" s="7" t="str">
        <f aca="false">IF(A2852="","",IFERROR(VLOOKUP(IF(ISNUMBER(SEARCH("(",C2852)),LEFT(C2852,SEARCH("(",C2852)-1),C2852),Tipos!$A:$B,2,FALSE()),"outro"))</f>
        <v/>
      </c>
      <c r="K2852" s="7" t="str">
        <f aca="false">IF(I2852="","",IFERROR(INDEX('Campos Growths'!$L:$L,MATCH(H2852,'Campos Growths'!$A:$A,0)),""))</f>
        <v/>
      </c>
      <c r="L2852" s="7" t="str">
        <f aca="false">IF(A2852="","",IF(G2852="não","Sem tabela no Growths",IF(I2852="","Sem campo no Growths",IF(J2852=K2852,"Importa direto","Ajustar tipo"))))</f>
        <v/>
      </c>
      <c r="M2852" s="9"/>
    </row>
    <row r="2853" customFormat="false" ht="15" hidden="false" customHeight="false" outlineLevel="0" collapsed="false">
      <c r="A2853" s="7" t="str">
        <f aca="false">IF('Outro banco'!A2853="","",IF(LEFT('Outro banco'!A2853,1)="(","",'Outro banco'!A2853))</f>
        <v/>
      </c>
      <c r="B2853" s="7" t="str">
        <f aca="false">IF(A2853="","",'Outro banco'!B2853)</f>
        <v/>
      </c>
      <c r="C2853" s="7" t="str">
        <f aca="false">IF(A2853="","",'Outro banco'!C2853)</f>
        <v/>
      </c>
      <c r="D2853" s="7" t="str">
        <f aca="false">IF(A2853="","",'Outro banco'!D2853)</f>
        <v/>
      </c>
      <c r="E2853" s="9"/>
      <c r="F2853" s="9"/>
      <c r="G2853" s="7" t="str">
        <f aca="false">IF(A2853="","",IF(COUNTIF(Tabelas!$A:$A,IF(E2853="",A2853,E2853))&gt;0,"sim","não"))</f>
        <v/>
      </c>
      <c r="H2853" s="7" t="str">
        <f aca="false">IF(A2853="","",IF(E2853="",A2853,E2853)&amp;"."&amp;IF(F2853="",B2853,F2853))</f>
        <v/>
      </c>
      <c r="I2853" s="7" t="str">
        <f aca="false">IF(A2853="","",IFERROR(INDEX('Campos Growths'!$F:$F,MATCH(H2853,'Campos Growths'!$A:$A,0)),""))</f>
        <v/>
      </c>
      <c r="J2853" s="7" t="str">
        <f aca="false">IF(A2853="","",IFERROR(VLOOKUP(IF(ISNUMBER(SEARCH("(",C2853)),LEFT(C2853,SEARCH("(",C2853)-1),C2853),Tipos!$A:$B,2,FALSE()),"outro"))</f>
        <v/>
      </c>
      <c r="K2853" s="7" t="str">
        <f aca="false">IF(I2853="","",IFERROR(INDEX('Campos Growths'!$L:$L,MATCH(H2853,'Campos Growths'!$A:$A,0)),""))</f>
        <v/>
      </c>
      <c r="L2853" s="7" t="str">
        <f aca="false">IF(A2853="","",IF(G2853="não","Sem tabela no Growths",IF(I2853="","Sem campo no Growths",IF(J2853=K2853,"Importa direto","Ajustar tipo"))))</f>
        <v/>
      </c>
      <c r="M2853" s="9"/>
    </row>
    <row r="2854" customFormat="false" ht="15" hidden="false" customHeight="false" outlineLevel="0" collapsed="false">
      <c r="A2854" s="7" t="str">
        <f aca="false">IF('Outro banco'!A2854="","",IF(LEFT('Outro banco'!A2854,1)="(","",'Outro banco'!A2854))</f>
        <v/>
      </c>
      <c r="B2854" s="7" t="str">
        <f aca="false">IF(A2854="","",'Outro banco'!B2854)</f>
        <v/>
      </c>
      <c r="C2854" s="7" t="str">
        <f aca="false">IF(A2854="","",'Outro banco'!C2854)</f>
        <v/>
      </c>
      <c r="D2854" s="7" t="str">
        <f aca="false">IF(A2854="","",'Outro banco'!D2854)</f>
        <v/>
      </c>
      <c r="E2854" s="9"/>
      <c r="F2854" s="9"/>
      <c r="G2854" s="7" t="str">
        <f aca="false">IF(A2854="","",IF(COUNTIF(Tabelas!$A:$A,IF(E2854="",A2854,E2854))&gt;0,"sim","não"))</f>
        <v/>
      </c>
      <c r="H2854" s="7" t="str">
        <f aca="false">IF(A2854="","",IF(E2854="",A2854,E2854)&amp;"."&amp;IF(F2854="",B2854,F2854))</f>
        <v/>
      </c>
      <c r="I2854" s="7" t="str">
        <f aca="false">IF(A2854="","",IFERROR(INDEX('Campos Growths'!$F:$F,MATCH(H2854,'Campos Growths'!$A:$A,0)),""))</f>
        <v/>
      </c>
      <c r="J2854" s="7" t="str">
        <f aca="false">IF(A2854="","",IFERROR(VLOOKUP(IF(ISNUMBER(SEARCH("(",C2854)),LEFT(C2854,SEARCH("(",C2854)-1),C2854),Tipos!$A:$B,2,FALSE()),"outro"))</f>
        <v/>
      </c>
      <c r="K2854" s="7" t="str">
        <f aca="false">IF(I2854="","",IFERROR(INDEX('Campos Growths'!$L:$L,MATCH(H2854,'Campos Growths'!$A:$A,0)),""))</f>
        <v/>
      </c>
      <c r="L2854" s="7" t="str">
        <f aca="false">IF(A2854="","",IF(G2854="não","Sem tabela no Growths",IF(I2854="","Sem campo no Growths",IF(J2854=K2854,"Importa direto","Ajustar tipo"))))</f>
        <v/>
      </c>
      <c r="M2854" s="9"/>
    </row>
    <row r="2855" customFormat="false" ht="15" hidden="false" customHeight="false" outlineLevel="0" collapsed="false">
      <c r="A2855" s="7" t="str">
        <f aca="false">IF('Outro banco'!A2855="","",IF(LEFT('Outro banco'!A2855,1)="(","",'Outro banco'!A2855))</f>
        <v/>
      </c>
      <c r="B2855" s="7" t="str">
        <f aca="false">IF(A2855="","",'Outro banco'!B2855)</f>
        <v/>
      </c>
      <c r="C2855" s="7" t="str">
        <f aca="false">IF(A2855="","",'Outro banco'!C2855)</f>
        <v/>
      </c>
      <c r="D2855" s="7" t="str">
        <f aca="false">IF(A2855="","",'Outro banco'!D2855)</f>
        <v/>
      </c>
      <c r="E2855" s="9"/>
      <c r="F2855" s="9"/>
      <c r="G2855" s="7" t="str">
        <f aca="false">IF(A2855="","",IF(COUNTIF(Tabelas!$A:$A,IF(E2855="",A2855,E2855))&gt;0,"sim","não"))</f>
        <v/>
      </c>
      <c r="H2855" s="7" t="str">
        <f aca="false">IF(A2855="","",IF(E2855="",A2855,E2855)&amp;"."&amp;IF(F2855="",B2855,F2855))</f>
        <v/>
      </c>
      <c r="I2855" s="7" t="str">
        <f aca="false">IF(A2855="","",IFERROR(INDEX('Campos Growths'!$F:$F,MATCH(H2855,'Campos Growths'!$A:$A,0)),""))</f>
        <v/>
      </c>
      <c r="J2855" s="7" t="str">
        <f aca="false">IF(A2855="","",IFERROR(VLOOKUP(IF(ISNUMBER(SEARCH("(",C2855)),LEFT(C2855,SEARCH("(",C2855)-1),C2855),Tipos!$A:$B,2,FALSE()),"outro"))</f>
        <v/>
      </c>
      <c r="K2855" s="7" t="str">
        <f aca="false">IF(I2855="","",IFERROR(INDEX('Campos Growths'!$L:$L,MATCH(H2855,'Campos Growths'!$A:$A,0)),""))</f>
        <v/>
      </c>
      <c r="L2855" s="7" t="str">
        <f aca="false">IF(A2855="","",IF(G2855="não","Sem tabela no Growths",IF(I2855="","Sem campo no Growths",IF(J2855=K2855,"Importa direto","Ajustar tipo"))))</f>
        <v/>
      </c>
      <c r="M2855" s="9"/>
    </row>
    <row r="2856" customFormat="false" ht="15" hidden="false" customHeight="false" outlineLevel="0" collapsed="false">
      <c r="A2856" s="7" t="str">
        <f aca="false">IF('Outro banco'!A2856="","",IF(LEFT('Outro banco'!A2856,1)="(","",'Outro banco'!A2856))</f>
        <v/>
      </c>
      <c r="B2856" s="7" t="str">
        <f aca="false">IF(A2856="","",'Outro banco'!B2856)</f>
        <v/>
      </c>
      <c r="C2856" s="7" t="str">
        <f aca="false">IF(A2856="","",'Outro banco'!C2856)</f>
        <v/>
      </c>
      <c r="D2856" s="7" t="str">
        <f aca="false">IF(A2856="","",'Outro banco'!D2856)</f>
        <v/>
      </c>
      <c r="E2856" s="9"/>
      <c r="F2856" s="9"/>
      <c r="G2856" s="7" t="str">
        <f aca="false">IF(A2856="","",IF(COUNTIF(Tabelas!$A:$A,IF(E2856="",A2856,E2856))&gt;0,"sim","não"))</f>
        <v/>
      </c>
      <c r="H2856" s="7" t="str">
        <f aca="false">IF(A2856="","",IF(E2856="",A2856,E2856)&amp;"."&amp;IF(F2856="",B2856,F2856))</f>
        <v/>
      </c>
      <c r="I2856" s="7" t="str">
        <f aca="false">IF(A2856="","",IFERROR(INDEX('Campos Growths'!$F:$F,MATCH(H2856,'Campos Growths'!$A:$A,0)),""))</f>
        <v/>
      </c>
      <c r="J2856" s="7" t="str">
        <f aca="false">IF(A2856="","",IFERROR(VLOOKUP(IF(ISNUMBER(SEARCH("(",C2856)),LEFT(C2856,SEARCH("(",C2856)-1),C2856),Tipos!$A:$B,2,FALSE()),"outro"))</f>
        <v/>
      </c>
      <c r="K2856" s="7" t="str">
        <f aca="false">IF(I2856="","",IFERROR(INDEX('Campos Growths'!$L:$L,MATCH(H2856,'Campos Growths'!$A:$A,0)),""))</f>
        <v/>
      </c>
      <c r="L2856" s="7" t="str">
        <f aca="false">IF(A2856="","",IF(G2856="não","Sem tabela no Growths",IF(I2856="","Sem campo no Growths",IF(J2856=K2856,"Importa direto","Ajustar tipo"))))</f>
        <v/>
      </c>
      <c r="M2856" s="9"/>
    </row>
    <row r="2857" customFormat="false" ht="15" hidden="false" customHeight="false" outlineLevel="0" collapsed="false">
      <c r="A2857" s="7" t="str">
        <f aca="false">IF('Outro banco'!A2857="","",IF(LEFT('Outro banco'!A2857,1)="(","",'Outro banco'!A2857))</f>
        <v/>
      </c>
      <c r="B2857" s="7" t="str">
        <f aca="false">IF(A2857="","",'Outro banco'!B2857)</f>
        <v/>
      </c>
      <c r="C2857" s="7" t="str">
        <f aca="false">IF(A2857="","",'Outro banco'!C2857)</f>
        <v/>
      </c>
      <c r="D2857" s="7" t="str">
        <f aca="false">IF(A2857="","",'Outro banco'!D2857)</f>
        <v/>
      </c>
      <c r="E2857" s="9"/>
      <c r="F2857" s="9"/>
      <c r="G2857" s="7" t="str">
        <f aca="false">IF(A2857="","",IF(COUNTIF(Tabelas!$A:$A,IF(E2857="",A2857,E2857))&gt;0,"sim","não"))</f>
        <v/>
      </c>
      <c r="H2857" s="7" t="str">
        <f aca="false">IF(A2857="","",IF(E2857="",A2857,E2857)&amp;"."&amp;IF(F2857="",B2857,F2857))</f>
        <v/>
      </c>
      <c r="I2857" s="7" t="str">
        <f aca="false">IF(A2857="","",IFERROR(INDEX('Campos Growths'!$F:$F,MATCH(H2857,'Campos Growths'!$A:$A,0)),""))</f>
        <v/>
      </c>
      <c r="J2857" s="7" t="str">
        <f aca="false">IF(A2857="","",IFERROR(VLOOKUP(IF(ISNUMBER(SEARCH("(",C2857)),LEFT(C2857,SEARCH("(",C2857)-1),C2857),Tipos!$A:$B,2,FALSE()),"outro"))</f>
        <v/>
      </c>
      <c r="K2857" s="7" t="str">
        <f aca="false">IF(I2857="","",IFERROR(INDEX('Campos Growths'!$L:$L,MATCH(H2857,'Campos Growths'!$A:$A,0)),""))</f>
        <v/>
      </c>
      <c r="L2857" s="7" t="str">
        <f aca="false">IF(A2857="","",IF(G2857="não","Sem tabela no Growths",IF(I2857="","Sem campo no Growths",IF(J2857=K2857,"Importa direto","Ajustar tipo"))))</f>
        <v/>
      </c>
      <c r="M2857" s="9"/>
    </row>
    <row r="2858" customFormat="false" ht="15" hidden="false" customHeight="false" outlineLevel="0" collapsed="false">
      <c r="A2858" s="7" t="str">
        <f aca="false">IF('Outro banco'!A2858="","",IF(LEFT('Outro banco'!A2858,1)="(","",'Outro banco'!A2858))</f>
        <v/>
      </c>
      <c r="B2858" s="7" t="str">
        <f aca="false">IF(A2858="","",'Outro banco'!B2858)</f>
        <v/>
      </c>
      <c r="C2858" s="7" t="str">
        <f aca="false">IF(A2858="","",'Outro banco'!C2858)</f>
        <v/>
      </c>
      <c r="D2858" s="7" t="str">
        <f aca="false">IF(A2858="","",'Outro banco'!D2858)</f>
        <v/>
      </c>
      <c r="E2858" s="9"/>
      <c r="F2858" s="9"/>
      <c r="G2858" s="7" t="str">
        <f aca="false">IF(A2858="","",IF(COUNTIF(Tabelas!$A:$A,IF(E2858="",A2858,E2858))&gt;0,"sim","não"))</f>
        <v/>
      </c>
      <c r="H2858" s="7" t="str">
        <f aca="false">IF(A2858="","",IF(E2858="",A2858,E2858)&amp;"."&amp;IF(F2858="",B2858,F2858))</f>
        <v/>
      </c>
      <c r="I2858" s="7" t="str">
        <f aca="false">IF(A2858="","",IFERROR(INDEX('Campos Growths'!$F:$F,MATCH(H2858,'Campos Growths'!$A:$A,0)),""))</f>
        <v/>
      </c>
      <c r="J2858" s="7" t="str">
        <f aca="false">IF(A2858="","",IFERROR(VLOOKUP(IF(ISNUMBER(SEARCH("(",C2858)),LEFT(C2858,SEARCH("(",C2858)-1),C2858),Tipos!$A:$B,2,FALSE()),"outro"))</f>
        <v/>
      </c>
      <c r="K2858" s="7" t="str">
        <f aca="false">IF(I2858="","",IFERROR(INDEX('Campos Growths'!$L:$L,MATCH(H2858,'Campos Growths'!$A:$A,0)),""))</f>
        <v/>
      </c>
      <c r="L2858" s="7" t="str">
        <f aca="false">IF(A2858="","",IF(G2858="não","Sem tabela no Growths",IF(I2858="","Sem campo no Growths",IF(J2858=K2858,"Importa direto","Ajustar tipo"))))</f>
        <v/>
      </c>
      <c r="M2858" s="9"/>
    </row>
    <row r="2859" customFormat="false" ht="15" hidden="false" customHeight="false" outlineLevel="0" collapsed="false">
      <c r="A2859" s="7" t="str">
        <f aca="false">IF('Outro banco'!A2859="","",IF(LEFT('Outro banco'!A2859,1)="(","",'Outro banco'!A2859))</f>
        <v/>
      </c>
      <c r="B2859" s="7" t="str">
        <f aca="false">IF(A2859="","",'Outro banco'!B2859)</f>
        <v/>
      </c>
      <c r="C2859" s="7" t="str">
        <f aca="false">IF(A2859="","",'Outro banco'!C2859)</f>
        <v/>
      </c>
      <c r="D2859" s="7" t="str">
        <f aca="false">IF(A2859="","",'Outro banco'!D2859)</f>
        <v/>
      </c>
      <c r="E2859" s="9"/>
      <c r="F2859" s="9"/>
      <c r="G2859" s="7" t="str">
        <f aca="false">IF(A2859="","",IF(COUNTIF(Tabelas!$A:$A,IF(E2859="",A2859,E2859))&gt;0,"sim","não"))</f>
        <v/>
      </c>
      <c r="H2859" s="7" t="str">
        <f aca="false">IF(A2859="","",IF(E2859="",A2859,E2859)&amp;"."&amp;IF(F2859="",B2859,F2859))</f>
        <v/>
      </c>
      <c r="I2859" s="7" t="str">
        <f aca="false">IF(A2859="","",IFERROR(INDEX('Campos Growths'!$F:$F,MATCH(H2859,'Campos Growths'!$A:$A,0)),""))</f>
        <v/>
      </c>
      <c r="J2859" s="7" t="str">
        <f aca="false">IF(A2859="","",IFERROR(VLOOKUP(IF(ISNUMBER(SEARCH("(",C2859)),LEFT(C2859,SEARCH("(",C2859)-1),C2859),Tipos!$A:$B,2,FALSE()),"outro"))</f>
        <v/>
      </c>
      <c r="K2859" s="7" t="str">
        <f aca="false">IF(I2859="","",IFERROR(INDEX('Campos Growths'!$L:$L,MATCH(H2859,'Campos Growths'!$A:$A,0)),""))</f>
        <v/>
      </c>
      <c r="L2859" s="7" t="str">
        <f aca="false">IF(A2859="","",IF(G2859="não","Sem tabela no Growths",IF(I2859="","Sem campo no Growths",IF(J2859=K2859,"Importa direto","Ajustar tipo"))))</f>
        <v/>
      </c>
      <c r="M2859" s="9"/>
    </row>
    <row r="2860" customFormat="false" ht="15" hidden="false" customHeight="false" outlineLevel="0" collapsed="false">
      <c r="A2860" s="7" t="str">
        <f aca="false">IF('Outro banco'!A2860="","",IF(LEFT('Outro banco'!A2860,1)="(","",'Outro banco'!A2860))</f>
        <v/>
      </c>
      <c r="B2860" s="7" t="str">
        <f aca="false">IF(A2860="","",'Outro banco'!B2860)</f>
        <v/>
      </c>
      <c r="C2860" s="7" t="str">
        <f aca="false">IF(A2860="","",'Outro banco'!C2860)</f>
        <v/>
      </c>
      <c r="D2860" s="7" t="str">
        <f aca="false">IF(A2860="","",'Outro banco'!D2860)</f>
        <v/>
      </c>
      <c r="E2860" s="9"/>
      <c r="F2860" s="9"/>
      <c r="G2860" s="7" t="str">
        <f aca="false">IF(A2860="","",IF(COUNTIF(Tabelas!$A:$A,IF(E2860="",A2860,E2860))&gt;0,"sim","não"))</f>
        <v/>
      </c>
      <c r="H2860" s="7" t="str">
        <f aca="false">IF(A2860="","",IF(E2860="",A2860,E2860)&amp;"."&amp;IF(F2860="",B2860,F2860))</f>
        <v/>
      </c>
      <c r="I2860" s="7" t="str">
        <f aca="false">IF(A2860="","",IFERROR(INDEX('Campos Growths'!$F:$F,MATCH(H2860,'Campos Growths'!$A:$A,0)),""))</f>
        <v/>
      </c>
      <c r="J2860" s="7" t="str">
        <f aca="false">IF(A2860="","",IFERROR(VLOOKUP(IF(ISNUMBER(SEARCH("(",C2860)),LEFT(C2860,SEARCH("(",C2860)-1),C2860),Tipos!$A:$B,2,FALSE()),"outro"))</f>
        <v/>
      </c>
      <c r="K2860" s="7" t="str">
        <f aca="false">IF(I2860="","",IFERROR(INDEX('Campos Growths'!$L:$L,MATCH(H2860,'Campos Growths'!$A:$A,0)),""))</f>
        <v/>
      </c>
      <c r="L2860" s="7" t="str">
        <f aca="false">IF(A2860="","",IF(G2860="não","Sem tabela no Growths",IF(I2860="","Sem campo no Growths",IF(J2860=K2860,"Importa direto","Ajustar tipo"))))</f>
        <v/>
      </c>
      <c r="M2860" s="9"/>
    </row>
    <row r="2861" customFormat="false" ht="15" hidden="false" customHeight="false" outlineLevel="0" collapsed="false">
      <c r="A2861" s="7" t="str">
        <f aca="false">IF('Outro banco'!A2861="","",IF(LEFT('Outro banco'!A2861,1)="(","",'Outro banco'!A2861))</f>
        <v/>
      </c>
      <c r="B2861" s="7" t="str">
        <f aca="false">IF(A2861="","",'Outro banco'!B2861)</f>
        <v/>
      </c>
      <c r="C2861" s="7" t="str">
        <f aca="false">IF(A2861="","",'Outro banco'!C2861)</f>
        <v/>
      </c>
      <c r="D2861" s="7" t="str">
        <f aca="false">IF(A2861="","",'Outro banco'!D2861)</f>
        <v/>
      </c>
      <c r="E2861" s="9"/>
      <c r="F2861" s="9"/>
      <c r="G2861" s="7" t="str">
        <f aca="false">IF(A2861="","",IF(COUNTIF(Tabelas!$A:$A,IF(E2861="",A2861,E2861))&gt;0,"sim","não"))</f>
        <v/>
      </c>
      <c r="H2861" s="7" t="str">
        <f aca="false">IF(A2861="","",IF(E2861="",A2861,E2861)&amp;"."&amp;IF(F2861="",B2861,F2861))</f>
        <v/>
      </c>
      <c r="I2861" s="7" t="str">
        <f aca="false">IF(A2861="","",IFERROR(INDEX('Campos Growths'!$F:$F,MATCH(H2861,'Campos Growths'!$A:$A,0)),""))</f>
        <v/>
      </c>
      <c r="J2861" s="7" t="str">
        <f aca="false">IF(A2861="","",IFERROR(VLOOKUP(IF(ISNUMBER(SEARCH("(",C2861)),LEFT(C2861,SEARCH("(",C2861)-1),C2861),Tipos!$A:$B,2,FALSE()),"outro"))</f>
        <v/>
      </c>
      <c r="K2861" s="7" t="str">
        <f aca="false">IF(I2861="","",IFERROR(INDEX('Campos Growths'!$L:$L,MATCH(H2861,'Campos Growths'!$A:$A,0)),""))</f>
        <v/>
      </c>
      <c r="L2861" s="7" t="str">
        <f aca="false">IF(A2861="","",IF(G2861="não","Sem tabela no Growths",IF(I2861="","Sem campo no Growths",IF(J2861=K2861,"Importa direto","Ajustar tipo"))))</f>
        <v/>
      </c>
      <c r="M2861" s="9"/>
    </row>
    <row r="2862" customFormat="false" ht="15" hidden="false" customHeight="false" outlineLevel="0" collapsed="false">
      <c r="A2862" s="7" t="str">
        <f aca="false">IF('Outro banco'!A2862="","",IF(LEFT('Outro banco'!A2862,1)="(","",'Outro banco'!A2862))</f>
        <v/>
      </c>
      <c r="B2862" s="7" t="str">
        <f aca="false">IF(A2862="","",'Outro banco'!B2862)</f>
        <v/>
      </c>
      <c r="C2862" s="7" t="str">
        <f aca="false">IF(A2862="","",'Outro banco'!C2862)</f>
        <v/>
      </c>
      <c r="D2862" s="7" t="str">
        <f aca="false">IF(A2862="","",'Outro banco'!D2862)</f>
        <v/>
      </c>
      <c r="E2862" s="9"/>
      <c r="F2862" s="9"/>
      <c r="G2862" s="7" t="str">
        <f aca="false">IF(A2862="","",IF(COUNTIF(Tabelas!$A:$A,IF(E2862="",A2862,E2862))&gt;0,"sim","não"))</f>
        <v/>
      </c>
      <c r="H2862" s="7" t="str">
        <f aca="false">IF(A2862="","",IF(E2862="",A2862,E2862)&amp;"."&amp;IF(F2862="",B2862,F2862))</f>
        <v/>
      </c>
      <c r="I2862" s="7" t="str">
        <f aca="false">IF(A2862="","",IFERROR(INDEX('Campos Growths'!$F:$F,MATCH(H2862,'Campos Growths'!$A:$A,0)),""))</f>
        <v/>
      </c>
      <c r="J2862" s="7" t="str">
        <f aca="false">IF(A2862="","",IFERROR(VLOOKUP(IF(ISNUMBER(SEARCH("(",C2862)),LEFT(C2862,SEARCH("(",C2862)-1),C2862),Tipos!$A:$B,2,FALSE()),"outro"))</f>
        <v/>
      </c>
      <c r="K2862" s="7" t="str">
        <f aca="false">IF(I2862="","",IFERROR(INDEX('Campos Growths'!$L:$L,MATCH(H2862,'Campos Growths'!$A:$A,0)),""))</f>
        <v/>
      </c>
      <c r="L2862" s="7" t="str">
        <f aca="false">IF(A2862="","",IF(G2862="não","Sem tabela no Growths",IF(I2862="","Sem campo no Growths",IF(J2862=K2862,"Importa direto","Ajustar tipo"))))</f>
        <v/>
      </c>
      <c r="M2862" s="9"/>
    </row>
    <row r="2863" customFormat="false" ht="15" hidden="false" customHeight="false" outlineLevel="0" collapsed="false">
      <c r="A2863" s="7" t="str">
        <f aca="false">IF('Outro banco'!A2863="","",IF(LEFT('Outro banco'!A2863,1)="(","",'Outro banco'!A2863))</f>
        <v/>
      </c>
      <c r="B2863" s="7" t="str">
        <f aca="false">IF(A2863="","",'Outro banco'!B2863)</f>
        <v/>
      </c>
      <c r="C2863" s="7" t="str">
        <f aca="false">IF(A2863="","",'Outro banco'!C2863)</f>
        <v/>
      </c>
      <c r="D2863" s="7" t="str">
        <f aca="false">IF(A2863="","",'Outro banco'!D2863)</f>
        <v/>
      </c>
      <c r="E2863" s="9"/>
      <c r="F2863" s="9"/>
      <c r="G2863" s="7" t="str">
        <f aca="false">IF(A2863="","",IF(COUNTIF(Tabelas!$A:$A,IF(E2863="",A2863,E2863))&gt;0,"sim","não"))</f>
        <v/>
      </c>
      <c r="H2863" s="7" t="str">
        <f aca="false">IF(A2863="","",IF(E2863="",A2863,E2863)&amp;"."&amp;IF(F2863="",B2863,F2863))</f>
        <v/>
      </c>
      <c r="I2863" s="7" t="str">
        <f aca="false">IF(A2863="","",IFERROR(INDEX('Campos Growths'!$F:$F,MATCH(H2863,'Campos Growths'!$A:$A,0)),""))</f>
        <v/>
      </c>
      <c r="J2863" s="7" t="str">
        <f aca="false">IF(A2863="","",IFERROR(VLOOKUP(IF(ISNUMBER(SEARCH("(",C2863)),LEFT(C2863,SEARCH("(",C2863)-1),C2863),Tipos!$A:$B,2,FALSE()),"outro"))</f>
        <v/>
      </c>
      <c r="K2863" s="7" t="str">
        <f aca="false">IF(I2863="","",IFERROR(INDEX('Campos Growths'!$L:$L,MATCH(H2863,'Campos Growths'!$A:$A,0)),""))</f>
        <v/>
      </c>
      <c r="L2863" s="7" t="str">
        <f aca="false">IF(A2863="","",IF(G2863="não","Sem tabela no Growths",IF(I2863="","Sem campo no Growths",IF(J2863=K2863,"Importa direto","Ajustar tipo"))))</f>
        <v/>
      </c>
      <c r="M2863" s="9"/>
    </row>
    <row r="2864" customFormat="false" ht="15" hidden="false" customHeight="false" outlineLevel="0" collapsed="false">
      <c r="A2864" s="7" t="str">
        <f aca="false">IF('Outro banco'!A2864="","",IF(LEFT('Outro banco'!A2864,1)="(","",'Outro banco'!A2864))</f>
        <v/>
      </c>
      <c r="B2864" s="7" t="str">
        <f aca="false">IF(A2864="","",'Outro banco'!B2864)</f>
        <v/>
      </c>
      <c r="C2864" s="7" t="str">
        <f aca="false">IF(A2864="","",'Outro banco'!C2864)</f>
        <v/>
      </c>
      <c r="D2864" s="7" t="str">
        <f aca="false">IF(A2864="","",'Outro banco'!D2864)</f>
        <v/>
      </c>
      <c r="E2864" s="9"/>
      <c r="F2864" s="9"/>
      <c r="G2864" s="7" t="str">
        <f aca="false">IF(A2864="","",IF(COUNTIF(Tabelas!$A:$A,IF(E2864="",A2864,E2864))&gt;0,"sim","não"))</f>
        <v/>
      </c>
      <c r="H2864" s="7" t="str">
        <f aca="false">IF(A2864="","",IF(E2864="",A2864,E2864)&amp;"."&amp;IF(F2864="",B2864,F2864))</f>
        <v/>
      </c>
      <c r="I2864" s="7" t="str">
        <f aca="false">IF(A2864="","",IFERROR(INDEX('Campos Growths'!$F:$F,MATCH(H2864,'Campos Growths'!$A:$A,0)),""))</f>
        <v/>
      </c>
      <c r="J2864" s="7" t="str">
        <f aca="false">IF(A2864="","",IFERROR(VLOOKUP(IF(ISNUMBER(SEARCH("(",C2864)),LEFT(C2864,SEARCH("(",C2864)-1),C2864),Tipos!$A:$B,2,FALSE()),"outro"))</f>
        <v/>
      </c>
      <c r="K2864" s="7" t="str">
        <f aca="false">IF(I2864="","",IFERROR(INDEX('Campos Growths'!$L:$L,MATCH(H2864,'Campos Growths'!$A:$A,0)),""))</f>
        <v/>
      </c>
      <c r="L2864" s="7" t="str">
        <f aca="false">IF(A2864="","",IF(G2864="não","Sem tabela no Growths",IF(I2864="","Sem campo no Growths",IF(J2864=K2864,"Importa direto","Ajustar tipo"))))</f>
        <v/>
      </c>
      <c r="M2864" s="9"/>
    </row>
    <row r="2865" customFormat="false" ht="15" hidden="false" customHeight="false" outlineLevel="0" collapsed="false">
      <c r="A2865" s="7" t="str">
        <f aca="false">IF('Outro banco'!A2865="","",IF(LEFT('Outro banco'!A2865,1)="(","",'Outro banco'!A2865))</f>
        <v/>
      </c>
      <c r="B2865" s="7" t="str">
        <f aca="false">IF(A2865="","",'Outro banco'!B2865)</f>
        <v/>
      </c>
      <c r="C2865" s="7" t="str">
        <f aca="false">IF(A2865="","",'Outro banco'!C2865)</f>
        <v/>
      </c>
      <c r="D2865" s="7" t="str">
        <f aca="false">IF(A2865="","",'Outro banco'!D2865)</f>
        <v/>
      </c>
      <c r="E2865" s="9"/>
      <c r="F2865" s="9"/>
      <c r="G2865" s="7" t="str">
        <f aca="false">IF(A2865="","",IF(COUNTIF(Tabelas!$A:$A,IF(E2865="",A2865,E2865))&gt;0,"sim","não"))</f>
        <v/>
      </c>
      <c r="H2865" s="7" t="str">
        <f aca="false">IF(A2865="","",IF(E2865="",A2865,E2865)&amp;"."&amp;IF(F2865="",B2865,F2865))</f>
        <v/>
      </c>
      <c r="I2865" s="7" t="str">
        <f aca="false">IF(A2865="","",IFERROR(INDEX('Campos Growths'!$F:$F,MATCH(H2865,'Campos Growths'!$A:$A,0)),""))</f>
        <v/>
      </c>
      <c r="J2865" s="7" t="str">
        <f aca="false">IF(A2865="","",IFERROR(VLOOKUP(IF(ISNUMBER(SEARCH("(",C2865)),LEFT(C2865,SEARCH("(",C2865)-1),C2865),Tipos!$A:$B,2,FALSE()),"outro"))</f>
        <v/>
      </c>
      <c r="K2865" s="7" t="str">
        <f aca="false">IF(I2865="","",IFERROR(INDEX('Campos Growths'!$L:$L,MATCH(H2865,'Campos Growths'!$A:$A,0)),""))</f>
        <v/>
      </c>
      <c r="L2865" s="7" t="str">
        <f aca="false">IF(A2865="","",IF(G2865="não","Sem tabela no Growths",IF(I2865="","Sem campo no Growths",IF(J2865=K2865,"Importa direto","Ajustar tipo"))))</f>
        <v/>
      </c>
      <c r="M2865" s="9"/>
    </row>
    <row r="2866" customFormat="false" ht="15" hidden="false" customHeight="false" outlineLevel="0" collapsed="false">
      <c r="A2866" s="7" t="str">
        <f aca="false">IF('Outro banco'!A2866="","",IF(LEFT('Outro banco'!A2866,1)="(","",'Outro banco'!A2866))</f>
        <v/>
      </c>
      <c r="B2866" s="7" t="str">
        <f aca="false">IF(A2866="","",'Outro banco'!B2866)</f>
        <v/>
      </c>
      <c r="C2866" s="7" t="str">
        <f aca="false">IF(A2866="","",'Outro banco'!C2866)</f>
        <v/>
      </c>
      <c r="D2866" s="7" t="str">
        <f aca="false">IF(A2866="","",'Outro banco'!D2866)</f>
        <v/>
      </c>
      <c r="E2866" s="9"/>
      <c r="F2866" s="9"/>
      <c r="G2866" s="7" t="str">
        <f aca="false">IF(A2866="","",IF(COUNTIF(Tabelas!$A:$A,IF(E2866="",A2866,E2866))&gt;0,"sim","não"))</f>
        <v/>
      </c>
      <c r="H2866" s="7" t="str">
        <f aca="false">IF(A2866="","",IF(E2866="",A2866,E2866)&amp;"."&amp;IF(F2866="",B2866,F2866))</f>
        <v/>
      </c>
      <c r="I2866" s="7" t="str">
        <f aca="false">IF(A2866="","",IFERROR(INDEX('Campos Growths'!$F:$F,MATCH(H2866,'Campos Growths'!$A:$A,0)),""))</f>
        <v/>
      </c>
      <c r="J2866" s="7" t="str">
        <f aca="false">IF(A2866="","",IFERROR(VLOOKUP(IF(ISNUMBER(SEARCH("(",C2866)),LEFT(C2866,SEARCH("(",C2866)-1),C2866),Tipos!$A:$B,2,FALSE()),"outro"))</f>
        <v/>
      </c>
      <c r="K2866" s="7" t="str">
        <f aca="false">IF(I2866="","",IFERROR(INDEX('Campos Growths'!$L:$L,MATCH(H2866,'Campos Growths'!$A:$A,0)),""))</f>
        <v/>
      </c>
      <c r="L2866" s="7" t="str">
        <f aca="false">IF(A2866="","",IF(G2866="não","Sem tabela no Growths",IF(I2866="","Sem campo no Growths",IF(J2866=K2866,"Importa direto","Ajustar tipo"))))</f>
        <v/>
      </c>
      <c r="M2866" s="9"/>
    </row>
    <row r="2867" customFormat="false" ht="15" hidden="false" customHeight="false" outlineLevel="0" collapsed="false">
      <c r="A2867" s="7" t="str">
        <f aca="false">IF('Outro banco'!A2867="","",IF(LEFT('Outro banco'!A2867,1)="(","",'Outro banco'!A2867))</f>
        <v/>
      </c>
      <c r="B2867" s="7" t="str">
        <f aca="false">IF(A2867="","",'Outro banco'!B2867)</f>
        <v/>
      </c>
      <c r="C2867" s="7" t="str">
        <f aca="false">IF(A2867="","",'Outro banco'!C2867)</f>
        <v/>
      </c>
      <c r="D2867" s="7" t="str">
        <f aca="false">IF(A2867="","",'Outro banco'!D2867)</f>
        <v/>
      </c>
      <c r="E2867" s="9"/>
      <c r="F2867" s="9"/>
      <c r="G2867" s="7" t="str">
        <f aca="false">IF(A2867="","",IF(COUNTIF(Tabelas!$A:$A,IF(E2867="",A2867,E2867))&gt;0,"sim","não"))</f>
        <v/>
      </c>
      <c r="H2867" s="7" t="str">
        <f aca="false">IF(A2867="","",IF(E2867="",A2867,E2867)&amp;"."&amp;IF(F2867="",B2867,F2867))</f>
        <v/>
      </c>
      <c r="I2867" s="7" t="str">
        <f aca="false">IF(A2867="","",IFERROR(INDEX('Campos Growths'!$F:$F,MATCH(H2867,'Campos Growths'!$A:$A,0)),""))</f>
        <v/>
      </c>
      <c r="J2867" s="7" t="str">
        <f aca="false">IF(A2867="","",IFERROR(VLOOKUP(IF(ISNUMBER(SEARCH("(",C2867)),LEFT(C2867,SEARCH("(",C2867)-1),C2867),Tipos!$A:$B,2,FALSE()),"outro"))</f>
        <v/>
      </c>
      <c r="K2867" s="7" t="str">
        <f aca="false">IF(I2867="","",IFERROR(INDEX('Campos Growths'!$L:$L,MATCH(H2867,'Campos Growths'!$A:$A,0)),""))</f>
        <v/>
      </c>
      <c r="L2867" s="7" t="str">
        <f aca="false">IF(A2867="","",IF(G2867="não","Sem tabela no Growths",IF(I2867="","Sem campo no Growths",IF(J2867=K2867,"Importa direto","Ajustar tipo"))))</f>
        <v/>
      </c>
      <c r="M2867" s="9"/>
    </row>
    <row r="2868" customFormat="false" ht="15" hidden="false" customHeight="false" outlineLevel="0" collapsed="false">
      <c r="A2868" s="7" t="str">
        <f aca="false">IF('Outro banco'!A2868="","",IF(LEFT('Outro banco'!A2868,1)="(","",'Outro banco'!A2868))</f>
        <v/>
      </c>
      <c r="B2868" s="7" t="str">
        <f aca="false">IF(A2868="","",'Outro banco'!B2868)</f>
        <v/>
      </c>
      <c r="C2868" s="7" t="str">
        <f aca="false">IF(A2868="","",'Outro banco'!C2868)</f>
        <v/>
      </c>
      <c r="D2868" s="7" t="str">
        <f aca="false">IF(A2868="","",'Outro banco'!D2868)</f>
        <v/>
      </c>
      <c r="E2868" s="9"/>
      <c r="F2868" s="9"/>
      <c r="G2868" s="7" t="str">
        <f aca="false">IF(A2868="","",IF(COUNTIF(Tabelas!$A:$A,IF(E2868="",A2868,E2868))&gt;0,"sim","não"))</f>
        <v/>
      </c>
      <c r="H2868" s="7" t="str">
        <f aca="false">IF(A2868="","",IF(E2868="",A2868,E2868)&amp;"."&amp;IF(F2868="",B2868,F2868))</f>
        <v/>
      </c>
      <c r="I2868" s="7" t="str">
        <f aca="false">IF(A2868="","",IFERROR(INDEX('Campos Growths'!$F:$F,MATCH(H2868,'Campos Growths'!$A:$A,0)),""))</f>
        <v/>
      </c>
      <c r="J2868" s="7" t="str">
        <f aca="false">IF(A2868="","",IFERROR(VLOOKUP(IF(ISNUMBER(SEARCH("(",C2868)),LEFT(C2868,SEARCH("(",C2868)-1),C2868),Tipos!$A:$B,2,FALSE()),"outro"))</f>
        <v/>
      </c>
      <c r="K2868" s="7" t="str">
        <f aca="false">IF(I2868="","",IFERROR(INDEX('Campos Growths'!$L:$L,MATCH(H2868,'Campos Growths'!$A:$A,0)),""))</f>
        <v/>
      </c>
      <c r="L2868" s="7" t="str">
        <f aca="false">IF(A2868="","",IF(G2868="não","Sem tabela no Growths",IF(I2868="","Sem campo no Growths",IF(J2868=K2868,"Importa direto","Ajustar tipo"))))</f>
        <v/>
      </c>
      <c r="M2868" s="9"/>
    </row>
    <row r="2869" customFormat="false" ht="15" hidden="false" customHeight="false" outlineLevel="0" collapsed="false">
      <c r="A2869" s="7" t="str">
        <f aca="false">IF('Outro banco'!A2869="","",IF(LEFT('Outro banco'!A2869,1)="(","",'Outro banco'!A2869))</f>
        <v/>
      </c>
      <c r="B2869" s="7" t="str">
        <f aca="false">IF(A2869="","",'Outro banco'!B2869)</f>
        <v/>
      </c>
      <c r="C2869" s="7" t="str">
        <f aca="false">IF(A2869="","",'Outro banco'!C2869)</f>
        <v/>
      </c>
      <c r="D2869" s="7" t="str">
        <f aca="false">IF(A2869="","",'Outro banco'!D2869)</f>
        <v/>
      </c>
      <c r="E2869" s="9"/>
      <c r="F2869" s="9"/>
      <c r="G2869" s="7" t="str">
        <f aca="false">IF(A2869="","",IF(COUNTIF(Tabelas!$A:$A,IF(E2869="",A2869,E2869))&gt;0,"sim","não"))</f>
        <v/>
      </c>
      <c r="H2869" s="7" t="str">
        <f aca="false">IF(A2869="","",IF(E2869="",A2869,E2869)&amp;"."&amp;IF(F2869="",B2869,F2869))</f>
        <v/>
      </c>
      <c r="I2869" s="7" t="str">
        <f aca="false">IF(A2869="","",IFERROR(INDEX('Campos Growths'!$F:$F,MATCH(H2869,'Campos Growths'!$A:$A,0)),""))</f>
        <v/>
      </c>
      <c r="J2869" s="7" t="str">
        <f aca="false">IF(A2869="","",IFERROR(VLOOKUP(IF(ISNUMBER(SEARCH("(",C2869)),LEFT(C2869,SEARCH("(",C2869)-1),C2869),Tipos!$A:$B,2,FALSE()),"outro"))</f>
        <v/>
      </c>
      <c r="K2869" s="7" t="str">
        <f aca="false">IF(I2869="","",IFERROR(INDEX('Campos Growths'!$L:$L,MATCH(H2869,'Campos Growths'!$A:$A,0)),""))</f>
        <v/>
      </c>
      <c r="L2869" s="7" t="str">
        <f aca="false">IF(A2869="","",IF(G2869="não","Sem tabela no Growths",IF(I2869="","Sem campo no Growths",IF(J2869=K2869,"Importa direto","Ajustar tipo"))))</f>
        <v/>
      </c>
      <c r="M2869" s="9"/>
    </row>
    <row r="2870" customFormat="false" ht="15" hidden="false" customHeight="false" outlineLevel="0" collapsed="false">
      <c r="A2870" s="7" t="str">
        <f aca="false">IF('Outro banco'!A2870="","",IF(LEFT('Outro banco'!A2870,1)="(","",'Outro banco'!A2870))</f>
        <v/>
      </c>
      <c r="B2870" s="7" t="str">
        <f aca="false">IF(A2870="","",'Outro banco'!B2870)</f>
        <v/>
      </c>
      <c r="C2870" s="7" t="str">
        <f aca="false">IF(A2870="","",'Outro banco'!C2870)</f>
        <v/>
      </c>
      <c r="D2870" s="7" t="str">
        <f aca="false">IF(A2870="","",'Outro banco'!D2870)</f>
        <v/>
      </c>
      <c r="E2870" s="9"/>
      <c r="F2870" s="9"/>
      <c r="G2870" s="7" t="str">
        <f aca="false">IF(A2870="","",IF(COUNTIF(Tabelas!$A:$A,IF(E2870="",A2870,E2870))&gt;0,"sim","não"))</f>
        <v/>
      </c>
      <c r="H2870" s="7" t="str">
        <f aca="false">IF(A2870="","",IF(E2870="",A2870,E2870)&amp;"."&amp;IF(F2870="",B2870,F2870))</f>
        <v/>
      </c>
      <c r="I2870" s="7" t="str">
        <f aca="false">IF(A2870="","",IFERROR(INDEX('Campos Growths'!$F:$F,MATCH(H2870,'Campos Growths'!$A:$A,0)),""))</f>
        <v/>
      </c>
      <c r="J2870" s="7" t="str">
        <f aca="false">IF(A2870="","",IFERROR(VLOOKUP(IF(ISNUMBER(SEARCH("(",C2870)),LEFT(C2870,SEARCH("(",C2870)-1),C2870),Tipos!$A:$B,2,FALSE()),"outro"))</f>
        <v/>
      </c>
      <c r="K2870" s="7" t="str">
        <f aca="false">IF(I2870="","",IFERROR(INDEX('Campos Growths'!$L:$L,MATCH(H2870,'Campos Growths'!$A:$A,0)),""))</f>
        <v/>
      </c>
      <c r="L2870" s="7" t="str">
        <f aca="false">IF(A2870="","",IF(G2870="não","Sem tabela no Growths",IF(I2870="","Sem campo no Growths",IF(J2870=K2870,"Importa direto","Ajustar tipo"))))</f>
        <v/>
      </c>
      <c r="M2870" s="9"/>
    </row>
    <row r="2871" customFormat="false" ht="15" hidden="false" customHeight="false" outlineLevel="0" collapsed="false">
      <c r="A2871" s="7" t="str">
        <f aca="false">IF('Outro banco'!A2871="","",IF(LEFT('Outro banco'!A2871,1)="(","",'Outro banco'!A2871))</f>
        <v/>
      </c>
      <c r="B2871" s="7" t="str">
        <f aca="false">IF(A2871="","",'Outro banco'!B2871)</f>
        <v/>
      </c>
      <c r="C2871" s="7" t="str">
        <f aca="false">IF(A2871="","",'Outro banco'!C2871)</f>
        <v/>
      </c>
      <c r="D2871" s="7" t="str">
        <f aca="false">IF(A2871="","",'Outro banco'!D2871)</f>
        <v/>
      </c>
      <c r="E2871" s="9"/>
      <c r="F2871" s="9"/>
      <c r="G2871" s="7" t="str">
        <f aca="false">IF(A2871="","",IF(COUNTIF(Tabelas!$A:$A,IF(E2871="",A2871,E2871))&gt;0,"sim","não"))</f>
        <v/>
      </c>
      <c r="H2871" s="7" t="str">
        <f aca="false">IF(A2871="","",IF(E2871="",A2871,E2871)&amp;"."&amp;IF(F2871="",B2871,F2871))</f>
        <v/>
      </c>
      <c r="I2871" s="7" t="str">
        <f aca="false">IF(A2871="","",IFERROR(INDEX('Campos Growths'!$F:$F,MATCH(H2871,'Campos Growths'!$A:$A,0)),""))</f>
        <v/>
      </c>
      <c r="J2871" s="7" t="str">
        <f aca="false">IF(A2871="","",IFERROR(VLOOKUP(IF(ISNUMBER(SEARCH("(",C2871)),LEFT(C2871,SEARCH("(",C2871)-1),C2871),Tipos!$A:$B,2,FALSE()),"outro"))</f>
        <v/>
      </c>
      <c r="K2871" s="7" t="str">
        <f aca="false">IF(I2871="","",IFERROR(INDEX('Campos Growths'!$L:$L,MATCH(H2871,'Campos Growths'!$A:$A,0)),""))</f>
        <v/>
      </c>
      <c r="L2871" s="7" t="str">
        <f aca="false">IF(A2871="","",IF(G2871="não","Sem tabela no Growths",IF(I2871="","Sem campo no Growths",IF(J2871=K2871,"Importa direto","Ajustar tipo"))))</f>
        <v/>
      </c>
      <c r="M2871" s="9"/>
    </row>
    <row r="2872" customFormat="false" ht="15" hidden="false" customHeight="false" outlineLevel="0" collapsed="false">
      <c r="A2872" s="7" t="str">
        <f aca="false">IF('Outro banco'!A2872="","",IF(LEFT('Outro banco'!A2872,1)="(","",'Outro banco'!A2872))</f>
        <v/>
      </c>
      <c r="B2872" s="7" t="str">
        <f aca="false">IF(A2872="","",'Outro banco'!B2872)</f>
        <v/>
      </c>
      <c r="C2872" s="7" t="str">
        <f aca="false">IF(A2872="","",'Outro banco'!C2872)</f>
        <v/>
      </c>
      <c r="D2872" s="7" t="str">
        <f aca="false">IF(A2872="","",'Outro banco'!D2872)</f>
        <v/>
      </c>
      <c r="E2872" s="9"/>
      <c r="F2872" s="9"/>
      <c r="G2872" s="7" t="str">
        <f aca="false">IF(A2872="","",IF(COUNTIF(Tabelas!$A:$A,IF(E2872="",A2872,E2872))&gt;0,"sim","não"))</f>
        <v/>
      </c>
      <c r="H2872" s="7" t="str">
        <f aca="false">IF(A2872="","",IF(E2872="",A2872,E2872)&amp;"."&amp;IF(F2872="",B2872,F2872))</f>
        <v/>
      </c>
      <c r="I2872" s="7" t="str">
        <f aca="false">IF(A2872="","",IFERROR(INDEX('Campos Growths'!$F:$F,MATCH(H2872,'Campos Growths'!$A:$A,0)),""))</f>
        <v/>
      </c>
      <c r="J2872" s="7" t="str">
        <f aca="false">IF(A2872="","",IFERROR(VLOOKUP(IF(ISNUMBER(SEARCH("(",C2872)),LEFT(C2872,SEARCH("(",C2872)-1),C2872),Tipos!$A:$B,2,FALSE()),"outro"))</f>
        <v/>
      </c>
      <c r="K2872" s="7" t="str">
        <f aca="false">IF(I2872="","",IFERROR(INDEX('Campos Growths'!$L:$L,MATCH(H2872,'Campos Growths'!$A:$A,0)),""))</f>
        <v/>
      </c>
      <c r="L2872" s="7" t="str">
        <f aca="false">IF(A2872="","",IF(G2872="não","Sem tabela no Growths",IF(I2872="","Sem campo no Growths",IF(J2872=K2872,"Importa direto","Ajustar tipo"))))</f>
        <v/>
      </c>
      <c r="M2872" s="9"/>
    </row>
    <row r="2873" customFormat="false" ht="15" hidden="false" customHeight="false" outlineLevel="0" collapsed="false">
      <c r="A2873" s="7" t="str">
        <f aca="false">IF('Outro banco'!A2873="","",IF(LEFT('Outro banco'!A2873,1)="(","",'Outro banco'!A2873))</f>
        <v/>
      </c>
      <c r="B2873" s="7" t="str">
        <f aca="false">IF(A2873="","",'Outro banco'!B2873)</f>
        <v/>
      </c>
      <c r="C2873" s="7" t="str">
        <f aca="false">IF(A2873="","",'Outro banco'!C2873)</f>
        <v/>
      </c>
      <c r="D2873" s="7" t="str">
        <f aca="false">IF(A2873="","",'Outro banco'!D2873)</f>
        <v/>
      </c>
      <c r="E2873" s="9"/>
      <c r="F2873" s="9"/>
      <c r="G2873" s="7" t="str">
        <f aca="false">IF(A2873="","",IF(COUNTIF(Tabelas!$A:$A,IF(E2873="",A2873,E2873))&gt;0,"sim","não"))</f>
        <v/>
      </c>
      <c r="H2873" s="7" t="str">
        <f aca="false">IF(A2873="","",IF(E2873="",A2873,E2873)&amp;"."&amp;IF(F2873="",B2873,F2873))</f>
        <v/>
      </c>
      <c r="I2873" s="7" t="str">
        <f aca="false">IF(A2873="","",IFERROR(INDEX('Campos Growths'!$F:$F,MATCH(H2873,'Campos Growths'!$A:$A,0)),""))</f>
        <v/>
      </c>
      <c r="J2873" s="7" t="str">
        <f aca="false">IF(A2873="","",IFERROR(VLOOKUP(IF(ISNUMBER(SEARCH("(",C2873)),LEFT(C2873,SEARCH("(",C2873)-1),C2873),Tipos!$A:$B,2,FALSE()),"outro"))</f>
        <v/>
      </c>
      <c r="K2873" s="7" t="str">
        <f aca="false">IF(I2873="","",IFERROR(INDEX('Campos Growths'!$L:$L,MATCH(H2873,'Campos Growths'!$A:$A,0)),""))</f>
        <v/>
      </c>
      <c r="L2873" s="7" t="str">
        <f aca="false">IF(A2873="","",IF(G2873="não","Sem tabela no Growths",IF(I2873="","Sem campo no Growths",IF(J2873=K2873,"Importa direto","Ajustar tipo"))))</f>
        <v/>
      </c>
      <c r="M2873" s="9"/>
    </row>
    <row r="2874" customFormat="false" ht="15" hidden="false" customHeight="false" outlineLevel="0" collapsed="false">
      <c r="A2874" s="7" t="str">
        <f aca="false">IF('Outro banco'!A2874="","",IF(LEFT('Outro banco'!A2874,1)="(","",'Outro banco'!A2874))</f>
        <v/>
      </c>
      <c r="B2874" s="7" t="str">
        <f aca="false">IF(A2874="","",'Outro banco'!B2874)</f>
        <v/>
      </c>
      <c r="C2874" s="7" t="str">
        <f aca="false">IF(A2874="","",'Outro banco'!C2874)</f>
        <v/>
      </c>
      <c r="D2874" s="7" t="str">
        <f aca="false">IF(A2874="","",'Outro banco'!D2874)</f>
        <v/>
      </c>
      <c r="E2874" s="9"/>
      <c r="F2874" s="9"/>
      <c r="G2874" s="7" t="str">
        <f aca="false">IF(A2874="","",IF(COUNTIF(Tabelas!$A:$A,IF(E2874="",A2874,E2874))&gt;0,"sim","não"))</f>
        <v/>
      </c>
      <c r="H2874" s="7" t="str">
        <f aca="false">IF(A2874="","",IF(E2874="",A2874,E2874)&amp;"."&amp;IF(F2874="",B2874,F2874))</f>
        <v/>
      </c>
      <c r="I2874" s="7" t="str">
        <f aca="false">IF(A2874="","",IFERROR(INDEX('Campos Growths'!$F:$F,MATCH(H2874,'Campos Growths'!$A:$A,0)),""))</f>
        <v/>
      </c>
      <c r="J2874" s="7" t="str">
        <f aca="false">IF(A2874="","",IFERROR(VLOOKUP(IF(ISNUMBER(SEARCH("(",C2874)),LEFT(C2874,SEARCH("(",C2874)-1),C2874),Tipos!$A:$B,2,FALSE()),"outro"))</f>
        <v/>
      </c>
      <c r="K2874" s="7" t="str">
        <f aca="false">IF(I2874="","",IFERROR(INDEX('Campos Growths'!$L:$L,MATCH(H2874,'Campos Growths'!$A:$A,0)),""))</f>
        <v/>
      </c>
      <c r="L2874" s="7" t="str">
        <f aca="false">IF(A2874="","",IF(G2874="não","Sem tabela no Growths",IF(I2874="","Sem campo no Growths",IF(J2874=K2874,"Importa direto","Ajustar tipo"))))</f>
        <v/>
      </c>
      <c r="M2874" s="9"/>
    </row>
    <row r="2875" customFormat="false" ht="15" hidden="false" customHeight="false" outlineLevel="0" collapsed="false">
      <c r="A2875" s="7" t="str">
        <f aca="false">IF('Outro banco'!A2875="","",IF(LEFT('Outro banco'!A2875,1)="(","",'Outro banco'!A2875))</f>
        <v/>
      </c>
      <c r="B2875" s="7" t="str">
        <f aca="false">IF(A2875="","",'Outro banco'!B2875)</f>
        <v/>
      </c>
      <c r="C2875" s="7" t="str">
        <f aca="false">IF(A2875="","",'Outro banco'!C2875)</f>
        <v/>
      </c>
      <c r="D2875" s="7" t="str">
        <f aca="false">IF(A2875="","",'Outro banco'!D2875)</f>
        <v/>
      </c>
      <c r="E2875" s="9"/>
      <c r="F2875" s="9"/>
      <c r="G2875" s="7" t="str">
        <f aca="false">IF(A2875="","",IF(COUNTIF(Tabelas!$A:$A,IF(E2875="",A2875,E2875))&gt;0,"sim","não"))</f>
        <v/>
      </c>
      <c r="H2875" s="7" t="str">
        <f aca="false">IF(A2875="","",IF(E2875="",A2875,E2875)&amp;"."&amp;IF(F2875="",B2875,F2875))</f>
        <v/>
      </c>
      <c r="I2875" s="7" t="str">
        <f aca="false">IF(A2875="","",IFERROR(INDEX('Campos Growths'!$F:$F,MATCH(H2875,'Campos Growths'!$A:$A,0)),""))</f>
        <v/>
      </c>
      <c r="J2875" s="7" t="str">
        <f aca="false">IF(A2875="","",IFERROR(VLOOKUP(IF(ISNUMBER(SEARCH("(",C2875)),LEFT(C2875,SEARCH("(",C2875)-1),C2875),Tipos!$A:$B,2,FALSE()),"outro"))</f>
        <v/>
      </c>
      <c r="K2875" s="7" t="str">
        <f aca="false">IF(I2875="","",IFERROR(INDEX('Campos Growths'!$L:$L,MATCH(H2875,'Campos Growths'!$A:$A,0)),""))</f>
        <v/>
      </c>
      <c r="L2875" s="7" t="str">
        <f aca="false">IF(A2875="","",IF(G2875="não","Sem tabela no Growths",IF(I2875="","Sem campo no Growths",IF(J2875=K2875,"Importa direto","Ajustar tipo"))))</f>
        <v/>
      </c>
      <c r="M2875" s="9"/>
    </row>
    <row r="2876" customFormat="false" ht="15" hidden="false" customHeight="false" outlineLevel="0" collapsed="false">
      <c r="A2876" s="7" t="str">
        <f aca="false">IF('Outro banco'!A2876="","",IF(LEFT('Outro banco'!A2876,1)="(","",'Outro banco'!A2876))</f>
        <v/>
      </c>
      <c r="B2876" s="7" t="str">
        <f aca="false">IF(A2876="","",'Outro banco'!B2876)</f>
        <v/>
      </c>
      <c r="C2876" s="7" t="str">
        <f aca="false">IF(A2876="","",'Outro banco'!C2876)</f>
        <v/>
      </c>
      <c r="D2876" s="7" t="str">
        <f aca="false">IF(A2876="","",'Outro banco'!D2876)</f>
        <v/>
      </c>
      <c r="E2876" s="9"/>
      <c r="F2876" s="9"/>
      <c r="G2876" s="7" t="str">
        <f aca="false">IF(A2876="","",IF(COUNTIF(Tabelas!$A:$A,IF(E2876="",A2876,E2876))&gt;0,"sim","não"))</f>
        <v/>
      </c>
      <c r="H2876" s="7" t="str">
        <f aca="false">IF(A2876="","",IF(E2876="",A2876,E2876)&amp;"."&amp;IF(F2876="",B2876,F2876))</f>
        <v/>
      </c>
      <c r="I2876" s="7" t="str">
        <f aca="false">IF(A2876="","",IFERROR(INDEX('Campos Growths'!$F:$F,MATCH(H2876,'Campos Growths'!$A:$A,0)),""))</f>
        <v/>
      </c>
      <c r="J2876" s="7" t="str">
        <f aca="false">IF(A2876="","",IFERROR(VLOOKUP(IF(ISNUMBER(SEARCH("(",C2876)),LEFT(C2876,SEARCH("(",C2876)-1),C2876),Tipos!$A:$B,2,FALSE()),"outro"))</f>
        <v/>
      </c>
      <c r="K2876" s="7" t="str">
        <f aca="false">IF(I2876="","",IFERROR(INDEX('Campos Growths'!$L:$L,MATCH(H2876,'Campos Growths'!$A:$A,0)),""))</f>
        <v/>
      </c>
      <c r="L2876" s="7" t="str">
        <f aca="false">IF(A2876="","",IF(G2876="não","Sem tabela no Growths",IF(I2876="","Sem campo no Growths",IF(J2876=K2876,"Importa direto","Ajustar tipo"))))</f>
        <v/>
      </c>
      <c r="M2876" s="9"/>
    </row>
    <row r="2877" customFormat="false" ht="15" hidden="false" customHeight="false" outlineLevel="0" collapsed="false">
      <c r="A2877" s="7" t="str">
        <f aca="false">IF('Outro banco'!A2877="","",IF(LEFT('Outro banco'!A2877,1)="(","",'Outro banco'!A2877))</f>
        <v/>
      </c>
      <c r="B2877" s="7" t="str">
        <f aca="false">IF(A2877="","",'Outro banco'!B2877)</f>
        <v/>
      </c>
      <c r="C2877" s="7" t="str">
        <f aca="false">IF(A2877="","",'Outro banco'!C2877)</f>
        <v/>
      </c>
      <c r="D2877" s="7" t="str">
        <f aca="false">IF(A2877="","",'Outro banco'!D2877)</f>
        <v/>
      </c>
      <c r="E2877" s="9"/>
      <c r="F2877" s="9"/>
      <c r="G2877" s="7" t="str">
        <f aca="false">IF(A2877="","",IF(COUNTIF(Tabelas!$A:$A,IF(E2877="",A2877,E2877))&gt;0,"sim","não"))</f>
        <v/>
      </c>
      <c r="H2877" s="7" t="str">
        <f aca="false">IF(A2877="","",IF(E2877="",A2877,E2877)&amp;"."&amp;IF(F2877="",B2877,F2877))</f>
        <v/>
      </c>
      <c r="I2877" s="7" t="str">
        <f aca="false">IF(A2877="","",IFERROR(INDEX('Campos Growths'!$F:$F,MATCH(H2877,'Campos Growths'!$A:$A,0)),""))</f>
        <v/>
      </c>
      <c r="J2877" s="7" t="str">
        <f aca="false">IF(A2877="","",IFERROR(VLOOKUP(IF(ISNUMBER(SEARCH("(",C2877)),LEFT(C2877,SEARCH("(",C2877)-1),C2877),Tipos!$A:$B,2,FALSE()),"outro"))</f>
        <v/>
      </c>
      <c r="K2877" s="7" t="str">
        <f aca="false">IF(I2877="","",IFERROR(INDEX('Campos Growths'!$L:$L,MATCH(H2877,'Campos Growths'!$A:$A,0)),""))</f>
        <v/>
      </c>
      <c r="L2877" s="7" t="str">
        <f aca="false">IF(A2877="","",IF(G2877="não","Sem tabela no Growths",IF(I2877="","Sem campo no Growths",IF(J2877=K2877,"Importa direto","Ajustar tipo"))))</f>
        <v/>
      </c>
      <c r="M2877" s="9"/>
    </row>
    <row r="2878" customFormat="false" ht="15" hidden="false" customHeight="false" outlineLevel="0" collapsed="false">
      <c r="A2878" s="7" t="str">
        <f aca="false">IF('Outro banco'!A2878="","",IF(LEFT('Outro banco'!A2878,1)="(","",'Outro banco'!A2878))</f>
        <v/>
      </c>
      <c r="B2878" s="7" t="str">
        <f aca="false">IF(A2878="","",'Outro banco'!B2878)</f>
        <v/>
      </c>
      <c r="C2878" s="7" t="str">
        <f aca="false">IF(A2878="","",'Outro banco'!C2878)</f>
        <v/>
      </c>
      <c r="D2878" s="7" t="str">
        <f aca="false">IF(A2878="","",'Outro banco'!D2878)</f>
        <v/>
      </c>
      <c r="E2878" s="9"/>
      <c r="F2878" s="9"/>
      <c r="G2878" s="7" t="str">
        <f aca="false">IF(A2878="","",IF(COUNTIF(Tabelas!$A:$A,IF(E2878="",A2878,E2878))&gt;0,"sim","não"))</f>
        <v/>
      </c>
      <c r="H2878" s="7" t="str">
        <f aca="false">IF(A2878="","",IF(E2878="",A2878,E2878)&amp;"."&amp;IF(F2878="",B2878,F2878))</f>
        <v/>
      </c>
      <c r="I2878" s="7" t="str">
        <f aca="false">IF(A2878="","",IFERROR(INDEX('Campos Growths'!$F:$F,MATCH(H2878,'Campos Growths'!$A:$A,0)),""))</f>
        <v/>
      </c>
      <c r="J2878" s="7" t="str">
        <f aca="false">IF(A2878="","",IFERROR(VLOOKUP(IF(ISNUMBER(SEARCH("(",C2878)),LEFT(C2878,SEARCH("(",C2878)-1),C2878),Tipos!$A:$B,2,FALSE()),"outro"))</f>
        <v/>
      </c>
      <c r="K2878" s="7" t="str">
        <f aca="false">IF(I2878="","",IFERROR(INDEX('Campos Growths'!$L:$L,MATCH(H2878,'Campos Growths'!$A:$A,0)),""))</f>
        <v/>
      </c>
      <c r="L2878" s="7" t="str">
        <f aca="false">IF(A2878="","",IF(G2878="não","Sem tabela no Growths",IF(I2878="","Sem campo no Growths",IF(J2878=K2878,"Importa direto","Ajustar tipo"))))</f>
        <v/>
      </c>
      <c r="M2878" s="9"/>
    </row>
    <row r="2879" customFormat="false" ht="15" hidden="false" customHeight="false" outlineLevel="0" collapsed="false">
      <c r="A2879" s="7" t="str">
        <f aca="false">IF('Outro banco'!A2879="","",IF(LEFT('Outro banco'!A2879,1)="(","",'Outro banco'!A2879))</f>
        <v/>
      </c>
      <c r="B2879" s="7" t="str">
        <f aca="false">IF(A2879="","",'Outro banco'!B2879)</f>
        <v/>
      </c>
      <c r="C2879" s="7" t="str">
        <f aca="false">IF(A2879="","",'Outro banco'!C2879)</f>
        <v/>
      </c>
      <c r="D2879" s="7" t="str">
        <f aca="false">IF(A2879="","",'Outro banco'!D2879)</f>
        <v/>
      </c>
      <c r="E2879" s="9"/>
      <c r="F2879" s="9"/>
      <c r="G2879" s="7" t="str">
        <f aca="false">IF(A2879="","",IF(COUNTIF(Tabelas!$A:$A,IF(E2879="",A2879,E2879))&gt;0,"sim","não"))</f>
        <v/>
      </c>
      <c r="H2879" s="7" t="str">
        <f aca="false">IF(A2879="","",IF(E2879="",A2879,E2879)&amp;"."&amp;IF(F2879="",B2879,F2879))</f>
        <v/>
      </c>
      <c r="I2879" s="7" t="str">
        <f aca="false">IF(A2879="","",IFERROR(INDEX('Campos Growths'!$F:$F,MATCH(H2879,'Campos Growths'!$A:$A,0)),""))</f>
        <v/>
      </c>
      <c r="J2879" s="7" t="str">
        <f aca="false">IF(A2879="","",IFERROR(VLOOKUP(IF(ISNUMBER(SEARCH("(",C2879)),LEFT(C2879,SEARCH("(",C2879)-1),C2879),Tipos!$A:$B,2,FALSE()),"outro"))</f>
        <v/>
      </c>
      <c r="K2879" s="7" t="str">
        <f aca="false">IF(I2879="","",IFERROR(INDEX('Campos Growths'!$L:$L,MATCH(H2879,'Campos Growths'!$A:$A,0)),""))</f>
        <v/>
      </c>
      <c r="L2879" s="7" t="str">
        <f aca="false">IF(A2879="","",IF(G2879="não","Sem tabela no Growths",IF(I2879="","Sem campo no Growths",IF(J2879=K2879,"Importa direto","Ajustar tipo"))))</f>
        <v/>
      </c>
      <c r="M2879" s="9"/>
    </row>
    <row r="2880" customFormat="false" ht="15" hidden="false" customHeight="false" outlineLevel="0" collapsed="false">
      <c r="A2880" s="7" t="str">
        <f aca="false">IF('Outro banco'!A2880="","",IF(LEFT('Outro banco'!A2880,1)="(","",'Outro banco'!A2880))</f>
        <v/>
      </c>
      <c r="B2880" s="7" t="str">
        <f aca="false">IF(A2880="","",'Outro banco'!B2880)</f>
        <v/>
      </c>
      <c r="C2880" s="7" t="str">
        <f aca="false">IF(A2880="","",'Outro banco'!C2880)</f>
        <v/>
      </c>
      <c r="D2880" s="7" t="str">
        <f aca="false">IF(A2880="","",'Outro banco'!D2880)</f>
        <v/>
      </c>
      <c r="E2880" s="9"/>
      <c r="F2880" s="9"/>
      <c r="G2880" s="7" t="str">
        <f aca="false">IF(A2880="","",IF(COUNTIF(Tabelas!$A:$A,IF(E2880="",A2880,E2880))&gt;0,"sim","não"))</f>
        <v/>
      </c>
      <c r="H2880" s="7" t="str">
        <f aca="false">IF(A2880="","",IF(E2880="",A2880,E2880)&amp;"."&amp;IF(F2880="",B2880,F2880))</f>
        <v/>
      </c>
      <c r="I2880" s="7" t="str">
        <f aca="false">IF(A2880="","",IFERROR(INDEX('Campos Growths'!$F:$F,MATCH(H2880,'Campos Growths'!$A:$A,0)),""))</f>
        <v/>
      </c>
      <c r="J2880" s="7" t="str">
        <f aca="false">IF(A2880="","",IFERROR(VLOOKUP(IF(ISNUMBER(SEARCH("(",C2880)),LEFT(C2880,SEARCH("(",C2880)-1),C2880),Tipos!$A:$B,2,FALSE()),"outro"))</f>
        <v/>
      </c>
      <c r="K2880" s="7" t="str">
        <f aca="false">IF(I2880="","",IFERROR(INDEX('Campos Growths'!$L:$L,MATCH(H2880,'Campos Growths'!$A:$A,0)),""))</f>
        <v/>
      </c>
      <c r="L2880" s="7" t="str">
        <f aca="false">IF(A2880="","",IF(G2880="não","Sem tabela no Growths",IF(I2880="","Sem campo no Growths",IF(J2880=K2880,"Importa direto","Ajustar tipo"))))</f>
        <v/>
      </c>
      <c r="M2880" s="9"/>
    </row>
    <row r="2881" customFormat="false" ht="15" hidden="false" customHeight="false" outlineLevel="0" collapsed="false">
      <c r="A2881" s="7" t="str">
        <f aca="false">IF('Outro banco'!A2881="","",IF(LEFT('Outro banco'!A2881,1)="(","",'Outro banco'!A2881))</f>
        <v/>
      </c>
      <c r="B2881" s="7" t="str">
        <f aca="false">IF(A2881="","",'Outro banco'!B2881)</f>
        <v/>
      </c>
      <c r="C2881" s="7" t="str">
        <f aca="false">IF(A2881="","",'Outro banco'!C2881)</f>
        <v/>
      </c>
      <c r="D2881" s="7" t="str">
        <f aca="false">IF(A2881="","",'Outro banco'!D2881)</f>
        <v/>
      </c>
      <c r="E2881" s="9"/>
      <c r="F2881" s="9"/>
      <c r="G2881" s="7" t="str">
        <f aca="false">IF(A2881="","",IF(COUNTIF(Tabelas!$A:$A,IF(E2881="",A2881,E2881))&gt;0,"sim","não"))</f>
        <v/>
      </c>
      <c r="H2881" s="7" t="str">
        <f aca="false">IF(A2881="","",IF(E2881="",A2881,E2881)&amp;"."&amp;IF(F2881="",B2881,F2881))</f>
        <v/>
      </c>
      <c r="I2881" s="7" t="str">
        <f aca="false">IF(A2881="","",IFERROR(INDEX('Campos Growths'!$F:$F,MATCH(H2881,'Campos Growths'!$A:$A,0)),""))</f>
        <v/>
      </c>
      <c r="J2881" s="7" t="str">
        <f aca="false">IF(A2881="","",IFERROR(VLOOKUP(IF(ISNUMBER(SEARCH("(",C2881)),LEFT(C2881,SEARCH("(",C2881)-1),C2881),Tipos!$A:$B,2,FALSE()),"outro"))</f>
        <v/>
      </c>
      <c r="K2881" s="7" t="str">
        <f aca="false">IF(I2881="","",IFERROR(INDEX('Campos Growths'!$L:$L,MATCH(H2881,'Campos Growths'!$A:$A,0)),""))</f>
        <v/>
      </c>
      <c r="L2881" s="7" t="str">
        <f aca="false">IF(A2881="","",IF(G2881="não","Sem tabela no Growths",IF(I2881="","Sem campo no Growths",IF(J2881=K2881,"Importa direto","Ajustar tipo"))))</f>
        <v/>
      </c>
      <c r="M2881" s="9"/>
    </row>
    <row r="2882" customFormat="false" ht="15" hidden="false" customHeight="false" outlineLevel="0" collapsed="false">
      <c r="A2882" s="7" t="str">
        <f aca="false">IF('Outro banco'!A2882="","",IF(LEFT('Outro banco'!A2882,1)="(","",'Outro banco'!A2882))</f>
        <v/>
      </c>
      <c r="B2882" s="7" t="str">
        <f aca="false">IF(A2882="","",'Outro banco'!B2882)</f>
        <v/>
      </c>
      <c r="C2882" s="7" t="str">
        <f aca="false">IF(A2882="","",'Outro banco'!C2882)</f>
        <v/>
      </c>
      <c r="D2882" s="7" t="str">
        <f aca="false">IF(A2882="","",'Outro banco'!D2882)</f>
        <v/>
      </c>
      <c r="E2882" s="9"/>
      <c r="F2882" s="9"/>
      <c r="G2882" s="7" t="str">
        <f aca="false">IF(A2882="","",IF(COUNTIF(Tabelas!$A:$A,IF(E2882="",A2882,E2882))&gt;0,"sim","não"))</f>
        <v/>
      </c>
      <c r="H2882" s="7" t="str">
        <f aca="false">IF(A2882="","",IF(E2882="",A2882,E2882)&amp;"."&amp;IF(F2882="",B2882,F2882))</f>
        <v/>
      </c>
      <c r="I2882" s="7" t="str">
        <f aca="false">IF(A2882="","",IFERROR(INDEX('Campos Growths'!$F:$F,MATCH(H2882,'Campos Growths'!$A:$A,0)),""))</f>
        <v/>
      </c>
      <c r="J2882" s="7" t="str">
        <f aca="false">IF(A2882="","",IFERROR(VLOOKUP(IF(ISNUMBER(SEARCH("(",C2882)),LEFT(C2882,SEARCH("(",C2882)-1),C2882),Tipos!$A:$B,2,FALSE()),"outro"))</f>
        <v/>
      </c>
      <c r="K2882" s="7" t="str">
        <f aca="false">IF(I2882="","",IFERROR(INDEX('Campos Growths'!$L:$L,MATCH(H2882,'Campos Growths'!$A:$A,0)),""))</f>
        <v/>
      </c>
      <c r="L2882" s="7" t="str">
        <f aca="false">IF(A2882="","",IF(G2882="não","Sem tabela no Growths",IF(I2882="","Sem campo no Growths",IF(J2882=K2882,"Importa direto","Ajustar tipo"))))</f>
        <v/>
      </c>
      <c r="M2882" s="9"/>
    </row>
    <row r="2883" customFormat="false" ht="15" hidden="false" customHeight="false" outlineLevel="0" collapsed="false">
      <c r="A2883" s="7" t="str">
        <f aca="false">IF('Outro banco'!A2883="","",IF(LEFT('Outro banco'!A2883,1)="(","",'Outro banco'!A2883))</f>
        <v/>
      </c>
      <c r="B2883" s="7" t="str">
        <f aca="false">IF(A2883="","",'Outro banco'!B2883)</f>
        <v/>
      </c>
      <c r="C2883" s="7" t="str">
        <f aca="false">IF(A2883="","",'Outro banco'!C2883)</f>
        <v/>
      </c>
      <c r="D2883" s="7" t="str">
        <f aca="false">IF(A2883="","",'Outro banco'!D2883)</f>
        <v/>
      </c>
      <c r="E2883" s="9"/>
      <c r="F2883" s="9"/>
      <c r="G2883" s="7" t="str">
        <f aca="false">IF(A2883="","",IF(COUNTIF(Tabelas!$A:$A,IF(E2883="",A2883,E2883))&gt;0,"sim","não"))</f>
        <v/>
      </c>
      <c r="H2883" s="7" t="str">
        <f aca="false">IF(A2883="","",IF(E2883="",A2883,E2883)&amp;"."&amp;IF(F2883="",B2883,F2883))</f>
        <v/>
      </c>
      <c r="I2883" s="7" t="str">
        <f aca="false">IF(A2883="","",IFERROR(INDEX('Campos Growths'!$F:$F,MATCH(H2883,'Campos Growths'!$A:$A,0)),""))</f>
        <v/>
      </c>
      <c r="J2883" s="7" t="str">
        <f aca="false">IF(A2883="","",IFERROR(VLOOKUP(IF(ISNUMBER(SEARCH("(",C2883)),LEFT(C2883,SEARCH("(",C2883)-1),C2883),Tipos!$A:$B,2,FALSE()),"outro"))</f>
        <v/>
      </c>
      <c r="K2883" s="7" t="str">
        <f aca="false">IF(I2883="","",IFERROR(INDEX('Campos Growths'!$L:$L,MATCH(H2883,'Campos Growths'!$A:$A,0)),""))</f>
        <v/>
      </c>
      <c r="L2883" s="7" t="str">
        <f aca="false">IF(A2883="","",IF(G2883="não","Sem tabela no Growths",IF(I2883="","Sem campo no Growths",IF(J2883=K2883,"Importa direto","Ajustar tipo"))))</f>
        <v/>
      </c>
      <c r="M2883" s="9"/>
    </row>
    <row r="2884" customFormat="false" ht="15" hidden="false" customHeight="false" outlineLevel="0" collapsed="false">
      <c r="A2884" s="7" t="str">
        <f aca="false">IF('Outro banco'!A2884="","",IF(LEFT('Outro banco'!A2884,1)="(","",'Outro banco'!A2884))</f>
        <v/>
      </c>
      <c r="B2884" s="7" t="str">
        <f aca="false">IF(A2884="","",'Outro banco'!B2884)</f>
        <v/>
      </c>
      <c r="C2884" s="7" t="str">
        <f aca="false">IF(A2884="","",'Outro banco'!C2884)</f>
        <v/>
      </c>
      <c r="D2884" s="7" t="str">
        <f aca="false">IF(A2884="","",'Outro banco'!D2884)</f>
        <v/>
      </c>
      <c r="E2884" s="9"/>
      <c r="F2884" s="9"/>
      <c r="G2884" s="7" t="str">
        <f aca="false">IF(A2884="","",IF(COUNTIF(Tabelas!$A:$A,IF(E2884="",A2884,E2884))&gt;0,"sim","não"))</f>
        <v/>
      </c>
      <c r="H2884" s="7" t="str">
        <f aca="false">IF(A2884="","",IF(E2884="",A2884,E2884)&amp;"."&amp;IF(F2884="",B2884,F2884))</f>
        <v/>
      </c>
      <c r="I2884" s="7" t="str">
        <f aca="false">IF(A2884="","",IFERROR(INDEX('Campos Growths'!$F:$F,MATCH(H2884,'Campos Growths'!$A:$A,0)),""))</f>
        <v/>
      </c>
      <c r="J2884" s="7" t="str">
        <f aca="false">IF(A2884="","",IFERROR(VLOOKUP(IF(ISNUMBER(SEARCH("(",C2884)),LEFT(C2884,SEARCH("(",C2884)-1),C2884),Tipos!$A:$B,2,FALSE()),"outro"))</f>
        <v/>
      </c>
      <c r="K2884" s="7" t="str">
        <f aca="false">IF(I2884="","",IFERROR(INDEX('Campos Growths'!$L:$L,MATCH(H2884,'Campos Growths'!$A:$A,0)),""))</f>
        <v/>
      </c>
      <c r="L2884" s="7" t="str">
        <f aca="false">IF(A2884="","",IF(G2884="não","Sem tabela no Growths",IF(I2884="","Sem campo no Growths",IF(J2884=K2884,"Importa direto","Ajustar tipo"))))</f>
        <v/>
      </c>
      <c r="M2884" s="9"/>
    </row>
    <row r="2885" customFormat="false" ht="15" hidden="false" customHeight="false" outlineLevel="0" collapsed="false">
      <c r="A2885" s="7" t="str">
        <f aca="false">IF('Outro banco'!A2885="","",IF(LEFT('Outro banco'!A2885,1)="(","",'Outro banco'!A2885))</f>
        <v/>
      </c>
      <c r="B2885" s="7" t="str">
        <f aca="false">IF(A2885="","",'Outro banco'!B2885)</f>
        <v/>
      </c>
      <c r="C2885" s="7" t="str">
        <f aca="false">IF(A2885="","",'Outro banco'!C2885)</f>
        <v/>
      </c>
      <c r="D2885" s="7" t="str">
        <f aca="false">IF(A2885="","",'Outro banco'!D2885)</f>
        <v/>
      </c>
      <c r="E2885" s="9"/>
      <c r="F2885" s="9"/>
      <c r="G2885" s="7" t="str">
        <f aca="false">IF(A2885="","",IF(COUNTIF(Tabelas!$A:$A,IF(E2885="",A2885,E2885))&gt;0,"sim","não"))</f>
        <v/>
      </c>
      <c r="H2885" s="7" t="str">
        <f aca="false">IF(A2885="","",IF(E2885="",A2885,E2885)&amp;"."&amp;IF(F2885="",B2885,F2885))</f>
        <v/>
      </c>
      <c r="I2885" s="7" t="str">
        <f aca="false">IF(A2885="","",IFERROR(INDEX('Campos Growths'!$F:$F,MATCH(H2885,'Campos Growths'!$A:$A,0)),""))</f>
        <v/>
      </c>
      <c r="J2885" s="7" t="str">
        <f aca="false">IF(A2885="","",IFERROR(VLOOKUP(IF(ISNUMBER(SEARCH("(",C2885)),LEFT(C2885,SEARCH("(",C2885)-1),C2885),Tipos!$A:$B,2,FALSE()),"outro"))</f>
        <v/>
      </c>
      <c r="K2885" s="7" t="str">
        <f aca="false">IF(I2885="","",IFERROR(INDEX('Campos Growths'!$L:$L,MATCH(H2885,'Campos Growths'!$A:$A,0)),""))</f>
        <v/>
      </c>
      <c r="L2885" s="7" t="str">
        <f aca="false">IF(A2885="","",IF(G2885="não","Sem tabela no Growths",IF(I2885="","Sem campo no Growths",IF(J2885=K2885,"Importa direto","Ajustar tipo"))))</f>
        <v/>
      </c>
      <c r="M2885" s="9"/>
    </row>
    <row r="2886" customFormat="false" ht="15" hidden="false" customHeight="false" outlineLevel="0" collapsed="false">
      <c r="A2886" s="7" t="str">
        <f aca="false">IF('Outro banco'!A2886="","",IF(LEFT('Outro banco'!A2886,1)="(","",'Outro banco'!A2886))</f>
        <v/>
      </c>
      <c r="B2886" s="7" t="str">
        <f aca="false">IF(A2886="","",'Outro banco'!B2886)</f>
        <v/>
      </c>
      <c r="C2886" s="7" t="str">
        <f aca="false">IF(A2886="","",'Outro banco'!C2886)</f>
        <v/>
      </c>
      <c r="D2886" s="7" t="str">
        <f aca="false">IF(A2886="","",'Outro banco'!D2886)</f>
        <v/>
      </c>
      <c r="E2886" s="9"/>
      <c r="F2886" s="9"/>
      <c r="G2886" s="7" t="str">
        <f aca="false">IF(A2886="","",IF(COUNTIF(Tabelas!$A:$A,IF(E2886="",A2886,E2886))&gt;0,"sim","não"))</f>
        <v/>
      </c>
      <c r="H2886" s="7" t="str">
        <f aca="false">IF(A2886="","",IF(E2886="",A2886,E2886)&amp;"."&amp;IF(F2886="",B2886,F2886))</f>
        <v/>
      </c>
      <c r="I2886" s="7" t="str">
        <f aca="false">IF(A2886="","",IFERROR(INDEX('Campos Growths'!$F:$F,MATCH(H2886,'Campos Growths'!$A:$A,0)),""))</f>
        <v/>
      </c>
      <c r="J2886" s="7" t="str">
        <f aca="false">IF(A2886="","",IFERROR(VLOOKUP(IF(ISNUMBER(SEARCH("(",C2886)),LEFT(C2886,SEARCH("(",C2886)-1),C2886),Tipos!$A:$B,2,FALSE()),"outro"))</f>
        <v/>
      </c>
      <c r="K2886" s="7" t="str">
        <f aca="false">IF(I2886="","",IFERROR(INDEX('Campos Growths'!$L:$L,MATCH(H2886,'Campos Growths'!$A:$A,0)),""))</f>
        <v/>
      </c>
      <c r="L2886" s="7" t="str">
        <f aca="false">IF(A2886="","",IF(G2886="não","Sem tabela no Growths",IF(I2886="","Sem campo no Growths",IF(J2886=K2886,"Importa direto","Ajustar tipo"))))</f>
        <v/>
      </c>
      <c r="M2886" s="9"/>
    </row>
    <row r="2887" customFormat="false" ht="15" hidden="false" customHeight="false" outlineLevel="0" collapsed="false">
      <c r="A2887" s="7" t="str">
        <f aca="false">IF('Outro banco'!A2887="","",IF(LEFT('Outro banco'!A2887,1)="(","",'Outro banco'!A2887))</f>
        <v/>
      </c>
      <c r="B2887" s="7" t="str">
        <f aca="false">IF(A2887="","",'Outro banco'!B2887)</f>
        <v/>
      </c>
      <c r="C2887" s="7" t="str">
        <f aca="false">IF(A2887="","",'Outro banco'!C2887)</f>
        <v/>
      </c>
      <c r="D2887" s="7" t="str">
        <f aca="false">IF(A2887="","",'Outro banco'!D2887)</f>
        <v/>
      </c>
      <c r="E2887" s="9"/>
      <c r="F2887" s="9"/>
      <c r="G2887" s="7" t="str">
        <f aca="false">IF(A2887="","",IF(COUNTIF(Tabelas!$A:$A,IF(E2887="",A2887,E2887))&gt;0,"sim","não"))</f>
        <v/>
      </c>
      <c r="H2887" s="7" t="str">
        <f aca="false">IF(A2887="","",IF(E2887="",A2887,E2887)&amp;"."&amp;IF(F2887="",B2887,F2887))</f>
        <v/>
      </c>
      <c r="I2887" s="7" t="str">
        <f aca="false">IF(A2887="","",IFERROR(INDEX('Campos Growths'!$F:$F,MATCH(H2887,'Campos Growths'!$A:$A,0)),""))</f>
        <v/>
      </c>
      <c r="J2887" s="7" t="str">
        <f aca="false">IF(A2887="","",IFERROR(VLOOKUP(IF(ISNUMBER(SEARCH("(",C2887)),LEFT(C2887,SEARCH("(",C2887)-1),C2887),Tipos!$A:$B,2,FALSE()),"outro"))</f>
        <v/>
      </c>
      <c r="K2887" s="7" t="str">
        <f aca="false">IF(I2887="","",IFERROR(INDEX('Campos Growths'!$L:$L,MATCH(H2887,'Campos Growths'!$A:$A,0)),""))</f>
        <v/>
      </c>
      <c r="L2887" s="7" t="str">
        <f aca="false">IF(A2887="","",IF(G2887="não","Sem tabela no Growths",IF(I2887="","Sem campo no Growths",IF(J2887=K2887,"Importa direto","Ajustar tipo"))))</f>
        <v/>
      </c>
      <c r="M2887" s="9"/>
    </row>
    <row r="2888" customFormat="false" ht="15" hidden="false" customHeight="false" outlineLevel="0" collapsed="false">
      <c r="A2888" s="7" t="str">
        <f aca="false">IF('Outro banco'!A2888="","",IF(LEFT('Outro banco'!A2888,1)="(","",'Outro banco'!A2888))</f>
        <v/>
      </c>
      <c r="B2888" s="7" t="str">
        <f aca="false">IF(A2888="","",'Outro banco'!B2888)</f>
        <v/>
      </c>
      <c r="C2888" s="7" t="str">
        <f aca="false">IF(A2888="","",'Outro banco'!C2888)</f>
        <v/>
      </c>
      <c r="D2888" s="7" t="str">
        <f aca="false">IF(A2888="","",'Outro banco'!D2888)</f>
        <v/>
      </c>
      <c r="E2888" s="9"/>
      <c r="F2888" s="9"/>
      <c r="G2888" s="7" t="str">
        <f aca="false">IF(A2888="","",IF(COUNTIF(Tabelas!$A:$A,IF(E2888="",A2888,E2888))&gt;0,"sim","não"))</f>
        <v/>
      </c>
      <c r="H2888" s="7" t="str">
        <f aca="false">IF(A2888="","",IF(E2888="",A2888,E2888)&amp;"."&amp;IF(F2888="",B2888,F2888))</f>
        <v/>
      </c>
      <c r="I2888" s="7" t="str">
        <f aca="false">IF(A2888="","",IFERROR(INDEX('Campos Growths'!$F:$F,MATCH(H2888,'Campos Growths'!$A:$A,0)),""))</f>
        <v/>
      </c>
      <c r="J2888" s="7" t="str">
        <f aca="false">IF(A2888="","",IFERROR(VLOOKUP(IF(ISNUMBER(SEARCH("(",C2888)),LEFT(C2888,SEARCH("(",C2888)-1),C2888),Tipos!$A:$B,2,FALSE()),"outro"))</f>
        <v/>
      </c>
      <c r="K2888" s="7" t="str">
        <f aca="false">IF(I2888="","",IFERROR(INDEX('Campos Growths'!$L:$L,MATCH(H2888,'Campos Growths'!$A:$A,0)),""))</f>
        <v/>
      </c>
      <c r="L2888" s="7" t="str">
        <f aca="false">IF(A2888="","",IF(G2888="não","Sem tabela no Growths",IF(I2888="","Sem campo no Growths",IF(J2888=K2888,"Importa direto","Ajustar tipo"))))</f>
        <v/>
      </c>
      <c r="M2888" s="9"/>
    </row>
    <row r="2889" customFormat="false" ht="15" hidden="false" customHeight="false" outlineLevel="0" collapsed="false">
      <c r="A2889" s="7" t="str">
        <f aca="false">IF('Outro banco'!A2889="","",IF(LEFT('Outro banco'!A2889,1)="(","",'Outro banco'!A2889))</f>
        <v/>
      </c>
      <c r="B2889" s="7" t="str">
        <f aca="false">IF(A2889="","",'Outro banco'!B2889)</f>
        <v/>
      </c>
      <c r="C2889" s="7" t="str">
        <f aca="false">IF(A2889="","",'Outro banco'!C2889)</f>
        <v/>
      </c>
      <c r="D2889" s="7" t="str">
        <f aca="false">IF(A2889="","",'Outro banco'!D2889)</f>
        <v/>
      </c>
      <c r="E2889" s="9"/>
      <c r="F2889" s="9"/>
      <c r="G2889" s="7" t="str">
        <f aca="false">IF(A2889="","",IF(COUNTIF(Tabelas!$A:$A,IF(E2889="",A2889,E2889))&gt;0,"sim","não"))</f>
        <v/>
      </c>
      <c r="H2889" s="7" t="str">
        <f aca="false">IF(A2889="","",IF(E2889="",A2889,E2889)&amp;"."&amp;IF(F2889="",B2889,F2889))</f>
        <v/>
      </c>
      <c r="I2889" s="7" t="str">
        <f aca="false">IF(A2889="","",IFERROR(INDEX('Campos Growths'!$F:$F,MATCH(H2889,'Campos Growths'!$A:$A,0)),""))</f>
        <v/>
      </c>
      <c r="J2889" s="7" t="str">
        <f aca="false">IF(A2889="","",IFERROR(VLOOKUP(IF(ISNUMBER(SEARCH("(",C2889)),LEFT(C2889,SEARCH("(",C2889)-1),C2889),Tipos!$A:$B,2,FALSE()),"outro"))</f>
        <v/>
      </c>
      <c r="K2889" s="7" t="str">
        <f aca="false">IF(I2889="","",IFERROR(INDEX('Campos Growths'!$L:$L,MATCH(H2889,'Campos Growths'!$A:$A,0)),""))</f>
        <v/>
      </c>
      <c r="L2889" s="7" t="str">
        <f aca="false">IF(A2889="","",IF(G2889="não","Sem tabela no Growths",IF(I2889="","Sem campo no Growths",IF(J2889=K2889,"Importa direto","Ajustar tipo"))))</f>
        <v/>
      </c>
      <c r="M2889" s="9"/>
    </row>
    <row r="2890" customFormat="false" ht="15" hidden="false" customHeight="false" outlineLevel="0" collapsed="false">
      <c r="A2890" s="7" t="str">
        <f aca="false">IF('Outro banco'!A2890="","",IF(LEFT('Outro banco'!A2890,1)="(","",'Outro banco'!A2890))</f>
        <v/>
      </c>
      <c r="B2890" s="7" t="str">
        <f aca="false">IF(A2890="","",'Outro banco'!B2890)</f>
        <v/>
      </c>
      <c r="C2890" s="7" t="str">
        <f aca="false">IF(A2890="","",'Outro banco'!C2890)</f>
        <v/>
      </c>
      <c r="D2890" s="7" t="str">
        <f aca="false">IF(A2890="","",'Outro banco'!D2890)</f>
        <v/>
      </c>
      <c r="E2890" s="9"/>
      <c r="F2890" s="9"/>
      <c r="G2890" s="7" t="str">
        <f aca="false">IF(A2890="","",IF(COUNTIF(Tabelas!$A:$A,IF(E2890="",A2890,E2890))&gt;0,"sim","não"))</f>
        <v/>
      </c>
      <c r="H2890" s="7" t="str">
        <f aca="false">IF(A2890="","",IF(E2890="",A2890,E2890)&amp;"."&amp;IF(F2890="",B2890,F2890))</f>
        <v/>
      </c>
      <c r="I2890" s="7" t="str">
        <f aca="false">IF(A2890="","",IFERROR(INDEX('Campos Growths'!$F:$F,MATCH(H2890,'Campos Growths'!$A:$A,0)),""))</f>
        <v/>
      </c>
      <c r="J2890" s="7" t="str">
        <f aca="false">IF(A2890="","",IFERROR(VLOOKUP(IF(ISNUMBER(SEARCH("(",C2890)),LEFT(C2890,SEARCH("(",C2890)-1),C2890),Tipos!$A:$B,2,FALSE()),"outro"))</f>
        <v/>
      </c>
      <c r="K2890" s="7" t="str">
        <f aca="false">IF(I2890="","",IFERROR(INDEX('Campos Growths'!$L:$L,MATCH(H2890,'Campos Growths'!$A:$A,0)),""))</f>
        <v/>
      </c>
      <c r="L2890" s="7" t="str">
        <f aca="false">IF(A2890="","",IF(G2890="não","Sem tabela no Growths",IF(I2890="","Sem campo no Growths",IF(J2890=K2890,"Importa direto","Ajustar tipo"))))</f>
        <v/>
      </c>
      <c r="M2890" s="9"/>
    </row>
    <row r="2891" customFormat="false" ht="15" hidden="false" customHeight="false" outlineLevel="0" collapsed="false">
      <c r="A2891" s="7" t="str">
        <f aca="false">IF('Outro banco'!A2891="","",IF(LEFT('Outro banco'!A2891,1)="(","",'Outro banco'!A2891))</f>
        <v/>
      </c>
      <c r="B2891" s="7" t="str">
        <f aca="false">IF(A2891="","",'Outro banco'!B2891)</f>
        <v/>
      </c>
      <c r="C2891" s="7" t="str">
        <f aca="false">IF(A2891="","",'Outro banco'!C2891)</f>
        <v/>
      </c>
      <c r="D2891" s="7" t="str">
        <f aca="false">IF(A2891="","",'Outro banco'!D2891)</f>
        <v/>
      </c>
      <c r="E2891" s="9"/>
      <c r="F2891" s="9"/>
      <c r="G2891" s="7" t="str">
        <f aca="false">IF(A2891="","",IF(COUNTIF(Tabelas!$A:$A,IF(E2891="",A2891,E2891))&gt;0,"sim","não"))</f>
        <v/>
      </c>
      <c r="H2891" s="7" t="str">
        <f aca="false">IF(A2891="","",IF(E2891="",A2891,E2891)&amp;"."&amp;IF(F2891="",B2891,F2891))</f>
        <v/>
      </c>
      <c r="I2891" s="7" t="str">
        <f aca="false">IF(A2891="","",IFERROR(INDEX('Campos Growths'!$F:$F,MATCH(H2891,'Campos Growths'!$A:$A,0)),""))</f>
        <v/>
      </c>
      <c r="J2891" s="7" t="str">
        <f aca="false">IF(A2891="","",IFERROR(VLOOKUP(IF(ISNUMBER(SEARCH("(",C2891)),LEFT(C2891,SEARCH("(",C2891)-1),C2891),Tipos!$A:$B,2,FALSE()),"outro"))</f>
        <v/>
      </c>
      <c r="K2891" s="7" t="str">
        <f aca="false">IF(I2891="","",IFERROR(INDEX('Campos Growths'!$L:$L,MATCH(H2891,'Campos Growths'!$A:$A,0)),""))</f>
        <v/>
      </c>
      <c r="L2891" s="7" t="str">
        <f aca="false">IF(A2891="","",IF(G2891="não","Sem tabela no Growths",IF(I2891="","Sem campo no Growths",IF(J2891=K2891,"Importa direto","Ajustar tipo"))))</f>
        <v/>
      </c>
      <c r="M2891" s="9"/>
    </row>
    <row r="2892" customFormat="false" ht="15" hidden="false" customHeight="false" outlineLevel="0" collapsed="false">
      <c r="A2892" s="7" t="str">
        <f aca="false">IF('Outro banco'!A2892="","",IF(LEFT('Outro banco'!A2892,1)="(","",'Outro banco'!A2892))</f>
        <v/>
      </c>
      <c r="B2892" s="7" t="str">
        <f aca="false">IF(A2892="","",'Outro banco'!B2892)</f>
        <v/>
      </c>
      <c r="C2892" s="7" t="str">
        <f aca="false">IF(A2892="","",'Outro banco'!C2892)</f>
        <v/>
      </c>
      <c r="D2892" s="7" t="str">
        <f aca="false">IF(A2892="","",'Outro banco'!D2892)</f>
        <v/>
      </c>
      <c r="E2892" s="9"/>
      <c r="F2892" s="9"/>
      <c r="G2892" s="7" t="str">
        <f aca="false">IF(A2892="","",IF(COUNTIF(Tabelas!$A:$A,IF(E2892="",A2892,E2892))&gt;0,"sim","não"))</f>
        <v/>
      </c>
      <c r="H2892" s="7" t="str">
        <f aca="false">IF(A2892="","",IF(E2892="",A2892,E2892)&amp;"."&amp;IF(F2892="",B2892,F2892))</f>
        <v/>
      </c>
      <c r="I2892" s="7" t="str">
        <f aca="false">IF(A2892="","",IFERROR(INDEX('Campos Growths'!$F:$F,MATCH(H2892,'Campos Growths'!$A:$A,0)),""))</f>
        <v/>
      </c>
      <c r="J2892" s="7" t="str">
        <f aca="false">IF(A2892="","",IFERROR(VLOOKUP(IF(ISNUMBER(SEARCH("(",C2892)),LEFT(C2892,SEARCH("(",C2892)-1),C2892),Tipos!$A:$B,2,FALSE()),"outro"))</f>
        <v/>
      </c>
      <c r="K2892" s="7" t="str">
        <f aca="false">IF(I2892="","",IFERROR(INDEX('Campos Growths'!$L:$L,MATCH(H2892,'Campos Growths'!$A:$A,0)),""))</f>
        <v/>
      </c>
      <c r="L2892" s="7" t="str">
        <f aca="false">IF(A2892="","",IF(G2892="não","Sem tabela no Growths",IF(I2892="","Sem campo no Growths",IF(J2892=K2892,"Importa direto","Ajustar tipo"))))</f>
        <v/>
      </c>
      <c r="M2892" s="9"/>
    </row>
    <row r="2893" customFormat="false" ht="15" hidden="false" customHeight="false" outlineLevel="0" collapsed="false">
      <c r="A2893" s="7" t="str">
        <f aca="false">IF('Outro banco'!A2893="","",IF(LEFT('Outro banco'!A2893,1)="(","",'Outro banco'!A2893))</f>
        <v/>
      </c>
      <c r="B2893" s="7" t="str">
        <f aca="false">IF(A2893="","",'Outro banco'!B2893)</f>
        <v/>
      </c>
      <c r="C2893" s="7" t="str">
        <f aca="false">IF(A2893="","",'Outro banco'!C2893)</f>
        <v/>
      </c>
      <c r="D2893" s="7" t="str">
        <f aca="false">IF(A2893="","",'Outro banco'!D2893)</f>
        <v/>
      </c>
      <c r="E2893" s="9"/>
      <c r="F2893" s="9"/>
      <c r="G2893" s="7" t="str">
        <f aca="false">IF(A2893="","",IF(COUNTIF(Tabelas!$A:$A,IF(E2893="",A2893,E2893))&gt;0,"sim","não"))</f>
        <v/>
      </c>
      <c r="H2893" s="7" t="str">
        <f aca="false">IF(A2893="","",IF(E2893="",A2893,E2893)&amp;"."&amp;IF(F2893="",B2893,F2893))</f>
        <v/>
      </c>
      <c r="I2893" s="7" t="str">
        <f aca="false">IF(A2893="","",IFERROR(INDEX('Campos Growths'!$F:$F,MATCH(H2893,'Campos Growths'!$A:$A,0)),""))</f>
        <v/>
      </c>
      <c r="J2893" s="7" t="str">
        <f aca="false">IF(A2893="","",IFERROR(VLOOKUP(IF(ISNUMBER(SEARCH("(",C2893)),LEFT(C2893,SEARCH("(",C2893)-1),C2893),Tipos!$A:$B,2,FALSE()),"outro"))</f>
        <v/>
      </c>
      <c r="K2893" s="7" t="str">
        <f aca="false">IF(I2893="","",IFERROR(INDEX('Campos Growths'!$L:$L,MATCH(H2893,'Campos Growths'!$A:$A,0)),""))</f>
        <v/>
      </c>
      <c r="L2893" s="7" t="str">
        <f aca="false">IF(A2893="","",IF(G2893="não","Sem tabela no Growths",IF(I2893="","Sem campo no Growths",IF(J2893=K2893,"Importa direto","Ajustar tipo"))))</f>
        <v/>
      </c>
      <c r="M2893" s="9"/>
    </row>
    <row r="2894" customFormat="false" ht="15" hidden="false" customHeight="false" outlineLevel="0" collapsed="false">
      <c r="A2894" s="7" t="str">
        <f aca="false">IF('Outro banco'!A2894="","",IF(LEFT('Outro banco'!A2894,1)="(","",'Outro banco'!A2894))</f>
        <v/>
      </c>
      <c r="B2894" s="7" t="str">
        <f aca="false">IF(A2894="","",'Outro banco'!B2894)</f>
        <v/>
      </c>
      <c r="C2894" s="7" t="str">
        <f aca="false">IF(A2894="","",'Outro banco'!C2894)</f>
        <v/>
      </c>
      <c r="D2894" s="7" t="str">
        <f aca="false">IF(A2894="","",'Outro banco'!D2894)</f>
        <v/>
      </c>
      <c r="E2894" s="9"/>
      <c r="F2894" s="9"/>
      <c r="G2894" s="7" t="str">
        <f aca="false">IF(A2894="","",IF(COUNTIF(Tabelas!$A:$A,IF(E2894="",A2894,E2894))&gt;0,"sim","não"))</f>
        <v/>
      </c>
      <c r="H2894" s="7" t="str">
        <f aca="false">IF(A2894="","",IF(E2894="",A2894,E2894)&amp;"."&amp;IF(F2894="",B2894,F2894))</f>
        <v/>
      </c>
      <c r="I2894" s="7" t="str">
        <f aca="false">IF(A2894="","",IFERROR(INDEX('Campos Growths'!$F:$F,MATCH(H2894,'Campos Growths'!$A:$A,0)),""))</f>
        <v/>
      </c>
      <c r="J2894" s="7" t="str">
        <f aca="false">IF(A2894="","",IFERROR(VLOOKUP(IF(ISNUMBER(SEARCH("(",C2894)),LEFT(C2894,SEARCH("(",C2894)-1),C2894),Tipos!$A:$B,2,FALSE()),"outro"))</f>
        <v/>
      </c>
      <c r="K2894" s="7" t="str">
        <f aca="false">IF(I2894="","",IFERROR(INDEX('Campos Growths'!$L:$L,MATCH(H2894,'Campos Growths'!$A:$A,0)),""))</f>
        <v/>
      </c>
      <c r="L2894" s="7" t="str">
        <f aca="false">IF(A2894="","",IF(G2894="não","Sem tabela no Growths",IF(I2894="","Sem campo no Growths",IF(J2894=K2894,"Importa direto","Ajustar tipo"))))</f>
        <v/>
      </c>
      <c r="M2894" s="9"/>
    </row>
    <row r="2895" customFormat="false" ht="15" hidden="false" customHeight="false" outlineLevel="0" collapsed="false">
      <c r="A2895" s="7" t="str">
        <f aca="false">IF('Outro banco'!A2895="","",IF(LEFT('Outro banco'!A2895,1)="(","",'Outro banco'!A2895))</f>
        <v/>
      </c>
      <c r="B2895" s="7" t="str">
        <f aca="false">IF(A2895="","",'Outro banco'!B2895)</f>
        <v/>
      </c>
      <c r="C2895" s="7" t="str">
        <f aca="false">IF(A2895="","",'Outro banco'!C2895)</f>
        <v/>
      </c>
      <c r="D2895" s="7" t="str">
        <f aca="false">IF(A2895="","",'Outro banco'!D2895)</f>
        <v/>
      </c>
      <c r="E2895" s="9"/>
      <c r="F2895" s="9"/>
      <c r="G2895" s="7" t="str">
        <f aca="false">IF(A2895="","",IF(COUNTIF(Tabelas!$A:$A,IF(E2895="",A2895,E2895))&gt;0,"sim","não"))</f>
        <v/>
      </c>
      <c r="H2895" s="7" t="str">
        <f aca="false">IF(A2895="","",IF(E2895="",A2895,E2895)&amp;"."&amp;IF(F2895="",B2895,F2895))</f>
        <v/>
      </c>
      <c r="I2895" s="7" t="str">
        <f aca="false">IF(A2895="","",IFERROR(INDEX('Campos Growths'!$F:$F,MATCH(H2895,'Campos Growths'!$A:$A,0)),""))</f>
        <v/>
      </c>
      <c r="J2895" s="7" t="str">
        <f aca="false">IF(A2895="","",IFERROR(VLOOKUP(IF(ISNUMBER(SEARCH("(",C2895)),LEFT(C2895,SEARCH("(",C2895)-1),C2895),Tipos!$A:$B,2,FALSE()),"outro"))</f>
        <v/>
      </c>
      <c r="K2895" s="7" t="str">
        <f aca="false">IF(I2895="","",IFERROR(INDEX('Campos Growths'!$L:$L,MATCH(H2895,'Campos Growths'!$A:$A,0)),""))</f>
        <v/>
      </c>
      <c r="L2895" s="7" t="str">
        <f aca="false">IF(A2895="","",IF(G2895="não","Sem tabela no Growths",IF(I2895="","Sem campo no Growths",IF(J2895=K2895,"Importa direto","Ajustar tipo"))))</f>
        <v/>
      </c>
      <c r="M2895" s="9"/>
    </row>
    <row r="2896" customFormat="false" ht="15" hidden="false" customHeight="false" outlineLevel="0" collapsed="false">
      <c r="A2896" s="7" t="str">
        <f aca="false">IF('Outro banco'!A2896="","",IF(LEFT('Outro banco'!A2896,1)="(","",'Outro banco'!A2896))</f>
        <v/>
      </c>
      <c r="B2896" s="7" t="str">
        <f aca="false">IF(A2896="","",'Outro banco'!B2896)</f>
        <v/>
      </c>
      <c r="C2896" s="7" t="str">
        <f aca="false">IF(A2896="","",'Outro banco'!C2896)</f>
        <v/>
      </c>
      <c r="D2896" s="7" t="str">
        <f aca="false">IF(A2896="","",'Outro banco'!D2896)</f>
        <v/>
      </c>
      <c r="E2896" s="9"/>
      <c r="F2896" s="9"/>
      <c r="G2896" s="7" t="str">
        <f aca="false">IF(A2896="","",IF(COUNTIF(Tabelas!$A:$A,IF(E2896="",A2896,E2896))&gt;0,"sim","não"))</f>
        <v/>
      </c>
      <c r="H2896" s="7" t="str">
        <f aca="false">IF(A2896="","",IF(E2896="",A2896,E2896)&amp;"."&amp;IF(F2896="",B2896,F2896))</f>
        <v/>
      </c>
      <c r="I2896" s="7" t="str">
        <f aca="false">IF(A2896="","",IFERROR(INDEX('Campos Growths'!$F:$F,MATCH(H2896,'Campos Growths'!$A:$A,0)),""))</f>
        <v/>
      </c>
      <c r="J2896" s="7" t="str">
        <f aca="false">IF(A2896="","",IFERROR(VLOOKUP(IF(ISNUMBER(SEARCH("(",C2896)),LEFT(C2896,SEARCH("(",C2896)-1),C2896),Tipos!$A:$B,2,FALSE()),"outro"))</f>
        <v/>
      </c>
      <c r="K2896" s="7" t="str">
        <f aca="false">IF(I2896="","",IFERROR(INDEX('Campos Growths'!$L:$L,MATCH(H2896,'Campos Growths'!$A:$A,0)),""))</f>
        <v/>
      </c>
      <c r="L2896" s="7" t="str">
        <f aca="false">IF(A2896="","",IF(G2896="não","Sem tabela no Growths",IF(I2896="","Sem campo no Growths",IF(J2896=K2896,"Importa direto","Ajustar tipo"))))</f>
        <v/>
      </c>
      <c r="M2896" s="9"/>
    </row>
    <row r="2897" customFormat="false" ht="15" hidden="false" customHeight="false" outlineLevel="0" collapsed="false">
      <c r="A2897" s="7" t="str">
        <f aca="false">IF('Outro banco'!A2897="","",IF(LEFT('Outro banco'!A2897,1)="(","",'Outro banco'!A2897))</f>
        <v/>
      </c>
      <c r="B2897" s="7" t="str">
        <f aca="false">IF(A2897="","",'Outro banco'!B2897)</f>
        <v/>
      </c>
      <c r="C2897" s="7" t="str">
        <f aca="false">IF(A2897="","",'Outro banco'!C2897)</f>
        <v/>
      </c>
      <c r="D2897" s="7" t="str">
        <f aca="false">IF(A2897="","",'Outro banco'!D2897)</f>
        <v/>
      </c>
      <c r="E2897" s="9"/>
      <c r="F2897" s="9"/>
      <c r="G2897" s="7" t="str">
        <f aca="false">IF(A2897="","",IF(COUNTIF(Tabelas!$A:$A,IF(E2897="",A2897,E2897))&gt;0,"sim","não"))</f>
        <v/>
      </c>
      <c r="H2897" s="7" t="str">
        <f aca="false">IF(A2897="","",IF(E2897="",A2897,E2897)&amp;"."&amp;IF(F2897="",B2897,F2897))</f>
        <v/>
      </c>
      <c r="I2897" s="7" t="str">
        <f aca="false">IF(A2897="","",IFERROR(INDEX('Campos Growths'!$F:$F,MATCH(H2897,'Campos Growths'!$A:$A,0)),""))</f>
        <v/>
      </c>
      <c r="J2897" s="7" t="str">
        <f aca="false">IF(A2897="","",IFERROR(VLOOKUP(IF(ISNUMBER(SEARCH("(",C2897)),LEFT(C2897,SEARCH("(",C2897)-1),C2897),Tipos!$A:$B,2,FALSE()),"outro"))</f>
        <v/>
      </c>
      <c r="K2897" s="7" t="str">
        <f aca="false">IF(I2897="","",IFERROR(INDEX('Campos Growths'!$L:$L,MATCH(H2897,'Campos Growths'!$A:$A,0)),""))</f>
        <v/>
      </c>
      <c r="L2897" s="7" t="str">
        <f aca="false">IF(A2897="","",IF(G2897="não","Sem tabela no Growths",IF(I2897="","Sem campo no Growths",IF(J2897=K2897,"Importa direto","Ajustar tipo"))))</f>
        <v/>
      </c>
      <c r="M2897" s="9"/>
    </row>
    <row r="2898" customFormat="false" ht="15" hidden="false" customHeight="false" outlineLevel="0" collapsed="false">
      <c r="A2898" s="7" t="str">
        <f aca="false">IF('Outro banco'!A2898="","",IF(LEFT('Outro banco'!A2898,1)="(","",'Outro banco'!A2898))</f>
        <v/>
      </c>
      <c r="B2898" s="7" t="str">
        <f aca="false">IF(A2898="","",'Outro banco'!B2898)</f>
        <v/>
      </c>
      <c r="C2898" s="7" t="str">
        <f aca="false">IF(A2898="","",'Outro banco'!C2898)</f>
        <v/>
      </c>
      <c r="D2898" s="7" t="str">
        <f aca="false">IF(A2898="","",'Outro banco'!D2898)</f>
        <v/>
      </c>
      <c r="E2898" s="9"/>
      <c r="F2898" s="9"/>
      <c r="G2898" s="7" t="str">
        <f aca="false">IF(A2898="","",IF(COUNTIF(Tabelas!$A:$A,IF(E2898="",A2898,E2898))&gt;0,"sim","não"))</f>
        <v/>
      </c>
      <c r="H2898" s="7" t="str">
        <f aca="false">IF(A2898="","",IF(E2898="",A2898,E2898)&amp;"."&amp;IF(F2898="",B2898,F2898))</f>
        <v/>
      </c>
      <c r="I2898" s="7" t="str">
        <f aca="false">IF(A2898="","",IFERROR(INDEX('Campos Growths'!$F:$F,MATCH(H2898,'Campos Growths'!$A:$A,0)),""))</f>
        <v/>
      </c>
      <c r="J2898" s="7" t="str">
        <f aca="false">IF(A2898="","",IFERROR(VLOOKUP(IF(ISNUMBER(SEARCH("(",C2898)),LEFT(C2898,SEARCH("(",C2898)-1),C2898),Tipos!$A:$B,2,FALSE()),"outro"))</f>
        <v/>
      </c>
      <c r="K2898" s="7" t="str">
        <f aca="false">IF(I2898="","",IFERROR(INDEX('Campos Growths'!$L:$L,MATCH(H2898,'Campos Growths'!$A:$A,0)),""))</f>
        <v/>
      </c>
      <c r="L2898" s="7" t="str">
        <f aca="false">IF(A2898="","",IF(G2898="não","Sem tabela no Growths",IF(I2898="","Sem campo no Growths",IF(J2898=K2898,"Importa direto","Ajustar tipo"))))</f>
        <v/>
      </c>
      <c r="M2898" s="9"/>
    </row>
    <row r="2899" customFormat="false" ht="15" hidden="false" customHeight="false" outlineLevel="0" collapsed="false">
      <c r="A2899" s="7" t="str">
        <f aca="false">IF('Outro banco'!A2899="","",IF(LEFT('Outro banco'!A2899,1)="(","",'Outro banco'!A2899))</f>
        <v/>
      </c>
      <c r="B2899" s="7" t="str">
        <f aca="false">IF(A2899="","",'Outro banco'!B2899)</f>
        <v/>
      </c>
      <c r="C2899" s="7" t="str">
        <f aca="false">IF(A2899="","",'Outro banco'!C2899)</f>
        <v/>
      </c>
      <c r="D2899" s="7" t="str">
        <f aca="false">IF(A2899="","",'Outro banco'!D2899)</f>
        <v/>
      </c>
      <c r="E2899" s="9"/>
      <c r="F2899" s="9"/>
      <c r="G2899" s="7" t="str">
        <f aca="false">IF(A2899="","",IF(COUNTIF(Tabelas!$A:$A,IF(E2899="",A2899,E2899))&gt;0,"sim","não"))</f>
        <v/>
      </c>
      <c r="H2899" s="7" t="str">
        <f aca="false">IF(A2899="","",IF(E2899="",A2899,E2899)&amp;"."&amp;IF(F2899="",B2899,F2899))</f>
        <v/>
      </c>
      <c r="I2899" s="7" t="str">
        <f aca="false">IF(A2899="","",IFERROR(INDEX('Campos Growths'!$F:$F,MATCH(H2899,'Campos Growths'!$A:$A,0)),""))</f>
        <v/>
      </c>
      <c r="J2899" s="7" t="str">
        <f aca="false">IF(A2899="","",IFERROR(VLOOKUP(IF(ISNUMBER(SEARCH("(",C2899)),LEFT(C2899,SEARCH("(",C2899)-1),C2899),Tipos!$A:$B,2,FALSE()),"outro"))</f>
        <v/>
      </c>
      <c r="K2899" s="7" t="str">
        <f aca="false">IF(I2899="","",IFERROR(INDEX('Campos Growths'!$L:$L,MATCH(H2899,'Campos Growths'!$A:$A,0)),""))</f>
        <v/>
      </c>
      <c r="L2899" s="7" t="str">
        <f aca="false">IF(A2899="","",IF(G2899="não","Sem tabela no Growths",IF(I2899="","Sem campo no Growths",IF(J2899=K2899,"Importa direto","Ajustar tipo"))))</f>
        <v/>
      </c>
      <c r="M2899" s="9"/>
    </row>
    <row r="2900" customFormat="false" ht="15" hidden="false" customHeight="false" outlineLevel="0" collapsed="false">
      <c r="A2900" s="7" t="str">
        <f aca="false">IF('Outro banco'!A2900="","",IF(LEFT('Outro banco'!A2900,1)="(","",'Outro banco'!A2900))</f>
        <v/>
      </c>
      <c r="B2900" s="7" t="str">
        <f aca="false">IF(A2900="","",'Outro banco'!B2900)</f>
        <v/>
      </c>
      <c r="C2900" s="7" t="str">
        <f aca="false">IF(A2900="","",'Outro banco'!C2900)</f>
        <v/>
      </c>
      <c r="D2900" s="7" t="str">
        <f aca="false">IF(A2900="","",'Outro banco'!D2900)</f>
        <v/>
      </c>
      <c r="E2900" s="9"/>
      <c r="F2900" s="9"/>
      <c r="G2900" s="7" t="str">
        <f aca="false">IF(A2900="","",IF(COUNTIF(Tabelas!$A:$A,IF(E2900="",A2900,E2900))&gt;0,"sim","não"))</f>
        <v/>
      </c>
      <c r="H2900" s="7" t="str">
        <f aca="false">IF(A2900="","",IF(E2900="",A2900,E2900)&amp;"."&amp;IF(F2900="",B2900,F2900))</f>
        <v/>
      </c>
      <c r="I2900" s="7" t="str">
        <f aca="false">IF(A2900="","",IFERROR(INDEX('Campos Growths'!$F:$F,MATCH(H2900,'Campos Growths'!$A:$A,0)),""))</f>
        <v/>
      </c>
      <c r="J2900" s="7" t="str">
        <f aca="false">IF(A2900="","",IFERROR(VLOOKUP(IF(ISNUMBER(SEARCH("(",C2900)),LEFT(C2900,SEARCH("(",C2900)-1),C2900),Tipos!$A:$B,2,FALSE()),"outro"))</f>
        <v/>
      </c>
      <c r="K2900" s="7" t="str">
        <f aca="false">IF(I2900="","",IFERROR(INDEX('Campos Growths'!$L:$L,MATCH(H2900,'Campos Growths'!$A:$A,0)),""))</f>
        <v/>
      </c>
      <c r="L2900" s="7" t="str">
        <f aca="false">IF(A2900="","",IF(G2900="não","Sem tabela no Growths",IF(I2900="","Sem campo no Growths",IF(J2900=K2900,"Importa direto","Ajustar tipo"))))</f>
        <v/>
      </c>
      <c r="M2900" s="9"/>
    </row>
    <row r="2901" customFormat="false" ht="15" hidden="false" customHeight="false" outlineLevel="0" collapsed="false">
      <c r="A2901" s="7" t="str">
        <f aca="false">IF('Outro banco'!A2901="","",IF(LEFT('Outro banco'!A2901,1)="(","",'Outro banco'!A2901))</f>
        <v/>
      </c>
      <c r="B2901" s="7" t="str">
        <f aca="false">IF(A2901="","",'Outro banco'!B2901)</f>
        <v/>
      </c>
      <c r="C2901" s="7" t="str">
        <f aca="false">IF(A2901="","",'Outro banco'!C2901)</f>
        <v/>
      </c>
      <c r="D2901" s="7" t="str">
        <f aca="false">IF(A2901="","",'Outro banco'!D2901)</f>
        <v/>
      </c>
      <c r="E2901" s="9"/>
      <c r="F2901" s="9"/>
      <c r="G2901" s="7" t="str">
        <f aca="false">IF(A2901="","",IF(COUNTIF(Tabelas!$A:$A,IF(E2901="",A2901,E2901))&gt;0,"sim","não"))</f>
        <v/>
      </c>
      <c r="H2901" s="7" t="str">
        <f aca="false">IF(A2901="","",IF(E2901="",A2901,E2901)&amp;"."&amp;IF(F2901="",B2901,F2901))</f>
        <v/>
      </c>
      <c r="I2901" s="7" t="str">
        <f aca="false">IF(A2901="","",IFERROR(INDEX('Campos Growths'!$F:$F,MATCH(H2901,'Campos Growths'!$A:$A,0)),""))</f>
        <v/>
      </c>
      <c r="J2901" s="7" t="str">
        <f aca="false">IF(A2901="","",IFERROR(VLOOKUP(IF(ISNUMBER(SEARCH("(",C2901)),LEFT(C2901,SEARCH("(",C2901)-1),C2901),Tipos!$A:$B,2,FALSE()),"outro"))</f>
        <v/>
      </c>
      <c r="K2901" s="7" t="str">
        <f aca="false">IF(I2901="","",IFERROR(INDEX('Campos Growths'!$L:$L,MATCH(H2901,'Campos Growths'!$A:$A,0)),""))</f>
        <v/>
      </c>
      <c r="L2901" s="7" t="str">
        <f aca="false">IF(A2901="","",IF(G2901="não","Sem tabela no Growths",IF(I2901="","Sem campo no Growths",IF(J2901=K2901,"Importa direto","Ajustar tipo"))))</f>
        <v/>
      </c>
      <c r="M2901" s="9"/>
    </row>
    <row r="2902" customFormat="false" ht="15" hidden="false" customHeight="false" outlineLevel="0" collapsed="false">
      <c r="A2902" s="7" t="str">
        <f aca="false">IF('Outro banco'!A2902="","",IF(LEFT('Outro banco'!A2902,1)="(","",'Outro banco'!A2902))</f>
        <v/>
      </c>
      <c r="B2902" s="7" t="str">
        <f aca="false">IF(A2902="","",'Outro banco'!B2902)</f>
        <v/>
      </c>
      <c r="C2902" s="7" t="str">
        <f aca="false">IF(A2902="","",'Outro banco'!C2902)</f>
        <v/>
      </c>
      <c r="D2902" s="7" t="str">
        <f aca="false">IF(A2902="","",'Outro banco'!D2902)</f>
        <v/>
      </c>
      <c r="E2902" s="9"/>
      <c r="F2902" s="9"/>
      <c r="G2902" s="7" t="str">
        <f aca="false">IF(A2902="","",IF(COUNTIF(Tabelas!$A:$A,IF(E2902="",A2902,E2902))&gt;0,"sim","não"))</f>
        <v/>
      </c>
      <c r="H2902" s="7" t="str">
        <f aca="false">IF(A2902="","",IF(E2902="",A2902,E2902)&amp;"."&amp;IF(F2902="",B2902,F2902))</f>
        <v/>
      </c>
      <c r="I2902" s="7" t="str">
        <f aca="false">IF(A2902="","",IFERROR(INDEX('Campos Growths'!$F:$F,MATCH(H2902,'Campos Growths'!$A:$A,0)),""))</f>
        <v/>
      </c>
      <c r="J2902" s="7" t="str">
        <f aca="false">IF(A2902="","",IFERROR(VLOOKUP(IF(ISNUMBER(SEARCH("(",C2902)),LEFT(C2902,SEARCH("(",C2902)-1),C2902),Tipos!$A:$B,2,FALSE()),"outro"))</f>
        <v/>
      </c>
      <c r="K2902" s="7" t="str">
        <f aca="false">IF(I2902="","",IFERROR(INDEX('Campos Growths'!$L:$L,MATCH(H2902,'Campos Growths'!$A:$A,0)),""))</f>
        <v/>
      </c>
      <c r="L2902" s="7" t="str">
        <f aca="false">IF(A2902="","",IF(G2902="não","Sem tabela no Growths",IF(I2902="","Sem campo no Growths",IF(J2902=K2902,"Importa direto","Ajustar tipo"))))</f>
        <v/>
      </c>
      <c r="M2902" s="9"/>
    </row>
    <row r="2903" customFormat="false" ht="15" hidden="false" customHeight="false" outlineLevel="0" collapsed="false">
      <c r="A2903" s="7" t="str">
        <f aca="false">IF('Outro banco'!A2903="","",IF(LEFT('Outro banco'!A2903,1)="(","",'Outro banco'!A2903))</f>
        <v/>
      </c>
      <c r="B2903" s="7" t="str">
        <f aca="false">IF(A2903="","",'Outro banco'!B2903)</f>
        <v/>
      </c>
      <c r="C2903" s="7" t="str">
        <f aca="false">IF(A2903="","",'Outro banco'!C2903)</f>
        <v/>
      </c>
      <c r="D2903" s="7" t="str">
        <f aca="false">IF(A2903="","",'Outro banco'!D2903)</f>
        <v/>
      </c>
      <c r="E2903" s="9"/>
      <c r="F2903" s="9"/>
      <c r="G2903" s="7" t="str">
        <f aca="false">IF(A2903="","",IF(COUNTIF(Tabelas!$A:$A,IF(E2903="",A2903,E2903))&gt;0,"sim","não"))</f>
        <v/>
      </c>
      <c r="H2903" s="7" t="str">
        <f aca="false">IF(A2903="","",IF(E2903="",A2903,E2903)&amp;"."&amp;IF(F2903="",B2903,F2903))</f>
        <v/>
      </c>
      <c r="I2903" s="7" t="str">
        <f aca="false">IF(A2903="","",IFERROR(INDEX('Campos Growths'!$F:$F,MATCH(H2903,'Campos Growths'!$A:$A,0)),""))</f>
        <v/>
      </c>
      <c r="J2903" s="7" t="str">
        <f aca="false">IF(A2903="","",IFERROR(VLOOKUP(IF(ISNUMBER(SEARCH("(",C2903)),LEFT(C2903,SEARCH("(",C2903)-1),C2903),Tipos!$A:$B,2,FALSE()),"outro"))</f>
        <v/>
      </c>
      <c r="K2903" s="7" t="str">
        <f aca="false">IF(I2903="","",IFERROR(INDEX('Campos Growths'!$L:$L,MATCH(H2903,'Campos Growths'!$A:$A,0)),""))</f>
        <v/>
      </c>
      <c r="L2903" s="7" t="str">
        <f aca="false">IF(A2903="","",IF(G2903="não","Sem tabela no Growths",IF(I2903="","Sem campo no Growths",IF(J2903=K2903,"Importa direto","Ajustar tipo"))))</f>
        <v/>
      </c>
      <c r="M2903" s="9"/>
    </row>
    <row r="2904" customFormat="false" ht="15" hidden="false" customHeight="false" outlineLevel="0" collapsed="false">
      <c r="A2904" s="7" t="str">
        <f aca="false">IF('Outro banco'!A2904="","",IF(LEFT('Outro banco'!A2904,1)="(","",'Outro banco'!A2904))</f>
        <v/>
      </c>
      <c r="B2904" s="7" t="str">
        <f aca="false">IF(A2904="","",'Outro banco'!B2904)</f>
        <v/>
      </c>
      <c r="C2904" s="7" t="str">
        <f aca="false">IF(A2904="","",'Outro banco'!C2904)</f>
        <v/>
      </c>
      <c r="D2904" s="7" t="str">
        <f aca="false">IF(A2904="","",'Outro banco'!D2904)</f>
        <v/>
      </c>
      <c r="E2904" s="9"/>
      <c r="F2904" s="9"/>
      <c r="G2904" s="7" t="str">
        <f aca="false">IF(A2904="","",IF(COUNTIF(Tabelas!$A:$A,IF(E2904="",A2904,E2904))&gt;0,"sim","não"))</f>
        <v/>
      </c>
      <c r="H2904" s="7" t="str">
        <f aca="false">IF(A2904="","",IF(E2904="",A2904,E2904)&amp;"."&amp;IF(F2904="",B2904,F2904))</f>
        <v/>
      </c>
      <c r="I2904" s="7" t="str">
        <f aca="false">IF(A2904="","",IFERROR(INDEX('Campos Growths'!$F:$F,MATCH(H2904,'Campos Growths'!$A:$A,0)),""))</f>
        <v/>
      </c>
      <c r="J2904" s="7" t="str">
        <f aca="false">IF(A2904="","",IFERROR(VLOOKUP(IF(ISNUMBER(SEARCH("(",C2904)),LEFT(C2904,SEARCH("(",C2904)-1),C2904),Tipos!$A:$B,2,FALSE()),"outro"))</f>
        <v/>
      </c>
      <c r="K2904" s="7" t="str">
        <f aca="false">IF(I2904="","",IFERROR(INDEX('Campos Growths'!$L:$L,MATCH(H2904,'Campos Growths'!$A:$A,0)),""))</f>
        <v/>
      </c>
      <c r="L2904" s="7" t="str">
        <f aca="false">IF(A2904="","",IF(G2904="não","Sem tabela no Growths",IF(I2904="","Sem campo no Growths",IF(J2904=K2904,"Importa direto","Ajustar tipo"))))</f>
        <v/>
      </c>
      <c r="M2904" s="9"/>
    </row>
    <row r="2905" customFormat="false" ht="15" hidden="false" customHeight="false" outlineLevel="0" collapsed="false">
      <c r="A2905" s="7" t="str">
        <f aca="false">IF('Outro banco'!A2905="","",IF(LEFT('Outro banco'!A2905,1)="(","",'Outro banco'!A2905))</f>
        <v/>
      </c>
      <c r="B2905" s="7" t="str">
        <f aca="false">IF(A2905="","",'Outro banco'!B2905)</f>
        <v/>
      </c>
      <c r="C2905" s="7" t="str">
        <f aca="false">IF(A2905="","",'Outro banco'!C2905)</f>
        <v/>
      </c>
      <c r="D2905" s="7" t="str">
        <f aca="false">IF(A2905="","",'Outro banco'!D2905)</f>
        <v/>
      </c>
      <c r="E2905" s="9"/>
      <c r="F2905" s="9"/>
      <c r="G2905" s="7" t="str">
        <f aca="false">IF(A2905="","",IF(COUNTIF(Tabelas!$A:$A,IF(E2905="",A2905,E2905))&gt;0,"sim","não"))</f>
        <v/>
      </c>
      <c r="H2905" s="7" t="str">
        <f aca="false">IF(A2905="","",IF(E2905="",A2905,E2905)&amp;"."&amp;IF(F2905="",B2905,F2905))</f>
        <v/>
      </c>
      <c r="I2905" s="7" t="str">
        <f aca="false">IF(A2905="","",IFERROR(INDEX('Campos Growths'!$F:$F,MATCH(H2905,'Campos Growths'!$A:$A,0)),""))</f>
        <v/>
      </c>
      <c r="J2905" s="7" t="str">
        <f aca="false">IF(A2905="","",IFERROR(VLOOKUP(IF(ISNUMBER(SEARCH("(",C2905)),LEFT(C2905,SEARCH("(",C2905)-1),C2905),Tipos!$A:$B,2,FALSE()),"outro"))</f>
        <v/>
      </c>
      <c r="K2905" s="7" t="str">
        <f aca="false">IF(I2905="","",IFERROR(INDEX('Campos Growths'!$L:$L,MATCH(H2905,'Campos Growths'!$A:$A,0)),""))</f>
        <v/>
      </c>
      <c r="L2905" s="7" t="str">
        <f aca="false">IF(A2905="","",IF(G2905="não","Sem tabela no Growths",IF(I2905="","Sem campo no Growths",IF(J2905=K2905,"Importa direto","Ajustar tipo"))))</f>
        <v/>
      </c>
      <c r="M2905" s="9"/>
    </row>
    <row r="2906" customFormat="false" ht="15" hidden="false" customHeight="false" outlineLevel="0" collapsed="false">
      <c r="A2906" s="7" t="str">
        <f aca="false">IF('Outro banco'!A2906="","",IF(LEFT('Outro banco'!A2906,1)="(","",'Outro banco'!A2906))</f>
        <v/>
      </c>
      <c r="B2906" s="7" t="str">
        <f aca="false">IF(A2906="","",'Outro banco'!B2906)</f>
        <v/>
      </c>
      <c r="C2906" s="7" t="str">
        <f aca="false">IF(A2906="","",'Outro banco'!C2906)</f>
        <v/>
      </c>
      <c r="D2906" s="7" t="str">
        <f aca="false">IF(A2906="","",'Outro banco'!D2906)</f>
        <v/>
      </c>
      <c r="E2906" s="9"/>
      <c r="F2906" s="9"/>
      <c r="G2906" s="7" t="str">
        <f aca="false">IF(A2906="","",IF(COUNTIF(Tabelas!$A:$A,IF(E2906="",A2906,E2906))&gt;0,"sim","não"))</f>
        <v/>
      </c>
      <c r="H2906" s="7" t="str">
        <f aca="false">IF(A2906="","",IF(E2906="",A2906,E2906)&amp;"."&amp;IF(F2906="",B2906,F2906))</f>
        <v/>
      </c>
      <c r="I2906" s="7" t="str">
        <f aca="false">IF(A2906="","",IFERROR(INDEX('Campos Growths'!$F:$F,MATCH(H2906,'Campos Growths'!$A:$A,0)),""))</f>
        <v/>
      </c>
      <c r="J2906" s="7" t="str">
        <f aca="false">IF(A2906="","",IFERROR(VLOOKUP(IF(ISNUMBER(SEARCH("(",C2906)),LEFT(C2906,SEARCH("(",C2906)-1),C2906),Tipos!$A:$B,2,FALSE()),"outro"))</f>
        <v/>
      </c>
      <c r="K2906" s="7" t="str">
        <f aca="false">IF(I2906="","",IFERROR(INDEX('Campos Growths'!$L:$L,MATCH(H2906,'Campos Growths'!$A:$A,0)),""))</f>
        <v/>
      </c>
      <c r="L2906" s="7" t="str">
        <f aca="false">IF(A2906="","",IF(G2906="não","Sem tabela no Growths",IF(I2906="","Sem campo no Growths",IF(J2906=K2906,"Importa direto","Ajustar tipo"))))</f>
        <v/>
      </c>
      <c r="M2906" s="9"/>
    </row>
    <row r="2907" customFormat="false" ht="15" hidden="false" customHeight="false" outlineLevel="0" collapsed="false">
      <c r="A2907" s="7" t="str">
        <f aca="false">IF('Outro banco'!A2907="","",IF(LEFT('Outro banco'!A2907,1)="(","",'Outro banco'!A2907))</f>
        <v/>
      </c>
      <c r="B2907" s="7" t="str">
        <f aca="false">IF(A2907="","",'Outro banco'!B2907)</f>
        <v/>
      </c>
      <c r="C2907" s="7" t="str">
        <f aca="false">IF(A2907="","",'Outro banco'!C2907)</f>
        <v/>
      </c>
      <c r="D2907" s="7" t="str">
        <f aca="false">IF(A2907="","",'Outro banco'!D2907)</f>
        <v/>
      </c>
      <c r="E2907" s="9"/>
      <c r="F2907" s="9"/>
      <c r="G2907" s="7" t="str">
        <f aca="false">IF(A2907="","",IF(COUNTIF(Tabelas!$A:$A,IF(E2907="",A2907,E2907))&gt;0,"sim","não"))</f>
        <v/>
      </c>
      <c r="H2907" s="7" t="str">
        <f aca="false">IF(A2907="","",IF(E2907="",A2907,E2907)&amp;"."&amp;IF(F2907="",B2907,F2907))</f>
        <v/>
      </c>
      <c r="I2907" s="7" t="str">
        <f aca="false">IF(A2907="","",IFERROR(INDEX('Campos Growths'!$F:$F,MATCH(H2907,'Campos Growths'!$A:$A,0)),""))</f>
        <v/>
      </c>
      <c r="J2907" s="7" t="str">
        <f aca="false">IF(A2907="","",IFERROR(VLOOKUP(IF(ISNUMBER(SEARCH("(",C2907)),LEFT(C2907,SEARCH("(",C2907)-1),C2907),Tipos!$A:$B,2,FALSE()),"outro"))</f>
        <v/>
      </c>
      <c r="K2907" s="7" t="str">
        <f aca="false">IF(I2907="","",IFERROR(INDEX('Campos Growths'!$L:$L,MATCH(H2907,'Campos Growths'!$A:$A,0)),""))</f>
        <v/>
      </c>
      <c r="L2907" s="7" t="str">
        <f aca="false">IF(A2907="","",IF(G2907="não","Sem tabela no Growths",IF(I2907="","Sem campo no Growths",IF(J2907=K2907,"Importa direto","Ajustar tipo"))))</f>
        <v/>
      </c>
      <c r="M2907" s="9"/>
    </row>
    <row r="2908" customFormat="false" ht="15" hidden="false" customHeight="false" outlineLevel="0" collapsed="false">
      <c r="A2908" s="7" t="str">
        <f aca="false">IF('Outro banco'!A2908="","",IF(LEFT('Outro banco'!A2908,1)="(","",'Outro banco'!A2908))</f>
        <v/>
      </c>
      <c r="B2908" s="7" t="str">
        <f aca="false">IF(A2908="","",'Outro banco'!B2908)</f>
        <v/>
      </c>
      <c r="C2908" s="7" t="str">
        <f aca="false">IF(A2908="","",'Outro banco'!C2908)</f>
        <v/>
      </c>
      <c r="D2908" s="7" t="str">
        <f aca="false">IF(A2908="","",'Outro banco'!D2908)</f>
        <v/>
      </c>
      <c r="E2908" s="9"/>
      <c r="F2908" s="9"/>
      <c r="G2908" s="7" t="str">
        <f aca="false">IF(A2908="","",IF(COUNTIF(Tabelas!$A:$A,IF(E2908="",A2908,E2908))&gt;0,"sim","não"))</f>
        <v/>
      </c>
      <c r="H2908" s="7" t="str">
        <f aca="false">IF(A2908="","",IF(E2908="",A2908,E2908)&amp;"."&amp;IF(F2908="",B2908,F2908))</f>
        <v/>
      </c>
      <c r="I2908" s="7" t="str">
        <f aca="false">IF(A2908="","",IFERROR(INDEX('Campos Growths'!$F:$F,MATCH(H2908,'Campos Growths'!$A:$A,0)),""))</f>
        <v/>
      </c>
      <c r="J2908" s="7" t="str">
        <f aca="false">IF(A2908="","",IFERROR(VLOOKUP(IF(ISNUMBER(SEARCH("(",C2908)),LEFT(C2908,SEARCH("(",C2908)-1),C2908),Tipos!$A:$B,2,FALSE()),"outro"))</f>
        <v/>
      </c>
      <c r="K2908" s="7" t="str">
        <f aca="false">IF(I2908="","",IFERROR(INDEX('Campos Growths'!$L:$L,MATCH(H2908,'Campos Growths'!$A:$A,0)),""))</f>
        <v/>
      </c>
      <c r="L2908" s="7" t="str">
        <f aca="false">IF(A2908="","",IF(G2908="não","Sem tabela no Growths",IF(I2908="","Sem campo no Growths",IF(J2908=K2908,"Importa direto","Ajustar tipo"))))</f>
        <v/>
      </c>
      <c r="M2908" s="9"/>
    </row>
    <row r="2909" customFormat="false" ht="15" hidden="false" customHeight="false" outlineLevel="0" collapsed="false">
      <c r="A2909" s="7" t="str">
        <f aca="false">IF('Outro banco'!A2909="","",IF(LEFT('Outro banco'!A2909,1)="(","",'Outro banco'!A2909))</f>
        <v/>
      </c>
      <c r="B2909" s="7" t="str">
        <f aca="false">IF(A2909="","",'Outro banco'!B2909)</f>
        <v/>
      </c>
      <c r="C2909" s="7" t="str">
        <f aca="false">IF(A2909="","",'Outro banco'!C2909)</f>
        <v/>
      </c>
      <c r="D2909" s="7" t="str">
        <f aca="false">IF(A2909="","",'Outro banco'!D2909)</f>
        <v/>
      </c>
      <c r="E2909" s="9"/>
      <c r="F2909" s="9"/>
      <c r="G2909" s="7" t="str">
        <f aca="false">IF(A2909="","",IF(COUNTIF(Tabelas!$A:$A,IF(E2909="",A2909,E2909))&gt;0,"sim","não"))</f>
        <v/>
      </c>
      <c r="H2909" s="7" t="str">
        <f aca="false">IF(A2909="","",IF(E2909="",A2909,E2909)&amp;"."&amp;IF(F2909="",B2909,F2909))</f>
        <v/>
      </c>
      <c r="I2909" s="7" t="str">
        <f aca="false">IF(A2909="","",IFERROR(INDEX('Campos Growths'!$F:$F,MATCH(H2909,'Campos Growths'!$A:$A,0)),""))</f>
        <v/>
      </c>
      <c r="J2909" s="7" t="str">
        <f aca="false">IF(A2909="","",IFERROR(VLOOKUP(IF(ISNUMBER(SEARCH("(",C2909)),LEFT(C2909,SEARCH("(",C2909)-1),C2909),Tipos!$A:$B,2,FALSE()),"outro"))</f>
        <v/>
      </c>
      <c r="K2909" s="7" t="str">
        <f aca="false">IF(I2909="","",IFERROR(INDEX('Campos Growths'!$L:$L,MATCH(H2909,'Campos Growths'!$A:$A,0)),""))</f>
        <v/>
      </c>
      <c r="L2909" s="7" t="str">
        <f aca="false">IF(A2909="","",IF(G2909="não","Sem tabela no Growths",IF(I2909="","Sem campo no Growths",IF(J2909=K2909,"Importa direto","Ajustar tipo"))))</f>
        <v/>
      </c>
      <c r="M2909" s="9"/>
    </row>
    <row r="2910" customFormat="false" ht="15" hidden="false" customHeight="false" outlineLevel="0" collapsed="false">
      <c r="A2910" s="7" t="str">
        <f aca="false">IF('Outro banco'!A2910="","",IF(LEFT('Outro banco'!A2910,1)="(","",'Outro banco'!A2910))</f>
        <v/>
      </c>
      <c r="B2910" s="7" t="str">
        <f aca="false">IF(A2910="","",'Outro banco'!B2910)</f>
        <v/>
      </c>
      <c r="C2910" s="7" t="str">
        <f aca="false">IF(A2910="","",'Outro banco'!C2910)</f>
        <v/>
      </c>
      <c r="D2910" s="7" t="str">
        <f aca="false">IF(A2910="","",'Outro banco'!D2910)</f>
        <v/>
      </c>
      <c r="E2910" s="9"/>
      <c r="F2910" s="9"/>
      <c r="G2910" s="7" t="str">
        <f aca="false">IF(A2910="","",IF(COUNTIF(Tabelas!$A:$A,IF(E2910="",A2910,E2910))&gt;0,"sim","não"))</f>
        <v/>
      </c>
      <c r="H2910" s="7" t="str">
        <f aca="false">IF(A2910="","",IF(E2910="",A2910,E2910)&amp;"."&amp;IF(F2910="",B2910,F2910))</f>
        <v/>
      </c>
      <c r="I2910" s="7" t="str">
        <f aca="false">IF(A2910="","",IFERROR(INDEX('Campos Growths'!$F:$F,MATCH(H2910,'Campos Growths'!$A:$A,0)),""))</f>
        <v/>
      </c>
      <c r="J2910" s="7" t="str">
        <f aca="false">IF(A2910="","",IFERROR(VLOOKUP(IF(ISNUMBER(SEARCH("(",C2910)),LEFT(C2910,SEARCH("(",C2910)-1),C2910),Tipos!$A:$B,2,FALSE()),"outro"))</f>
        <v/>
      </c>
      <c r="K2910" s="7" t="str">
        <f aca="false">IF(I2910="","",IFERROR(INDEX('Campos Growths'!$L:$L,MATCH(H2910,'Campos Growths'!$A:$A,0)),""))</f>
        <v/>
      </c>
      <c r="L2910" s="7" t="str">
        <f aca="false">IF(A2910="","",IF(G2910="não","Sem tabela no Growths",IF(I2910="","Sem campo no Growths",IF(J2910=K2910,"Importa direto","Ajustar tipo"))))</f>
        <v/>
      </c>
      <c r="M2910" s="9"/>
    </row>
    <row r="2911" customFormat="false" ht="15" hidden="false" customHeight="false" outlineLevel="0" collapsed="false">
      <c r="A2911" s="7" t="str">
        <f aca="false">IF('Outro banco'!A2911="","",IF(LEFT('Outro banco'!A2911,1)="(","",'Outro banco'!A2911))</f>
        <v/>
      </c>
      <c r="B2911" s="7" t="str">
        <f aca="false">IF(A2911="","",'Outro banco'!B2911)</f>
        <v/>
      </c>
      <c r="C2911" s="7" t="str">
        <f aca="false">IF(A2911="","",'Outro banco'!C2911)</f>
        <v/>
      </c>
      <c r="D2911" s="7" t="str">
        <f aca="false">IF(A2911="","",'Outro banco'!D2911)</f>
        <v/>
      </c>
      <c r="E2911" s="9"/>
      <c r="F2911" s="9"/>
      <c r="G2911" s="7" t="str">
        <f aca="false">IF(A2911="","",IF(COUNTIF(Tabelas!$A:$A,IF(E2911="",A2911,E2911))&gt;0,"sim","não"))</f>
        <v/>
      </c>
      <c r="H2911" s="7" t="str">
        <f aca="false">IF(A2911="","",IF(E2911="",A2911,E2911)&amp;"."&amp;IF(F2911="",B2911,F2911))</f>
        <v/>
      </c>
      <c r="I2911" s="7" t="str">
        <f aca="false">IF(A2911="","",IFERROR(INDEX('Campos Growths'!$F:$F,MATCH(H2911,'Campos Growths'!$A:$A,0)),""))</f>
        <v/>
      </c>
      <c r="J2911" s="7" t="str">
        <f aca="false">IF(A2911="","",IFERROR(VLOOKUP(IF(ISNUMBER(SEARCH("(",C2911)),LEFT(C2911,SEARCH("(",C2911)-1),C2911),Tipos!$A:$B,2,FALSE()),"outro"))</f>
        <v/>
      </c>
      <c r="K2911" s="7" t="str">
        <f aca="false">IF(I2911="","",IFERROR(INDEX('Campos Growths'!$L:$L,MATCH(H2911,'Campos Growths'!$A:$A,0)),""))</f>
        <v/>
      </c>
      <c r="L2911" s="7" t="str">
        <f aca="false">IF(A2911="","",IF(G2911="não","Sem tabela no Growths",IF(I2911="","Sem campo no Growths",IF(J2911=K2911,"Importa direto","Ajustar tipo"))))</f>
        <v/>
      </c>
      <c r="M2911" s="9"/>
    </row>
    <row r="2912" customFormat="false" ht="15" hidden="false" customHeight="false" outlineLevel="0" collapsed="false">
      <c r="A2912" s="7" t="str">
        <f aca="false">IF('Outro banco'!A2912="","",IF(LEFT('Outro banco'!A2912,1)="(","",'Outro banco'!A2912))</f>
        <v/>
      </c>
      <c r="B2912" s="7" t="str">
        <f aca="false">IF(A2912="","",'Outro banco'!B2912)</f>
        <v/>
      </c>
      <c r="C2912" s="7" t="str">
        <f aca="false">IF(A2912="","",'Outro banco'!C2912)</f>
        <v/>
      </c>
      <c r="D2912" s="7" t="str">
        <f aca="false">IF(A2912="","",'Outro banco'!D2912)</f>
        <v/>
      </c>
      <c r="E2912" s="9"/>
      <c r="F2912" s="9"/>
      <c r="G2912" s="7" t="str">
        <f aca="false">IF(A2912="","",IF(COUNTIF(Tabelas!$A:$A,IF(E2912="",A2912,E2912))&gt;0,"sim","não"))</f>
        <v/>
      </c>
      <c r="H2912" s="7" t="str">
        <f aca="false">IF(A2912="","",IF(E2912="",A2912,E2912)&amp;"."&amp;IF(F2912="",B2912,F2912))</f>
        <v/>
      </c>
      <c r="I2912" s="7" t="str">
        <f aca="false">IF(A2912="","",IFERROR(INDEX('Campos Growths'!$F:$F,MATCH(H2912,'Campos Growths'!$A:$A,0)),""))</f>
        <v/>
      </c>
      <c r="J2912" s="7" t="str">
        <f aca="false">IF(A2912="","",IFERROR(VLOOKUP(IF(ISNUMBER(SEARCH("(",C2912)),LEFT(C2912,SEARCH("(",C2912)-1),C2912),Tipos!$A:$B,2,FALSE()),"outro"))</f>
        <v/>
      </c>
      <c r="K2912" s="7" t="str">
        <f aca="false">IF(I2912="","",IFERROR(INDEX('Campos Growths'!$L:$L,MATCH(H2912,'Campos Growths'!$A:$A,0)),""))</f>
        <v/>
      </c>
      <c r="L2912" s="7" t="str">
        <f aca="false">IF(A2912="","",IF(G2912="não","Sem tabela no Growths",IF(I2912="","Sem campo no Growths",IF(J2912=K2912,"Importa direto","Ajustar tipo"))))</f>
        <v/>
      </c>
      <c r="M2912" s="9"/>
    </row>
    <row r="2913" customFormat="false" ht="15" hidden="false" customHeight="false" outlineLevel="0" collapsed="false">
      <c r="A2913" s="7" t="str">
        <f aca="false">IF('Outro banco'!A2913="","",IF(LEFT('Outro banco'!A2913,1)="(","",'Outro banco'!A2913))</f>
        <v/>
      </c>
      <c r="B2913" s="7" t="str">
        <f aca="false">IF(A2913="","",'Outro banco'!B2913)</f>
        <v/>
      </c>
      <c r="C2913" s="7" t="str">
        <f aca="false">IF(A2913="","",'Outro banco'!C2913)</f>
        <v/>
      </c>
      <c r="D2913" s="7" t="str">
        <f aca="false">IF(A2913="","",'Outro banco'!D2913)</f>
        <v/>
      </c>
      <c r="E2913" s="9"/>
      <c r="F2913" s="9"/>
      <c r="G2913" s="7" t="str">
        <f aca="false">IF(A2913="","",IF(COUNTIF(Tabelas!$A:$A,IF(E2913="",A2913,E2913))&gt;0,"sim","não"))</f>
        <v/>
      </c>
      <c r="H2913" s="7" t="str">
        <f aca="false">IF(A2913="","",IF(E2913="",A2913,E2913)&amp;"."&amp;IF(F2913="",B2913,F2913))</f>
        <v/>
      </c>
      <c r="I2913" s="7" t="str">
        <f aca="false">IF(A2913="","",IFERROR(INDEX('Campos Growths'!$F:$F,MATCH(H2913,'Campos Growths'!$A:$A,0)),""))</f>
        <v/>
      </c>
      <c r="J2913" s="7" t="str">
        <f aca="false">IF(A2913="","",IFERROR(VLOOKUP(IF(ISNUMBER(SEARCH("(",C2913)),LEFT(C2913,SEARCH("(",C2913)-1),C2913),Tipos!$A:$B,2,FALSE()),"outro"))</f>
        <v/>
      </c>
      <c r="K2913" s="7" t="str">
        <f aca="false">IF(I2913="","",IFERROR(INDEX('Campos Growths'!$L:$L,MATCH(H2913,'Campos Growths'!$A:$A,0)),""))</f>
        <v/>
      </c>
      <c r="L2913" s="7" t="str">
        <f aca="false">IF(A2913="","",IF(G2913="não","Sem tabela no Growths",IF(I2913="","Sem campo no Growths",IF(J2913=K2913,"Importa direto","Ajustar tipo"))))</f>
        <v/>
      </c>
      <c r="M2913" s="9"/>
    </row>
    <row r="2914" customFormat="false" ht="15" hidden="false" customHeight="false" outlineLevel="0" collapsed="false">
      <c r="A2914" s="7" t="str">
        <f aca="false">IF('Outro banco'!A2914="","",IF(LEFT('Outro banco'!A2914,1)="(","",'Outro banco'!A2914))</f>
        <v/>
      </c>
      <c r="B2914" s="7" t="str">
        <f aca="false">IF(A2914="","",'Outro banco'!B2914)</f>
        <v/>
      </c>
      <c r="C2914" s="7" t="str">
        <f aca="false">IF(A2914="","",'Outro banco'!C2914)</f>
        <v/>
      </c>
      <c r="D2914" s="7" t="str">
        <f aca="false">IF(A2914="","",'Outro banco'!D2914)</f>
        <v/>
      </c>
      <c r="E2914" s="9"/>
      <c r="F2914" s="9"/>
      <c r="G2914" s="7" t="str">
        <f aca="false">IF(A2914="","",IF(COUNTIF(Tabelas!$A:$A,IF(E2914="",A2914,E2914))&gt;0,"sim","não"))</f>
        <v/>
      </c>
      <c r="H2914" s="7" t="str">
        <f aca="false">IF(A2914="","",IF(E2914="",A2914,E2914)&amp;"."&amp;IF(F2914="",B2914,F2914))</f>
        <v/>
      </c>
      <c r="I2914" s="7" t="str">
        <f aca="false">IF(A2914="","",IFERROR(INDEX('Campos Growths'!$F:$F,MATCH(H2914,'Campos Growths'!$A:$A,0)),""))</f>
        <v/>
      </c>
      <c r="J2914" s="7" t="str">
        <f aca="false">IF(A2914="","",IFERROR(VLOOKUP(IF(ISNUMBER(SEARCH("(",C2914)),LEFT(C2914,SEARCH("(",C2914)-1),C2914),Tipos!$A:$B,2,FALSE()),"outro"))</f>
        <v/>
      </c>
      <c r="K2914" s="7" t="str">
        <f aca="false">IF(I2914="","",IFERROR(INDEX('Campos Growths'!$L:$L,MATCH(H2914,'Campos Growths'!$A:$A,0)),""))</f>
        <v/>
      </c>
      <c r="L2914" s="7" t="str">
        <f aca="false">IF(A2914="","",IF(G2914="não","Sem tabela no Growths",IF(I2914="","Sem campo no Growths",IF(J2914=K2914,"Importa direto","Ajustar tipo"))))</f>
        <v/>
      </c>
      <c r="M2914" s="9"/>
    </row>
    <row r="2915" customFormat="false" ht="15" hidden="false" customHeight="false" outlineLevel="0" collapsed="false">
      <c r="A2915" s="7" t="str">
        <f aca="false">IF('Outro banco'!A2915="","",IF(LEFT('Outro banco'!A2915,1)="(","",'Outro banco'!A2915))</f>
        <v/>
      </c>
      <c r="B2915" s="7" t="str">
        <f aca="false">IF(A2915="","",'Outro banco'!B2915)</f>
        <v/>
      </c>
      <c r="C2915" s="7" t="str">
        <f aca="false">IF(A2915="","",'Outro banco'!C2915)</f>
        <v/>
      </c>
      <c r="D2915" s="7" t="str">
        <f aca="false">IF(A2915="","",'Outro banco'!D2915)</f>
        <v/>
      </c>
      <c r="E2915" s="9"/>
      <c r="F2915" s="9"/>
      <c r="G2915" s="7" t="str">
        <f aca="false">IF(A2915="","",IF(COUNTIF(Tabelas!$A:$A,IF(E2915="",A2915,E2915))&gt;0,"sim","não"))</f>
        <v/>
      </c>
      <c r="H2915" s="7" t="str">
        <f aca="false">IF(A2915="","",IF(E2915="",A2915,E2915)&amp;"."&amp;IF(F2915="",B2915,F2915))</f>
        <v/>
      </c>
      <c r="I2915" s="7" t="str">
        <f aca="false">IF(A2915="","",IFERROR(INDEX('Campos Growths'!$F:$F,MATCH(H2915,'Campos Growths'!$A:$A,0)),""))</f>
        <v/>
      </c>
      <c r="J2915" s="7" t="str">
        <f aca="false">IF(A2915="","",IFERROR(VLOOKUP(IF(ISNUMBER(SEARCH("(",C2915)),LEFT(C2915,SEARCH("(",C2915)-1),C2915),Tipos!$A:$B,2,FALSE()),"outro"))</f>
        <v/>
      </c>
      <c r="K2915" s="7" t="str">
        <f aca="false">IF(I2915="","",IFERROR(INDEX('Campos Growths'!$L:$L,MATCH(H2915,'Campos Growths'!$A:$A,0)),""))</f>
        <v/>
      </c>
      <c r="L2915" s="7" t="str">
        <f aca="false">IF(A2915="","",IF(G2915="não","Sem tabela no Growths",IF(I2915="","Sem campo no Growths",IF(J2915=K2915,"Importa direto","Ajustar tipo"))))</f>
        <v/>
      </c>
      <c r="M2915" s="9"/>
    </row>
    <row r="2916" customFormat="false" ht="15" hidden="false" customHeight="false" outlineLevel="0" collapsed="false">
      <c r="A2916" s="7" t="str">
        <f aca="false">IF('Outro banco'!A2916="","",IF(LEFT('Outro banco'!A2916,1)="(","",'Outro banco'!A2916))</f>
        <v/>
      </c>
      <c r="B2916" s="7" t="str">
        <f aca="false">IF(A2916="","",'Outro banco'!B2916)</f>
        <v/>
      </c>
      <c r="C2916" s="7" t="str">
        <f aca="false">IF(A2916="","",'Outro banco'!C2916)</f>
        <v/>
      </c>
      <c r="D2916" s="7" t="str">
        <f aca="false">IF(A2916="","",'Outro banco'!D2916)</f>
        <v/>
      </c>
      <c r="E2916" s="9"/>
      <c r="F2916" s="9"/>
      <c r="G2916" s="7" t="str">
        <f aca="false">IF(A2916="","",IF(COUNTIF(Tabelas!$A:$A,IF(E2916="",A2916,E2916))&gt;0,"sim","não"))</f>
        <v/>
      </c>
      <c r="H2916" s="7" t="str">
        <f aca="false">IF(A2916="","",IF(E2916="",A2916,E2916)&amp;"."&amp;IF(F2916="",B2916,F2916))</f>
        <v/>
      </c>
      <c r="I2916" s="7" t="str">
        <f aca="false">IF(A2916="","",IFERROR(INDEX('Campos Growths'!$F:$F,MATCH(H2916,'Campos Growths'!$A:$A,0)),""))</f>
        <v/>
      </c>
      <c r="J2916" s="7" t="str">
        <f aca="false">IF(A2916="","",IFERROR(VLOOKUP(IF(ISNUMBER(SEARCH("(",C2916)),LEFT(C2916,SEARCH("(",C2916)-1),C2916),Tipos!$A:$B,2,FALSE()),"outro"))</f>
        <v/>
      </c>
      <c r="K2916" s="7" t="str">
        <f aca="false">IF(I2916="","",IFERROR(INDEX('Campos Growths'!$L:$L,MATCH(H2916,'Campos Growths'!$A:$A,0)),""))</f>
        <v/>
      </c>
      <c r="L2916" s="7" t="str">
        <f aca="false">IF(A2916="","",IF(G2916="não","Sem tabela no Growths",IF(I2916="","Sem campo no Growths",IF(J2916=K2916,"Importa direto","Ajustar tipo"))))</f>
        <v/>
      </c>
      <c r="M2916" s="9"/>
    </row>
    <row r="2917" customFormat="false" ht="15" hidden="false" customHeight="false" outlineLevel="0" collapsed="false">
      <c r="A2917" s="7" t="str">
        <f aca="false">IF('Outro banco'!A2917="","",IF(LEFT('Outro banco'!A2917,1)="(","",'Outro banco'!A2917))</f>
        <v/>
      </c>
      <c r="B2917" s="7" t="str">
        <f aca="false">IF(A2917="","",'Outro banco'!B2917)</f>
        <v/>
      </c>
      <c r="C2917" s="7" t="str">
        <f aca="false">IF(A2917="","",'Outro banco'!C2917)</f>
        <v/>
      </c>
      <c r="D2917" s="7" t="str">
        <f aca="false">IF(A2917="","",'Outro banco'!D2917)</f>
        <v/>
      </c>
      <c r="E2917" s="9"/>
      <c r="F2917" s="9"/>
      <c r="G2917" s="7" t="str">
        <f aca="false">IF(A2917="","",IF(COUNTIF(Tabelas!$A:$A,IF(E2917="",A2917,E2917))&gt;0,"sim","não"))</f>
        <v/>
      </c>
      <c r="H2917" s="7" t="str">
        <f aca="false">IF(A2917="","",IF(E2917="",A2917,E2917)&amp;"."&amp;IF(F2917="",B2917,F2917))</f>
        <v/>
      </c>
      <c r="I2917" s="7" t="str">
        <f aca="false">IF(A2917="","",IFERROR(INDEX('Campos Growths'!$F:$F,MATCH(H2917,'Campos Growths'!$A:$A,0)),""))</f>
        <v/>
      </c>
      <c r="J2917" s="7" t="str">
        <f aca="false">IF(A2917="","",IFERROR(VLOOKUP(IF(ISNUMBER(SEARCH("(",C2917)),LEFT(C2917,SEARCH("(",C2917)-1),C2917),Tipos!$A:$B,2,FALSE()),"outro"))</f>
        <v/>
      </c>
      <c r="K2917" s="7" t="str">
        <f aca="false">IF(I2917="","",IFERROR(INDEX('Campos Growths'!$L:$L,MATCH(H2917,'Campos Growths'!$A:$A,0)),""))</f>
        <v/>
      </c>
      <c r="L2917" s="7" t="str">
        <f aca="false">IF(A2917="","",IF(G2917="não","Sem tabela no Growths",IF(I2917="","Sem campo no Growths",IF(J2917=K2917,"Importa direto","Ajustar tipo"))))</f>
        <v/>
      </c>
      <c r="M2917" s="9"/>
    </row>
    <row r="2918" customFormat="false" ht="15" hidden="false" customHeight="false" outlineLevel="0" collapsed="false">
      <c r="A2918" s="7" t="str">
        <f aca="false">IF('Outro banco'!A2918="","",IF(LEFT('Outro banco'!A2918,1)="(","",'Outro banco'!A2918))</f>
        <v/>
      </c>
      <c r="B2918" s="7" t="str">
        <f aca="false">IF(A2918="","",'Outro banco'!B2918)</f>
        <v/>
      </c>
      <c r="C2918" s="7" t="str">
        <f aca="false">IF(A2918="","",'Outro banco'!C2918)</f>
        <v/>
      </c>
      <c r="D2918" s="7" t="str">
        <f aca="false">IF(A2918="","",'Outro banco'!D2918)</f>
        <v/>
      </c>
      <c r="E2918" s="9"/>
      <c r="F2918" s="9"/>
      <c r="G2918" s="7" t="str">
        <f aca="false">IF(A2918="","",IF(COUNTIF(Tabelas!$A:$A,IF(E2918="",A2918,E2918))&gt;0,"sim","não"))</f>
        <v/>
      </c>
      <c r="H2918" s="7" t="str">
        <f aca="false">IF(A2918="","",IF(E2918="",A2918,E2918)&amp;"."&amp;IF(F2918="",B2918,F2918))</f>
        <v/>
      </c>
      <c r="I2918" s="7" t="str">
        <f aca="false">IF(A2918="","",IFERROR(INDEX('Campos Growths'!$F:$F,MATCH(H2918,'Campos Growths'!$A:$A,0)),""))</f>
        <v/>
      </c>
      <c r="J2918" s="7" t="str">
        <f aca="false">IF(A2918="","",IFERROR(VLOOKUP(IF(ISNUMBER(SEARCH("(",C2918)),LEFT(C2918,SEARCH("(",C2918)-1),C2918),Tipos!$A:$B,2,FALSE()),"outro"))</f>
        <v/>
      </c>
      <c r="K2918" s="7" t="str">
        <f aca="false">IF(I2918="","",IFERROR(INDEX('Campos Growths'!$L:$L,MATCH(H2918,'Campos Growths'!$A:$A,0)),""))</f>
        <v/>
      </c>
      <c r="L2918" s="7" t="str">
        <f aca="false">IF(A2918="","",IF(G2918="não","Sem tabela no Growths",IF(I2918="","Sem campo no Growths",IF(J2918=K2918,"Importa direto","Ajustar tipo"))))</f>
        <v/>
      </c>
      <c r="M2918" s="9"/>
    </row>
    <row r="2919" customFormat="false" ht="15" hidden="false" customHeight="false" outlineLevel="0" collapsed="false">
      <c r="A2919" s="7" t="str">
        <f aca="false">IF('Outro banco'!A2919="","",IF(LEFT('Outro banco'!A2919,1)="(","",'Outro banco'!A2919))</f>
        <v/>
      </c>
      <c r="B2919" s="7" t="str">
        <f aca="false">IF(A2919="","",'Outro banco'!B2919)</f>
        <v/>
      </c>
      <c r="C2919" s="7" t="str">
        <f aca="false">IF(A2919="","",'Outro banco'!C2919)</f>
        <v/>
      </c>
      <c r="D2919" s="7" t="str">
        <f aca="false">IF(A2919="","",'Outro banco'!D2919)</f>
        <v/>
      </c>
      <c r="E2919" s="9"/>
      <c r="F2919" s="9"/>
      <c r="G2919" s="7" t="str">
        <f aca="false">IF(A2919="","",IF(COUNTIF(Tabelas!$A:$A,IF(E2919="",A2919,E2919))&gt;0,"sim","não"))</f>
        <v/>
      </c>
      <c r="H2919" s="7" t="str">
        <f aca="false">IF(A2919="","",IF(E2919="",A2919,E2919)&amp;"."&amp;IF(F2919="",B2919,F2919))</f>
        <v/>
      </c>
      <c r="I2919" s="7" t="str">
        <f aca="false">IF(A2919="","",IFERROR(INDEX('Campos Growths'!$F:$F,MATCH(H2919,'Campos Growths'!$A:$A,0)),""))</f>
        <v/>
      </c>
      <c r="J2919" s="7" t="str">
        <f aca="false">IF(A2919="","",IFERROR(VLOOKUP(IF(ISNUMBER(SEARCH("(",C2919)),LEFT(C2919,SEARCH("(",C2919)-1),C2919),Tipos!$A:$B,2,FALSE()),"outro"))</f>
        <v/>
      </c>
      <c r="K2919" s="7" t="str">
        <f aca="false">IF(I2919="","",IFERROR(INDEX('Campos Growths'!$L:$L,MATCH(H2919,'Campos Growths'!$A:$A,0)),""))</f>
        <v/>
      </c>
      <c r="L2919" s="7" t="str">
        <f aca="false">IF(A2919="","",IF(G2919="não","Sem tabela no Growths",IF(I2919="","Sem campo no Growths",IF(J2919=K2919,"Importa direto","Ajustar tipo"))))</f>
        <v/>
      </c>
      <c r="M2919" s="9"/>
    </row>
    <row r="2920" customFormat="false" ht="15" hidden="false" customHeight="false" outlineLevel="0" collapsed="false">
      <c r="A2920" s="7" t="str">
        <f aca="false">IF('Outro banco'!A2920="","",IF(LEFT('Outro banco'!A2920,1)="(","",'Outro banco'!A2920))</f>
        <v/>
      </c>
      <c r="B2920" s="7" t="str">
        <f aca="false">IF(A2920="","",'Outro banco'!B2920)</f>
        <v/>
      </c>
      <c r="C2920" s="7" t="str">
        <f aca="false">IF(A2920="","",'Outro banco'!C2920)</f>
        <v/>
      </c>
      <c r="D2920" s="7" t="str">
        <f aca="false">IF(A2920="","",'Outro banco'!D2920)</f>
        <v/>
      </c>
      <c r="E2920" s="9"/>
      <c r="F2920" s="9"/>
      <c r="G2920" s="7" t="str">
        <f aca="false">IF(A2920="","",IF(COUNTIF(Tabelas!$A:$A,IF(E2920="",A2920,E2920))&gt;0,"sim","não"))</f>
        <v/>
      </c>
      <c r="H2920" s="7" t="str">
        <f aca="false">IF(A2920="","",IF(E2920="",A2920,E2920)&amp;"."&amp;IF(F2920="",B2920,F2920))</f>
        <v/>
      </c>
      <c r="I2920" s="7" t="str">
        <f aca="false">IF(A2920="","",IFERROR(INDEX('Campos Growths'!$F:$F,MATCH(H2920,'Campos Growths'!$A:$A,0)),""))</f>
        <v/>
      </c>
      <c r="J2920" s="7" t="str">
        <f aca="false">IF(A2920="","",IFERROR(VLOOKUP(IF(ISNUMBER(SEARCH("(",C2920)),LEFT(C2920,SEARCH("(",C2920)-1),C2920),Tipos!$A:$B,2,FALSE()),"outro"))</f>
        <v/>
      </c>
      <c r="K2920" s="7" t="str">
        <f aca="false">IF(I2920="","",IFERROR(INDEX('Campos Growths'!$L:$L,MATCH(H2920,'Campos Growths'!$A:$A,0)),""))</f>
        <v/>
      </c>
      <c r="L2920" s="7" t="str">
        <f aca="false">IF(A2920="","",IF(G2920="não","Sem tabela no Growths",IF(I2920="","Sem campo no Growths",IF(J2920=K2920,"Importa direto","Ajustar tipo"))))</f>
        <v/>
      </c>
      <c r="M2920" s="9"/>
    </row>
    <row r="2921" customFormat="false" ht="15" hidden="false" customHeight="false" outlineLevel="0" collapsed="false">
      <c r="A2921" s="7" t="str">
        <f aca="false">IF('Outro banco'!A2921="","",IF(LEFT('Outro banco'!A2921,1)="(","",'Outro banco'!A2921))</f>
        <v/>
      </c>
      <c r="B2921" s="7" t="str">
        <f aca="false">IF(A2921="","",'Outro banco'!B2921)</f>
        <v/>
      </c>
      <c r="C2921" s="7" t="str">
        <f aca="false">IF(A2921="","",'Outro banco'!C2921)</f>
        <v/>
      </c>
      <c r="D2921" s="7" t="str">
        <f aca="false">IF(A2921="","",'Outro banco'!D2921)</f>
        <v/>
      </c>
      <c r="E2921" s="9"/>
      <c r="F2921" s="9"/>
      <c r="G2921" s="7" t="str">
        <f aca="false">IF(A2921="","",IF(COUNTIF(Tabelas!$A:$A,IF(E2921="",A2921,E2921))&gt;0,"sim","não"))</f>
        <v/>
      </c>
      <c r="H2921" s="7" t="str">
        <f aca="false">IF(A2921="","",IF(E2921="",A2921,E2921)&amp;"."&amp;IF(F2921="",B2921,F2921))</f>
        <v/>
      </c>
      <c r="I2921" s="7" t="str">
        <f aca="false">IF(A2921="","",IFERROR(INDEX('Campos Growths'!$F:$F,MATCH(H2921,'Campos Growths'!$A:$A,0)),""))</f>
        <v/>
      </c>
      <c r="J2921" s="7" t="str">
        <f aca="false">IF(A2921="","",IFERROR(VLOOKUP(IF(ISNUMBER(SEARCH("(",C2921)),LEFT(C2921,SEARCH("(",C2921)-1),C2921),Tipos!$A:$B,2,FALSE()),"outro"))</f>
        <v/>
      </c>
      <c r="K2921" s="7" t="str">
        <f aca="false">IF(I2921="","",IFERROR(INDEX('Campos Growths'!$L:$L,MATCH(H2921,'Campos Growths'!$A:$A,0)),""))</f>
        <v/>
      </c>
      <c r="L2921" s="7" t="str">
        <f aca="false">IF(A2921="","",IF(G2921="não","Sem tabela no Growths",IF(I2921="","Sem campo no Growths",IF(J2921=K2921,"Importa direto","Ajustar tipo"))))</f>
        <v/>
      </c>
      <c r="M2921" s="9"/>
    </row>
    <row r="2922" customFormat="false" ht="15" hidden="false" customHeight="false" outlineLevel="0" collapsed="false">
      <c r="A2922" s="7" t="str">
        <f aca="false">IF('Outro banco'!A2922="","",IF(LEFT('Outro banco'!A2922,1)="(","",'Outro banco'!A2922))</f>
        <v/>
      </c>
      <c r="B2922" s="7" t="str">
        <f aca="false">IF(A2922="","",'Outro banco'!B2922)</f>
        <v/>
      </c>
      <c r="C2922" s="7" t="str">
        <f aca="false">IF(A2922="","",'Outro banco'!C2922)</f>
        <v/>
      </c>
      <c r="D2922" s="7" t="str">
        <f aca="false">IF(A2922="","",'Outro banco'!D2922)</f>
        <v/>
      </c>
      <c r="E2922" s="9"/>
      <c r="F2922" s="9"/>
      <c r="G2922" s="7" t="str">
        <f aca="false">IF(A2922="","",IF(COUNTIF(Tabelas!$A:$A,IF(E2922="",A2922,E2922))&gt;0,"sim","não"))</f>
        <v/>
      </c>
      <c r="H2922" s="7" t="str">
        <f aca="false">IF(A2922="","",IF(E2922="",A2922,E2922)&amp;"."&amp;IF(F2922="",B2922,F2922))</f>
        <v/>
      </c>
      <c r="I2922" s="7" t="str">
        <f aca="false">IF(A2922="","",IFERROR(INDEX('Campos Growths'!$F:$F,MATCH(H2922,'Campos Growths'!$A:$A,0)),""))</f>
        <v/>
      </c>
      <c r="J2922" s="7" t="str">
        <f aca="false">IF(A2922="","",IFERROR(VLOOKUP(IF(ISNUMBER(SEARCH("(",C2922)),LEFT(C2922,SEARCH("(",C2922)-1),C2922),Tipos!$A:$B,2,FALSE()),"outro"))</f>
        <v/>
      </c>
      <c r="K2922" s="7" t="str">
        <f aca="false">IF(I2922="","",IFERROR(INDEX('Campos Growths'!$L:$L,MATCH(H2922,'Campos Growths'!$A:$A,0)),""))</f>
        <v/>
      </c>
      <c r="L2922" s="7" t="str">
        <f aca="false">IF(A2922="","",IF(G2922="não","Sem tabela no Growths",IF(I2922="","Sem campo no Growths",IF(J2922=K2922,"Importa direto","Ajustar tipo"))))</f>
        <v/>
      </c>
      <c r="M2922" s="9"/>
    </row>
    <row r="2923" customFormat="false" ht="15" hidden="false" customHeight="false" outlineLevel="0" collapsed="false">
      <c r="A2923" s="7" t="str">
        <f aca="false">IF('Outro banco'!A2923="","",IF(LEFT('Outro banco'!A2923,1)="(","",'Outro banco'!A2923))</f>
        <v/>
      </c>
      <c r="B2923" s="7" t="str">
        <f aca="false">IF(A2923="","",'Outro banco'!B2923)</f>
        <v/>
      </c>
      <c r="C2923" s="7" t="str">
        <f aca="false">IF(A2923="","",'Outro banco'!C2923)</f>
        <v/>
      </c>
      <c r="D2923" s="7" t="str">
        <f aca="false">IF(A2923="","",'Outro banco'!D2923)</f>
        <v/>
      </c>
      <c r="E2923" s="9"/>
      <c r="F2923" s="9"/>
      <c r="G2923" s="7" t="str">
        <f aca="false">IF(A2923="","",IF(COUNTIF(Tabelas!$A:$A,IF(E2923="",A2923,E2923))&gt;0,"sim","não"))</f>
        <v/>
      </c>
      <c r="H2923" s="7" t="str">
        <f aca="false">IF(A2923="","",IF(E2923="",A2923,E2923)&amp;"."&amp;IF(F2923="",B2923,F2923))</f>
        <v/>
      </c>
      <c r="I2923" s="7" t="str">
        <f aca="false">IF(A2923="","",IFERROR(INDEX('Campos Growths'!$F:$F,MATCH(H2923,'Campos Growths'!$A:$A,0)),""))</f>
        <v/>
      </c>
      <c r="J2923" s="7" t="str">
        <f aca="false">IF(A2923="","",IFERROR(VLOOKUP(IF(ISNUMBER(SEARCH("(",C2923)),LEFT(C2923,SEARCH("(",C2923)-1),C2923),Tipos!$A:$B,2,FALSE()),"outro"))</f>
        <v/>
      </c>
      <c r="K2923" s="7" t="str">
        <f aca="false">IF(I2923="","",IFERROR(INDEX('Campos Growths'!$L:$L,MATCH(H2923,'Campos Growths'!$A:$A,0)),""))</f>
        <v/>
      </c>
      <c r="L2923" s="7" t="str">
        <f aca="false">IF(A2923="","",IF(G2923="não","Sem tabela no Growths",IF(I2923="","Sem campo no Growths",IF(J2923=K2923,"Importa direto","Ajustar tipo"))))</f>
        <v/>
      </c>
      <c r="M2923" s="9"/>
    </row>
    <row r="2924" customFormat="false" ht="15" hidden="false" customHeight="false" outlineLevel="0" collapsed="false">
      <c r="A2924" s="7" t="str">
        <f aca="false">IF('Outro banco'!A2924="","",IF(LEFT('Outro banco'!A2924,1)="(","",'Outro banco'!A2924))</f>
        <v/>
      </c>
      <c r="B2924" s="7" t="str">
        <f aca="false">IF(A2924="","",'Outro banco'!B2924)</f>
        <v/>
      </c>
      <c r="C2924" s="7" t="str">
        <f aca="false">IF(A2924="","",'Outro banco'!C2924)</f>
        <v/>
      </c>
      <c r="D2924" s="7" t="str">
        <f aca="false">IF(A2924="","",'Outro banco'!D2924)</f>
        <v/>
      </c>
      <c r="E2924" s="9"/>
      <c r="F2924" s="9"/>
      <c r="G2924" s="7" t="str">
        <f aca="false">IF(A2924="","",IF(COUNTIF(Tabelas!$A:$A,IF(E2924="",A2924,E2924))&gt;0,"sim","não"))</f>
        <v/>
      </c>
      <c r="H2924" s="7" t="str">
        <f aca="false">IF(A2924="","",IF(E2924="",A2924,E2924)&amp;"."&amp;IF(F2924="",B2924,F2924))</f>
        <v/>
      </c>
      <c r="I2924" s="7" t="str">
        <f aca="false">IF(A2924="","",IFERROR(INDEX('Campos Growths'!$F:$F,MATCH(H2924,'Campos Growths'!$A:$A,0)),""))</f>
        <v/>
      </c>
      <c r="J2924" s="7" t="str">
        <f aca="false">IF(A2924="","",IFERROR(VLOOKUP(IF(ISNUMBER(SEARCH("(",C2924)),LEFT(C2924,SEARCH("(",C2924)-1),C2924),Tipos!$A:$B,2,FALSE()),"outro"))</f>
        <v/>
      </c>
      <c r="K2924" s="7" t="str">
        <f aca="false">IF(I2924="","",IFERROR(INDEX('Campos Growths'!$L:$L,MATCH(H2924,'Campos Growths'!$A:$A,0)),""))</f>
        <v/>
      </c>
      <c r="L2924" s="7" t="str">
        <f aca="false">IF(A2924="","",IF(G2924="não","Sem tabela no Growths",IF(I2924="","Sem campo no Growths",IF(J2924=K2924,"Importa direto","Ajustar tipo"))))</f>
        <v/>
      </c>
      <c r="M2924" s="9"/>
    </row>
    <row r="2925" customFormat="false" ht="15" hidden="false" customHeight="false" outlineLevel="0" collapsed="false">
      <c r="A2925" s="7" t="str">
        <f aca="false">IF('Outro banco'!A2925="","",IF(LEFT('Outro banco'!A2925,1)="(","",'Outro banco'!A2925))</f>
        <v/>
      </c>
      <c r="B2925" s="7" t="str">
        <f aca="false">IF(A2925="","",'Outro banco'!B2925)</f>
        <v/>
      </c>
      <c r="C2925" s="7" t="str">
        <f aca="false">IF(A2925="","",'Outro banco'!C2925)</f>
        <v/>
      </c>
      <c r="D2925" s="7" t="str">
        <f aca="false">IF(A2925="","",'Outro banco'!D2925)</f>
        <v/>
      </c>
      <c r="E2925" s="9"/>
      <c r="F2925" s="9"/>
      <c r="G2925" s="7" t="str">
        <f aca="false">IF(A2925="","",IF(COUNTIF(Tabelas!$A:$A,IF(E2925="",A2925,E2925))&gt;0,"sim","não"))</f>
        <v/>
      </c>
      <c r="H2925" s="7" t="str">
        <f aca="false">IF(A2925="","",IF(E2925="",A2925,E2925)&amp;"."&amp;IF(F2925="",B2925,F2925))</f>
        <v/>
      </c>
      <c r="I2925" s="7" t="str">
        <f aca="false">IF(A2925="","",IFERROR(INDEX('Campos Growths'!$F:$F,MATCH(H2925,'Campos Growths'!$A:$A,0)),""))</f>
        <v/>
      </c>
      <c r="J2925" s="7" t="str">
        <f aca="false">IF(A2925="","",IFERROR(VLOOKUP(IF(ISNUMBER(SEARCH("(",C2925)),LEFT(C2925,SEARCH("(",C2925)-1),C2925),Tipos!$A:$B,2,FALSE()),"outro"))</f>
        <v/>
      </c>
      <c r="K2925" s="7" t="str">
        <f aca="false">IF(I2925="","",IFERROR(INDEX('Campos Growths'!$L:$L,MATCH(H2925,'Campos Growths'!$A:$A,0)),""))</f>
        <v/>
      </c>
      <c r="L2925" s="7" t="str">
        <f aca="false">IF(A2925="","",IF(G2925="não","Sem tabela no Growths",IF(I2925="","Sem campo no Growths",IF(J2925=K2925,"Importa direto","Ajustar tipo"))))</f>
        <v/>
      </c>
      <c r="M2925" s="9"/>
    </row>
    <row r="2926" customFormat="false" ht="15" hidden="false" customHeight="false" outlineLevel="0" collapsed="false">
      <c r="A2926" s="7" t="str">
        <f aca="false">IF('Outro banco'!A2926="","",IF(LEFT('Outro banco'!A2926,1)="(","",'Outro banco'!A2926))</f>
        <v/>
      </c>
      <c r="B2926" s="7" t="str">
        <f aca="false">IF(A2926="","",'Outro banco'!B2926)</f>
        <v/>
      </c>
      <c r="C2926" s="7" t="str">
        <f aca="false">IF(A2926="","",'Outro banco'!C2926)</f>
        <v/>
      </c>
      <c r="D2926" s="7" t="str">
        <f aca="false">IF(A2926="","",'Outro banco'!D2926)</f>
        <v/>
      </c>
      <c r="E2926" s="9"/>
      <c r="F2926" s="9"/>
      <c r="G2926" s="7" t="str">
        <f aca="false">IF(A2926="","",IF(COUNTIF(Tabelas!$A:$A,IF(E2926="",A2926,E2926))&gt;0,"sim","não"))</f>
        <v/>
      </c>
      <c r="H2926" s="7" t="str">
        <f aca="false">IF(A2926="","",IF(E2926="",A2926,E2926)&amp;"."&amp;IF(F2926="",B2926,F2926))</f>
        <v/>
      </c>
      <c r="I2926" s="7" t="str">
        <f aca="false">IF(A2926="","",IFERROR(INDEX('Campos Growths'!$F:$F,MATCH(H2926,'Campos Growths'!$A:$A,0)),""))</f>
        <v/>
      </c>
      <c r="J2926" s="7" t="str">
        <f aca="false">IF(A2926="","",IFERROR(VLOOKUP(IF(ISNUMBER(SEARCH("(",C2926)),LEFT(C2926,SEARCH("(",C2926)-1),C2926),Tipos!$A:$B,2,FALSE()),"outro"))</f>
        <v/>
      </c>
      <c r="K2926" s="7" t="str">
        <f aca="false">IF(I2926="","",IFERROR(INDEX('Campos Growths'!$L:$L,MATCH(H2926,'Campos Growths'!$A:$A,0)),""))</f>
        <v/>
      </c>
      <c r="L2926" s="7" t="str">
        <f aca="false">IF(A2926="","",IF(G2926="não","Sem tabela no Growths",IF(I2926="","Sem campo no Growths",IF(J2926=K2926,"Importa direto","Ajustar tipo"))))</f>
        <v/>
      </c>
      <c r="M2926" s="9"/>
    </row>
    <row r="2927" customFormat="false" ht="15" hidden="false" customHeight="false" outlineLevel="0" collapsed="false">
      <c r="A2927" s="7" t="str">
        <f aca="false">IF('Outro banco'!A2927="","",IF(LEFT('Outro banco'!A2927,1)="(","",'Outro banco'!A2927))</f>
        <v/>
      </c>
      <c r="B2927" s="7" t="str">
        <f aca="false">IF(A2927="","",'Outro banco'!B2927)</f>
        <v/>
      </c>
      <c r="C2927" s="7" t="str">
        <f aca="false">IF(A2927="","",'Outro banco'!C2927)</f>
        <v/>
      </c>
      <c r="D2927" s="7" t="str">
        <f aca="false">IF(A2927="","",'Outro banco'!D2927)</f>
        <v/>
      </c>
      <c r="E2927" s="9"/>
      <c r="F2927" s="9"/>
      <c r="G2927" s="7" t="str">
        <f aca="false">IF(A2927="","",IF(COUNTIF(Tabelas!$A:$A,IF(E2927="",A2927,E2927))&gt;0,"sim","não"))</f>
        <v/>
      </c>
      <c r="H2927" s="7" t="str">
        <f aca="false">IF(A2927="","",IF(E2927="",A2927,E2927)&amp;"."&amp;IF(F2927="",B2927,F2927))</f>
        <v/>
      </c>
      <c r="I2927" s="7" t="str">
        <f aca="false">IF(A2927="","",IFERROR(INDEX('Campos Growths'!$F:$F,MATCH(H2927,'Campos Growths'!$A:$A,0)),""))</f>
        <v/>
      </c>
      <c r="J2927" s="7" t="str">
        <f aca="false">IF(A2927="","",IFERROR(VLOOKUP(IF(ISNUMBER(SEARCH("(",C2927)),LEFT(C2927,SEARCH("(",C2927)-1),C2927),Tipos!$A:$B,2,FALSE()),"outro"))</f>
        <v/>
      </c>
      <c r="K2927" s="7" t="str">
        <f aca="false">IF(I2927="","",IFERROR(INDEX('Campos Growths'!$L:$L,MATCH(H2927,'Campos Growths'!$A:$A,0)),""))</f>
        <v/>
      </c>
      <c r="L2927" s="7" t="str">
        <f aca="false">IF(A2927="","",IF(G2927="não","Sem tabela no Growths",IF(I2927="","Sem campo no Growths",IF(J2927=K2927,"Importa direto","Ajustar tipo"))))</f>
        <v/>
      </c>
      <c r="M2927" s="9"/>
    </row>
    <row r="2928" customFormat="false" ht="15" hidden="false" customHeight="false" outlineLevel="0" collapsed="false">
      <c r="A2928" s="7" t="str">
        <f aca="false">IF('Outro banco'!A2928="","",IF(LEFT('Outro banco'!A2928,1)="(","",'Outro banco'!A2928))</f>
        <v/>
      </c>
      <c r="B2928" s="7" t="str">
        <f aca="false">IF(A2928="","",'Outro banco'!B2928)</f>
        <v/>
      </c>
      <c r="C2928" s="7" t="str">
        <f aca="false">IF(A2928="","",'Outro banco'!C2928)</f>
        <v/>
      </c>
      <c r="D2928" s="7" t="str">
        <f aca="false">IF(A2928="","",'Outro banco'!D2928)</f>
        <v/>
      </c>
      <c r="E2928" s="9"/>
      <c r="F2928" s="9"/>
      <c r="G2928" s="7" t="str">
        <f aca="false">IF(A2928="","",IF(COUNTIF(Tabelas!$A:$A,IF(E2928="",A2928,E2928))&gt;0,"sim","não"))</f>
        <v/>
      </c>
      <c r="H2928" s="7" t="str">
        <f aca="false">IF(A2928="","",IF(E2928="",A2928,E2928)&amp;"."&amp;IF(F2928="",B2928,F2928))</f>
        <v/>
      </c>
      <c r="I2928" s="7" t="str">
        <f aca="false">IF(A2928="","",IFERROR(INDEX('Campos Growths'!$F:$F,MATCH(H2928,'Campos Growths'!$A:$A,0)),""))</f>
        <v/>
      </c>
      <c r="J2928" s="7" t="str">
        <f aca="false">IF(A2928="","",IFERROR(VLOOKUP(IF(ISNUMBER(SEARCH("(",C2928)),LEFT(C2928,SEARCH("(",C2928)-1),C2928),Tipos!$A:$B,2,FALSE()),"outro"))</f>
        <v/>
      </c>
      <c r="K2928" s="7" t="str">
        <f aca="false">IF(I2928="","",IFERROR(INDEX('Campos Growths'!$L:$L,MATCH(H2928,'Campos Growths'!$A:$A,0)),""))</f>
        <v/>
      </c>
      <c r="L2928" s="7" t="str">
        <f aca="false">IF(A2928="","",IF(G2928="não","Sem tabela no Growths",IF(I2928="","Sem campo no Growths",IF(J2928=K2928,"Importa direto","Ajustar tipo"))))</f>
        <v/>
      </c>
      <c r="M2928" s="9"/>
    </row>
    <row r="2929" customFormat="false" ht="15" hidden="false" customHeight="false" outlineLevel="0" collapsed="false">
      <c r="A2929" s="7" t="str">
        <f aca="false">IF('Outro banco'!A2929="","",IF(LEFT('Outro banco'!A2929,1)="(","",'Outro banco'!A2929))</f>
        <v/>
      </c>
      <c r="B2929" s="7" t="str">
        <f aca="false">IF(A2929="","",'Outro banco'!B2929)</f>
        <v/>
      </c>
      <c r="C2929" s="7" t="str">
        <f aca="false">IF(A2929="","",'Outro banco'!C2929)</f>
        <v/>
      </c>
      <c r="D2929" s="7" t="str">
        <f aca="false">IF(A2929="","",'Outro banco'!D2929)</f>
        <v/>
      </c>
      <c r="E2929" s="9"/>
      <c r="F2929" s="9"/>
      <c r="G2929" s="7" t="str">
        <f aca="false">IF(A2929="","",IF(COUNTIF(Tabelas!$A:$A,IF(E2929="",A2929,E2929))&gt;0,"sim","não"))</f>
        <v/>
      </c>
      <c r="H2929" s="7" t="str">
        <f aca="false">IF(A2929="","",IF(E2929="",A2929,E2929)&amp;"."&amp;IF(F2929="",B2929,F2929))</f>
        <v/>
      </c>
      <c r="I2929" s="7" t="str">
        <f aca="false">IF(A2929="","",IFERROR(INDEX('Campos Growths'!$F:$F,MATCH(H2929,'Campos Growths'!$A:$A,0)),""))</f>
        <v/>
      </c>
      <c r="J2929" s="7" t="str">
        <f aca="false">IF(A2929="","",IFERROR(VLOOKUP(IF(ISNUMBER(SEARCH("(",C2929)),LEFT(C2929,SEARCH("(",C2929)-1),C2929),Tipos!$A:$B,2,FALSE()),"outro"))</f>
        <v/>
      </c>
      <c r="K2929" s="7" t="str">
        <f aca="false">IF(I2929="","",IFERROR(INDEX('Campos Growths'!$L:$L,MATCH(H2929,'Campos Growths'!$A:$A,0)),""))</f>
        <v/>
      </c>
      <c r="L2929" s="7" t="str">
        <f aca="false">IF(A2929="","",IF(G2929="não","Sem tabela no Growths",IF(I2929="","Sem campo no Growths",IF(J2929=K2929,"Importa direto","Ajustar tipo"))))</f>
        <v/>
      </c>
      <c r="M2929" s="9"/>
    </row>
    <row r="2930" customFormat="false" ht="15" hidden="false" customHeight="false" outlineLevel="0" collapsed="false">
      <c r="A2930" s="7" t="str">
        <f aca="false">IF('Outro banco'!A2930="","",IF(LEFT('Outro banco'!A2930,1)="(","",'Outro banco'!A2930))</f>
        <v/>
      </c>
      <c r="B2930" s="7" t="str">
        <f aca="false">IF(A2930="","",'Outro banco'!B2930)</f>
        <v/>
      </c>
      <c r="C2930" s="7" t="str">
        <f aca="false">IF(A2930="","",'Outro banco'!C2930)</f>
        <v/>
      </c>
      <c r="D2930" s="7" t="str">
        <f aca="false">IF(A2930="","",'Outro banco'!D2930)</f>
        <v/>
      </c>
      <c r="E2930" s="9"/>
      <c r="F2930" s="9"/>
      <c r="G2930" s="7" t="str">
        <f aca="false">IF(A2930="","",IF(COUNTIF(Tabelas!$A:$A,IF(E2930="",A2930,E2930))&gt;0,"sim","não"))</f>
        <v/>
      </c>
      <c r="H2930" s="7" t="str">
        <f aca="false">IF(A2930="","",IF(E2930="",A2930,E2930)&amp;"."&amp;IF(F2930="",B2930,F2930))</f>
        <v/>
      </c>
      <c r="I2930" s="7" t="str">
        <f aca="false">IF(A2930="","",IFERROR(INDEX('Campos Growths'!$F:$F,MATCH(H2930,'Campos Growths'!$A:$A,0)),""))</f>
        <v/>
      </c>
      <c r="J2930" s="7" t="str">
        <f aca="false">IF(A2930="","",IFERROR(VLOOKUP(IF(ISNUMBER(SEARCH("(",C2930)),LEFT(C2930,SEARCH("(",C2930)-1),C2930),Tipos!$A:$B,2,FALSE()),"outro"))</f>
        <v/>
      </c>
      <c r="K2930" s="7" t="str">
        <f aca="false">IF(I2930="","",IFERROR(INDEX('Campos Growths'!$L:$L,MATCH(H2930,'Campos Growths'!$A:$A,0)),""))</f>
        <v/>
      </c>
      <c r="L2930" s="7" t="str">
        <f aca="false">IF(A2930="","",IF(G2930="não","Sem tabela no Growths",IF(I2930="","Sem campo no Growths",IF(J2930=K2930,"Importa direto","Ajustar tipo"))))</f>
        <v/>
      </c>
      <c r="M2930" s="9"/>
    </row>
    <row r="2931" customFormat="false" ht="15" hidden="false" customHeight="false" outlineLevel="0" collapsed="false">
      <c r="A2931" s="7" t="str">
        <f aca="false">IF('Outro banco'!A2931="","",IF(LEFT('Outro banco'!A2931,1)="(","",'Outro banco'!A2931))</f>
        <v/>
      </c>
      <c r="B2931" s="7" t="str">
        <f aca="false">IF(A2931="","",'Outro banco'!B2931)</f>
        <v/>
      </c>
      <c r="C2931" s="7" t="str">
        <f aca="false">IF(A2931="","",'Outro banco'!C2931)</f>
        <v/>
      </c>
      <c r="D2931" s="7" t="str">
        <f aca="false">IF(A2931="","",'Outro banco'!D2931)</f>
        <v/>
      </c>
      <c r="E2931" s="9"/>
      <c r="F2931" s="9"/>
      <c r="G2931" s="7" t="str">
        <f aca="false">IF(A2931="","",IF(COUNTIF(Tabelas!$A:$A,IF(E2931="",A2931,E2931))&gt;0,"sim","não"))</f>
        <v/>
      </c>
      <c r="H2931" s="7" t="str">
        <f aca="false">IF(A2931="","",IF(E2931="",A2931,E2931)&amp;"."&amp;IF(F2931="",B2931,F2931))</f>
        <v/>
      </c>
      <c r="I2931" s="7" t="str">
        <f aca="false">IF(A2931="","",IFERROR(INDEX('Campos Growths'!$F:$F,MATCH(H2931,'Campos Growths'!$A:$A,0)),""))</f>
        <v/>
      </c>
      <c r="J2931" s="7" t="str">
        <f aca="false">IF(A2931="","",IFERROR(VLOOKUP(IF(ISNUMBER(SEARCH("(",C2931)),LEFT(C2931,SEARCH("(",C2931)-1),C2931),Tipos!$A:$B,2,FALSE()),"outro"))</f>
        <v/>
      </c>
      <c r="K2931" s="7" t="str">
        <f aca="false">IF(I2931="","",IFERROR(INDEX('Campos Growths'!$L:$L,MATCH(H2931,'Campos Growths'!$A:$A,0)),""))</f>
        <v/>
      </c>
      <c r="L2931" s="7" t="str">
        <f aca="false">IF(A2931="","",IF(G2931="não","Sem tabela no Growths",IF(I2931="","Sem campo no Growths",IF(J2931=K2931,"Importa direto","Ajustar tipo"))))</f>
        <v/>
      </c>
      <c r="M2931" s="9"/>
    </row>
    <row r="2932" customFormat="false" ht="15" hidden="false" customHeight="false" outlineLevel="0" collapsed="false">
      <c r="A2932" s="7" t="str">
        <f aca="false">IF('Outro banco'!A2932="","",IF(LEFT('Outro banco'!A2932,1)="(","",'Outro banco'!A2932))</f>
        <v/>
      </c>
      <c r="B2932" s="7" t="str">
        <f aca="false">IF(A2932="","",'Outro banco'!B2932)</f>
        <v/>
      </c>
      <c r="C2932" s="7" t="str">
        <f aca="false">IF(A2932="","",'Outro banco'!C2932)</f>
        <v/>
      </c>
      <c r="D2932" s="7" t="str">
        <f aca="false">IF(A2932="","",'Outro banco'!D2932)</f>
        <v/>
      </c>
      <c r="E2932" s="9"/>
      <c r="F2932" s="9"/>
      <c r="G2932" s="7" t="str">
        <f aca="false">IF(A2932="","",IF(COUNTIF(Tabelas!$A:$A,IF(E2932="",A2932,E2932))&gt;0,"sim","não"))</f>
        <v/>
      </c>
      <c r="H2932" s="7" t="str">
        <f aca="false">IF(A2932="","",IF(E2932="",A2932,E2932)&amp;"."&amp;IF(F2932="",B2932,F2932))</f>
        <v/>
      </c>
      <c r="I2932" s="7" t="str">
        <f aca="false">IF(A2932="","",IFERROR(INDEX('Campos Growths'!$F:$F,MATCH(H2932,'Campos Growths'!$A:$A,0)),""))</f>
        <v/>
      </c>
      <c r="J2932" s="7" t="str">
        <f aca="false">IF(A2932="","",IFERROR(VLOOKUP(IF(ISNUMBER(SEARCH("(",C2932)),LEFT(C2932,SEARCH("(",C2932)-1),C2932),Tipos!$A:$B,2,FALSE()),"outro"))</f>
        <v/>
      </c>
      <c r="K2932" s="7" t="str">
        <f aca="false">IF(I2932="","",IFERROR(INDEX('Campos Growths'!$L:$L,MATCH(H2932,'Campos Growths'!$A:$A,0)),""))</f>
        <v/>
      </c>
      <c r="L2932" s="7" t="str">
        <f aca="false">IF(A2932="","",IF(G2932="não","Sem tabela no Growths",IF(I2932="","Sem campo no Growths",IF(J2932=K2932,"Importa direto","Ajustar tipo"))))</f>
        <v/>
      </c>
      <c r="M2932" s="9"/>
    </row>
    <row r="2933" customFormat="false" ht="15" hidden="false" customHeight="false" outlineLevel="0" collapsed="false">
      <c r="A2933" s="7" t="str">
        <f aca="false">IF('Outro banco'!A2933="","",IF(LEFT('Outro banco'!A2933,1)="(","",'Outro banco'!A2933))</f>
        <v/>
      </c>
      <c r="B2933" s="7" t="str">
        <f aca="false">IF(A2933="","",'Outro banco'!B2933)</f>
        <v/>
      </c>
      <c r="C2933" s="7" t="str">
        <f aca="false">IF(A2933="","",'Outro banco'!C2933)</f>
        <v/>
      </c>
      <c r="D2933" s="7" t="str">
        <f aca="false">IF(A2933="","",'Outro banco'!D2933)</f>
        <v/>
      </c>
      <c r="E2933" s="9"/>
      <c r="F2933" s="9"/>
      <c r="G2933" s="7" t="str">
        <f aca="false">IF(A2933="","",IF(COUNTIF(Tabelas!$A:$A,IF(E2933="",A2933,E2933))&gt;0,"sim","não"))</f>
        <v/>
      </c>
      <c r="H2933" s="7" t="str">
        <f aca="false">IF(A2933="","",IF(E2933="",A2933,E2933)&amp;"."&amp;IF(F2933="",B2933,F2933))</f>
        <v/>
      </c>
      <c r="I2933" s="7" t="str">
        <f aca="false">IF(A2933="","",IFERROR(INDEX('Campos Growths'!$F:$F,MATCH(H2933,'Campos Growths'!$A:$A,0)),""))</f>
        <v/>
      </c>
      <c r="J2933" s="7" t="str">
        <f aca="false">IF(A2933="","",IFERROR(VLOOKUP(IF(ISNUMBER(SEARCH("(",C2933)),LEFT(C2933,SEARCH("(",C2933)-1),C2933),Tipos!$A:$B,2,FALSE()),"outro"))</f>
        <v/>
      </c>
      <c r="K2933" s="7" t="str">
        <f aca="false">IF(I2933="","",IFERROR(INDEX('Campos Growths'!$L:$L,MATCH(H2933,'Campos Growths'!$A:$A,0)),""))</f>
        <v/>
      </c>
      <c r="L2933" s="7" t="str">
        <f aca="false">IF(A2933="","",IF(G2933="não","Sem tabela no Growths",IF(I2933="","Sem campo no Growths",IF(J2933=K2933,"Importa direto","Ajustar tipo"))))</f>
        <v/>
      </c>
      <c r="M2933" s="9"/>
    </row>
    <row r="2934" customFormat="false" ht="15" hidden="false" customHeight="false" outlineLevel="0" collapsed="false">
      <c r="A2934" s="7" t="str">
        <f aca="false">IF('Outro banco'!A2934="","",IF(LEFT('Outro banco'!A2934,1)="(","",'Outro banco'!A2934))</f>
        <v/>
      </c>
      <c r="B2934" s="7" t="str">
        <f aca="false">IF(A2934="","",'Outro banco'!B2934)</f>
        <v/>
      </c>
      <c r="C2934" s="7" t="str">
        <f aca="false">IF(A2934="","",'Outro banco'!C2934)</f>
        <v/>
      </c>
      <c r="D2934" s="7" t="str">
        <f aca="false">IF(A2934="","",'Outro banco'!D2934)</f>
        <v/>
      </c>
      <c r="E2934" s="9"/>
      <c r="F2934" s="9"/>
      <c r="G2934" s="7" t="str">
        <f aca="false">IF(A2934="","",IF(COUNTIF(Tabelas!$A:$A,IF(E2934="",A2934,E2934))&gt;0,"sim","não"))</f>
        <v/>
      </c>
      <c r="H2934" s="7" t="str">
        <f aca="false">IF(A2934="","",IF(E2934="",A2934,E2934)&amp;"."&amp;IF(F2934="",B2934,F2934))</f>
        <v/>
      </c>
      <c r="I2934" s="7" t="str">
        <f aca="false">IF(A2934="","",IFERROR(INDEX('Campos Growths'!$F:$F,MATCH(H2934,'Campos Growths'!$A:$A,0)),""))</f>
        <v/>
      </c>
      <c r="J2934" s="7" t="str">
        <f aca="false">IF(A2934="","",IFERROR(VLOOKUP(IF(ISNUMBER(SEARCH("(",C2934)),LEFT(C2934,SEARCH("(",C2934)-1),C2934),Tipos!$A:$B,2,FALSE()),"outro"))</f>
        <v/>
      </c>
      <c r="K2934" s="7" t="str">
        <f aca="false">IF(I2934="","",IFERROR(INDEX('Campos Growths'!$L:$L,MATCH(H2934,'Campos Growths'!$A:$A,0)),""))</f>
        <v/>
      </c>
      <c r="L2934" s="7" t="str">
        <f aca="false">IF(A2934="","",IF(G2934="não","Sem tabela no Growths",IF(I2934="","Sem campo no Growths",IF(J2934=K2934,"Importa direto","Ajustar tipo"))))</f>
        <v/>
      </c>
      <c r="M2934" s="9"/>
    </row>
    <row r="2935" customFormat="false" ht="15" hidden="false" customHeight="false" outlineLevel="0" collapsed="false">
      <c r="A2935" s="7" t="str">
        <f aca="false">IF('Outro banco'!A2935="","",IF(LEFT('Outro banco'!A2935,1)="(","",'Outro banco'!A2935))</f>
        <v/>
      </c>
      <c r="B2935" s="7" t="str">
        <f aca="false">IF(A2935="","",'Outro banco'!B2935)</f>
        <v/>
      </c>
      <c r="C2935" s="7" t="str">
        <f aca="false">IF(A2935="","",'Outro banco'!C2935)</f>
        <v/>
      </c>
      <c r="D2935" s="7" t="str">
        <f aca="false">IF(A2935="","",'Outro banco'!D2935)</f>
        <v/>
      </c>
      <c r="E2935" s="9"/>
      <c r="F2935" s="9"/>
      <c r="G2935" s="7" t="str">
        <f aca="false">IF(A2935="","",IF(COUNTIF(Tabelas!$A:$A,IF(E2935="",A2935,E2935))&gt;0,"sim","não"))</f>
        <v/>
      </c>
      <c r="H2935" s="7" t="str">
        <f aca="false">IF(A2935="","",IF(E2935="",A2935,E2935)&amp;"."&amp;IF(F2935="",B2935,F2935))</f>
        <v/>
      </c>
      <c r="I2935" s="7" t="str">
        <f aca="false">IF(A2935="","",IFERROR(INDEX('Campos Growths'!$F:$F,MATCH(H2935,'Campos Growths'!$A:$A,0)),""))</f>
        <v/>
      </c>
      <c r="J2935" s="7" t="str">
        <f aca="false">IF(A2935="","",IFERROR(VLOOKUP(IF(ISNUMBER(SEARCH("(",C2935)),LEFT(C2935,SEARCH("(",C2935)-1),C2935),Tipos!$A:$B,2,FALSE()),"outro"))</f>
        <v/>
      </c>
      <c r="K2935" s="7" t="str">
        <f aca="false">IF(I2935="","",IFERROR(INDEX('Campos Growths'!$L:$L,MATCH(H2935,'Campos Growths'!$A:$A,0)),""))</f>
        <v/>
      </c>
      <c r="L2935" s="7" t="str">
        <f aca="false">IF(A2935="","",IF(G2935="não","Sem tabela no Growths",IF(I2935="","Sem campo no Growths",IF(J2935=K2935,"Importa direto","Ajustar tipo"))))</f>
        <v/>
      </c>
      <c r="M2935" s="9"/>
    </row>
    <row r="2936" customFormat="false" ht="15" hidden="false" customHeight="false" outlineLevel="0" collapsed="false">
      <c r="A2936" s="7" t="str">
        <f aca="false">IF('Outro banco'!A2936="","",IF(LEFT('Outro banco'!A2936,1)="(","",'Outro banco'!A2936))</f>
        <v/>
      </c>
      <c r="B2936" s="7" t="str">
        <f aca="false">IF(A2936="","",'Outro banco'!B2936)</f>
        <v/>
      </c>
      <c r="C2936" s="7" t="str">
        <f aca="false">IF(A2936="","",'Outro banco'!C2936)</f>
        <v/>
      </c>
      <c r="D2936" s="7" t="str">
        <f aca="false">IF(A2936="","",'Outro banco'!D2936)</f>
        <v/>
      </c>
      <c r="E2936" s="9"/>
      <c r="F2936" s="9"/>
      <c r="G2936" s="7" t="str">
        <f aca="false">IF(A2936="","",IF(COUNTIF(Tabelas!$A:$A,IF(E2936="",A2936,E2936))&gt;0,"sim","não"))</f>
        <v/>
      </c>
      <c r="H2936" s="7" t="str">
        <f aca="false">IF(A2936="","",IF(E2936="",A2936,E2936)&amp;"."&amp;IF(F2936="",B2936,F2936))</f>
        <v/>
      </c>
      <c r="I2936" s="7" t="str">
        <f aca="false">IF(A2936="","",IFERROR(INDEX('Campos Growths'!$F:$F,MATCH(H2936,'Campos Growths'!$A:$A,0)),""))</f>
        <v/>
      </c>
      <c r="J2936" s="7" t="str">
        <f aca="false">IF(A2936="","",IFERROR(VLOOKUP(IF(ISNUMBER(SEARCH("(",C2936)),LEFT(C2936,SEARCH("(",C2936)-1),C2936),Tipos!$A:$B,2,FALSE()),"outro"))</f>
        <v/>
      </c>
      <c r="K2936" s="7" t="str">
        <f aca="false">IF(I2936="","",IFERROR(INDEX('Campos Growths'!$L:$L,MATCH(H2936,'Campos Growths'!$A:$A,0)),""))</f>
        <v/>
      </c>
      <c r="L2936" s="7" t="str">
        <f aca="false">IF(A2936="","",IF(G2936="não","Sem tabela no Growths",IF(I2936="","Sem campo no Growths",IF(J2936=K2936,"Importa direto","Ajustar tipo"))))</f>
        <v/>
      </c>
      <c r="M2936" s="9"/>
    </row>
    <row r="2937" customFormat="false" ht="15" hidden="false" customHeight="false" outlineLevel="0" collapsed="false">
      <c r="A2937" s="7" t="str">
        <f aca="false">IF('Outro banco'!A2937="","",IF(LEFT('Outro banco'!A2937,1)="(","",'Outro banco'!A2937))</f>
        <v/>
      </c>
      <c r="B2937" s="7" t="str">
        <f aca="false">IF(A2937="","",'Outro banco'!B2937)</f>
        <v/>
      </c>
      <c r="C2937" s="7" t="str">
        <f aca="false">IF(A2937="","",'Outro banco'!C2937)</f>
        <v/>
      </c>
      <c r="D2937" s="7" t="str">
        <f aca="false">IF(A2937="","",'Outro banco'!D2937)</f>
        <v/>
      </c>
      <c r="E2937" s="9"/>
      <c r="F2937" s="9"/>
      <c r="G2937" s="7" t="str">
        <f aca="false">IF(A2937="","",IF(COUNTIF(Tabelas!$A:$A,IF(E2937="",A2937,E2937))&gt;0,"sim","não"))</f>
        <v/>
      </c>
      <c r="H2937" s="7" t="str">
        <f aca="false">IF(A2937="","",IF(E2937="",A2937,E2937)&amp;"."&amp;IF(F2937="",B2937,F2937))</f>
        <v/>
      </c>
      <c r="I2937" s="7" t="str">
        <f aca="false">IF(A2937="","",IFERROR(INDEX('Campos Growths'!$F:$F,MATCH(H2937,'Campos Growths'!$A:$A,0)),""))</f>
        <v/>
      </c>
      <c r="J2937" s="7" t="str">
        <f aca="false">IF(A2937="","",IFERROR(VLOOKUP(IF(ISNUMBER(SEARCH("(",C2937)),LEFT(C2937,SEARCH("(",C2937)-1),C2937),Tipos!$A:$B,2,FALSE()),"outro"))</f>
        <v/>
      </c>
      <c r="K2937" s="7" t="str">
        <f aca="false">IF(I2937="","",IFERROR(INDEX('Campos Growths'!$L:$L,MATCH(H2937,'Campos Growths'!$A:$A,0)),""))</f>
        <v/>
      </c>
      <c r="L2937" s="7" t="str">
        <f aca="false">IF(A2937="","",IF(G2937="não","Sem tabela no Growths",IF(I2937="","Sem campo no Growths",IF(J2937=K2937,"Importa direto","Ajustar tipo"))))</f>
        <v/>
      </c>
      <c r="M2937" s="9"/>
    </row>
    <row r="2938" customFormat="false" ht="15" hidden="false" customHeight="false" outlineLevel="0" collapsed="false">
      <c r="A2938" s="7" t="str">
        <f aca="false">IF('Outro banco'!A2938="","",IF(LEFT('Outro banco'!A2938,1)="(","",'Outro banco'!A2938))</f>
        <v/>
      </c>
      <c r="B2938" s="7" t="str">
        <f aca="false">IF(A2938="","",'Outro banco'!B2938)</f>
        <v/>
      </c>
      <c r="C2938" s="7" t="str">
        <f aca="false">IF(A2938="","",'Outro banco'!C2938)</f>
        <v/>
      </c>
      <c r="D2938" s="7" t="str">
        <f aca="false">IF(A2938="","",'Outro banco'!D2938)</f>
        <v/>
      </c>
      <c r="E2938" s="9"/>
      <c r="F2938" s="9"/>
      <c r="G2938" s="7" t="str">
        <f aca="false">IF(A2938="","",IF(COUNTIF(Tabelas!$A:$A,IF(E2938="",A2938,E2938))&gt;0,"sim","não"))</f>
        <v/>
      </c>
      <c r="H2938" s="7" t="str">
        <f aca="false">IF(A2938="","",IF(E2938="",A2938,E2938)&amp;"."&amp;IF(F2938="",B2938,F2938))</f>
        <v/>
      </c>
      <c r="I2938" s="7" t="str">
        <f aca="false">IF(A2938="","",IFERROR(INDEX('Campos Growths'!$F:$F,MATCH(H2938,'Campos Growths'!$A:$A,0)),""))</f>
        <v/>
      </c>
      <c r="J2938" s="7" t="str">
        <f aca="false">IF(A2938="","",IFERROR(VLOOKUP(IF(ISNUMBER(SEARCH("(",C2938)),LEFT(C2938,SEARCH("(",C2938)-1),C2938),Tipos!$A:$B,2,FALSE()),"outro"))</f>
        <v/>
      </c>
      <c r="K2938" s="7" t="str">
        <f aca="false">IF(I2938="","",IFERROR(INDEX('Campos Growths'!$L:$L,MATCH(H2938,'Campos Growths'!$A:$A,0)),""))</f>
        <v/>
      </c>
      <c r="L2938" s="7" t="str">
        <f aca="false">IF(A2938="","",IF(G2938="não","Sem tabela no Growths",IF(I2938="","Sem campo no Growths",IF(J2938=K2938,"Importa direto","Ajustar tipo"))))</f>
        <v/>
      </c>
      <c r="M2938" s="9"/>
    </row>
    <row r="2939" customFormat="false" ht="15" hidden="false" customHeight="false" outlineLevel="0" collapsed="false">
      <c r="A2939" s="7" t="str">
        <f aca="false">IF('Outro banco'!A2939="","",IF(LEFT('Outro banco'!A2939,1)="(","",'Outro banco'!A2939))</f>
        <v/>
      </c>
      <c r="B2939" s="7" t="str">
        <f aca="false">IF(A2939="","",'Outro banco'!B2939)</f>
        <v/>
      </c>
      <c r="C2939" s="7" t="str">
        <f aca="false">IF(A2939="","",'Outro banco'!C2939)</f>
        <v/>
      </c>
      <c r="D2939" s="7" t="str">
        <f aca="false">IF(A2939="","",'Outro banco'!D2939)</f>
        <v/>
      </c>
      <c r="E2939" s="9"/>
      <c r="F2939" s="9"/>
      <c r="G2939" s="7" t="str">
        <f aca="false">IF(A2939="","",IF(COUNTIF(Tabelas!$A:$A,IF(E2939="",A2939,E2939))&gt;0,"sim","não"))</f>
        <v/>
      </c>
      <c r="H2939" s="7" t="str">
        <f aca="false">IF(A2939="","",IF(E2939="",A2939,E2939)&amp;"."&amp;IF(F2939="",B2939,F2939))</f>
        <v/>
      </c>
      <c r="I2939" s="7" t="str">
        <f aca="false">IF(A2939="","",IFERROR(INDEX('Campos Growths'!$F:$F,MATCH(H2939,'Campos Growths'!$A:$A,0)),""))</f>
        <v/>
      </c>
      <c r="J2939" s="7" t="str">
        <f aca="false">IF(A2939="","",IFERROR(VLOOKUP(IF(ISNUMBER(SEARCH("(",C2939)),LEFT(C2939,SEARCH("(",C2939)-1),C2939),Tipos!$A:$B,2,FALSE()),"outro"))</f>
        <v/>
      </c>
      <c r="K2939" s="7" t="str">
        <f aca="false">IF(I2939="","",IFERROR(INDEX('Campos Growths'!$L:$L,MATCH(H2939,'Campos Growths'!$A:$A,0)),""))</f>
        <v/>
      </c>
      <c r="L2939" s="7" t="str">
        <f aca="false">IF(A2939="","",IF(G2939="não","Sem tabela no Growths",IF(I2939="","Sem campo no Growths",IF(J2939=K2939,"Importa direto","Ajustar tipo"))))</f>
        <v/>
      </c>
      <c r="M2939" s="9"/>
    </row>
    <row r="2940" customFormat="false" ht="15" hidden="false" customHeight="false" outlineLevel="0" collapsed="false">
      <c r="A2940" s="7" t="str">
        <f aca="false">IF('Outro banco'!A2940="","",IF(LEFT('Outro banco'!A2940,1)="(","",'Outro banco'!A2940))</f>
        <v/>
      </c>
      <c r="B2940" s="7" t="str">
        <f aca="false">IF(A2940="","",'Outro banco'!B2940)</f>
        <v/>
      </c>
      <c r="C2940" s="7" t="str">
        <f aca="false">IF(A2940="","",'Outro banco'!C2940)</f>
        <v/>
      </c>
      <c r="D2940" s="7" t="str">
        <f aca="false">IF(A2940="","",'Outro banco'!D2940)</f>
        <v/>
      </c>
      <c r="E2940" s="9"/>
      <c r="F2940" s="9"/>
      <c r="G2940" s="7" t="str">
        <f aca="false">IF(A2940="","",IF(COUNTIF(Tabelas!$A:$A,IF(E2940="",A2940,E2940))&gt;0,"sim","não"))</f>
        <v/>
      </c>
      <c r="H2940" s="7" t="str">
        <f aca="false">IF(A2940="","",IF(E2940="",A2940,E2940)&amp;"."&amp;IF(F2940="",B2940,F2940))</f>
        <v/>
      </c>
      <c r="I2940" s="7" t="str">
        <f aca="false">IF(A2940="","",IFERROR(INDEX('Campos Growths'!$F:$F,MATCH(H2940,'Campos Growths'!$A:$A,0)),""))</f>
        <v/>
      </c>
      <c r="J2940" s="7" t="str">
        <f aca="false">IF(A2940="","",IFERROR(VLOOKUP(IF(ISNUMBER(SEARCH("(",C2940)),LEFT(C2940,SEARCH("(",C2940)-1),C2940),Tipos!$A:$B,2,FALSE()),"outro"))</f>
        <v/>
      </c>
      <c r="K2940" s="7" t="str">
        <f aca="false">IF(I2940="","",IFERROR(INDEX('Campos Growths'!$L:$L,MATCH(H2940,'Campos Growths'!$A:$A,0)),""))</f>
        <v/>
      </c>
      <c r="L2940" s="7" t="str">
        <f aca="false">IF(A2940="","",IF(G2940="não","Sem tabela no Growths",IF(I2940="","Sem campo no Growths",IF(J2940=K2940,"Importa direto","Ajustar tipo"))))</f>
        <v/>
      </c>
      <c r="M2940" s="9"/>
    </row>
    <row r="2941" customFormat="false" ht="15" hidden="false" customHeight="false" outlineLevel="0" collapsed="false">
      <c r="A2941" s="7" t="str">
        <f aca="false">IF('Outro banco'!A2941="","",IF(LEFT('Outro banco'!A2941,1)="(","",'Outro banco'!A2941))</f>
        <v/>
      </c>
      <c r="B2941" s="7" t="str">
        <f aca="false">IF(A2941="","",'Outro banco'!B2941)</f>
        <v/>
      </c>
      <c r="C2941" s="7" t="str">
        <f aca="false">IF(A2941="","",'Outro banco'!C2941)</f>
        <v/>
      </c>
      <c r="D2941" s="7" t="str">
        <f aca="false">IF(A2941="","",'Outro banco'!D2941)</f>
        <v/>
      </c>
      <c r="E2941" s="9"/>
      <c r="F2941" s="9"/>
      <c r="G2941" s="7" t="str">
        <f aca="false">IF(A2941="","",IF(COUNTIF(Tabelas!$A:$A,IF(E2941="",A2941,E2941))&gt;0,"sim","não"))</f>
        <v/>
      </c>
      <c r="H2941" s="7" t="str">
        <f aca="false">IF(A2941="","",IF(E2941="",A2941,E2941)&amp;"."&amp;IF(F2941="",B2941,F2941))</f>
        <v/>
      </c>
      <c r="I2941" s="7" t="str">
        <f aca="false">IF(A2941="","",IFERROR(INDEX('Campos Growths'!$F:$F,MATCH(H2941,'Campos Growths'!$A:$A,0)),""))</f>
        <v/>
      </c>
      <c r="J2941" s="7" t="str">
        <f aca="false">IF(A2941="","",IFERROR(VLOOKUP(IF(ISNUMBER(SEARCH("(",C2941)),LEFT(C2941,SEARCH("(",C2941)-1),C2941),Tipos!$A:$B,2,FALSE()),"outro"))</f>
        <v/>
      </c>
      <c r="K2941" s="7" t="str">
        <f aca="false">IF(I2941="","",IFERROR(INDEX('Campos Growths'!$L:$L,MATCH(H2941,'Campos Growths'!$A:$A,0)),""))</f>
        <v/>
      </c>
      <c r="L2941" s="7" t="str">
        <f aca="false">IF(A2941="","",IF(G2941="não","Sem tabela no Growths",IF(I2941="","Sem campo no Growths",IF(J2941=K2941,"Importa direto","Ajustar tipo"))))</f>
        <v/>
      </c>
      <c r="M2941" s="9"/>
    </row>
    <row r="2942" customFormat="false" ht="15" hidden="false" customHeight="false" outlineLevel="0" collapsed="false">
      <c r="A2942" s="7" t="str">
        <f aca="false">IF('Outro banco'!A2942="","",IF(LEFT('Outro banco'!A2942,1)="(","",'Outro banco'!A2942))</f>
        <v/>
      </c>
      <c r="B2942" s="7" t="str">
        <f aca="false">IF(A2942="","",'Outro banco'!B2942)</f>
        <v/>
      </c>
      <c r="C2942" s="7" t="str">
        <f aca="false">IF(A2942="","",'Outro banco'!C2942)</f>
        <v/>
      </c>
      <c r="D2942" s="7" t="str">
        <f aca="false">IF(A2942="","",'Outro banco'!D2942)</f>
        <v/>
      </c>
      <c r="E2942" s="9"/>
      <c r="F2942" s="9"/>
      <c r="G2942" s="7" t="str">
        <f aca="false">IF(A2942="","",IF(COUNTIF(Tabelas!$A:$A,IF(E2942="",A2942,E2942))&gt;0,"sim","não"))</f>
        <v/>
      </c>
      <c r="H2942" s="7" t="str">
        <f aca="false">IF(A2942="","",IF(E2942="",A2942,E2942)&amp;"."&amp;IF(F2942="",B2942,F2942))</f>
        <v/>
      </c>
      <c r="I2942" s="7" t="str">
        <f aca="false">IF(A2942="","",IFERROR(INDEX('Campos Growths'!$F:$F,MATCH(H2942,'Campos Growths'!$A:$A,0)),""))</f>
        <v/>
      </c>
      <c r="J2942" s="7" t="str">
        <f aca="false">IF(A2942="","",IFERROR(VLOOKUP(IF(ISNUMBER(SEARCH("(",C2942)),LEFT(C2942,SEARCH("(",C2942)-1),C2942),Tipos!$A:$B,2,FALSE()),"outro"))</f>
        <v/>
      </c>
      <c r="K2942" s="7" t="str">
        <f aca="false">IF(I2942="","",IFERROR(INDEX('Campos Growths'!$L:$L,MATCH(H2942,'Campos Growths'!$A:$A,0)),""))</f>
        <v/>
      </c>
      <c r="L2942" s="7" t="str">
        <f aca="false">IF(A2942="","",IF(G2942="não","Sem tabela no Growths",IF(I2942="","Sem campo no Growths",IF(J2942=K2942,"Importa direto","Ajustar tipo"))))</f>
        <v/>
      </c>
      <c r="M2942" s="9"/>
    </row>
    <row r="2943" customFormat="false" ht="15" hidden="false" customHeight="false" outlineLevel="0" collapsed="false">
      <c r="A2943" s="7" t="str">
        <f aca="false">IF('Outro banco'!A2943="","",IF(LEFT('Outro banco'!A2943,1)="(","",'Outro banco'!A2943))</f>
        <v/>
      </c>
      <c r="B2943" s="7" t="str">
        <f aca="false">IF(A2943="","",'Outro banco'!B2943)</f>
        <v/>
      </c>
      <c r="C2943" s="7" t="str">
        <f aca="false">IF(A2943="","",'Outro banco'!C2943)</f>
        <v/>
      </c>
      <c r="D2943" s="7" t="str">
        <f aca="false">IF(A2943="","",'Outro banco'!D2943)</f>
        <v/>
      </c>
      <c r="E2943" s="9"/>
      <c r="F2943" s="9"/>
      <c r="G2943" s="7" t="str">
        <f aca="false">IF(A2943="","",IF(COUNTIF(Tabelas!$A:$A,IF(E2943="",A2943,E2943))&gt;0,"sim","não"))</f>
        <v/>
      </c>
      <c r="H2943" s="7" t="str">
        <f aca="false">IF(A2943="","",IF(E2943="",A2943,E2943)&amp;"."&amp;IF(F2943="",B2943,F2943))</f>
        <v/>
      </c>
      <c r="I2943" s="7" t="str">
        <f aca="false">IF(A2943="","",IFERROR(INDEX('Campos Growths'!$F:$F,MATCH(H2943,'Campos Growths'!$A:$A,0)),""))</f>
        <v/>
      </c>
      <c r="J2943" s="7" t="str">
        <f aca="false">IF(A2943="","",IFERROR(VLOOKUP(IF(ISNUMBER(SEARCH("(",C2943)),LEFT(C2943,SEARCH("(",C2943)-1),C2943),Tipos!$A:$B,2,FALSE()),"outro"))</f>
        <v/>
      </c>
      <c r="K2943" s="7" t="str">
        <f aca="false">IF(I2943="","",IFERROR(INDEX('Campos Growths'!$L:$L,MATCH(H2943,'Campos Growths'!$A:$A,0)),""))</f>
        <v/>
      </c>
      <c r="L2943" s="7" t="str">
        <f aca="false">IF(A2943="","",IF(G2943="não","Sem tabela no Growths",IF(I2943="","Sem campo no Growths",IF(J2943=K2943,"Importa direto","Ajustar tipo"))))</f>
        <v/>
      </c>
      <c r="M2943" s="9"/>
    </row>
    <row r="2944" customFormat="false" ht="15" hidden="false" customHeight="false" outlineLevel="0" collapsed="false">
      <c r="A2944" s="7" t="str">
        <f aca="false">IF('Outro banco'!A2944="","",IF(LEFT('Outro banco'!A2944,1)="(","",'Outro banco'!A2944))</f>
        <v/>
      </c>
      <c r="B2944" s="7" t="str">
        <f aca="false">IF(A2944="","",'Outro banco'!B2944)</f>
        <v/>
      </c>
      <c r="C2944" s="7" t="str">
        <f aca="false">IF(A2944="","",'Outro banco'!C2944)</f>
        <v/>
      </c>
      <c r="D2944" s="7" t="str">
        <f aca="false">IF(A2944="","",'Outro banco'!D2944)</f>
        <v/>
      </c>
      <c r="E2944" s="9"/>
      <c r="F2944" s="9"/>
      <c r="G2944" s="7" t="str">
        <f aca="false">IF(A2944="","",IF(COUNTIF(Tabelas!$A:$A,IF(E2944="",A2944,E2944))&gt;0,"sim","não"))</f>
        <v/>
      </c>
      <c r="H2944" s="7" t="str">
        <f aca="false">IF(A2944="","",IF(E2944="",A2944,E2944)&amp;"."&amp;IF(F2944="",B2944,F2944))</f>
        <v/>
      </c>
      <c r="I2944" s="7" t="str">
        <f aca="false">IF(A2944="","",IFERROR(INDEX('Campos Growths'!$F:$F,MATCH(H2944,'Campos Growths'!$A:$A,0)),""))</f>
        <v/>
      </c>
      <c r="J2944" s="7" t="str">
        <f aca="false">IF(A2944="","",IFERROR(VLOOKUP(IF(ISNUMBER(SEARCH("(",C2944)),LEFT(C2944,SEARCH("(",C2944)-1),C2944),Tipos!$A:$B,2,FALSE()),"outro"))</f>
        <v/>
      </c>
      <c r="K2944" s="7" t="str">
        <f aca="false">IF(I2944="","",IFERROR(INDEX('Campos Growths'!$L:$L,MATCH(H2944,'Campos Growths'!$A:$A,0)),""))</f>
        <v/>
      </c>
      <c r="L2944" s="7" t="str">
        <f aca="false">IF(A2944="","",IF(G2944="não","Sem tabela no Growths",IF(I2944="","Sem campo no Growths",IF(J2944=K2944,"Importa direto","Ajustar tipo"))))</f>
        <v/>
      </c>
      <c r="M2944" s="9"/>
    </row>
    <row r="2945" customFormat="false" ht="15" hidden="false" customHeight="false" outlineLevel="0" collapsed="false">
      <c r="A2945" s="7" t="str">
        <f aca="false">IF('Outro banco'!A2945="","",IF(LEFT('Outro banco'!A2945,1)="(","",'Outro banco'!A2945))</f>
        <v/>
      </c>
      <c r="B2945" s="7" t="str">
        <f aca="false">IF(A2945="","",'Outro banco'!B2945)</f>
        <v/>
      </c>
      <c r="C2945" s="7" t="str">
        <f aca="false">IF(A2945="","",'Outro banco'!C2945)</f>
        <v/>
      </c>
      <c r="D2945" s="7" t="str">
        <f aca="false">IF(A2945="","",'Outro banco'!D2945)</f>
        <v/>
      </c>
      <c r="E2945" s="9"/>
      <c r="F2945" s="9"/>
      <c r="G2945" s="7" t="str">
        <f aca="false">IF(A2945="","",IF(COUNTIF(Tabelas!$A:$A,IF(E2945="",A2945,E2945))&gt;0,"sim","não"))</f>
        <v/>
      </c>
      <c r="H2945" s="7" t="str">
        <f aca="false">IF(A2945="","",IF(E2945="",A2945,E2945)&amp;"."&amp;IF(F2945="",B2945,F2945))</f>
        <v/>
      </c>
      <c r="I2945" s="7" t="str">
        <f aca="false">IF(A2945="","",IFERROR(INDEX('Campos Growths'!$F:$F,MATCH(H2945,'Campos Growths'!$A:$A,0)),""))</f>
        <v/>
      </c>
      <c r="J2945" s="7" t="str">
        <f aca="false">IF(A2945="","",IFERROR(VLOOKUP(IF(ISNUMBER(SEARCH("(",C2945)),LEFT(C2945,SEARCH("(",C2945)-1),C2945),Tipos!$A:$B,2,FALSE()),"outro"))</f>
        <v/>
      </c>
      <c r="K2945" s="7" t="str">
        <f aca="false">IF(I2945="","",IFERROR(INDEX('Campos Growths'!$L:$L,MATCH(H2945,'Campos Growths'!$A:$A,0)),""))</f>
        <v/>
      </c>
      <c r="L2945" s="7" t="str">
        <f aca="false">IF(A2945="","",IF(G2945="não","Sem tabela no Growths",IF(I2945="","Sem campo no Growths",IF(J2945=K2945,"Importa direto","Ajustar tipo"))))</f>
        <v/>
      </c>
      <c r="M2945" s="9"/>
    </row>
    <row r="2946" customFormat="false" ht="15" hidden="false" customHeight="false" outlineLevel="0" collapsed="false">
      <c r="A2946" s="7" t="str">
        <f aca="false">IF('Outro banco'!A2946="","",IF(LEFT('Outro banco'!A2946,1)="(","",'Outro banco'!A2946))</f>
        <v/>
      </c>
      <c r="B2946" s="7" t="str">
        <f aca="false">IF(A2946="","",'Outro banco'!B2946)</f>
        <v/>
      </c>
      <c r="C2946" s="7" t="str">
        <f aca="false">IF(A2946="","",'Outro banco'!C2946)</f>
        <v/>
      </c>
      <c r="D2946" s="7" t="str">
        <f aca="false">IF(A2946="","",'Outro banco'!D2946)</f>
        <v/>
      </c>
      <c r="E2946" s="9"/>
      <c r="F2946" s="9"/>
      <c r="G2946" s="7" t="str">
        <f aca="false">IF(A2946="","",IF(COUNTIF(Tabelas!$A:$A,IF(E2946="",A2946,E2946))&gt;0,"sim","não"))</f>
        <v/>
      </c>
      <c r="H2946" s="7" t="str">
        <f aca="false">IF(A2946="","",IF(E2946="",A2946,E2946)&amp;"."&amp;IF(F2946="",B2946,F2946))</f>
        <v/>
      </c>
      <c r="I2946" s="7" t="str">
        <f aca="false">IF(A2946="","",IFERROR(INDEX('Campos Growths'!$F:$F,MATCH(H2946,'Campos Growths'!$A:$A,0)),""))</f>
        <v/>
      </c>
      <c r="J2946" s="7" t="str">
        <f aca="false">IF(A2946="","",IFERROR(VLOOKUP(IF(ISNUMBER(SEARCH("(",C2946)),LEFT(C2946,SEARCH("(",C2946)-1),C2946),Tipos!$A:$B,2,FALSE()),"outro"))</f>
        <v/>
      </c>
      <c r="K2946" s="7" t="str">
        <f aca="false">IF(I2946="","",IFERROR(INDEX('Campos Growths'!$L:$L,MATCH(H2946,'Campos Growths'!$A:$A,0)),""))</f>
        <v/>
      </c>
      <c r="L2946" s="7" t="str">
        <f aca="false">IF(A2946="","",IF(G2946="não","Sem tabela no Growths",IF(I2946="","Sem campo no Growths",IF(J2946=K2946,"Importa direto","Ajustar tipo"))))</f>
        <v/>
      </c>
      <c r="M2946" s="9"/>
    </row>
    <row r="2947" customFormat="false" ht="15" hidden="false" customHeight="false" outlineLevel="0" collapsed="false">
      <c r="A2947" s="7" t="str">
        <f aca="false">IF('Outro banco'!A2947="","",IF(LEFT('Outro banco'!A2947,1)="(","",'Outro banco'!A2947))</f>
        <v/>
      </c>
      <c r="B2947" s="7" t="str">
        <f aca="false">IF(A2947="","",'Outro banco'!B2947)</f>
        <v/>
      </c>
      <c r="C2947" s="7" t="str">
        <f aca="false">IF(A2947="","",'Outro banco'!C2947)</f>
        <v/>
      </c>
      <c r="D2947" s="7" t="str">
        <f aca="false">IF(A2947="","",'Outro banco'!D2947)</f>
        <v/>
      </c>
      <c r="E2947" s="9"/>
      <c r="F2947" s="9"/>
      <c r="G2947" s="7" t="str">
        <f aca="false">IF(A2947="","",IF(COUNTIF(Tabelas!$A:$A,IF(E2947="",A2947,E2947))&gt;0,"sim","não"))</f>
        <v/>
      </c>
      <c r="H2947" s="7" t="str">
        <f aca="false">IF(A2947="","",IF(E2947="",A2947,E2947)&amp;"."&amp;IF(F2947="",B2947,F2947))</f>
        <v/>
      </c>
      <c r="I2947" s="7" t="str">
        <f aca="false">IF(A2947="","",IFERROR(INDEX('Campos Growths'!$F:$F,MATCH(H2947,'Campos Growths'!$A:$A,0)),""))</f>
        <v/>
      </c>
      <c r="J2947" s="7" t="str">
        <f aca="false">IF(A2947="","",IFERROR(VLOOKUP(IF(ISNUMBER(SEARCH("(",C2947)),LEFT(C2947,SEARCH("(",C2947)-1),C2947),Tipos!$A:$B,2,FALSE()),"outro"))</f>
        <v/>
      </c>
      <c r="K2947" s="7" t="str">
        <f aca="false">IF(I2947="","",IFERROR(INDEX('Campos Growths'!$L:$L,MATCH(H2947,'Campos Growths'!$A:$A,0)),""))</f>
        <v/>
      </c>
      <c r="L2947" s="7" t="str">
        <f aca="false">IF(A2947="","",IF(G2947="não","Sem tabela no Growths",IF(I2947="","Sem campo no Growths",IF(J2947=K2947,"Importa direto","Ajustar tipo"))))</f>
        <v/>
      </c>
      <c r="M2947" s="9"/>
    </row>
    <row r="2948" customFormat="false" ht="15" hidden="false" customHeight="false" outlineLevel="0" collapsed="false">
      <c r="A2948" s="7" t="str">
        <f aca="false">IF('Outro banco'!A2948="","",IF(LEFT('Outro banco'!A2948,1)="(","",'Outro banco'!A2948))</f>
        <v/>
      </c>
      <c r="B2948" s="7" t="str">
        <f aca="false">IF(A2948="","",'Outro banco'!B2948)</f>
        <v/>
      </c>
      <c r="C2948" s="7" t="str">
        <f aca="false">IF(A2948="","",'Outro banco'!C2948)</f>
        <v/>
      </c>
      <c r="D2948" s="7" t="str">
        <f aca="false">IF(A2948="","",'Outro banco'!D2948)</f>
        <v/>
      </c>
      <c r="E2948" s="9"/>
      <c r="F2948" s="9"/>
      <c r="G2948" s="7" t="str">
        <f aca="false">IF(A2948="","",IF(COUNTIF(Tabelas!$A:$A,IF(E2948="",A2948,E2948))&gt;0,"sim","não"))</f>
        <v/>
      </c>
      <c r="H2948" s="7" t="str">
        <f aca="false">IF(A2948="","",IF(E2948="",A2948,E2948)&amp;"."&amp;IF(F2948="",B2948,F2948))</f>
        <v/>
      </c>
      <c r="I2948" s="7" t="str">
        <f aca="false">IF(A2948="","",IFERROR(INDEX('Campos Growths'!$F:$F,MATCH(H2948,'Campos Growths'!$A:$A,0)),""))</f>
        <v/>
      </c>
      <c r="J2948" s="7" t="str">
        <f aca="false">IF(A2948="","",IFERROR(VLOOKUP(IF(ISNUMBER(SEARCH("(",C2948)),LEFT(C2948,SEARCH("(",C2948)-1),C2948),Tipos!$A:$B,2,FALSE()),"outro"))</f>
        <v/>
      </c>
      <c r="K2948" s="7" t="str">
        <f aca="false">IF(I2948="","",IFERROR(INDEX('Campos Growths'!$L:$L,MATCH(H2948,'Campos Growths'!$A:$A,0)),""))</f>
        <v/>
      </c>
      <c r="L2948" s="7" t="str">
        <f aca="false">IF(A2948="","",IF(G2948="não","Sem tabela no Growths",IF(I2948="","Sem campo no Growths",IF(J2948=K2948,"Importa direto","Ajustar tipo"))))</f>
        <v/>
      </c>
      <c r="M2948" s="9"/>
    </row>
    <row r="2949" customFormat="false" ht="15" hidden="false" customHeight="false" outlineLevel="0" collapsed="false">
      <c r="A2949" s="7" t="str">
        <f aca="false">IF('Outro banco'!A2949="","",IF(LEFT('Outro banco'!A2949,1)="(","",'Outro banco'!A2949))</f>
        <v/>
      </c>
      <c r="B2949" s="7" t="str">
        <f aca="false">IF(A2949="","",'Outro banco'!B2949)</f>
        <v/>
      </c>
      <c r="C2949" s="7" t="str">
        <f aca="false">IF(A2949="","",'Outro banco'!C2949)</f>
        <v/>
      </c>
      <c r="D2949" s="7" t="str">
        <f aca="false">IF(A2949="","",'Outro banco'!D2949)</f>
        <v/>
      </c>
      <c r="E2949" s="9"/>
      <c r="F2949" s="9"/>
      <c r="G2949" s="7" t="str">
        <f aca="false">IF(A2949="","",IF(COUNTIF(Tabelas!$A:$A,IF(E2949="",A2949,E2949))&gt;0,"sim","não"))</f>
        <v/>
      </c>
      <c r="H2949" s="7" t="str">
        <f aca="false">IF(A2949="","",IF(E2949="",A2949,E2949)&amp;"."&amp;IF(F2949="",B2949,F2949))</f>
        <v/>
      </c>
      <c r="I2949" s="7" t="str">
        <f aca="false">IF(A2949="","",IFERROR(INDEX('Campos Growths'!$F:$F,MATCH(H2949,'Campos Growths'!$A:$A,0)),""))</f>
        <v/>
      </c>
      <c r="J2949" s="7" t="str">
        <f aca="false">IF(A2949="","",IFERROR(VLOOKUP(IF(ISNUMBER(SEARCH("(",C2949)),LEFT(C2949,SEARCH("(",C2949)-1),C2949),Tipos!$A:$B,2,FALSE()),"outro"))</f>
        <v/>
      </c>
      <c r="K2949" s="7" t="str">
        <f aca="false">IF(I2949="","",IFERROR(INDEX('Campos Growths'!$L:$L,MATCH(H2949,'Campos Growths'!$A:$A,0)),""))</f>
        <v/>
      </c>
      <c r="L2949" s="7" t="str">
        <f aca="false">IF(A2949="","",IF(G2949="não","Sem tabela no Growths",IF(I2949="","Sem campo no Growths",IF(J2949=K2949,"Importa direto","Ajustar tipo"))))</f>
        <v/>
      </c>
      <c r="M2949" s="9"/>
    </row>
    <row r="2950" customFormat="false" ht="15" hidden="false" customHeight="false" outlineLevel="0" collapsed="false">
      <c r="A2950" s="7" t="str">
        <f aca="false">IF('Outro banco'!A2950="","",IF(LEFT('Outro banco'!A2950,1)="(","",'Outro banco'!A2950))</f>
        <v/>
      </c>
      <c r="B2950" s="7" t="str">
        <f aca="false">IF(A2950="","",'Outro banco'!B2950)</f>
        <v/>
      </c>
      <c r="C2950" s="7" t="str">
        <f aca="false">IF(A2950="","",'Outro banco'!C2950)</f>
        <v/>
      </c>
      <c r="D2950" s="7" t="str">
        <f aca="false">IF(A2950="","",'Outro banco'!D2950)</f>
        <v/>
      </c>
      <c r="E2950" s="9"/>
      <c r="F2950" s="9"/>
      <c r="G2950" s="7" t="str">
        <f aca="false">IF(A2950="","",IF(COUNTIF(Tabelas!$A:$A,IF(E2950="",A2950,E2950))&gt;0,"sim","não"))</f>
        <v/>
      </c>
      <c r="H2950" s="7" t="str">
        <f aca="false">IF(A2950="","",IF(E2950="",A2950,E2950)&amp;"."&amp;IF(F2950="",B2950,F2950))</f>
        <v/>
      </c>
      <c r="I2950" s="7" t="str">
        <f aca="false">IF(A2950="","",IFERROR(INDEX('Campos Growths'!$F:$F,MATCH(H2950,'Campos Growths'!$A:$A,0)),""))</f>
        <v/>
      </c>
      <c r="J2950" s="7" t="str">
        <f aca="false">IF(A2950="","",IFERROR(VLOOKUP(IF(ISNUMBER(SEARCH("(",C2950)),LEFT(C2950,SEARCH("(",C2950)-1),C2950),Tipos!$A:$B,2,FALSE()),"outro"))</f>
        <v/>
      </c>
      <c r="K2950" s="7" t="str">
        <f aca="false">IF(I2950="","",IFERROR(INDEX('Campos Growths'!$L:$L,MATCH(H2950,'Campos Growths'!$A:$A,0)),""))</f>
        <v/>
      </c>
      <c r="L2950" s="7" t="str">
        <f aca="false">IF(A2950="","",IF(G2950="não","Sem tabela no Growths",IF(I2950="","Sem campo no Growths",IF(J2950=K2950,"Importa direto","Ajustar tipo"))))</f>
        <v/>
      </c>
      <c r="M2950" s="9"/>
    </row>
    <row r="2951" customFormat="false" ht="15" hidden="false" customHeight="false" outlineLevel="0" collapsed="false">
      <c r="A2951" s="7" t="str">
        <f aca="false">IF('Outro banco'!A2951="","",IF(LEFT('Outro banco'!A2951,1)="(","",'Outro banco'!A2951))</f>
        <v/>
      </c>
      <c r="B2951" s="7" t="str">
        <f aca="false">IF(A2951="","",'Outro banco'!B2951)</f>
        <v/>
      </c>
      <c r="C2951" s="7" t="str">
        <f aca="false">IF(A2951="","",'Outro banco'!C2951)</f>
        <v/>
      </c>
      <c r="D2951" s="7" t="str">
        <f aca="false">IF(A2951="","",'Outro banco'!D2951)</f>
        <v/>
      </c>
      <c r="E2951" s="9"/>
      <c r="F2951" s="9"/>
      <c r="G2951" s="7" t="str">
        <f aca="false">IF(A2951="","",IF(COUNTIF(Tabelas!$A:$A,IF(E2951="",A2951,E2951))&gt;0,"sim","não"))</f>
        <v/>
      </c>
      <c r="H2951" s="7" t="str">
        <f aca="false">IF(A2951="","",IF(E2951="",A2951,E2951)&amp;"."&amp;IF(F2951="",B2951,F2951))</f>
        <v/>
      </c>
      <c r="I2951" s="7" t="str">
        <f aca="false">IF(A2951="","",IFERROR(INDEX('Campos Growths'!$F:$F,MATCH(H2951,'Campos Growths'!$A:$A,0)),""))</f>
        <v/>
      </c>
      <c r="J2951" s="7" t="str">
        <f aca="false">IF(A2951="","",IFERROR(VLOOKUP(IF(ISNUMBER(SEARCH("(",C2951)),LEFT(C2951,SEARCH("(",C2951)-1),C2951),Tipos!$A:$B,2,FALSE()),"outro"))</f>
        <v/>
      </c>
      <c r="K2951" s="7" t="str">
        <f aca="false">IF(I2951="","",IFERROR(INDEX('Campos Growths'!$L:$L,MATCH(H2951,'Campos Growths'!$A:$A,0)),""))</f>
        <v/>
      </c>
      <c r="L2951" s="7" t="str">
        <f aca="false">IF(A2951="","",IF(G2951="não","Sem tabela no Growths",IF(I2951="","Sem campo no Growths",IF(J2951=K2951,"Importa direto","Ajustar tipo"))))</f>
        <v/>
      </c>
      <c r="M2951" s="9"/>
    </row>
    <row r="2952" customFormat="false" ht="15" hidden="false" customHeight="false" outlineLevel="0" collapsed="false">
      <c r="A2952" s="7" t="str">
        <f aca="false">IF('Outro banco'!A2952="","",IF(LEFT('Outro banco'!A2952,1)="(","",'Outro banco'!A2952))</f>
        <v/>
      </c>
      <c r="B2952" s="7" t="str">
        <f aca="false">IF(A2952="","",'Outro banco'!B2952)</f>
        <v/>
      </c>
      <c r="C2952" s="7" t="str">
        <f aca="false">IF(A2952="","",'Outro banco'!C2952)</f>
        <v/>
      </c>
      <c r="D2952" s="7" t="str">
        <f aca="false">IF(A2952="","",'Outro banco'!D2952)</f>
        <v/>
      </c>
      <c r="E2952" s="9"/>
      <c r="F2952" s="9"/>
      <c r="G2952" s="7" t="str">
        <f aca="false">IF(A2952="","",IF(COUNTIF(Tabelas!$A:$A,IF(E2952="",A2952,E2952))&gt;0,"sim","não"))</f>
        <v/>
      </c>
      <c r="H2952" s="7" t="str">
        <f aca="false">IF(A2952="","",IF(E2952="",A2952,E2952)&amp;"."&amp;IF(F2952="",B2952,F2952))</f>
        <v/>
      </c>
      <c r="I2952" s="7" t="str">
        <f aca="false">IF(A2952="","",IFERROR(INDEX('Campos Growths'!$F:$F,MATCH(H2952,'Campos Growths'!$A:$A,0)),""))</f>
        <v/>
      </c>
      <c r="J2952" s="7" t="str">
        <f aca="false">IF(A2952="","",IFERROR(VLOOKUP(IF(ISNUMBER(SEARCH("(",C2952)),LEFT(C2952,SEARCH("(",C2952)-1),C2952),Tipos!$A:$B,2,FALSE()),"outro"))</f>
        <v/>
      </c>
      <c r="K2952" s="7" t="str">
        <f aca="false">IF(I2952="","",IFERROR(INDEX('Campos Growths'!$L:$L,MATCH(H2952,'Campos Growths'!$A:$A,0)),""))</f>
        <v/>
      </c>
      <c r="L2952" s="7" t="str">
        <f aca="false">IF(A2952="","",IF(G2952="não","Sem tabela no Growths",IF(I2952="","Sem campo no Growths",IF(J2952=K2952,"Importa direto","Ajustar tipo"))))</f>
        <v/>
      </c>
      <c r="M2952" s="9"/>
    </row>
    <row r="2953" customFormat="false" ht="15" hidden="false" customHeight="false" outlineLevel="0" collapsed="false">
      <c r="A2953" s="7" t="str">
        <f aca="false">IF('Outro banco'!A2953="","",IF(LEFT('Outro banco'!A2953,1)="(","",'Outro banco'!A2953))</f>
        <v/>
      </c>
      <c r="B2953" s="7" t="str">
        <f aca="false">IF(A2953="","",'Outro banco'!B2953)</f>
        <v/>
      </c>
      <c r="C2953" s="7" t="str">
        <f aca="false">IF(A2953="","",'Outro banco'!C2953)</f>
        <v/>
      </c>
      <c r="D2953" s="7" t="str">
        <f aca="false">IF(A2953="","",'Outro banco'!D2953)</f>
        <v/>
      </c>
      <c r="E2953" s="9"/>
      <c r="F2953" s="9"/>
      <c r="G2953" s="7" t="str">
        <f aca="false">IF(A2953="","",IF(COUNTIF(Tabelas!$A:$A,IF(E2953="",A2953,E2953))&gt;0,"sim","não"))</f>
        <v/>
      </c>
      <c r="H2953" s="7" t="str">
        <f aca="false">IF(A2953="","",IF(E2953="",A2953,E2953)&amp;"."&amp;IF(F2953="",B2953,F2953))</f>
        <v/>
      </c>
      <c r="I2953" s="7" t="str">
        <f aca="false">IF(A2953="","",IFERROR(INDEX('Campos Growths'!$F:$F,MATCH(H2953,'Campos Growths'!$A:$A,0)),""))</f>
        <v/>
      </c>
      <c r="J2953" s="7" t="str">
        <f aca="false">IF(A2953="","",IFERROR(VLOOKUP(IF(ISNUMBER(SEARCH("(",C2953)),LEFT(C2953,SEARCH("(",C2953)-1),C2953),Tipos!$A:$B,2,FALSE()),"outro"))</f>
        <v/>
      </c>
      <c r="K2953" s="7" t="str">
        <f aca="false">IF(I2953="","",IFERROR(INDEX('Campos Growths'!$L:$L,MATCH(H2953,'Campos Growths'!$A:$A,0)),""))</f>
        <v/>
      </c>
      <c r="L2953" s="7" t="str">
        <f aca="false">IF(A2953="","",IF(G2953="não","Sem tabela no Growths",IF(I2953="","Sem campo no Growths",IF(J2953=K2953,"Importa direto","Ajustar tipo"))))</f>
        <v/>
      </c>
      <c r="M2953" s="9"/>
    </row>
    <row r="2954" customFormat="false" ht="15" hidden="false" customHeight="false" outlineLevel="0" collapsed="false">
      <c r="A2954" s="7" t="str">
        <f aca="false">IF('Outro banco'!A2954="","",IF(LEFT('Outro banco'!A2954,1)="(","",'Outro banco'!A2954))</f>
        <v/>
      </c>
      <c r="B2954" s="7" t="str">
        <f aca="false">IF(A2954="","",'Outro banco'!B2954)</f>
        <v/>
      </c>
      <c r="C2954" s="7" t="str">
        <f aca="false">IF(A2954="","",'Outro banco'!C2954)</f>
        <v/>
      </c>
      <c r="D2954" s="7" t="str">
        <f aca="false">IF(A2954="","",'Outro banco'!D2954)</f>
        <v/>
      </c>
      <c r="E2954" s="9"/>
      <c r="F2954" s="9"/>
      <c r="G2954" s="7" t="str">
        <f aca="false">IF(A2954="","",IF(COUNTIF(Tabelas!$A:$A,IF(E2954="",A2954,E2954))&gt;0,"sim","não"))</f>
        <v/>
      </c>
      <c r="H2954" s="7" t="str">
        <f aca="false">IF(A2954="","",IF(E2954="",A2954,E2954)&amp;"."&amp;IF(F2954="",B2954,F2954))</f>
        <v/>
      </c>
      <c r="I2954" s="7" t="str">
        <f aca="false">IF(A2954="","",IFERROR(INDEX('Campos Growths'!$F:$F,MATCH(H2954,'Campos Growths'!$A:$A,0)),""))</f>
        <v/>
      </c>
      <c r="J2954" s="7" t="str">
        <f aca="false">IF(A2954="","",IFERROR(VLOOKUP(IF(ISNUMBER(SEARCH("(",C2954)),LEFT(C2954,SEARCH("(",C2954)-1),C2954),Tipos!$A:$B,2,FALSE()),"outro"))</f>
        <v/>
      </c>
      <c r="K2954" s="7" t="str">
        <f aca="false">IF(I2954="","",IFERROR(INDEX('Campos Growths'!$L:$L,MATCH(H2954,'Campos Growths'!$A:$A,0)),""))</f>
        <v/>
      </c>
      <c r="L2954" s="7" t="str">
        <f aca="false">IF(A2954="","",IF(G2954="não","Sem tabela no Growths",IF(I2954="","Sem campo no Growths",IF(J2954=K2954,"Importa direto","Ajustar tipo"))))</f>
        <v/>
      </c>
      <c r="M2954" s="9"/>
    </row>
    <row r="2955" customFormat="false" ht="15" hidden="false" customHeight="false" outlineLevel="0" collapsed="false">
      <c r="A2955" s="7" t="str">
        <f aca="false">IF('Outro banco'!A2955="","",IF(LEFT('Outro banco'!A2955,1)="(","",'Outro banco'!A2955))</f>
        <v/>
      </c>
      <c r="B2955" s="7" t="str">
        <f aca="false">IF(A2955="","",'Outro banco'!B2955)</f>
        <v/>
      </c>
      <c r="C2955" s="7" t="str">
        <f aca="false">IF(A2955="","",'Outro banco'!C2955)</f>
        <v/>
      </c>
      <c r="D2955" s="7" t="str">
        <f aca="false">IF(A2955="","",'Outro banco'!D2955)</f>
        <v/>
      </c>
      <c r="E2955" s="9"/>
      <c r="F2955" s="9"/>
      <c r="G2955" s="7" t="str">
        <f aca="false">IF(A2955="","",IF(COUNTIF(Tabelas!$A:$A,IF(E2955="",A2955,E2955))&gt;0,"sim","não"))</f>
        <v/>
      </c>
      <c r="H2955" s="7" t="str">
        <f aca="false">IF(A2955="","",IF(E2955="",A2955,E2955)&amp;"."&amp;IF(F2955="",B2955,F2955))</f>
        <v/>
      </c>
      <c r="I2955" s="7" t="str">
        <f aca="false">IF(A2955="","",IFERROR(INDEX('Campos Growths'!$F:$F,MATCH(H2955,'Campos Growths'!$A:$A,0)),""))</f>
        <v/>
      </c>
      <c r="J2955" s="7" t="str">
        <f aca="false">IF(A2955="","",IFERROR(VLOOKUP(IF(ISNUMBER(SEARCH("(",C2955)),LEFT(C2955,SEARCH("(",C2955)-1),C2955),Tipos!$A:$B,2,FALSE()),"outro"))</f>
        <v/>
      </c>
      <c r="K2955" s="7" t="str">
        <f aca="false">IF(I2955="","",IFERROR(INDEX('Campos Growths'!$L:$L,MATCH(H2955,'Campos Growths'!$A:$A,0)),""))</f>
        <v/>
      </c>
      <c r="L2955" s="7" t="str">
        <f aca="false">IF(A2955="","",IF(G2955="não","Sem tabela no Growths",IF(I2955="","Sem campo no Growths",IF(J2955=K2955,"Importa direto","Ajustar tipo"))))</f>
        <v/>
      </c>
      <c r="M2955" s="9"/>
    </row>
    <row r="2956" customFormat="false" ht="15" hidden="false" customHeight="false" outlineLevel="0" collapsed="false">
      <c r="A2956" s="7" t="str">
        <f aca="false">IF('Outro banco'!A2956="","",IF(LEFT('Outro banco'!A2956,1)="(","",'Outro banco'!A2956))</f>
        <v/>
      </c>
      <c r="B2956" s="7" t="str">
        <f aca="false">IF(A2956="","",'Outro banco'!B2956)</f>
        <v/>
      </c>
      <c r="C2956" s="7" t="str">
        <f aca="false">IF(A2956="","",'Outro banco'!C2956)</f>
        <v/>
      </c>
      <c r="D2956" s="7" t="str">
        <f aca="false">IF(A2956="","",'Outro banco'!D2956)</f>
        <v/>
      </c>
      <c r="E2956" s="9"/>
      <c r="F2956" s="9"/>
      <c r="G2956" s="7" t="str">
        <f aca="false">IF(A2956="","",IF(COUNTIF(Tabelas!$A:$A,IF(E2956="",A2956,E2956))&gt;0,"sim","não"))</f>
        <v/>
      </c>
      <c r="H2956" s="7" t="str">
        <f aca="false">IF(A2956="","",IF(E2956="",A2956,E2956)&amp;"."&amp;IF(F2956="",B2956,F2956))</f>
        <v/>
      </c>
      <c r="I2956" s="7" t="str">
        <f aca="false">IF(A2956="","",IFERROR(INDEX('Campos Growths'!$F:$F,MATCH(H2956,'Campos Growths'!$A:$A,0)),""))</f>
        <v/>
      </c>
      <c r="J2956" s="7" t="str">
        <f aca="false">IF(A2956="","",IFERROR(VLOOKUP(IF(ISNUMBER(SEARCH("(",C2956)),LEFT(C2956,SEARCH("(",C2956)-1),C2956),Tipos!$A:$B,2,FALSE()),"outro"))</f>
        <v/>
      </c>
      <c r="K2956" s="7" t="str">
        <f aca="false">IF(I2956="","",IFERROR(INDEX('Campos Growths'!$L:$L,MATCH(H2956,'Campos Growths'!$A:$A,0)),""))</f>
        <v/>
      </c>
      <c r="L2956" s="7" t="str">
        <f aca="false">IF(A2956="","",IF(G2956="não","Sem tabela no Growths",IF(I2956="","Sem campo no Growths",IF(J2956=K2956,"Importa direto","Ajustar tipo"))))</f>
        <v/>
      </c>
      <c r="M2956" s="9"/>
    </row>
    <row r="2957" customFormat="false" ht="15" hidden="false" customHeight="false" outlineLevel="0" collapsed="false">
      <c r="A2957" s="7" t="str">
        <f aca="false">IF('Outro banco'!A2957="","",IF(LEFT('Outro banco'!A2957,1)="(","",'Outro banco'!A2957))</f>
        <v/>
      </c>
      <c r="B2957" s="7" t="str">
        <f aca="false">IF(A2957="","",'Outro banco'!B2957)</f>
        <v/>
      </c>
      <c r="C2957" s="7" t="str">
        <f aca="false">IF(A2957="","",'Outro banco'!C2957)</f>
        <v/>
      </c>
      <c r="D2957" s="7" t="str">
        <f aca="false">IF(A2957="","",'Outro banco'!D2957)</f>
        <v/>
      </c>
      <c r="E2957" s="9"/>
      <c r="F2957" s="9"/>
      <c r="G2957" s="7" t="str">
        <f aca="false">IF(A2957="","",IF(COUNTIF(Tabelas!$A:$A,IF(E2957="",A2957,E2957))&gt;0,"sim","não"))</f>
        <v/>
      </c>
      <c r="H2957" s="7" t="str">
        <f aca="false">IF(A2957="","",IF(E2957="",A2957,E2957)&amp;"."&amp;IF(F2957="",B2957,F2957))</f>
        <v/>
      </c>
      <c r="I2957" s="7" t="str">
        <f aca="false">IF(A2957="","",IFERROR(INDEX('Campos Growths'!$F:$F,MATCH(H2957,'Campos Growths'!$A:$A,0)),""))</f>
        <v/>
      </c>
      <c r="J2957" s="7" t="str">
        <f aca="false">IF(A2957="","",IFERROR(VLOOKUP(IF(ISNUMBER(SEARCH("(",C2957)),LEFT(C2957,SEARCH("(",C2957)-1),C2957),Tipos!$A:$B,2,FALSE()),"outro"))</f>
        <v/>
      </c>
      <c r="K2957" s="7" t="str">
        <f aca="false">IF(I2957="","",IFERROR(INDEX('Campos Growths'!$L:$L,MATCH(H2957,'Campos Growths'!$A:$A,0)),""))</f>
        <v/>
      </c>
      <c r="L2957" s="7" t="str">
        <f aca="false">IF(A2957="","",IF(G2957="não","Sem tabela no Growths",IF(I2957="","Sem campo no Growths",IF(J2957=K2957,"Importa direto","Ajustar tipo"))))</f>
        <v/>
      </c>
      <c r="M2957" s="9"/>
    </row>
    <row r="2958" customFormat="false" ht="15" hidden="false" customHeight="false" outlineLevel="0" collapsed="false">
      <c r="A2958" s="7" t="str">
        <f aca="false">IF('Outro banco'!A2958="","",IF(LEFT('Outro banco'!A2958,1)="(","",'Outro banco'!A2958))</f>
        <v/>
      </c>
      <c r="B2958" s="7" t="str">
        <f aca="false">IF(A2958="","",'Outro banco'!B2958)</f>
        <v/>
      </c>
      <c r="C2958" s="7" t="str">
        <f aca="false">IF(A2958="","",'Outro banco'!C2958)</f>
        <v/>
      </c>
      <c r="D2958" s="7" t="str">
        <f aca="false">IF(A2958="","",'Outro banco'!D2958)</f>
        <v/>
      </c>
      <c r="E2958" s="9"/>
      <c r="F2958" s="9"/>
      <c r="G2958" s="7" t="str">
        <f aca="false">IF(A2958="","",IF(COUNTIF(Tabelas!$A:$A,IF(E2958="",A2958,E2958))&gt;0,"sim","não"))</f>
        <v/>
      </c>
      <c r="H2958" s="7" t="str">
        <f aca="false">IF(A2958="","",IF(E2958="",A2958,E2958)&amp;"."&amp;IF(F2958="",B2958,F2958))</f>
        <v/>
      </c>
      <c r="I2958" s="7" t="str">
        <f aca="false">IF(A2958="","",IFERROR(INDEX('Campos Growths'!$F:$F,MATCH(H2958,'Campos Growths'!$A:$A,0)),""))</f>
        <v/>
      </c>
      <c r="J2958" s="7" t="str">
        <f aca="false">IF(A2958="","",IFERROR(VLOOKUP(IF(ISNUMBER(SEARCH("(",C2958)),LEFT(C2958,SEARCH("(",C2958)-1),C2958),Tipos!$A:$B,2,FALSE()),"outro"))</f>
        <v/>
      </c>
      <c r="K2958" s="7" t="str">
        <f aca="false">IF(I2958="","",IFERROR(INDEX('Campos Growths'!$L:$L,MATCH(H2958,'Campos Growths'!$A:$A,0)),""))</f>
        <v/>
      </c>
      <c r="L2958" s="7" t="str">
        <f aca="false">IF(A2958="","",IF(G2958="não","Sem tabela no Growths",IF(I2958="","Sem campo no Growths",IF(J2958=K2958,"Importa direto","Ajustar tipo"))))</f>
        <v/>
      </c>
      <c r="M2958" s="9"/>
    </row>
    <row r="2959" customFormat="false" ht="15" hidden="false" customHeight="false" outlineLevel="0" collapsed="false">
      <c r="A2959" s="7" t="str">
        <f aca="false">IF('Outro banco'!A2959="","",IF(LEFT('Outro banco'!A2959,1)="(","",'Outro banco'!A2959))</f>
        <v/>
      </c>
      <c r="B2959" s="7" t="str">
        <f aca="false">IF(A2959="","",'Outro banco'!B2959)</f>
        <v/>
      </c>
      <c r="C2959" s="7" t="str">
        <f aca="false">IF(A2959="","",'Outro banco'!C2959)</f>
        <v/>
      </c>
      <c r="D2959" s="7" t="str">
        <f aca="false">IF(A2959="","",'Outro banco'!D2959)</f>
        <v/>
      </c>
      <c r="E2959" s="9"/>
      <c r="F2959" s="9"/>
      <c r="G2959" s="7" t="str">
        <f aca="false">IF(A2959="","",IF(COUNTIF(Tabelas!$A:$A,IF(E2959="",A2959,E2959))&gt;0,"sim","não"))</f>
        <v/>
      </c>
      <c r="H2959" s="7" t="str">
        <f aca="false">IF(A2959="","",IF(E2959="",A2959,E2959)&amp;"."&amp;IF(F2959="",B2959,F2959))</f>
        <v/>
      </c>
      <c r="I2959" s="7" t="str">
        <f aca="false">IF(A2959="","",IFERROR(INDEX('Campos Growths'!$F:$F,MATCH(H2959,'Campos Growths'!$A:$A,0)),""))</f>
        <v/>
      </c>
      <c r="J2959" s="7" t="str">
        <f aca="false">IF(A2959="","",IFERROR(VLOOKUP(IF(ISNUMBER(SEARCH("(",C2959)),LEFT(C2959,SEARCH("(",C2959)-1),C2959),Tipos!$A:$B,2,FALSE()),"outro"))</f>
        <v/>
      </c>
      <c r="K2959" s="7" t="str">
        <f aca="false">IF(I2959="","",IFERROR(INDEX('Campos Growths'!$L:$L,MATCH(H2959,'Campos Growths'!$A:$A,0)),""))</f>
        <v/>
      </c>
      <c r="L2959" s="7" t="str">
        <f aca="false">IF(A2959="","",IF(G2959="não","Sem tabela no Growths",IF(I2959="","Sem campo no Growths",IF(J2959=K2959,"Importa direto","Ajustar tipo"))))</f>
        <v/>
      </c>
      <c r="M2959" s="9"/>
    </row>
    <row r="2960" customFormat="false" ht="15" hidden="false" customHeight="false" outlineLevel="0" collapsed="false">
      <c r="A2960" s="7" t="str">
        <f aca="false">IF('Outro banco'!A2960="","",IF(LEFT('Outro banco'!A2960,1)="(","",'Outro banco'!A2960))</f>
        <v/>
      </c>
      <c r="B2960" s="7" t="str">
        <f aca="false">IF(A2960="","",'Outro banco'!B2960)</f>
        <v/>
      </c>
      <c r="C2960" s="7" t="str">
        <f aca="false">IF(A2960="","",'Outro banco'!C2960)</f>
        <v/>
      </c>
      <c r="D2960" s="7" t="str">
        <f aca="false">IF(A2960="","",'Outro banco'!D2960)</f>
        <v/>
      </c>
      <c r="E2960" s="9"/>
      <c r="F2960" s="9"/>
      <c r="G2960" s="7" t="str">
        <f aca="false">IF(A2960="","",IF(COUNTIF(Tabelas!$A:$A,IF(E2960="",A2960,E2960))&gt;0,"sim","não"))</f>
        <v/>
      </c>
      <c r="H2960" s="7" t="str">
        <f aca="false">IF(A2960="","",IF(E2960="",A2960,E2960)&amp;"."&amp;IF(F2960="",B2960,F2960))</f>
        <v/>
      </c>
      <c r="I2960" s="7" t="str">
        <f aca="false">IF(A2960="","",IFERROR(INDEX('Campos Growths'!$F:$F,MATCH(H2960,'Campos Growths'!$A:$A,0)),""))</f>
        <v/>
      </c>
      <c r="J2960" s="7" t="str">
        <f aca="false">IF(A2960="","",IFERROR(VLOOKUP(IF(ISNUMBER(SEARCH("(",C2960)),LEFT(C2960,SEARCH("(",C2960)-1),C2960),Tipos!$A:$B,2,FALSE()),"outro"))</f>
        <v/>
      </c>
      <c r="K2960" s="7" t="str">
        <f aca="false">IF(I2960="","",IFERROR(INDEX('Campos Growths'!$L:$L,MATCH(H2960,'Campos Growths'!$A:$A,0)),""))</f>
        <v/>
      </c>
      <c r="L2960" s="7" t="str">
        <f aca="false">IF(A2960="","",IF(G2960="não","Sem tabela no Growths",IF(I2960="","Sem campo no Growths",IF(J2960=K2960,"Importa direto","Ajustar tipo"))))</f>
        <v/>
      </c>
      <c r="M2960" s="9"/>
    </row>
    <row r="2961" customFormat="false" ht="15" hidden="false" customHeight="false" outlineLevel="0" collapsed="false">
      <c r="A2961" s="7" t="str">
        <f aca="false">IF('Outro banco'!A2961="","",IF(LEFT('Outro banco'!A2961,1)="(","",'Outro banco'!A2961))</f>
        <v/>
      </c>
      <c r="B2961" s="7" t="str">
        <f aca="false">IF(A2961="","",'Outro banco'!B2961)</f>
        <v/>
      </c>
      <c r="C2961" s="7" t="str">
        <f aca="false">IF(A2961="","",'Outro banco'!C2961)</f>
        <v/>
      </c>
      <c r="D2961" s="7" t="str">
        <f aca="false">IF(A2961="","",'Outro banco'!D2961)</f>
        <v/>
      </c>
      <c r="E2961" s="9"/>
      <c r="F2961" s="9"/>
      <c r="G2961" s="7" t="str">
        <f aca="false">IF(A2961="","",IF(COUNTIF(Tabelas!$A:$A,IF(E2961="",A2961,E2961))&gt;0,"sim","não"))</f>
        <v/>
      </c>
      <c r="H2961" s="7" t="str">
        <f aca="false">IF(A2961="","",IF(E2961="",A2961,E2961)&amp;"."&amp;IF(F2961="",B2961,F2961))</f>
        <v/>
      </c>
      <c r="I2961" s="7" t="str">
        <f aca="false">IF(A2961="","",IFERROR(INDEX('Campos Growths'!$F:$F,MATCH(H2961,'Campos Growths'!$A:$A,0)),""))</f>
        <v/>
      </c>
      <c r="J2961" s="7" t="str">
        <f aca="false">IF(A2961="","",IFERROR(VLOOKUP(IF(ISNUMBER(SEARCH("(",C2961)),LEFT(C2961,SEARCH("(",C2961)-1),C2961),Tipos!$A:$B,2,FALSE()),"outro"))</f>
        <v/>
      </c>
      <c r="K2961" s="7" t="str">
        <f aca="false">IF(I2961="","",IFERROR(INDEX('Campos Growths'!$L:$L,MATCH(H2961,'Campos Growths'!$A:$A,0)),""))</f>
        <v/>
      </c>
      <c r="L2961" s="7" t="str">
        <f aca="false">IF(A2961="","",IF(G2961="não","Sem tabela no Growths",IF(I2961="","Sem campo no Growths",IF(J2961=K2961,"Importa direto","Ajustar tipo"))))</f>
        <v/>
      </c>
      <c r="M2961" s="9"/>
    </row>
    <row r="2962" customFormat="false" ht="15" hidden="false" customHeight="false" outlineLevel="0" collapsed="false">
      <c r="A2962" s="7" t="str">
        <f aca="false">IF('Outro banco'!A2962="","",IF(LEFT('Outro banco'!A2962,1)="(","",'Outro banco'!A2962))</f>
        <v/>
      </c>
      <c r="B2962" s="7" t="str">
        <f aca="false">IF(A2962="","",'Outro banco'!B2962)</f>
        <v/>
      </c>
      <c r="C2962" s="7" t="str">
        <f aca="false">IF(A2962="","",'Outro banco'!C2962)</f>
        <v/>
      </c>
      <c r="D2962" s="7" t="str">
        <f aca="false">IF(A2962="","",'Outro banco'!D2962)</f>
        <v/>
      </c>
      <c r="E2962" s="9"/>
      <c r="F2962" s="9"/>
      <c r="G2962" s="7" t="str">
        <f aca="false">IF(A2962="","",IF(COUNTIF(Tabelas!$A:$A,IF(E2962="",A2962,E2962))&gt;0,"sim","não"))</f>
        <v/>
      </c>
      <c r="H2962" s="7" t="str">
        <f aca="false">IF(A2962="","",IF(E2962="",A2962,E2962)&amp;"."&amp;IF(F2962="",B2962,F2962))</f>
        <v/>
      </c>
      <c r="I2962" s="7" t="str">
        <f aca="false">IF(A2962="","",IFERROR(INDEX('Campos Growths'!$F:$F,MATCH(H2962,'Campos Growths'!$A:$A,0)),""))</f>
        <v/>
      </c>
      <c r="J2962" s="7" t="str">
        <f aca="false">IF(A2962="","",IFERROR(VLOOKUP(IF(ISNUMBER(SEARCH("(",C2962)),LEFT(C2962,SEARCH("(",C2962)-1),C2962),Tipos!$A:$B,2,FALSE()),"outro"))</f>
        <v/>
      </c>
      <c r="K2962" s="7" t="str">
        <f aca="false">IF(I2962="","",IFERROR(INDEX('Campos Growths'!$L:$L,MATCH(H2962,'Campos Growths'!$A:$A,0)),""))</f>
        <v/>
      </c>
      <c r="L2962" s="7" t="str">
        <f aca="false">IF(A2962="","",IF(G2962="não","Sem tabela no Growths",IF(I2962="","Sem campo no Growths",IF(J2962=K2962,"Importa direto","Ajustar tipo"))))</f>
        <v/>
      </c>
      <c r="M2962" s="9"/>
    </row>
    <row r="2963" customFormat="false" ht="15" hidden="false" customHeight="false" outlineLevel="0" collapsed="false">
      <c r="A2963" s="7" t="str">
        <f aca="false">IF('Outro banco'!A2963="","",IF(LEFT('Outro banco'!A2963,1)="(","",'Outro banco'!A2963))</f>
        <v/>
      </c>
      <c r="B2963" s="7" t="str">
        <f aca="false">IF(A2963="","",'Outro banco'!B2963)</f>
        <v/>
      </c>
      <c r="C2963" s="7" t="str">
        <f aca="false">IF(A2963="","",'Outro banco'!C2963)</f>
        <v/>
      </c>
      <c r="D2963" s="7" t="str">
        <f aca="false">IF(A2963="","",'Outro banco'!D2963)</f>
        <v/>
      </c>
      <c r="E2963" s="9"/>
      <c r="F2963" s="9"/>
      <c r="G2963" s="7" t="str">
        <f aca="false">IF(A2963="","",IF(COUNTIF(Tabelas!$A:$A,IF(E2963="",A2963,E2963))&gt;0,"sim","não"))</f>
        <v/>
      </c>
      <c r="H2963" s="7" t="str">
        <f aca="false">IF(A2963="","",IF(E2963="",A2963,E2963)&amp;"."&amp;IF(F2963="",B2963,F2963))</f>
        <v/>
      </c>
      <c r="I2963" s="7" t="str">
        <f aca="false">IF(A2963="","",IFERROR(INDEX('Campos Growths'!$F:$F,MATCH(H2963,'Campos Growths'!$A:$A,0)),""))</f>
        <v/>
      </c>
      <c r="J2963" s="7" t="str">
        <f aca="false">IF(A2963="","",IFERROR(VLOOKUP(IF(ISNUMBER(SEARCH("(",C2963)),LEFT(C2963,SEARCH("(",C2963)-1),C2963),Tipos!$A:$B,2,FALSE()),"outro"))</f>
        <v/>
      </c>
      <c r="K2963" s="7" t="str">
        <f aca="false">IF(I2963="","",IFERROR(INDEX('Campos Growths'!$L:$L,MATCH(H2963,'Campos Growths'!$A:$A,0)),""))</f>
        <v/>
      </c>
      <c r="L2963" s="7" t="str">
        <f aca="false">IF(A2963="","",IF(G2963="não","Sem tabela no Growths",IF(I2963="","Sem campo no Growths",IF(J2963=K2963,"Importa direto","Ajustar tipo"))))</f>
        <v/>
      </c>
      <c r="M2963" s="9"/>
    </row>
    <row r="2964" customFormat="false" ht="15" hidden="false" customHeight="false" outlineLevel="0" collapsed="false">
      <c r="A2964" s="7" t="str">
        <f aca="false">IF('Outro banco'!A2964="","",IF(LEFT('Outro banco'!A2964,1)="(","",'Outro banco'!A2964))</f>
        <v/>
      </c>
      <c r="B2964" s="7" t="str">
        <f aca="false">IF(A2964="","",'Outro banco'!B2964)</f>
        <v/>
      </c>
      <c r="C2964" s="7" t="str">
        <f aca="false">IF(A2964="","",'Outro banco'!C2964)</f>
        <v/>
      </c>
      <c r="D2964" s="7" t="str">
        <f aca="false">IF(A2964="","",'Outro banco'!D2964)</f>
        <v/>
      </c>
      <c r="E2964" s="9"/>
      <c r="F2964" s="9"/>
      <c r="G2964" s="7" t="str">
        <f aca="false">IF(A2964="","",IF(COUNTIF(Tabelas!$A:$A,IF(E2964="",A2964,E2964))&gt;0,"sim","não"))</f>
        <v/>
      </c>
      <c r="H2964" s="7" t="str">
        <f aca="false">IF(A2964="","",IF(E2964="",A2964,E2964)&amp;"."&amp;IF(F2964="",B2964,F2964))</f>
        <v/>
      </c>
      <c r="I2964" s="7" t="str">
        <f aca="false">IF(A2964="","",IFERROR(INDEX('Campos Growths'!$F:$F,MATCH(H2964,'Campos Growths'!$A:$A,0)),""))</f>
        <v/>
      </c>
      <c r="J2964" s="7" t="str">
        <f aca="false">IF(A2964="","",IFERROR(VLOOKUP(IF(ISNUMBER(SEARCH("(",C2964)),LEFT(C2964,SEARCH("(",C2964)-1),C2964),Tipos!$A:$B,2,FALSE()),"outro"))</f>
        <v/>
      </c>
      <c r="K2964" s="7" t="str">
        <f aca="false">IF(I2964="","",IFERROR(INDEX('Campos Growths'!$L:$L,MATCH(H2964,'Campos Growths'!$A:$A,0)),""))</f>
        <v/>
      </c>
      <c r="L2964" s="7" t="str">
        <f aca="false">IF(A2964="","",IF(G2964="não","Sem tabela no Growths",IF(I2964="","Sem campo no Growths",IF(J2964=K2964,"Importa direto","Ajustar tipo"))))</f>
        <v/>
      </c>
      <c r="M2964" s="9"/>
    </row>
    <row r="2965" customFormat="false" ht="15" hidden="false" customHeight="false" outlineLevel="0" collapsed="false">
      <c r="A2965" s="7" t="str">
        <f aca="false">IF('Outro banco'!A2965="","",IF(LEFT('Outro banco'!A2965,1)="(","",'Outro banco'!A2965))</f>
        <v/>
      </c>
      <c r="B2965" s="7" t="str">
        <f aca="false">IF(A2965="","",'Outro banco'!B2965)</f>
        <v/>
      </c>
      <c r="C2965" s="7" t="str">
        <f aca="false">IF(A2965="","",'Outro banco'!C2965)</f>
        <v/>
      </c>
      <c r="D2965" s="7" t="str">
        <f aca="false">IF(A2965="","",'Outro banco'!D2965)</f>
        <v/>
      </c>
      <c r="E2965" s="9"/>
      <c r="F2965" s="9"/>
      <c r="G2965" s="7" t="str">
        <f aca="false">IF(A2965="","",IF(COUNTIF(Tabelas!$A:$A,IF(E2965="",A2965,E2965))&gt;0,"sim","não"))</f>
        <v/>
      </c>
      <c r="H2965" s="7" t="str">
        <f aca="false">IF(A2965="","",IF(E2965="",A2965,E2965)&amp;"."&amp;IF(F2965="",B2965,F2965))</f>
        <v/>
      </c>
      <c r="I2965" s="7" t="str">
        <f aca="false">IF(A2965="","",IFERROR(INDEX('Campos Growths'!$F:$F,MATCH(H2965,'Campos Growths'!$A:$A,0)),""))</f>
        <v/>
      </c>
      <c r="J2965" s="7" t="str">
        <f aca="false">IF(A2965="","",IFERROR(VLOOKUP(IF(ISNUMBER(SEARCH("(",C2965)),LEFT(C2965,SEARCH("(",C2965)-1),C2965),Tipos!$A:$B,2,FALSE()),"outro"))</f>
        <v/>
      </c>
      <c r="K2965" s="7" t="str">
        <f aca="false">IF(I2965="","",IFERROR(INDEX('Campos Growths'!$L:$L,MATCH(H2965,'Campos Growths'!$A:$A,0)),""))</f>
        <v/>
      </c>
      <c r="L2965" s="7" t="str">
        <f aca="false">IF(A2965="","",IF(G2965="não","Sem tabela no Growths",IF(I2965="","Sem campo no Growths",IF(J2965=K2965,"Importa direto","Ajustar tipo"))))</f>
        <v/>
      </c>
      <c r="M2965" s="9"/>
    </row>
    <row r="2966" customFormat="false" ht="15" hidden="false" customHeight="false" outlineLevel="0" collapsed="false">
      <c r="A2966" s="7" t="str">
        <f aca="false">IF('Outro banco'!A2966="","",IF(LEFT('Outro banco'!A2966,1)="(","",'Outro banco'!A2966))</f>
        <v/>
      </c>
      <c r="B2966" s="7" t="str">
        <f aca="false">IF(A2966="","",'Outro banco'!B2966)</f>
        <v/>
      </c>
      <c r="C2966" s="7" t="str">
        <f aca="false">IF(A2966="","",'Outro banco'!C2966)</f>
        <v/>
      </c>
      <c r="D2966" s="7" t="str">
        <f aca="false">IF(A2966="","",'Outro banco'!D2966)</f>
        <v/>
      </c>
      <c r="E2966" s="9"/>
      <c r="F2966" s="9"/>
      <c r="G2966" s="7" t="str">
        <f aca="false">IF(A2966="","",IF(COUNTIF(Tabelas!$A:$A,IF(E2966="",A2966,E2966))&gt;0,"sim","não"))</f>
        <v/>
      </c>
      <c r="H2966" s="7" t="str">
        <f aca="false">IF(A2966="","",IF(E2966="",A2966,E2966)&amp;"."&amp;IF(F2966="",B2966,F2966))</f>
        <v/>
      </c>
      <c r="I2966" s="7" t="str">
        <f aca="false">IF(A2966="","",IFERROR(INDEX('Campos Growths'!$F:$F,MATCH(H2966,'Campos Growths'!$A:$A,0)),""))</f>
        <v/>
      </c>
      <c r="J2966" s="7" t="str">
        <f aca="false">IF(A2966="","",IFERROR(VLOOKUP(IF(ISNUMBER(SEARCH("(",C2966)),LEFT(C2966,SEARCH("(",C2966)-1),C2966),Tipos!$A:$B,2,FALSE()),"outro"))</f>
        <v/>
      </c>
      <c r="K2966" s="7" t="str">
        <f aca="false">IF(I2966="","",IFERROR(INDEX('Campos Growths'!$L:$L,MATCH(H2966,'Campos Growths'!$A:$A,0)),""))</f>
        <v/>
      </c>
      <c r="L2966" s="7" t="str">
        <f aca="false">IF(A2966="","",IF(G2966="não","Sem tabela no Growths",IF(I2966="","Sem campo no Growths",IF(J2966=K2966,"Importa direto","Ajustar tipo"))))</f>
        <v/>
      </c>
      <c r="M2966" s="9"/>
    </row>
    <row r="2967" customFormat="false" ht="15" hidden="false" customHeight="false" outlineLevel="0" collapsed="false">
      <c r="A2967" s="7" t="str">
        <f aca="false">IF('Outro banco'!A2967="","",IF(LEFT('Outro banco'!A2967,1)="(","",'Outro banco'!A2967))</f>
        <v/>
      </c>
      <c r="B2967" s="7" t="str">
        <f aca="false">IF(A2967="","",'Outro banco'!B2967)</f>
        <v/>
      </c>
      <c r="C2967" s="7" t="str">
        <f aca="false">IF(A2967="","",'Outro banco'!C2967)</f>
        <v/>
      </c>
      <c r="D2967" s="7" t="str">
        <f aca="false">IF(A2967="","",'Outro banco'!D2967)</f>
        <v/>
      </c>
      <c r="E2967" s="9"/>
      <c r="F2967" s="9"/>
      <c r="G2967" s="7" t="str">
        <f aca="false">IF(A2967="","",IF(COUNTIF(Tabelas!$A:$A,IF(E2967="",A2967,E2967))&gt;0,"sim","não"))</f>
        <v/>
      </c>
      <c r="H2967" s="7" t="str">
        <f aca="false">IF(A2967="","",IF(E2967="",A2967,E2967)&amp;"."&amp;IF(F2967="",B2967,F2967))</f>
        <v/>
      </c>
      <c r="I2967" s="7" t="str">
        <f aca="false">IF(A2967="","",IFERROR(INDEX('Campos Growths'!$F:$F,MATCH(H2967,'Campos Growths'!$A:$A,0)),""))</f>
        <v/>
      </c>
      <c r="J2967" s="7" t="str">
        <f aca="false">IF(A2967="","",IFERROR(VLOOKUP(IF(ISNUMBER(SEARCH("(",C2967)),LEFT(C2967,SEARCH("(",C2967)-1),C2967),Tipos!$A:$B,2,FALSE()),"outro"))</f>
        <v/>
      </c>
      <c r="K2967" s="7" t="str">
        <f aca="false">IF(I2967="","",IFERROR(INDEX('Campos Growths'!$L:$L,MATCH(H2967,'Campos Growths'!$A:$A,0)),""))</f>
        <v/>
      </c>
      <c r="L2967" s="7" t="str">
        <f aca="false">IF(A2967="","",IF(G2967="não","Sem tabela no Growths",IF(I2967="","Sem campo no Growths",IF(J2967=K2967,"Importa direto","Ajustar tipo"))))</f>
        <v/>
      </c>
      <c r="M2967" s="9"/>
    </row>
    <row r="2968" customFormat="false" ht="15" hidden="false" customHeight="false" outlineLevel="0" collapsed="false">
      <c r="A2968" s="7" t="str">
        <f aca="false">IF('Outro banco'!A2968="","",IF(LEFT('Outro banco'!A2968,1)="(","",'Outro banco'!A2968))</f>
        <v/>
      </c>
      <c r="B2968" s="7" t="str">
        <f aca="false">IF(A2968="","",'Outro banco'!B2968)</f>
        <v/>
      </c>
      <c r="C2968" s="7" t="str">
        <f aca="false">IF(A2968="","",'Outro banco'!C2968)</f>
        <v/>
      </c>
      <c r="D2968" s="7" t="str">
        <f aca="false">IF(A2968="","",'Outro banco'!D2968)</f>
        <v/>
      </c>
      <c r="E2968" s="9"/>
      <c r="F2968" s="9"/>
      <c r="G2968" s="7" t="str">
        <f aca="false">IF(A2968="","",IF(COUNTIF(Tabelas!$A:$A,IF(E2968="",A2968,E2968))&gt;0,"sim","não"))</f>
        <v/>
      </c>
      <c r="H2968" s="7" t="str">
        <f aca="false">IF(A2968="","",IF(E2968="",A2968,E2968)&amp;"."&amp;IF(F2968="",B2968,F2968))</f>
        <v/>
      </c>
      <c r="I2968" s="7" t="str">
        <f aca="false">IF(A2968="","",IFERROR(INDEX('Campos Growths'!$F:$F,MATCH(H2968,'Campos Growths'!$A:$A,0)),""))</f>
        <v/>
      </c>
      <c r="J2968" s="7" t="str">
        <f aca="false">IF(A2968="","",IFERROR(VLOOKUP(IF(ISNUMBER(SEARCH("(",C2968)),LEFT(C2968,SEARCH("(",C2968)-1),C2968),Tipos!$A:$B,2,FALSE()),"outro"))</f>
        <v/>
      </c>
      <c r="K2968" s="7" t="str">
        <f aca="false">IF(I2968="","",IFERROR(INDEX('Campos Growths'!$L:$L,MATCH(H2968,'Campos Growths'!$A:$A,0)),""))</f>
        <v/>
      </c>
      <c r="L2968" s="7" t="str">
        <f aca="false">IF(A2968="","",IF(G2968="não","Sem tabela no Growths",IF(I2968="","Sem campo no Growths",IF(J2968=K2968,"Importa direto","Ajustar tipo"))))</f>
        <v/>
      </c>
      <c r="M2968" s="9"/>
    </row>
    <row r="2969" customFormat="false" ht="15" hidden="false" customHeight="false" outlineLevel="0" collapsed="false">
      <c r="A2969" s="7" t="str">
        <f aca="false">IF('Outro banco'!A2969="","",IF(LEFT('Outro banco'!A2969,1)="(","",'Outro banco'!A2969))</f>
        <v/>
      </c>
      <c r="B2969" s="7" t="str">
        <f aca="false">IF(A2969="","",'Outro banco'!B2969)</f>
        <v/>
      </c>
      <c r="C2969" s="7" t="str">
        <f aca="false">IF(A2969="","",'Outro banco'!C2969)</f>
        <v/>
      </c>
      <c r="D2969" s="7" t="str">
        <f aca="false">IF(A2969="","",'Outro banco'!D2969)</f>
        <v/>
      </c>
      <c r="E2969" s="9"/>
      <c r="F2969" s="9"/>
      <c r="G2969" s="7" t="str">
        <f aca="false">IF(A2969="","",IF(COUNTIF(Tabelas!$A:$A,IF(E2969="",A2969,E2969))&gt;0,"sim","não"))</f>
        <v/>
      </c>
      <c r="H2969" s="7" t="str">
        <f aca="false">IF(A2969="","",IF(E2969="",A2969,E2969)&amp;"."&amp;IF(F2969="",B2969,F2969))</f>
        <v/>
      </c>
      <c r="I2969" s="7" t="str">
        <f aca="false">IF(A2969="","",IFERROR(INDEX('Campos Growths'!$F:$F,MATCH(H2969,'Campos Growths'!$A:$A,0)),""))</f>
        <v/>
      </c>
      <c r="J2969" s="7" t="str">
        <f aca="false">IF(A2969="","",IFERROR(VLOOKUP(IF(ISNUMBER(SEARCH("(",C2969)),LEFT(C2969,SEARCH("(",C2969)-1),C2969),Tipos!$A:$B,2,FALSE()),"outro"))</f>
        <v/>
      </c>
      <c r="K2969" s="7" t="str">
        <f aca="false">IF(I2969="","",IFERROR(INDEX('Campos Growths'!$L:$L,MATCH(H2969,'Campos Growths'!$A:$A,0)),""))</f>
        <v/>
      </c>
      <c r="L2969" s="7" t="str">
        <f aca="false">IF(A2969="","",IF(G2969="não","Sem tabela no Growths",IF(I2969="","Sem campo no Growths",IF(J2969=K2969,"Importa direto","Ajustar tipo"))))</f>
        <v/>
      </c>
      <c r="M2969" s="9"/>
    </row>
    <row r="2970" customFormat="false" ht="15" hidden="false" customHeight="false" outlineLevel="0" collapsed="false">
      <c r="A2970" s="7" t="str">
        <f aca="false">IF('Outro banco'!A2970="","",IF(LEFT('Outro banco'!A2970,1)="(","",'Outro banco'!A2970))</f>
        <v/>
      </c>
      <c r="B2970" s="7" t="str">
        <f aca="false">IF(A2970="","",'Outro banco'!B2970)</f>
        <v/>
      </c>
      <c r="C2970" s="7" t="str">
        <f aca="false">IF(A2970="","",'Outro banco'!C2970)</f>
        <v/>
      </c>
      <c r="D2970" s="7" t="str">
        <f aca="false">IF(A2970="","",'Outro banco'!D2970)</f>
        <v/>
      </c>
      <c r="E2970" s="9"/>
      <c r="F2970" s="9"/>
      <c r="G2970" s="7" t="str">
        <f aca="false">IF(A2970="","",IF(COUNTIF(Tabelas!$A:$A,IF(E2970="",A2970,E2970))&gt;0,"sim","não"))</f>
        <v/>
      </c>
      <c r="H2970" s="7" t="str">
        <f aca="false">IF(A2970="","",IF(E2970="",A2970,E2970)&amp;"."&amp;IF(F2970="",B2970,F2970))</f>
        <v/>
      </c>
      <c r="I2970" s="7" t="str">
        <f aca="false">IF(A2970="","",IFERROR(INDEX('Campos Growths'!$F:$F,MATCH(H2970,'Campos Growths'!$A:$A,0)),""))</f>
        <v/>
      </c>
      <c r="J2970" s="7" t="str">
        <f aca="false">IF(A2970="","",IFERROR(VLOOKUP(IF(ISNUMBER(SEARCH("(",C2970)),LEFT(C2970,SEARCH("(",C2970)-1),C2970),Tipos!$A:$B,2,FALSE()),"outro"))</f>
        <v/>
      </c>
      <c r="K2970" s="7" t="str">
        <f aca="false">IF(I2970="","",IFERROR(INDEX('Campos Growths'!$L:$L,MATCH(H2970,'Campos Growths'!$A:$A,0)),""))</f>
        <v/>
      </c>
      <c r="L2970" s="7" t="str">
        <f aca="false">IF(A2970="","",IF(G2970="não","Sem tabela no Growths",IF(I2970="","Sem campo no Growths",IF(J2970=K2970,"Importa direto","Ajustar tipo"))))</f>
        <v/>
      </c>
      <c r="M2970" s="9"/>
    </row>
    <row r="2971" customFormat="false" ht="15" hidden="false" customHeight="false" outlineLevel="0" collapsed="false">
      <c r="A2971" s="7" t="str">
        <f aca="false">IF('Outro banco'!A2971="","",IF(LEFT('Outro banco'!A2971,1)="(","",'Outro banco'!A2971))</f>
        <v/>
      </c>
      <c r="B2971" s="7" t="str">
        <f aca="false">IF(A2971="","",'Outro banco'!B2971)</f>
        <v/>
      </c>
      <c r="C2971" s="7" t="str">
        <f aca="false">IF(A2971="","",'Outro banco'!C2971)</f>
        <v/>
      </c>
      <c r="D2971" s="7" t="str">
        <f aca="false">IF(A2971="","",'Outro banco'!D2971)</f>
        <v/>
      </c>
      <c r="E2971" s="9"/>
      <c r="F2971" s="9"/>
      <c r="G2971" s="7" t="str">
        <f aca="false">IF(A2971="","",IF(COUNTIF(Tabelas!$A:$A,IF(E2971="",A2971,E2971))&gt;0,"sim","não"))</f>
        <v/>
      </c>
      <c r="H2971" s="7" t="str">
        <f aca="false">IF(A2971="","",IF(E2971="",A2971,E2971)&amp;"."&amp;IF(F2971="",B2971,F2971))</f>
        <v/>
      </c>
      <c r="I2971" s="7" t="str">
        <f aca="false">IF(A2971="","",IFERROR(INDEX('Campos Growths'!$F:$F,MATCH(H2971,'Campos Growths'!$A:$A,0)),""))</f>
        <v/>
      </c>
      <c r="J2971" s="7" t="str">
        <f aca="false">IF(A2971="","",IFERROR(VLOOKUP(IF(ISNUMBER(SEARCH("(",C2971)),LEFT(C2971,SEARCH("(",C2971)-1),C2971),Tipos!$A:$B,2,FALSE()),"outro"))</f>
        <v/>
      </c>
      <c r="K2971" s="7" t="str">
        <f aca="false">IF(I2971="","",IFERROR(INDEX('Campos Growths'!$L:$L,MATCH(H2971,'Campos Growths'!$A:$A,0)),""))</f>
        <v/>
      </c>
      <c r="L2971" s="7" t="str">
        <f aca="false">IF(A2971="","",IF(G2971="não","Sem tabela no Growths",IF(I2971="","Sem campo no Growths",IF(J2971=K2971,"Importa direto","Ajustar tipo"))))</f>
        <v/>
      </c>
      <c r="M2971" s="9"/>
    </row>
    <row r="2972" customFormat="false" ht="15" hidden="false" customHeight="false" outlineLevel="0" collapsed="false">
      <c r="A2972" s="7" t="str">
        <f aca="false">IF('Outro banco'!A2972="","",IF(LEFT('Outro banco'!A2972,1)="(","",'Outro banco'!A2972))</f>
        <v/>
      </c>
      <c r="B2972" s="7" t="str">
        <f aca="false">IF(A2972="","",'Outro banco'!B2972)</f>
        <v/>
      </c>
      <c r="C2972" s="7" t="str">
        <f aca="false">IF(A2972="","",'Outro banco'!C2972)</f>
        <v/>
      </c>
      <c r="D2972" s="7" t="str">
        <f aca="false">IF(A2972="","",'Outro banco'!D2972)</f>
        <v/>
      </c>
      <c r="E2972" s="9"/>
      <c r="F2972" s="9"/>
      <c r="G2972" s="7" t="str">
        <f aca="false">IF(A2972="","",IF(COUNTIF(Tabelas!$A:$A,IF(E2972="",A2972,E2972))&gt;0,"sim","não"))</f>
        <v/>
      </c>
      <c r="H2972" s="7" t="str">
        <f aca="false">IF(A2972="","",IF(E2972="",A2972,E2972)&amp;"."&amp;IF(F2972="",B2972,F2972))</f>
        <v/>
      </c>
      <c r="I2972" s="7" t="str">
        <f aca="false">IF(A2972="","",IFERROR(INDEX('Campos Growths'!$F:$F,MATCH(H2972,'Campos Growths'!$A:$A,0)),""))</f>
        <v/>
      </c>
      <c r="J2972" s="7" t="str">
        <f aca="false">IF(A2972="","",IFERROR(VLOOKUP(IF(ISNUMBER(SEARCH("(",C2972)),LEFT(C2972,SEARCH("(",C2972)-1),C2972),Tipos!$A:$B,2,FALSE()),"outro"))</f>
        <v/>
      </c>
      <c r="K2972" s="7" t="str">
        <f aca="false">IF(I2972="","",IFERROR(INDEX('Campos Growths'!$L:$L,MATCH(H2972,'Campos Growths'!$A:$A,0)),""))</f>
        <v/>
      </c>
      <c r="L2972" s="7" t="str">
        <f aca="false">IF(A2972="","",IF(G2972="não","Sem tabela no Growths",IF(I2972="","Sem campo no Growths",IF(J2972=K2972,"Importa direto","Ajustar tipo"))))</f>
        <v/>
      </c>
      <c r="M2972" s="9"/>
    </row>
    <row r="2973" customFormat="false" ht="15" hidden="false" customHeight="false" outlineLevel="0" collapsed="false">
      <c r="A2973" s="7" t="str">
        <f aca="false">IF('Outro banco'!A2973="","",IF(LEFT('Outro banco'!A2973,1)="(","",'Outro banco'!A2973))</f>
        <v/>
      </c>
      <c r="B2973" s="7" t="str">
        <f aca="false">IF(A2973="","",'Outro banco'!B2973)</f>
        <v/>
      </c>
      <c r="C2973" s="7" t="str">
        <f aca="false">IF(A2973="","",'Outro banco'!C2973)</f>
        <v/>
      </c>
      <c r="D2973" s="7" t="str">
        <f aca="false">IF(A2973="","",'Outro banco'!D2973)</f>
        <v/>
      </c>
      <c r="E2973" s="9"/>
      <c r="F2973" s="9"/>
      <c r="G2973" s="7" t="str">
        <f aca="false">IF(A2973="","",IF(COUNTIF(Tabelas!$A:$A,IF(E2973="",A2973,E2973))&gt;0,"sim","não"))</f>
        <v/>
      </c>
      <c r="H2973" s="7" t="str">
        <f aca="false">IF(A2973="","",IF(E2973="",A2973,E2973)&amp;"."&amp;IF(F2973="",B2973,F2973))</f>
        <v/>
      </c>
      <c r="I2973" s="7" t="str">
        <f aca="false">IF(A2973="","",IFERROR(INDEX('Campos Growths'!$F:$F,MATCH(H2973,'Campos Growths'!$A:$A,0)),""))</f>
        <v/>
      </c>
      <c r="J2973" s="7" t="str">
        <f aca="false">IF(A2973="","",IFERROR(VLOOKUP(IF(ISNUMBER(SEARCH("(",C2973)),LEFT(C2973,SEARCH("(",C2973)-1),C2973),Tipos!$A:$B,2,FALSE()),"outro"))</f>
        <v/>
      </c>
      <c r="K2973" s="7" t="str">
        <f aca="false">IF(I2973="","",IFERROR(INDEX('Campos Growths'!$L:$L,MATCH(H2973,'Campos Growths'!$A:$A,0)),""))</f>
        <v/>
      </c>
      <c r="L2973" s="7" t="str">
        <f aca="false">IF(A2973="","",IF(G2973="não","Sem tabela no Growths",IF(I2973="","Sem campo no Growths",IF(J2973=K2973,"Importa direto","Ajustar tipo"))))</f>
        <v/>
      </c>
      <c r="M2973" s="9"/>
    </row>
    <row r="2974" customFormat="false" ht="15" hidden="false" customHeight="false" outlineLevel="0" collapsed="false">
      <c r="A2974" s="7" t="str">
        <f aca="false">IF('Outro banco'!A2974="","",IF(LEFT('Outro banco'!A2974,1)="(","",'Outro banco'!A2974))</f>
        <v/>
      </c>
      <c r="B2974" s="7" t="str">
        <f aca="false">IF(A2974="","",'Outro banco'!B2974)</f>
        <v/>
      </c>
      <c r="C2974" s="7" t="str">
        <f aca="false">IF(A2974="","",'Outro banco'!C2974)</f>
        <v/>
      </c>
      <c r="D2974" s="7" t="str">
        <f aca="false">IF(A2974="","",'Outro banco'!D2974)</f>
        <v/>
      </c>
      <c r="E2974" s="9"/>
      <c r="F2974" s="9"/>
      <c r="G2974" s="7" t="str">
        <f aca="false">IF(A2974="","",IF(COUNTIF(Tabelas!$A:$A,IF(E2974="",A2974,E2974))&gt;0,"sim","não"))</f>
        <v/>
      </c>
      <c r="H2974" s="7" t="str">
        <f aca="false">IF(A2974="","",IF(E2974="",A2974,E2974)&amp;"."&amp;IF(F2974="",B2974,F2974))</f>
        <v/>
      </c>
      <c r="I2974" s="7" t="str">
        <f aca="false">IF(A2974="","",IFERROR(INDEX('Campos Growths'!$F:$F,MATCH(H2974,'Campos Growths'!$A:$A,0)),""))</f>
        <v/>
      </c>
      <c r="J2974" s="7" t="str">
        <f aca="false">IF(A2974="","",IFERROR(VLOOKUP(IF(ISNUMBER(SEARCH("(",C2974)),LEFT(C2974,SEARCH("(",C2974)-1),C2974),Tipos!$A:$B,2,FALSE()),"outro"))</f>
        <v/>
      </c>
      <c r="K2974" s="7" t="str">
        <f aca="false">IF(I2974="","",IFERROR(INDEX('Campos Growths'!$L:$L,MATCH(H2974,'Campos Growths'!$A:$A,0)),""))</f>
        <v/>
      </c>
      <c r="L2974" s="7" t="str">
        <f aca="false">IF(A2974="","",IF(G2974="não","Sem tabela no Growths",IF(I2974="","Sem campo no Growths",IF(J2974=K2974,"Importa direto","Ajustar tipo"))))</f>
        <v/>
      </c>
      <c r="M2974" s="9"/>
    </row>
    <row r="2975" customFormat="false" ht="15" hidden="false" customHeight="false" outlineLevel="0" collapsed="false">
      <c r="A2975" s="7" t="str">
        <f aca="false">IF('Outro banco'!A2975="","",IF(LEFT('Outro banco'!A2975,1)="(","",'Outro banco'!A2975))</f>
        <v/>
      </c>
      <c r="B2975" s="7" t="str">
        <f aca="false">IF(A2975="","",'Outro banco'!B2975)</f>
        <v/>
      </c>
      <c r="C2975" s="7" t="str">
        <f aca="false">IF(A2975="","",'Outro banco'!C2975)</f>
        <v/>
      </c>
      <c r="D2975" s="7" t="str">
        <f aca="false">IF(A2975="","",'Outro banco'!D2975)</f>
        <v/>
      </c>
      <c r="E2975" s="9"/>
      <c r="F2975" s="9"/>
      <c r="G2975" s="7" t="str">
        <f aca="false">IF(A2975="","",IF(COUNTIF(Tabelas!$A:$A,IF(E2975="",A2975,E2975))&gt;0,"sim","não"))</f>
        <v/>
      </c>
      <c r="H2975" s="7" t="str">
        <f aca="false">IF(A2975="","",IF(E2975="",A2975,E2975)&amp;"."&amp;IF(F2975="",B2975,F2975))</f>
        <v/>
      </c>
      <c r="I2975" s="7" t="str">
        <f aca="false">IF(A2975="","",IFERROR(INDEX('Campos Growths'!$F:$F,MATCH(H2975,'Campos Growths'!$A:$A,0)),""))</f>
        <v/>
      </c>
      <c r="J2975" s="7" t="str">
        <f aca="false">IF(A2975="","",IFERROR(VLOOKUP(IF(ISNUMBER(SEARCH("(",C2975)),LEFT(C2975,SEARCH("(",C2975)-1),C2975),Tipos!$A:$B,2,FALSE()),"outro"))</f>
        <v/>
      </c>
      <c r="K2975" s="7" t="str">
        <f aca="false">IF(I2975="","",IFERROR(INDEX('Campos Growths'!$L:$L,MATCH(H2975,'Campos Growths'!$A:$A,0)),""))</f>
        <v/>
      </c>
      <c r="L2975" s="7" t="str">
        <f aca="false">IF(A2975="","",IF(G2975="não","Sem tabela no Growths",IF(I2975="","Sem campo no Growths",IF(J2975=K2975,"Importa direto","Ajustar tipo"))))</f>
        <v/>
      </c>
      <c r="M2975" s="9"/>
    </row>
    <row r="2976" customFormat="false" ht="15" hidden="false" customHeight="false" outlineLevel="0" collapsed="false">
      <c r="A2976" s="7" t="str">
        <f aca="false">IF('Outro banco'!A2976="","",IF(LEFT('Outro banco'!A2976,1)="(","",'Outro banco'!A2976))</f>
        <v/>
      </c>
      <c r="B2976" s="7" t="str">
        <f aca="false">IF(A2976="","",'Outro banco'!B2976)</f>
        <v/>
      </c>
      <c r="C2976" s="7" t="str">
        <f aca="false">IF(A2976="","",'Outro banco'!C2976)</f>
        <v/>
      </c>
      <c r="D2976" s="7" t="str">
        <f aca="false">IF(A2976="","",'Outro banco'!D2976)</f>
        <v/>
      </c>
      <c r="E2976" s="9"/>
      <c r="F2976" s="9"/>
      <c r="G2976" s="7" t="str">
        <f aca="false">IF(A2976="","",IF(COUNTIF(Tabelas!$A:$A,IF(E2976="",A2976,E2976))&gt;0,"sim","não"))</f>
        <v/>
      </c>
      <c r="H2976" s="7" t="str">
        <f aca="false">IF(A2976="","",IF(E2976="",A2976,E2976)&amp;"."&amp;IF(F2976="",B2976,F2976))</f>
        <v/>
      </c>
      <c r="I2976" s="7" t="str">
        <f aca="false">IF(A2976="","",IFERROR(INDEX('Campos Growths'!$F:$F,MATCH(H2976,'Campos Growths'!$A:$A,0)),""))</f>
        <v/>
      </c>
      <c r="J2976" s="7" t="str">
        <f aca="false">IF(A2976="","",IFERROR(VLOOKUP(IF(ISNUMBER(SEARCH("(",C2976)),LEFT(C2976,SEARCH("(",C2976)-1),C2976),Tipos!$A:$B,2,FALSE()),"outro"))</f>
        <v/>
      </c>
      <c r="K2976" s="7" t="str">
        <f aca="false">IF(I2976="","",IFERROR(INDEX('Campos Growths'!$L:$L,MATCH(H2976,'Campos Growths'!$A:$A,0)),""))</f>
        <v/>
      </c>
      <c r="L2976" s="7" t="str">
        <f aca="false">IF(A2976="","",IF(G2976="não","Sem tabela no Growths",IF(I2976="","Sem campo no Growths",IF(J2976=K2976,"Importa direto","Ajustar tipo"))))</f>
        <v/>
      </c>
      <c r="M2976" s="9"/>
    </row>
    <row r="2977" customFormat="false" ht="15" hidden="false" customHeight="false" outlineLevel="0" collapsed="false">
      <c r="A2977" s="7" t="str">
        <f aca="false">IF('Outro banco'!A2977="","",IF(LEFT('Outro banco'!A2977,1)="(","",'Outro banco'!A2977))</f>
        <v/>
      </c>
      <c r="B2977" s="7" t="str">
        <f aca="false">IF(A2977="","",'Outro banco'!B2977)</f>
        <v/>
      </c>
      <c r="C2977" s="7" t="str">
        <f aca="false">IF(A2977="","",'Outro banco'!C2977)</f>
        <v/>
      </c>
      <c r="D2977" s="7" t="str">
        <f aca="false">IF(A2977="","",'Outro banco'!D2977)</f>
        <v/>
      </c>
      <c r="E2977" s="9"/>
      <c r="F2977" s="9"/>
      <c r="G2977" s="7" t="str">
        <f aca="false">IF(A2977="","",IF(COUNTIF(Tabelas!$A:$A,IF(E2977="",A2977,E2977))&gt;0,"sim","não"))</f>
        <v/>
      </c>
      <c r="H2977" s="7" t="str">
        <f aca="false">IF(A2977="","",IF(E2977="",A2977,E2977)&amp;"."&amp;IF(F2977="",B2977,F2977))</f>
        <v/>
      </c>
      <c r="I2977" s="7" t="str">
        <f aca="false">IF(A2977="","",IFERROR(INDEX('Campos Growths'!$F:$F,MATCH(H2977,'Campos Growths'!$A:$A,0)),""))</f>
        <v/>
      </c>
      <c r="J2977" s="7" t="str">
        <f aca="false">IF(A2977="","",IFERROR(VLOOKUP(IF(ISNUMBER(SEARCH("(",C2977)),LEFT(C2977,SEARCH("(",C2977)-1),C2977),Tipos!$A:$B,2,FALSE()),"outro"))</f>
        <v/>
      </c>
      <c r="K2977" s="7" t="str">
        <f aca="false">IF(I2977="","",IFERROR(INDEX('Campos Growths'!$L:$L,MATCH(H2977,'Campos Growths'!$A:$A,0)),""))</f>
        <v/>
      </c>
      <c r="L2977" s="7" t="str">
        <f aca="false">IF(A2977="","",IF(G2977="não","Sem tabela no Growths",IF(I2977="","Sem campo no Growths",IF(J2977=K2977,"Importa direto","Ajustar tipo"))))</f>
        <v/>
      </c>
      <c r="M2977" s="9"/>
    </row>
    <row r="2978" customFormat="false" ht="15" hidden="false" customHeight="false" outlineLevel="0" collapsed="false">
      <c r="A2978" s="7" t="str">
        <f aca="false">IF('Outro banco'!A2978="","",IF(LEFT('Outro banco'!A2978,1)="(","",'Outro banco'!A2978))</f>
        <v/>
      </c>
      <c r="B2978" s="7" t="str">
        <f aca="false">IF(A2978="","",'Outro banco'!B2978)</f>
        <v/>
      </c>
      <c r="C2978" s="7" t="str">
        <f aca="false">IF(A2978="","",'Outro banco'!C2978)</f>
        <v/>
      </c>
      <c r="D2978" s="7" t="str">
        <f aca="false">IF(A2978="","",'Outro banco'!D2978)</f>
        <v/>
      </c>
      <c r="E2978" s="9"/>
      <c r="F2978" s="9"/>
      <c r="G2978" s="7" t="str">
        <f aca="false">IF(A2978="","",IF(COUNTIF(Tabelas!$A:$A,IF(E2978="",A2978,E2978))&gt;0,"sim","não"))</f>
        <v/>
      </c>
      <c r="H2978" s="7" t="str">
        <f aca="false">IF(A2978="","",IF(E2978="",A2978,E2978)&amp;"."&amp;IF(F2978="",B2978,F2978))</f>
        <v/>
      </c>
      <c r="I2978" s="7" t="str">
        <f aca="false">IF(A2978="","",IFERROR(INDEX('Campos Growths'!$F:$F,MATCH(H2978,'Campos Growths'!$A:$A,0)),""))</f>
        <v/>
      </c>
      <c r="J2978" s="7" t="str">
        <f aca="false">IF(A2978="","",IFERROR(VLOOKUP(IF(ISNUMBER(SEARCH("(",C2978)),LEFT(C2978,SEARCH("(",C2978)-1),C2978),Tipos!$A:$B,2,FALSE()),"outro"))</f>
        <v/>
      </c>
      <c r="K2978" s="7" t="str">
        <f aca="false">IF(I2978="","",IFERROR(INDEX('Campos Growths'!$L:$L,MATCH(H2978,'Campos Growths'!$A:$A,0)),""))</f>
        <v/>
      </c>
      <c r="L2978" s="7" t="str">
        <f aca="false">IF(A2978="","",IF(G2978="não","Sem tabela no Growths",IF(I2978="","Sem campo no Growths",IF(J2978=K2978,"Importa direto","Ajustar tipo"))))</f>
        <v/>
      </c>
      <c r="M2978" s="9"/>
    </row>
    <row r="2979" customFormat="false" ht="15" hidden="false" customHeight="false" outlineLevel="0" collapsed="false">
      <c r="A2979" s="7" t="str">
        <f aca="false">IF('Outro banco'!A2979="","",IF(LEFT('Outro banco'!A2979,1)="(","",'Outro banco'!A2979))</f>
        <v/>
      </c>
      <c r="B2979" s="7" t="str">
        <f aca="false">IF(A2979="","",'Outro banco'!B2979)</f>
        <v/>
      </c>
      <c r="C2979" s="7" t="str">
        <f aca="false">IF(A2979="","",'Outro banco'!C2979)</f>
        <v/>
      </c>
      <c r="D2979" s="7" t="str">
        <f aca="false">IF(A2979="","",'Outro banco'!D2979)</f>
        <v/>
      </c>
      <c r="E2979" s="9"/>
      <c r="F2979" s="9"/>
      <c r="G2979" s="7" t="str">
        <f aca="false">IF(A2979="","",IF(COUNTIF(Tabelas!$A:$A,IF(E2979="",A2979,E2979))&gt;0,"sim","não"))</f>
        <v/>
      </c>
      <c r="H2979" s="7" t="str">
        <f aca="false">IF(A2979="","",IF(E2979="",A2979,E2979)&amp;"."&amp;IF(F2979="",B2979,F2979))</f>
        <v/>
      </c>
      <c r="I2979" s="7" t="str">
        <f aca="false">IF(A2979="","",IFERROR(INDEX('Campos Growths'!$F:$F,MATCH(H2979,'Campos Growths'!$A:$A,0)),""))</f>
        <v/>
      </c>
      <c r="J2979" s="7" t="str">
        <f aca="false">IF(A2979="","",IFERROR(VLOOKUP(IF(ISNUMBER(SEARCH("(",C2979)),LEFT(C2979,SEARCH("(",C2979)-1),C2979),Tipos!$A:$B,2,FALSE()),"outro"))</f>
        <v/>
      </c>
      <c r="K2979" s="7" t="str">
        <f aca="false">IF(I2979="","",IFERROR(INDEX('Campos Growths'!$L:$L,MATCH(H2979,'Campos Growths'!$A:$A,0)),""))</f>
        <v/>
      </c>
      <c r="L2979" s="7" t="str">
        <f aca="false">IF(A2979="","",IF(G2979="não","Sem tabela no Growths",IF(I2979="","Sem campo no Growths",IF(J2979=K2979,"Importa direto","Ajustar tipo"))))</f>
        <v/>
      </c>
      <c r="M2979" s="9"/>
    </row>
    <row r="2980" customFormat="false" ht="15" hidden="false" customHeight="false" outlineLevel="0" collapsed="false">
      <c r="A2980" s="7" t="str">
        <f aca="false">IF('Outro banco'!A2980="","",IF(LEFT('Outro banco'!A2980,1)="(","",'Outro banco'!A2980))</f>
        <v/>
      </c>
      <c r="B2980" s="7" t="str">
        <f aca="false">IF(A2980="","",'Outro banco'!B2980)</f>
        <v/>
      </c>
      <c r="C2980" s="7" t="str">
        <f aca="false">IF(A2980="","",'Outro banco'!C2980)</f>
        <v/>
      </c>
      <c r="D2980" s="7" t="str">
        <f aca="false">IF(A2980="","",'Outro banco'!D2980)</f>
        <v/>
      </c>
      <c r="E2980" s="9"/>
      <c r="F2980" s="9"/>
      <c r="G2980" s="7" t="str">
        <f aca="false">IF(A2980="","",IF(COUNTIF(Tabelas!$A:$A,IF(E2980="",A2980,E2980))&gt;0,"sim","não"))</f>
        <v/>
      </c>
      <c r="H2980" s="7" t="str">
        <f aca="false">IF(A2980="","",IF(E2980="",A2980,E2980)&amp;"."&amp;IF(F2980="",B2980,F2980))</f>
        <v/>
      </c>
      <c r="I2980" s="7" t="str">
        <f aca="false">IF(A2980="","",IFERROR(INDEX('Campos Growths'!$F:$F,MATCH(H2980,'Campos Growths'!$A:$A,0)),""))</f>
        <v/>
      </c>
      <c r="J2980" s="7" t="str">
        <f aca="false">IF(A2980="","",IFERROR(VLOOKUP(IF(ISNUMBER(SEARCH("(",C2980)),LEFT(C2980,SEARCH("(",C2980)-1),C2980),Tipos!$A:$B,2,FALSE()),"outro"))</f>
        <v/>
      </c>
      <c r="K2980" s="7" t="str">
        <f aca="false">IF(I2980="","",IFERROR(INDEX('Campos Growths'!$L:$L,MATCH(H2980,'Campos Growths'!$A:$A,0)),""))</f>
        <v/>
      </c>
      <c r="L2980" s="7" t="str">
        <f aca="false">IF(A2980="","",IF(G2980="não","Sem tabela no Growths",IF(I2980="","Sem campo no Growths",IF(J2980=K2980,"Importa direto","Ajustar tipo"))))</f>
        <v/>
      </c>
      <c r="M2980" s="9"/>
    </row>
    <row r="2981" customFormat="false" ht="15" hidden="false" customHeight="false" outlineLevel="0" collapsed="false">
      <c r="A2981" s="7" t="str">
        <f aca="false">IF('Outro banco'!A2981="","",IF(LEFT('Outro banco'!A2981,1)="(","",'Outro banco'!A2981))</f>
        <v/>
      </c>
      <c r="B2981" s="7" t="str">
        <f aca="false">IF(A2981="","",'Outro banco'!B2981)</f>
        <v/>
      </c>
      <c r="C2981" s="7" t="str">
        <f aca="false">IF(A2981="","",'Outro banco'!C2981)</f>
        <v/>
      </c>
      <c r="D2981" s="7" t="str">
        <f aca="false">IF(A2981="","",'Outro banco'!D2981)</f>
        <v/>
      </c>
      <c r="E2981" s="9"/>
      <c r="F2981" s="9"/>
      <c r="G2981" s="7" t="str">
        <f aca="false">IF(A2981="","",IF(COUNTIF(Tabelas!$A:$A,IF(E2981="",A2981,E2981))&gt;0,"sim","não"))</f>
        <v/>
      </c>
      <c r="H2981" s="7" t="str">
        <f aca="false">IF(A2981="","",IF(E2981="",A2981,E2981)&amp;"."&amp;IF(F2981="",B2981,F2981))</f>
        <v/>
      </c>
      <c r="I2981" s="7" t="str">
        <f aca="false">IF(A2981="","",IFERROR(INDEX('Campos Growths'!$F:$F,MATCH(H2981,'Campos Growths'!$A:$A,0)),""))</f>
        <v/>
      </c>
      <c r="J2981" s="7" t="str">
        <f aca="false">IF(A2981="","",IFERROR(VLOOKUP(IF(ISNUMBER(SEARCH("(",C2981)),LEFT(C2981,SEARCH("(",C2981)-1),C2981),Tipos!$A:$B,2,FALSE()),"outro"))</f>
        <v/>
      </c>
      <c r="K2981" s="7" t="str">
        <f aca="false">IF(I2981="","",IFERROR(INDEX('Campos Growths'!$L:$L,MATCH(H2981,'Campos Growths'!$A:$A,0)),""))</f>
        <v/>
      </c>
      <c r="L2981" s="7" t="str">
        <f aca="false">IF(A2981="","",IF(G2981="não","Sem tabela no Growths",IF(I2981="","Sem campo no Growths",IF(J2981=K2981,"Importa direto","Ajustar tipo"))))</f>
        <v/>
      </c>
      <c r="M2981" s="9"/>
    </row>
    <row r="2982" customFormat="false" ht="15" hidden="false" customHeight="false" outlineLevel="0" collapsed="false">
      <c r="A2982" s="7" t="str">
        <f aca="false">IF('Outro banco'!A2982="","",IF(LEFT('Outro banco'!A2982,1)="(","",'Outro banco'!A2982))</f>
        <v/>
      </c>
      <c r="B2982" s="7" t="str">
        <f aca="false">IF(A2982="","",'Outro banco'!B2982)</f>
        <v/>
      </c>
      <c r="C2982" s="7" t="str">
        <f aca="false">IF(A2982="","",'Outro banco'!C2982)</f>
        <v/>
      </c>
      <c r="D2982" s="7" t="str">
        <f aca="false">IF(A2982="","",'Outro banco'!D2982)</f>
        <v/>
      </c>
      <c r="E2982" s="9"/>
      <c r="F2982" s="9"/>
      <c r="G2982" s="7" t="str">
        <f aca="false">IF(A2982="","",IF(COUNTIF(Tabelas!$A:$A,IF(E2982="",A2982,E2982))&gt;0,"sim","não"))</f>
        <v/>
      </c>
      <c r="H2982" s="7" t="str">
        <f aca="false">IF(A2982="","",IF(E2982="",A2982,E2982)&amp;"."&amp;IF(F2982="",B2982,F2982))</f>
        <v/>
      </c>
      <c r="I2982" s="7" t="str">
        <f aca="false">IF(A2982="","",IFERROR(INDEX('Campos Growths'!$F:$F,MATCH(H2982,'Campos Growths'!$A:$A,0)),""))</f>
        <v/>
      </c>
      <c r="J2982" s="7" t="str">
        <f aca="false">IF(A2982="","",IFERROR(VLOOKUP(IF(ISNUMBER(SEARCH("(",C2982)),LEFT(C2982,SEARCH("(",C2982)-1),C2982),Tipos!$A:$B,2,FALSE()),"outro"))</f>
        <v/>
      </c>
      <c r="K2982" s="7" t="str">
        <f aca="false">IF(I2982="","",IFERROR(INDEX('Campos Growths'!$L:$L,MATCH(H2982,'Campos Growths'!$A:$A,0)),""))</f>
        <v/>
      </c>
      <c r="L2982" s="7" t="str">
        <f aca="false">IF(A2982="","",IF(G2982="não","Sem tabela no Growths",IF(I2982="","Sem campo no Growths",IF(J2982=K2982,"Importa direto","Ajustar tipo"))))</f>
        <v/>
      </c>
      <c r="M2982" s="9"/>
    </row>
    <row r="2983" customFormat="false" ht="15" hidden="false" customHeight="false" outlineLevel="0" collapsed="false">
      <c r="A2983" s="7" t="str">
        <f aca="false">IF('Outro banco'!A2983="","",IF(LEFT('Outro banco'!A2983,1)="(","",'Outro banco'!A2983))</f>
        <v/>
      </c>
      <c r="B2983" s="7" t="str">
        <f aca="false">IF(A2983="","",'Outro banco'!B2983)</f>
        <v/>
      </c>
      <c r="C2983" s="7" t="str">
        <f aca="false">IF(A2983="","",'Outro banco'!C2983)</f>
        <v/>
      </c>
      <c r="D2983" s="7" t="str">
        <f aca="false">IF(A2983="","",'Outro banco'!D2983)</f>
        <v/>
      </c>
      <c r="E2983" s="9"/>
      <c r="F2983" s="9"/>
      <c r="G2983" s="7" t="str">
        <f aca="false">IF(A2983="","",IF(COUNTIF(Tabelas!$A:$A,IF(E2983="",A2983,E2983))&gt;0,"sim","não"))</f>
        <v/>
      </c>
      <c r="H2983" s="7" t="str">
        <f aca="false">IF(A2983="","",IF(E2983="",A2983,E2983)&amp;"."&amp;IF(F2983="",B2983,F2983))</f>
        <v/>
      </c>
      <c r="I2983" s="7" t="str">
        <f aca="false">IF(A2983="","",IFERROR(INDEX('Campos Growths'!$F:$F,MATCH(H2983,'Campos Growths'!$A:$A,0)),""))</f>
        <v/>
      </c>
      <c r="J2983" s="7" t="str">
        <f aca="false">IF(A2983="","",IFERROR(VLOOKUP(IF(ISNUMBER(SEARCH("(",C2983)),LEFT(C2983,SEARCH("(",C2983)-1),C2983),Tipos!$A:$B,2,FALSE()),"outro"))</f>
        <v/>
      </c>
      <c r="K2983" s="7" t="str">
        <f aca="false">IF(I2983="","",IFERROR(INDEX('Campos Growths'!$L:$L,MATCH(H2983,'Campos Growths'!$A:$A,0)),""))</f>
        <v/>
      </c>
      <c r="L2983" s="7" t="str">
        <f aca="false">IF(A2983="","",IF(G2983="não","Sem tabela no Growths",IF(I2983="","Sem campo no Growths",IF(J2983=K2983,"Importa direto","Ajustar tipo"))))</f>
        <v/>
      </c>
      <c r="M2983" s="9"/>
    </row>
    <row r="2984" customFormat="false" ht="15" hidden="false" customHeight="false" outlineLevel="0" collapsed="false">
      <c r="A2984" s="7" t="str">
        <f aca="false">IF('Outro banco'!A2984="","",IF(LEFT('Outro banco'!A2984,1)="(","",'Outro banco'!A2984))</f>
        <v/>
      </c>
      <c r="B2984" s="7" t="str">
        <f aca="false">IF(A2984="","",'Outro banco'!B2984)</f>
        <v/>
      </c>
      <c r="C2984" s="7" t="str">
        <f aca="false">IF(A2984="","",'Outro banco'!C2984)</f>
        <v/>
      </c>
      <c r="D2984" s="7" t="str">
        <f aca="false">IF(A2984="","",'Outro banco'!D2984)</f>
        <v/>
      </c>
      <c r="E2984" s="9"/>
      <c r="F2984" s="9"/>
      <c r="G2984" s="7" t="str">
        <f aca="false">IF(A2984="","",IF(COUNTIF(Tabelas!$A:$A,IF(E2984="",A2984,E2984))&gt;0,"sim","não"))</f>
        <v/>
      </c>
      <c r="H2984" s="7" t="str">
        <f aca="false">IF(A2984="","",IF(E2984="",A2984,E2984)&amp;"."&amp;IF(F2984="",B2984,F2984))</f>
        <v/>
      </c>
      <c r="I2984" s="7" t="str">
        <f aca="false">IF(A2984="","",IFERROR(INDEX('Campos Growths'!$F:$F,MATCH(H2984,'Campos Growths'!$A:$A,0)),""))</f>
        <v/>
      </c>
      <c r="J2984" s="7" t="str">
        <f aca="false">IF(A2984="","",IFERROR(VLOOKUP(IF(ISNUMBER(SEARCH("(",C2984)),LEFT(C2984,SEARCH("(",C2984)-1),C2984),Tipos!$A:$B,2,FALSE()),"outro"))</f>
        <v/>
      </c>
      <c r="K2984" s="7" t="str">
        <f aca="false">IF(I2984="","",IFERROR(INDEX('Campos Growths'!$L:$L,MATCH(H2984,'Campos Growths'!$A:$A,0)),""))</f>
        <v/>
      </c>
      <c r="L2984" s="7" t="str">
        <f aca="false">IF(A2984="","",IF(G2984="não","Sem tabela no Growths",IF(I2984="","Sem campo no Growths",IF(J2984=K2984,"Importa direto","Ajustar tipo"))))</f>
        <v/>
      </c>
      <c r="M2984" s="9"/>
    </row>
    <row r="2985" customFormat="false" ht="15" hidden="false" customHeight="false" outlineLevel="0" collapsed="false">
      <c r="A2985" s="7" t="str">
        <f aca="false">IF('Outro banco'!A2985="","",IF(LEFT('Outro banco'!A2985,1)="(","",'Outro banco'!A2985))</f>
        <v/>
      </c>
      <c r="B2985" s="7" t="str">
        <f aca="false">IF(A2985="","",'Outro banco'!B2985)</f>
        <v/>
      </c>
      <c r="C2985" s="7" t="str">
        <f aca="false">IF(A2985="","",'Outro banco'!C2985)</f>
        <v/>
      </c>
      <c r="D2985" s="7" t="str">
        <f aca="false">IF(A2985="","",'Outro banco'!D2985)</f>
        <v/>
      </c>
      <c r="E2985" s="9"/>
      <c r="F2985" s="9"/>
      <c r="G2985" s="7" t="str">
        <f aca="false">IF(A2985="","",IF(COUNTIF(Tabelas!$A:$A,IF(E2985="",A2985,E2985))&gt;0,"sim","não"))</f>
        <v/>
      </c>
      <c r="H2985" s="7" t="str">
        <f aca="false">IF(A2985="","",IF(E2985="",A2985,E2985)&amp;"."&amp;IF(F2985="",B2985,F2985))</f>
        <v/>
      </c>
      <c r="I2985" s="7" t="str">
        <f aca="false">IF(A2985="","",IFERROR(INDEX('Campos Growths'!$F:$F,MATCH(H2985,'Campos Growths'!$A:$A,0)),""))</f>
        <v/>
      </c>
      <c r="J2985" s="7" t="str">
        <f aca="false">IF(A2985="","",IFERROR(VLOOKUP(IF(ISNUMBER(SEARCH("(",C2985)),LEFT(C2985,SEARCH("(",C2985)-1),C2985),Tipos!$A:$B,2,FALSE()),"outro"))</f>
        <v/>
      </c>
      <c r="K2985" s="7" t="str">
        <f aca="false">IF(I2985="","",IFERROR(INDEX('Campos Growths'!$L:$L,MATCH(H2985,'Campos Growths'!$A:$A,0)),""))</f>
        <v/>
      </c>
      <c r="L2985" s="7" t="str">
        <f aca="false">IF(A2985="","",IF(G2985="não","Sem tabela no Growths",IF(I2985="","Sem campo no Growths",IF(J2985=K2985,"Importa direto","Ajustar tipo"))))</f>
        <v/>
      </c>
      <c r="M2985" s="9"/>
    </row>
    <row r="2986" customFormat="false" ht="15" hidden="false" customHeight="false" outlineLevel="0" collapsed="false">
      <c r="A2986" s="7" t="str">
        <f aca="false">IF('Outro banco'!A2986="","",IF(LEFT('Outro banco'!A2986,1)="(","",'Outro banco'!A2986))</f>
        <v/>
      </c>
      <c r="B2986" s="7" t="str">
        <f aca="false">IF(A2986="","",'Outro banco'!B2986)</f>
        <v/>
      </c>
      <c r="C2986" s="7" t="str">
        <f aca="false">IF(A2986="","",'Outro banco'!C2986)</f>
        <v/>
      </c>
      <c r="D2986" s="7" t="str">
        <f aca="false">IF(A2986="","",'Outro banco'!D2986)</f>
        <v/>
      </c>
      <c r="E2986" s="9"/>
      <c r="F2986" s="9"/>
      <c r="G2986" s="7" t="str">
        <f aca="false">IF(A2986="","",IF(COUNTIF(Tabelas!$A:$A,IF(E2986="",A2986,E2986))&gt;0,"sim","não"))</f>
        <v/>
      </c>
      <c r="H2986" s="7" t="str">
        <f aca="false">IF(A2986="","",IF(E2986="",A2986,E2986)&amp;"."&amp;IF(F2986="",B2986,F2986))</f>
        <v/>
      </c>
      <c r="I2986" s="7" t="str">
        <f aca="false">IF(A2986="","",IFERROR(INDEX('Campos Growths'!$F:$F,MATCH(H2986,'Campos Growths'!$A:$A,0)),""))</f>
        <v/>
      </c>
      <c r="J2986" s="7" t="str">
        <f aca="false">IF(A2986="","",IFERROR(VLOOKUP(IF(ISNUMBER(SEARCH("(",C2986)),LEFT(C2986,SEARCH("(",C2986)-1),C2986),Tipos!$A:$B,2,FALSE()),"outro"))</f>
        <v/>
      </c>
      <c r="K2986" s="7" t="str">
        <f aca="false">IF(I2986="","",IFERROR(INDEX('Campos Growths'!$L:$L,MATCH(H2986,'Campos Growths'!$A:$A,0)),""))</f>
        <v/>
      </c>
      <c r="L2986" s="7" t="str">
        <f aca="false">IF(A2986="","",IF(G2986="não","Sem tabela no Growths",IF(I2986="","Sem campo no Growths",IF(J2986=K2986,"Importa direto","Ajustar tipo"))))</f>
        <v/>
      </c>
      <c r="M2986" s="9"/>
    </row>
    <row r="2987" customFormat="false" ht="15" hidden="false" customHeight="false" outlineLevel="0" collapsed="false">
      <c r="A2987" s="7" t="str">
        <f aca="false">IF('Outro banco'!A2987="","",IF(LEFT('Outro banco'!A2987,1)="(","",'Outro banco'!A2987))</f>
        <v/>
      </c>
      <c r="B2987" s="7" t="str">
        <f aca="false">IF(A2987="","",'Outro banco'!B2987)</f>
        <v/>
      </c>
      <c r="C2987" s="7" t="str">
        <f aca="false">IF(A2987="","",'Outro banco'!C2987)</f>
        <v/>
      </c>
      <c r="D2987" s="7" t="str">
        <f aca="false">IF(A2987="","",'Outro banco'!D2987)</f>
        <v/>
      </c>
      <c r="E2987" s="9"/>
      <c r="F2987" s="9"/>
      <c r="G2987" s="7" t="str">
        <f aca="false">IF(A2987="","",IF(COUNTIF(Tabelas!$A:$A,IF(E2987="",A2987,E2987))&gt;0,"sim","não"))</f>
        <v/>
      </c>
      <c r="H2987" s="7" t="str">
        <f aca="false">IF(A2987="","",IF(E2987="",A2987,E2987)&amp;"."&amp;IF(F2987="",B2987,F2987))</f>
        <v/>
      </c>
      <c r="I2987" s="7" t="str">
        <f aca="false">IF(A2987="","",IFERROR(INDEX('Campos Growths'!$F:$F,MATCH(H2987,'Campos Growths'!$A:$A,0)),""))</f>
        <v/>
      </c>
      <c r="J2987" s="7" t="str">
        <f aca="false">IF(A2987="","",IFERROR(VLOOKUP(IF(ISNUMBER(SEARCH("(",C2987)),LEFT(C2987,SEARCH("(",C2987)-1),C2987),Tipos!$A:$B,2,FALSE()),"outro"))</f>
        <v/>
      </c>
      <c r="K2987" s="7" t="str">
        <f aca="false">IF(I2987="","",IFERROR(INDEX('Campos Growths'!$L:$L,MATCH(H2987,'Campos Growths'!$A:$A,0)),""))</f>
        <v/>
      </c>
      <c r="L2987" s="7" t="str">
        <f aca="false">IF(A2987="","",IF(G2987="não","Sem tabela no Growths",IF(I2987="","Sem campo no Growths",IF(J2987=K2987,"Importa direto","Ajustar tipo"))))</f>
        <v/>
      </c>
      <c r="M2987" s="9"/>
    </row>
    <row r="2988" customFormat="false" ht="15" hidden="false" customHeight="false" outlineLevel="0" collapsed="false">
      <c r="A2988" s="7" t="str">
        <f aca="false">IF('Outro banco'!A2988="","",IF(LEFT('Outro banco'!A2988,1)="(","",'Outro banco'!A2988))</f>
        <v/>
      </c>
      <c r="B2988" s="7" t="str">
        <f aca="false">IF(A2988="","",'Outro banco'!B2988)</f>
        <v/>
      </c>
      <c r="C2988" s="7" t="str">
        <f aca="false">IF(A2988="","",'Outro banco'!C2988)</f>
        <v/>
      </c>
      <c r="D2988" s="7" t="str">
        <f aca="false">IF(A2988="","",'Outro banco'!D2988)</f>
        <v/>
      </c>
      <c r="E2988" s="9"/>
      <c r="F2988" s="9"/>
      <c r="G2988" s="7" t="str">
        <f aca="false">IF(A2988="","",IF(COUNTIF(Tabelas!$A:$A,IF(E2988="",A2988,E2988))&gt;0,"sim","não"))</f>
        <v/>
      </c>
      <c r="H2988" s="7" t="str">
        <f aca="false">IF(A2988="","",IF(E2988="",A2988,E2988)&amp;"."&amp;IF(F2988="",B2988,F2988))</f>
        <v/>
      </c>
      <c r="I2988" s="7" t="str">
        <f aca="false">IF(A2988="","",IFERROR(INDEX('Campos Growths'!$F:$F,MATCH(H2988,'Campos Growths'!$A:$A,0)),""))</f>
        <v/>
      </c>
      <c r="J2988" s="7" t="str">
        <f aca="false">IF(A2988="","",IFERROR(VLOOKUP(IF(ISNUMBER(SEARCH("(",C2988)),LEFT(C2988,SEARCH("(",C2988)-1),C2988),Tipos!$A:$B,2,FALSE()),"outro"))</f>
        <v/>
      </c>
      <c r="K2988" s="7" t="str">
        <f aca="false">IF(I2988="","",IFERROR(INDEX('Campos Growths'!$L:$L,MATCH(H2988,'Campos Growths'!$A:$A,0)),""))</f>
        <v/>
      </c>
      <c r="L2988" s="7" t="str">
        <f aca="false">IF(A2988="","",IF(G2988="não","Sem tabela no Growths",IF(I2988="","Sem campo no Growths",IF(J2988=K2988,"Importa direto","Ajustar tipo"))))</f>
        <v/>
      </c>
      <c r="M2988" s="9"/>
    </row>
    <row r="2989" customFormat="false" ht="15" hidden="false" customHeight="false" outlineLevel="0" collapsed="false">
      <c r="A2989" s="7" t="str">
        <f aca="false">IF('Outro banco'!A2989="","",IF(LEFT('Outro banco'!A2989,1)="(","",'Outro banco'!A2989))</f>
        <v/>
      </c>
      <c r="B2989" s="7" t="str">
        <f aca="false">IF(A2989="","",'Outro banco'!B2989)</f>
        <v/>
      </c>
      <c r="C2989" s="7" t="str">
        <f aca="false">IF(A2989="","",'Outro banco'!C2989)</f>
        <v/>
      </c>
      <c r="D2989" s="7" t="str">
        <f aca="false">IF(A2989="","",'Outro banco'!D2989)</f>
        <v/>
      </c>
      <c r="E2989" s="9"/>
      <c r="F2989" s="9"/>
      <c r="G2989" s="7" t="str">
        <f aca="false">IF(A2989="","",IF(COUNTIF(Tabelas!$A:$A,IF(E2989="",A2989,E2989))&gt;0,"sim","não"))</f>
        <v/>
      </c>
      <c r="H2989" s="7" t="str">
        <f aca="false">IF(A2989="","",IF(E2989="",A2989,E2989)&amp;"."&amp;IF(F2989="",B2989,F2989))</f>
        <v/>
      </c>
      <c r="I2989" s="7" t="str">
        <f aca="false">IF(A2989="","",IFERROR(INDEX('Campos Growths'!$F:$F,MATCH(H2989,'Campos Growths'!$A:$A,0)),""))</f>
        <v/>
      </c>
      <c r="J2989" s="7" t="str">
        <f aca="false">IF(A2989="","",IFERROR(VLOOKUP(IF(ISNUMBER(SEARCH("(",C2989)),LEFT(C2989,SEARCH("(",C2989)-1),C2989),Tipos!$A:$B,2,FALSE()),"outro"))</f>
        <v/>
      </c>
      <c r="K2989" s="7" t="str">
        <f aca="false">IF(I2989="","",IFERROR(INDEX('Campos Growths'!$L:$L,MATCH(H2989,'Campos Growths'!$A:$A,0)),""))</f>
        <v/>
      </c>
      <c r="L2989" s="7" t="str">
        <f aca="false">IF(A2989="","",IF(G2989="não","Sem tabela no Growths",IF(I2989="","Sem campo no Growths",IF(J2989=K2989,"Importa direto","Ajustar tipo"))))</f>
        <v/>
      </c>
      <c r="M2989" s="9"/>
    </row>
    <row r="2990" customFormat="false" ht="15" hidden="false" customHeight="false" outlineLevel="0" collapsed="false">
      <c r="A2990" s="7" t="str">
        <f aca="false">IF('Outro banco'!A2990="","",IF(LEFT('Outro banco'!A2990,1)="(","",'Outro banco'!A2990))</f>
        <v/>
      </c>
      <c r="B2990" s="7" t="str">
        <f aca="false">IF(A2990="","",'Outro banco'!B2990)</f>
        <v/>
      </c>
      <c r="C2990" s="7" t="str">
        <f aca="false">IF(A2990="","",'Outro banco'!C2990)</f>
        <v/>
      </c>
      <c r="D2990" s="7" t="str">
        <f aca="false">IF(A2990="","",'Outro banco'!D2990)</f>
        <v/>
      </c>
      <c r="E2990" s="9"/>
      <c r="F2990" s="9"/>
      <c r="G2990" s="7" t="str">
        <f aca="false">IF(A2990="","",IF(COUNTIF(Tabelas!$A:$A,IF(E2990="",A2990,E2990))&gt;0,"sim","não"))</f>
        <v/>
      </c>
      <c r="H2990" s="7" t="str">
        <f aca="false">IF(A2990="","",IF(E2990="",A2990,E2990)&amp;"."&amp;IF(F2990="",B2990,F2990))</f>
        <v/>
      </c>
      <c r="I2990" s="7" t="str">
        <f aca="false">IF(A2990="","",IFERROR(INDEX('Campos Growths'!$F:$F,MATCH(H2990,'Campos Growths'!$A:$A,0)),""))</f>
        <v/>
      </c>
      <c r="J2990" s="7" t="str">
        <f aca="false">IF(A2990="","",IFERROR(VLOOKUP(IF(ISNUMBER(SEARCH("(",C2990)),LEFT(C2990,SEARCH("(",C2990)-1),C2990),Tipos!$A:$B,2,FALSE()),"outro"))</f>
        <v/>
      </c>
      <c r="K2990" s="7" t="str">
        <f aca="false">IF(I2990="","",IFERROR(INDEX('Campos Growths'!$L:$L,MATCH(H2990,'Campos Growths'!$A:$A,0)),""))</f>
        <v/>
      </c>
      <c r="L2990" s="7" t="str">
        <f aca="false">IF(A2990="","",IF(G2990="não","Sem tabela no Growths",IF(I2990="","Sem campo no Growths",IF(J2990=K2990,"Importa direto","Ajustar tipo"))))</f>
        <v/>
      </c>
      <c r="M2990" s="9"/>
    </row>
    <row r="2991" customFormat="false" ht="15" hidden="false" customHeight="false" outlineLevel="0" collapsed="false">
      <c r="A2991" s="7" t="str">
        <f aca="false">IF('Outro banco'!A2991="","",IF(LEFT('Outro banco'!A2991,1)="(","",'Outro banco'!A2991))</f>
        <v/>
      </c>
      <c r="B2991" s="7" t="str">
        <f aca="false">IF(A2991="","",'Outro banco'!B2991)</f>
        <v/>
      </c>
      <c r="C2991" s="7" t="str">
        <f aca="false">IF(A2991="","",'Outro banco'!C2991)</f>
        <v/>
      </c>
      <c r="D2991" s="7" t="str">
        <f aca="false">IF(A2991="","",'Outro banco'!D2991)</f>
        <v/>
      </c>
      <c r="E2991" s="9"/>
      <c r="F2991" s="9"/>
      <c r="G2991" s="7" t="str">
        <f aca="false">IF(A2991="","",IF(COUNTIF(Tabelas!$A:$A,IF(E2991="",A2991,E2991))&gt;0,"sim","não"))</f>
        <v/>
      </c>
      <c r="H2991" s="7" t="str">
        <f aca="false">IF(A2991="","",IF(E2991="",A2991,E2991)&amp;"."&amp;IF(F2991="",B2991,F2991))</f>
        <v/>
      </c>
      <c r="I2991" s="7" t="str">
        <f aca="false">IF(A2991="","",IFERROR(INDEX('Campos Growths'!$F:$F,MATCH(H2991,'Campos Growths'!$A:$A,0)),""))</f>
        <v/>
      </c>
      <c r="J2991" s="7" t="str">
        <f aca="false">IF(A2991="","",IFERROR(VLOOKUP(IF(ISNUMBER(SEARCH("(",C2991)),LEFT(C2991,SEARCH("(",C2991)-1),C2991),Tipos!$A:$B,2,FALSE()),"outro"))</f>
        <v/>
      </c>
      <c r="K2991" s="7" t="str">
        <f aca="false">IF(I2991="","",IFERROR(INDEX('Campos Growths'!$L:$L,MATCH(H2991,'Campos Growths'!$A:$A,0)),""))</f>
        <v/>
      </c>
      <c r="L2991" s="7" t="str">
        <f aca="false">IF(A2991="","",IF(G2991="não","Sem tabela no Growths",IF(I2991="","Sem campo no Growths",IF(J2991=K2991,"Importa direto","Ajustar tipo"))))</f>
        <v/>
      </c>
      <c r="M2991" s="9"/>
    </row>
    <row r="2992" customFormat="false" ht="15" hidden="false" customHeight="false" outlineLevel="0" collapsed="false">
      <c r="A2992" s="7" t="str">
        <f aca="false">IF('Outro banco'!A2992="","",IF(LEFT('Outro banco'!A2992,1)="(","",'Outro banco'!A2992))</f>
        <v/>
      </c>
      <c r="B2992" s="7" t="str">
        <f aca="false">IF(A2992="","",'Outro banco'!B2992)</f>
        <v/>
      </c>
      <c r="C2992" s="7" t="str">
        <f aca="false">IF(A2992="","",'Outro banco'!C2992)</f>
        <v/>
      </c>
      <c r="D2992" s="7" t="str">
        <f aca="false">IF(A2992="","",'Outro banco'!D2992)</f>
        <v/>
      </c>
      <c r="E2992" s="9"/>
      <c r="F2992" s="9"/>
      <c r="G2992" s="7" t="str">
        <f aca="false">IF(A2992="","",IF(COUNTIF(Tabelas!$A:$A,IF(E2992="",A2992,E2992))&gt;0,"sim","não"))</f>
        <v/>
      </c>
      <c r="H2992" s="7" t="str">
        <f aca="false">IF(A2992="","",IF(E2992="",A2992,E2992)&amp;"."&amp;IF(F2992="",B2992,F2992))</f>
        <v/>
      </c>
      <c r="I2992" s="7" t="str">
        <f aca="false">IF(A2992="","",IFERROR(INDEX('Campos Growths'!$F:$F,MATCH(H2992,'Campos Growths'!$A:$A,0)),""))</f>
        <v/>
      </c>
      <c r="J2992" s="7" t="str">
        <f aca="false">IF(A2992="","",IFERROR(VLOOKUP(IF(ISNUMBER(SEARCH("(",C2992)),LEFT(C2992,SEARCH("(",C2992)-1),C2992),Tipos!$A:$B,2,FALSE()),"outro"))</f>
        <v/>
      </c>
      <c r="K2992" s="7" t="str">
        <f aca="false">IF(I2992="","",IFERROR(INDEX('Campos Growths'!$L:$L,MATCH(H2992,'Campos Growths'!$A:$A,0)),""))</f>
        <v/>
      </c>
      <c r="L2992" s="7" t="str">
        <f aca="false">IF(A2992="","",IF(G2992="não","Sem tabela no Growths",IF(I2992="","Sem campo no Growths",IF(J2992=K2992,"Importa direto","Ajustar tipo"))))</f>
        <v/>
      </c>
      <c r="M2992" s="9"/>
    </row>
    <row r="2993" customFormat="false" ht="15" hidden="false" customHeight="false" outlineLevel="0" collapsed="false">
      <c r="A2993" s="7" t="str">
        <f aca="false">IF('Outro banco'!A2993="","",IF(LEFT('Outro banco'!A2993,1)="(","",'Outro banco'!A2993))</f>
        <v/>
      </c>
      <c r="B2993" s="7" t="str">
        <f aca="false">IF(A2993="","",'Outro banco'!B2993)</f>
        <v/>
      </c>
      <c r="C2993" s="7" t="str">
        <f aca="false">IF(A2993="","",'Outro banco'!C2993)</f>
        <v/>
      </c>
      <c r="D2993" s="7" t="str">
        <f aca="false">IF(A2993="","",'Outro banco'!D2993)</f>
        <v/>
      </c>
      <c r="E2993" s="9"/>
      <c r="F2993" s="9"/>
      <c r="G2993" s="7" t="str">
        <f aca="false">IF(A2993="","",IF(COUNTIF(Tabelas!$A:$A,IF(E2993="",A2993,E2993))&gt;0,"sim","não"))</f>
        <v/>
      </c>
      <c r="H2993" s="7" t="str">
        <f aca="false">IF(A2993="","",IF(E2993="",A2993,E2993)&amp;"."&amp;IF(F2993="",B2993,F2993))</f>
        <v/>
      </c>
      <c r="I2993" s="7" t="str">
        <f aca="false">IF(A2993="","",IFERROR(INDEX('Campos Growths'!$F:$F,MATCH(H2993,'Campos Growths'!$A:$A,0)),""))</f>
        <v/>
      </c>
      <c r="J2993" s="7" t="str">
        <f aca="false">IF(A2993="","",IFERROR(VLOOKUP(IF(ISNUMBER(SEARCH("(",C2993)),LEFT(C2993,SEARCH("(",C2993)-1),C2993),Tipos!$A:$B,2,FALSE()),"outro"))</f>
        <v/>
      </c>
      <c r="K2993" s="7" t="str">
        <f aca="false">IF(I2993="","",IFERROR(INDEX('Campos Growths'!$L:$L,MATCH(H2993,'Campos Growths'!$A:$A,0)),""))</f>
        <v/>
      </c>
      <c r="L2993" s="7" t="str">
        <f aca="false">IF(A2993="","",IF(G2993="não","Sem tabela no Growths",IF(I2993="","Sem campo no Growths",IF(J2993=K2993,"Importa direto","Ajustar tipo"))))</f>
        <v/>
      </c>
      <c r="M2993" s="9"/>
    </row>
    <row r="2994" customFormat="false" ht="15" hidden="false" customHeight="false" outlineLevel="0" collapsed="false">
      <c r="A2994" s="7" t="str">
        <f aca="false">IF('Outro banco'!A2994="","",IF(LEFT('Outro banco'!A2994,1)="(","",'Outro banco'!A2994))</f>
        <v/>
      </c>
      <c r="B2994" s="7" t="str">
        <f aca="false">IF(A2994="","",'Outro banco'!B2994)</f>
        <v/>
      </c>
      <c r="C2994" s="7" t="str">
        <f aca="false">IF(A2994="","",'Outro banco'!C2994)</f>
        <v/>
      </c>
      <c r="D2994" s="7" t="str">
        <f aca="false">IF(A2994="","",'Outro banco'!D2994)</f>
        <v/>
      </c>
      <c r="E2994" s="9"/>
      <c r="F2994" s="9"/>
      <c r="G2994" s="7" t="str">
        <f aca="false">IF(A2994="","",IF(COUNTIF(Tabelas!$A:$A,IF(E2994="",A2994,E2994))&gt;0,"sim","não"))</f>
        <v/>
      </c>
      <c r="H2994" s="7" t="str">
        <f aca="false">IF(A2994="","",IF(E2994="",A2994,E2994)&amp;"."&amp;IF(F2994="",B2994,F2994))</f>
        <v/>
      </c>
      <c r="I2994" s="7" t="str">
        <f aca="false">IF(A2994="","",IFERROR(INDEX('Campos Growths'!$F:$F,MATCH(H2994,'Campos Growths'!$A:$A,0)),""))</f>
        <v/>
      </c>
      <c r="J2994" s="7" t="str">
        <f aca="false">IF(A2994="","",IFERROR(VLOOKUP(IF(ISNUMBER(SEARCH("(",C2994)),LEFT(C2994,SEARCH("(",C2994)-1),C2994),Tipos!$A:$B,2,FALSE()),"outro"))</f>
        <v/>
      </c>
      <c r="K2994" s="7" t="str">
        <f aca="false">IF(I2994="","",IFERROR(INDEX('Campos Growths'!$L:$L,MATCH(H2994,'Campos Growths'!$A:$A,0)),""))</f>
        <v/>
      </c>
      <c r="L2994" s="7" t="str">
        <f aca="false">IF(A2994="","",IF(G2994="não","Sem tabela no Growths",IF(I2994="","Sem campo no Growths",IF(J2994=K2994,"Importa direto","Ajustar tipo"))))</f>
        <v/>
      </c>
      <c r="M2994" s="9"/>
    </row>
    <row r="2995" customFormat="false" ht="15" hidden="false" customHeight="false" outlineLevel="0" collapsed="false">
      <c r="A2995" s="7" t="str">
        <f aca="false">IF('Outro banco'!A2995="","",IF(LEFT('Outro banco'!A2995,1)="(","",'Outro banco'!A2995))</f>
        <v/>
      </c>
      <c r="B2995" s="7" t="str">
        <f aca="false">IF(A2995="","",'Outro banco'!B2995)</f>
        <v/>
      </c>
      <c r="C2995" s="7" t="str">
        <f aca="false">IF(A2995="","",'Outro banco'!C2995)</f>
        <v/>
      </c>
      <c r="D2995" s="7" t="str">
        <f aca="false">IF(A2995="","",'Outro banco'!D2995)</f>
        <v/>
      </c>
      <c r="E2995" s="9"/>
      <c r="F2995" s="9"/>
      <c r="G2995" s="7" t="str">
        <f aca="false">IF(A2995="","",IF(COUNTIF(Tabelas!$A:$A,IF(E2995="",A2995,E2995))&gt;0,"sim","não"))</f>
        <v/>
      </c>
      <c r="H2995" s="7" t="str">
        <f aca="false">IF(A2995="","",IF(E2995="",A2995,E2995)&amp;"."&amp;IF(F2995="",B2995,F2995))</f>
        <v/>
      </c>
      <c r="I2995" s="7" t="str">
        <f aca="false">IF(A2995="","",IFERROR(INDEX('Campos Growths'!$F:$F,MATCH(H2995,'Campos Growths'!$A:$A,0)),""))</f>
        <v/>
      </c>
      <c r="J2995" s="7" t="str">
        <f aca="false">IF(A2995="","",IFERROR(VLOOKUP(IF(ISNUMBER(SEARCH("(",C2995)),LEFT(C2995,SEARCH("(",C2995)-1),C2995),Tipos!$A:$B,2,FALSE()),"outro"))</f>
        <v/>
      </c>
      <c r="K2995" s="7" t="str">
        <f aca="false">IF(I2995="","",IFERROR(INDEX('Campos Growths'!$L:$L,MATCH(H2995,'Campos Growths'!$A:$A,0)),""))</f>
        <v/>
      </c>
      <c r="L2995" s="7" t="str">
        <f aca="false">IF(A2995="","",IF(G2995="não","Sem tabela no Growths",IF(I2995="","Sem campo no Growths",IF(J2995=K2995,"Importa direto","Ajustar tipo"))))</f>
        <v/>
      </c>
      <c r="M2995" s="9"/>
    </row>
    <row r="2996" customFormat="false" ht="15" hidden="false" customHeight="false" outlineLevel="0" collapsed="false">
      <c r="A2996" s="7" t="str">
        <f aca="false">IF('Outro banco'!A2996="","",IF(LEFT('Outro banco'!A2996,1)="(","",'Outro banco'!A2996))</f>
        <v/>
      </c>
      <c r="B2996" s="7" t="str">
        <f aca="false">IF(A2996="","",'Outro banco'!B2996)</f>
        <v/>
      </c>
      <c r="C2996" s="7" t="str">
        <f aca="false">IF(A2996="","",'Outro banco'!C2996)</f>
        <v/>
      </c>
      <c r="D2996" s="7" t="str">
        <f aca="false">IF(A2996="","",'Outro banco'!D2996)</f>
        <v/>
      </c>
      <c r="E2996" s="9"/>
      <c r="F2996" s="9"/>
      <c r="G2996" s="7" t="str">
        <f aca="false">IF(A2996="","",IF(COUNTIF(Tabelas!$A:$A,IF(E2996="",A2996,E2996))&gt;0,"sim","não"))</f>
        <v/>
      </c>
      <c r="H2996" s="7" t="str">
        <f aca="false">IF(A2996="","",IF(E2996="",A2996,E2996)&amp;"."&amp;IF(F2996="",B2996,F2996))</f>
        <v/>
      </c>
      <c r="I2996" s="7" t="str">
        <f aca="false">IF(A2996="","",IFERROR(INDEX('Campos Growths'!$F:$F,MATCH(H2996,'Campos Growths'!$A:$A,0)),""))</f>
        <v/>
      </c>
      <c r="J2996" s="7" t="str">
        <f aca="false">IF(A2996="","",IFERROR(VLOOKUP(IF(ISNUMBER(SEARCH("(",C2996)),LEFT(C2996,SEARCH("(",C2996)-1),C2996),Tipos!$A:$B,2,FALSE()),"outro"))</f>
        <v/>
      </c>
      <c r="K2996" s="7" t="str">
        <f aca="false">IF(I2996="","",IFERROR(INDEX('Campos Growths'!$L:$L,MATCH(H2996,'Campos Growths'!$A:$A,0)),""))</f>
        <v/>
      </c>
      <c r="L2996" s="7" t="str">
        <f aca="false">IF(A2996="","",IF(G2996="não","Sem tabela no Growths",IF(I2996="","Sem campo no Growths",IF(J2996=K2996,"Importa direto","Ajustar tipo"))))</f>
        <v/>
      </c>
      <c r="M2996" s="9"/>
    </row>
    <row r="2997" customFormat="false" ht="15" hidden="false" customHeight="false" outlineLevel="0" collapsed="false">
      <c r="A2997" s="7" t="str">
        <f aca="false">IF('Outro banco'!A2997="","",IF(LEFT('Outro banco'!A2997,1)="(","",'Outro banco'!A2997))</f>
        <v/>
      </c>
      <c r="B2997" s="7" t="str">
        <f aca="false">IF(A2997="","",'Outro banco'!B2997)</f>
        <v/>
      </c>
      <c r="C2997" s="7" t="str">
        <f aca="false">IF(A2997="","",'Outro banco'!C2997)</f>
        <v/>
      </c>
      <c r="D2997" s="7" t="str">
        <f aca="false">IF(A2997="","",'Outro banco'!D2997)</f>
        <v/>
      </c>
      <c r="E2997" s="9"/>
      <c r="F2997" s="9"/>
      <c r="G2997" s="7" t="str">
        <f aca="false">IF(A2997="","",IF(COUNTIF(Tabelas!$A:$A,IF(E2997="",A2997,E2997))&gt;0,"sim","não"))</f>
        <v/>
      </c>
      <c r="H2997" s="7" t="str">
        <f aca="false">IF(A2997="","",IF(E2997="",A2997,E2997)&amp;"."&amp;IF(F2997="",B2997,F2997))</f>
        <v/>
      </c>
      <c r="I2997" s="7" t="str">
        <f aca="false">IF(A2997="","",IFERROR(INDEX('Campos Growths'!$F:$F,MATCH(H2997,'Campos Growths'!$A:$A,0)),""))</f>
        <v/>
      </c>
      <c r="J2997" s="7" t="str">
        <f aca="false">IF(A2997="","",IFERROR(VLOOKUP(IF(ISNUMBER(SEARCH("(",C2997)),LEFT(C2997,SEARCH("(",C2997)-1),C2997),Tipos!$A:$B,2,FALSE()),"outro"))</f>
        <v/>
      </c>
      <c r="K2997" s="7" t="str">
        <f aca="false">IF(I2997="","",IFERROR(INDEX('Campos Growths'!$L:$L,MATCH(H2997,'Campos Growths'!$A:$A,0)),""))</f>
        <v/>
      </c>
      <c r="L2997" s="7" t="str">
        <f aca="false">IF(A2997="","",IF(G2997="não","Sem tabela no Growths",IF(I2997="","Sem campo no Growths",IF(J2997=K2997,"Importa direto","Ajustar tipo"))))</f>
        <v/>
      </c>
      <c r="M2997" s="9"/>
    </row>
    <row r="2998" customFormat="false" ht="15" hidden="false" customHeight="false" outlineLevel="0" collapsed="false">
      <c r="A2998" s="7" t="str">
        <f aca="false">IF('Outro banco'!A2998="","",IF(LEFT('Outro banco'!A2998,1)="(","",'Outro banco'!A2998))</f>
        <v/>
      </c>
      <c r="B2998" s="7" t="str">
        <f aca="false">IF(A2998="","",'Outro banco'!B2998)</f>
        <v/>
      </c>
      <c r="C2998" s="7" t="str">
        <f aca="false">IF(A2998="","",'Outro banco'!C2998)</f>
        <v/>
      </c>
      <c r="D2998" s="7" t="str">
        <f aca="false">IF(A2998="","",'Outro banco'!D2998)</f>
        <v/>
      </c>
      <c r="E2998" s="9"/>
      <c r="F2998" s="9"/>
      <c r="G2998" s="7" t="str">
        <f aca="false">IF(A2998="","",IF(COUNTIF(Tabelas!$A:$A,IF(E2998="",A2998,E2998))&gt;0,"sim","não"))</f>
        <v/>
      </c>
      <c r="H2998" s="7" t="str">
        <f aca="false">IF(A2998="","",IF(E2998="",A2998,E2998)&amp;"."&amp;IF(F2998="",B2998,F2998))</f>
        <v/>
      </c>
      <c r="I2998" s="7" t="str">
        <f aca="false">IF(A2998="","",IFERROR(INDEX('Campos Growths'!$F:$F,MATCH(H2998,'Campos Growths'!$A:$A,0)),""))</f>
        <v/>
      </c>
      <c r="J2998" s="7" t="str">
        <f aca="false">IF(A2998="","",IFERROR(VLOOKUP(IF(ISNUMBER(SEARCH("(",C2998)),LEFT(C2998,SEARCH("(",C2998)-1),C2998),Tipos!$A:$B,2,FALSE()),"outro"))</f>
        <v/>
      </c>
      <c r="K2998" s="7" t="str">
        <f aca="false">IF(I2998="","",IFERROR(INDEX('Campos Growths'!$L:$L,MATCH(H2998,'Campos Growths'!$A:$A,0)),""))</f>
        <v/>
      </c>
      <c r="L2998" s="7" t="str">
        <f aca="false">IF(A2998="","",IF(G2998="não","Sem tabela no Growths",IF(I2998="","Sem campo no Growths",IF(J2998=K2998,"Importa direto","Ajustar tipo"))))</f>
        <v/>
      </c>
      <c r="M2998" s="9"/>
    </row>
    <row r="2999" customFormat="false" ht="15" hidden="false" customHeight="false" outlineLevel="0" collapsed="false">
      <c r="A2999" s="7" t="str">
        <f aca="false">IF('Outro banco'!A2999="","",IF(LEFT('Outro banco'!A2999,1)="(","",'Outro banco'!A2999))</f>
        <v/>
      </c>
      <c r="B2999" s="7" t="str">
        <f aca="false">IF(A2999="","",'Outro banco'!B2999)</f>
        <v/>
      </c>
      <c r="C2999" s="7" t="str">
        <f aca="false">IF(A2999="","",'Outro banco'!C2999)</f>
        <v/>
      </c>
      <c r="D2999" s="7" t="str">
        <f aca="false">IF(A2999="","",'Outro banco'!D2999)</f>
        <v/>
      </c>
      <c r="E2999" s="9"/>
      <c r="F2999" s="9"/>
      <c r="G2999" s="7" t="str">
        <f aca="false">IF(A2999="","",IF(COUNTIF(Tabelas!$A:$A,IF(E2999="",A2999,E2999))&gt;0,"sim","não"))</f>
        <v/>
      </c>
      <c r="H2999" s="7" t="str">
        <f aca="false">IF(A2999="","",IF(E2999="",A2999,E2999)&amp;"."&amp;IF(F2999="",B2999,F2999))</f>
        <v/>
      </c>
      <c r="I2999" s="7" t="str">
        <f aca="false">IF(A2999="","",IFERROR(INDEX('Campos Growths'!$F:$F,MATCH(H2999,'Campos Growths'!$A:$A,0)),""))</f>
        <v/>
      </c>
      <c r="J2999" s="7" t="str">
        <f aca="false">IF(A2999="","",IFERROR(VLOOKUP(IF(ISNUMBER(SEARCH("(",C2999)),LEFT(C2999,SEARCH("(",C2999)-1),C2999),Tipos!$A:$B,2,FALSE()),"outro"))</f>
        <v/>
      </c>
      <c r="K2999" s="7" t="str">
        <f aca="false">IF(I2999="","",IFERROR(INDEX('Campos Growths'!$L:$L,MATCH(H2999,'Campos Growths'!$A:$A,0)),""))</f>
        <v/>
      </c>
      <c r="L2999" s="7" t="str">
        <f aca="false">IF(A2999="","",IF(G2999="não","Sem tabela no Growths",IF(I2999="","Sem campo no Growths",IF(J2999=K2999,"Importa direto","Ajustar tipo"))))</f>
        <v/>
      </c>
      <c r="M2999" s="9"/>
    </row>
    <row r="3000" customFormat="false" ht="15" hidden="false" customHeight="false" outlineLevel="0" collapsed="false">
      <c r="A3000" s="7" t="str">
        <f aca="false">IF('Outro banco'!A3000="","",IF(LEFT('Outro banco'!A3000,1)="(","",'Outro banco'!A3000))</f>
        <v/>
      </c>
      <c r="B3000" s="7" t="str">
        <f aca="false">IF(A3000="","",'Outro banco'!B3000)</f>
        <v/>
      </c>
      <c r="C3000" s="7" t="str">
        <f aca="false">IF(A3000="","",'Outro banco'!C3000)</f>
        <v/>
      </c>
      <c r="D3000" s="7" t="str">
        <f aca="false">IF(A3000="","",'Outro banco'!D3000)</f>
        <v/>
      </c>
      <c r="E3000" s="9"/>
      <c r="F3000" s="9"/>
      <c r="G3000" s="7" t="str">
        <f aca="false">IF(A3000="","",IF(COUNTIF(Tabelas!$A:$A,IF(E3000="",A3000,E3000))&gt;0,"sim","não"))</f>
        <v/>
      </c>
      <c r="H3000" s="7" t="str">
        <f aca="false">IF(A3000="","",IF(E3000="",A3000,E3000)&amp;"."&amp;IF(F3000="",B3000,F3000))</f>
        <v/>
      </c>
      <c r="I3000" s="7" t="str">
        <f aca="false">IF(A3000="","",IFERROR(INDEX('Campos Growths'!$F:$F,MATCH(H3000,'Campos Growths'!$A:$A,0)),""))</f>
        <v/>
      </c>
      <c r="J3000" s="7" t="str">
        <f aca="false">IF(A3000="","",IFERROR(VLOOKUP(IF(ISNUMBER(SEARCH("(",C3000)),LEFT(C3000,SEARCH("(",C3000)-1),C3000),Tipos!$A:$B,2,FALSE()),"outro"))</f>
        <v/>
      </c>
      <c r="K3000" s="7" t="str">
        <f aca="false">IF(I3000="","",IFERROR(INDEX('Campos Growths'!$L:$L,MATCH(H3000,'Campos Growths'!$A:$A,0)),""))</f>
        <v/>
      </c>
      <c r="L3000" s="7" t="str">
        <f aca="false">IF(A3000="","",IF(G3000="não","Sem tabela no Growths",IF(I3000="","Sem campo no Growths",IF(J3000=K3000,"Importa direto","Ajustar tipo"))))</f>
        <v/>
      </c>
      <c r="M3000" s="9"/>
    </row>
    <row r="3001" customFormat="false" ht="15" hidden="false" customHeight="false" outlineLevel="0" collapsed="false">
      <c r="A3001" s="7" t="str">
        <f aca="false">IF('Outro banco'!A3001="","",IF(LEFT('Outro banco'!A3001,1)="(","",'Outro banco'!A3001))</f>
        <v/>
      </c>
      <c r="B3001" s="7" t="str">
        <f aca="false">IF(A3001="","",'Outro banco'!B3001)</f>
        <v/>
      </c>
      <c r="C3001" s="7" t="str">
        <f aca="false">IF(A3001="","",'Outro banco'!C3001)</f>
        <v/>
      </c>
      <c r="D3001" s="7" t="str">
        <f aca="false">IF(A3001="","",'Outro banco'!D3001)</f>
        <v/>
      </c>
      <c r="E3001" s="9"/>
      <c r="F3001" s="9"/>
      <c r="G3001" s="7" t="str">
        <f aca="false">IF(A3001="","",IF(COUNTIF(Tabelas!$A:$A,IF(E3001="",A3001,E3001))&gt;0,"sim","não"))</f>
        <v/>
      </c>
      <c r="H3001" s="7" t="str">
        <f aca="false">IF(A3001="","",IF(E3001="",A3001,E3001)&amp;"."&amp;IF(F3001="",B3001,F3001))</f>
        <v/>
      </c>
      <c r="I3001" s="7" t="str">
        <f aca="false">IF(A3001="","",IFERROR(INDEX('Campos Growths'!$F:$F,MATCH(H3001,'Campos Growths'!$A:$A,0)),""))</f>
        <v/>
      </c>
      <c r="J3001" s="7" t="str">
        <f aca="false">IF(A3001="","",IFERROR(VLOOKUP(IF(ISNUMBER(SEARCH("(",C3001)),LEFT(C3001,SEARCH("(",C3001)-1),C3001),Tipos!$A:$B,2,FALSE()),"outro"))</f>
        <v/>
      </c>
      <c r="K3001" s="7" t="str">
        <f aca="false">IF(I3001="","",IFERROR(INDEX('Campos Growths'!$L:$L,MATCH(H3001,'Campos Growths'!$A:$A,0)),""))</f>
        <v/>
      </c>
      <c r="L3001" s="7" t="str">
        <f aca="false">IF(A3001="","",IF(G3001="não","Sem tabela no Growths",IF(I3001="","Sem campo no Growths",IF(J3001=K3001,"Importa direto","Ajustar tipo"))))</f>
        <v/>
      </c>
      <c r="M3001" s="9"/>
    </row>
  </sheetData>
  <autoFilter ref="A1:M3001"/>
  <conditionalFormatting sqref="L2:L3001">
    <cfRule type="expression" priority="2" aboveAverage="0" equalAverage="0" bottom="0" percent="0" rank="0" text="" dxfId="6">
      <formula>L2="Importa direto"</formula>
    </cfRule>
    <cfRule type="expression" priority="3" aboveAverage="0" equalAverage="0" bottom="0" percent="0" rank="0" text="" dxfId="8">
      <formula>L2="Ajustar tipo"</formula>
    </cfRule>
    <cfRule type="expression" priority="4" aboveAverage="0" equalAverage="0" bottom="0" percent="0" rank="0" text="" dxfId="5">
      <formula>L2="Sem campo no Growths"</formula>
    </cfRule>
    <cfRule type="expression" priority="5" aboveAverage="0" equalAverage="0" bottom="0" percent="0" rank="0" text="" dxfId="9">
      <formula>L2="Sem tabela no Growths"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2026-10-18T01:17:40Z</dcterms:created>
  <dc:creator>openpyxl</dc:creator>
  <dc:description/>
  <dc:language>en-US</dc:language>
  <cp:lastModifiedBy/>
  <dcterms:modified xsi:type="dcterms:W3CDTF">2026-10-18T01:17:42Z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